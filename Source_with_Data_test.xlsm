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aee48a9b5ea4fc7"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I849851\Downloads\file_upload\"/>
    </mc:Choice>
  </mc:AlternateContent>
  <bookViews>
    <workbookView xWindow="-15" yWindow="165" windowWidth="16920" windowHeight="13440" tabRatio="922"/>
  </bookViews>
  <sheets>
    <sheet name="Engagement Plan" sheetId="14" r:id="rId1"/>
    <sheet name="Lists" sheetId="85" r:id="rId2"/>
    <sheet name="IV Status" sheetId="80" r:id="rId3"/>
    <sheet name="IV Status Template" sheetId="15" state="hidden" r:id="rId4"/>
    <sheet name="Comments to IV Status" sheetId="84" r:id="rId5"/>
    <sheet name="Issue List" sheetId="81" r:id="rId6"/>
    <sheet name="Benchmark" sheetId="13" r:id="rId7"/>
    <sheet name="IV Progress (Issues)" sheetId="10" r:id="rId8"/>
    <sheet name="Issue Progress" sheetId="11" r:id="rId9"/>
    <sheet name="Issue Statistics" sheetId="12" r:id="rId10"/>
    <sheet name="Recommendations" sheetId="82" r:id="rId11"/>
    <sheet name="Business Processes - Store Repl" sheetId="7" r:id="rId12"/>
    <sheet name="Effort Estimation" sheetId="9" r:id="rId13"/>
  </sheets>
  <definedNames>
    <definedName name="_xlnm._FilterDatabase" localSheetId="5" hidden="1">'Issue List'!$A$2:$P$14</definedName>
    <definedName name="_xlnm._FilterDatabase" localSheetId="10" hidden="1">Recommendations!$A$1:$K$1</definedName>
    <definedName name="CLOSE">'Issue List'!$J$26</definedName>
    <definedName name="CUST">'Issue List'!$J$23</definedName>
    <definedName name="DATA_CONS">'Issue List'!$A$19</definedName>
    <definedName name="DATA_CONS_SUB">Recommendations!$B$10:$B$13</definedName>
    <definedName name="EXCP_MGT">'Issue List'!$A$20</definedName>
    <definedName name="EXCP_MGT_SUB">Recommendations!$B$14:$B$17</definedName>
    <definedName name="Head_270" localSheetId="10">Recommendations!#REF!</definedName>
    <definedName name="HIGH">'Issue List'!$B$20</definedName>
    <definedName name="ID_273" localSheetId="10">Recommendations!#REF!</definedName>
    <definedName name="ID_274" localSheetId="10">Recommendations!#REF!</definedName>
    <definedName name="INTGR_QUE">'Issue List'!$A$21</definedName>
    <definedName name="INTGR_QUE_SUB">Recommendations!$B$18</definedName>
    <definedName name="JOB_VOL">'Issue List'!$A$23</definedName>
    <definedName name="JOB_VOL_SUB">Recommendations!$B$21</definedName>
    <definedName name="listServiceTeamName">Lists!$C$5:$C$7</definedName>
    <definedName name="listServiceTeamNum">Lists!$B$5:$B$7</definedName>
    <definedName name="MED">'Issue List'!$B$21</definedName>
    <definedName name="NEW">'Issue List'!$J$20</definedName>
    <definedName name="OBS">'Issue List'!$J$19</definedName>
    <definedName name="PERF_SCAL">'Issue List'!$A$22</definedName>
    <definedName name="PERF_SCAL_SUB">Recommendations!$B$19:$B$20</definedName>
    <definedName name="POST">'Issue List'!$J$21</definedName>
    <definedName name="_xlnm.Print_Area" localSheetId="5">'Issue List'!$B$2:$P$2</definedName>
    <definedName name="PRIOS">'Issue List'!$B$19:$B$21</definedName>
    <definedName name="REC">'Issue List'!$J$24</definedName>
    <definedName name="REC_STAT">Recommendations!$I$10:$I$12</definedName>
    <definedName name="SAP">'Issue List'!$J$22</definedName>
    <definedName name="STATUS_LIST">'Issue List'!$J$19:$J$26</definedName>
    <definedName name="TEST">'Issue List'!$J$25</definedName>
    <definedName name="VH">'Issue List'!$B$19</definedName>
    <definedName name="WORK_STREAMS">'Issue List'!$A$19:$A$23</definedName>
  </definedNames>
  <calcPr calcId="152511"/>
</workbook>
</file>

<file path=xl/calcChain.xml><?xml version="1.0" encoding="utf-8"?>
<calcChain xmlns="http://schemas.openxmlformats.org/spreadsheetml/2006/main">
  <c r="F21" i="14" l="1"/>
  <c r="G21" i="14"/>
  <c r="H21" i="14"/>
  <c r="I21" i="14"/>
  <c r="J38" i="14"/>
  <c r="L38" i="14"/>
  <c r="K38" i="14"/>
  <c r="J23" i="81" l="1"/>
  <c r="J12" i="81" s="1"/>
  <c r="S39" i="14"/>
  <c r="R39" i="14"/>
  <c r="AG38" i="14"/>
  <c r="AA39" i="14"/>
  <c r="V39" i="14"/>
  <c r="N38" i="14"/>
  <c r="Z39" i="14"/>
  <c r="Y38" i="14"/>
  <c r="O39" i="14"/>
  <c r="N39" i="14"/>
  <c r="AC38" i="14"/>
  <c r="M39" i="14"/>
  <c r="W38" i="14"/>
  <c r="P38" i="14"/>
  <c r="T38" i="14"/>
  <c r="Y39" i="14"/>
  <c r="U38" i="14"/>
  <c r="AG39" i="14"/>
  <c r="AA38" i="14"/>
  <c r="M38" i="14"/>
  <c r="P39" i="14"/>
  <c r="Z38" i="14"/>
  <c r="T39" i="14"/>
  <c r="W39" i="14"/>
  <c r="AD38" i="14"/>
  <c r="X39" i="14"/>
  <c r="AE39" i="14"/>
  <c r="R38" i="14"/>
  <c r="L39" i="14"/>
  <c r="AD39" i="14"/>
  <c r="V38" i="14"/>
  <c r="AF39" i="14"/>
  <c r="X38" i="14"/>
  <c r="S38" i="14"/>
  <c r="AB38" i="14"/>
  <c r="Q39" i="14"/>
  <c r="AB39" i="14"/>
  <c r="O38" i="14"/>
  <c r="Q38" i="14"/>
  <c r="AC39" i="14"/>
  <c r="K39" i="14"/>
  <c r="AF38" i="14"/>
  <c r="U39" i="14"/>
  <c r="AE38" i="14"/>
  <c r="AI39" i="14"/>
  <c r="AI38" i="14"/>
  <c r="AH38" i="14"/>
  <c r="AH39" i="14"/>
  <c r="J7" i="81" l="1"/>
  <c r="J8" i="81"/>
  <c r="J9" i="81"/>
  <c r="A17" i="10"/>
  <c r="A15" i="10"/>
  <c r="A13" i="10" l="1"/>
  <c r="E8" i="10"/>
  <c r="L8" i="10" l="1"/>
  <c r="R8" i="10"/>
  <c r="R7" i="10"/>
  <c r="R6" i="10"/>
  <c r="R5" i="10"/>
  <c r="O8" i="10"/>
  <c r="O7" i="10"/>
  <c r="O6" i="10"/>
  <c r="O5" i="10"/>
  <c r="L7" i="10"/>
  <c r="L6" i="10"/>
  <c r="L5" i="10"/>
  <c r="R4" i="10"/>
  <c r="O4" i="10"/>
  <c r="R9" i="10"/>
  <c r="O9" i="10"/>
  <c r="L9" i="10"/>
  <c r="L4" i="10"/>
  <c r="I9" i="10"/>
  <c r="I8" i="10"/>
  <c r="I7" i="10"/>
  <c r="I6" i="10"/>
  <c r="I5" i="10"/>
  <c r="H8" i="10"/>
  <c r="F8" i="10"/>
  <c r="B17" i="10" s="1"/>
  <c r="E7" i="10"/>
  <c r="H6" i="10"/>
  <c r="F6" i="10"/>
  <c r="E6" i="10"/>
  <c r="I4" i="10"/>
  <c r="F9" i="10"/>
  <c r="B15" i="10" l="1"/>
  <c r="F7" i="10"/>
  <c r="F4" i="10"/>
  <c r="F5" i="10"/>
  <c r="F8" i="12"/>
  <c r="D8" i="12"/>
  <c r="D5" i="12"/>
  <c r="D11" i="12"/>
  <c r="B5" i="11"/>
  <c r="B8" i="12"/>
  <c r="Q8" i="10"/>
  <c r="Q7" i="10"/>
  <c r="Q6" i="10"/>
  <c r="Q5" i="10"/>
  <c r="Q4" i="10"/>
  <c r="N8" i="10"/>
  <c r="N7" i="10"/>
  <c r="N6" i="10"/>
  <c r="N5" i="10"/>
  <c r="N4" i="10"/>
  <c r="Q9" i="10"/>
  <c r="N9" i="10"/>
  <c r="K9" i="10"/>
  <c r="K8" i="10"/>
  <c r="K7" i="10"/>
  <c r="K6" i="10"/>
  <c r="K5" i="10"/>
  <c r="K4" i="10"/>
  <c r="H9" i="10"/>
  <c r="H7" i="10"/>
  <c r="H5" i="10"/>
  <c r="H4" i="10"/>
  <c r="E9" i="10"/>
  <c r="E5" i="10"/>
  <c r="E4" i="10"/>
  <c r="B13" i="10" s="1"/>
  <c r="B3" i="12"/>
  <c r="C1" i="11"/>
  <c r="C2" i="11"/>
  <c r="C3" i="11"/>
  <c r="C4" i="11"/>
  <c r="C5" i="11"/>
  <c r="C6" i="11"/>
  <c r="C7" i="11"/>
  <c r="C8" i="11"/>
  <c r="H11" i="12"/>
  <c r="G11" i="12"/>
  <c r="F11" i="12"/>
  <c r="E11" i="12"/>
  <c r="H10" i="12"/>
  <c r="G10" i="12"/>
  <c r="F10" i="12"/>
  <c r="E10" i="12"/>
  <c r="D10" i="12"/>
  <c r="H9" i="12"/>
  <c r="G9" i="12"/>
  <c r="F9" i="12"/>
  <c r="E9" i="12"/>
  <c r="D9" i="12"/>
  <c r="H8" i="12"/>
  <c r="G8" i="12"/>
  <c r="E8" i="12"/>
  <c r="H7" i="12"/>
  <c r="G7" i="12"/>
  <c r="F7" i="12"/>
  <c r="E7" i="12"/>
  <c r="D7" i="12"/>
  <c r="H6" i="12"/>
  <c r="G6" i="12"/>
  <c r="F6" i="12"/>
  <c r="E6" i="12"/>
  <c r="D6" i="12"/>
  <c r="H5" i="12"/>
  <c r="G5" i="12"/>
  <c r="F5" i="12"/>
  <c r="E5" i="12"/>
  <c r="S4" i="10" l="1"/>
  <c r="C9" i="11"/>
  <c r="B47" i="10" l="1"/>
  <c r="B46" i="10"/>
  <c r="B45" i="10"/>
  <c r="B44" i="10"/>
  <c r="B43" i="10"/>
  <c r="B42" i="10"/>
  <c r="C47" i="10"/>
  <c r="C46" i="10"/>
  <c r="C45" i="10"/>
  <c r="C44" i="10"/>
  <c r="C43" i="10"/>
  <c r="C42" i="10"/>
  <c r="A43" i="10"/>
  <c r="A46" i="10"/>
  <c r="A45" i="10"/>
  <c r="A44" i="10"/>
  <c r="A47" i="10"/>
  <c r="A42" i="10"/>
  <c r="B77" i="10"/>
  <c r="B76" i="10"/>
  <c r="B75" i="10"/>
  <c r="B74" i="10"/>
  <c r="B73" i="10"/>
  <c r="B72" i="10"/>
  <c r="C77" i="10"/>
  <c r="C76" i="10"/>
  <c r="C75" i="10"/>
  <c r="C74" i="10"/>
  <c r="C73" i="10"/>
  <c r="C72" i="10"/>
  <c r="A76" i="10"/>
  <c r="A75" i="10"/>
  <c r="A74" i="10"/>
  <c r="A77" i="10"/>
  <c r="A73" i="10"/>
  <c r="A72" i="10"/>
  <c r="B63" i="10" l="1"/>
  <c r="B62" i="10"/>
  <c r="B61" i="10"/>
  <c r="B60" i="10"/>
  <c r="B59" i="10"/>
  <c r="B58" i="10"/>
  <c r="C63" i="10"/>
  <c r="C62" i="10"/>
  <c r="C61" i="10"/>
  <c r="C60" i="10"/>
  <c r="C59" i="10"/>
  <c r="C58" i="10"/>
  <c r="A63" i="10"/>
  <c r="A60" i="10"/>
  <c r="A61" i="10"/>
  <c r="A62" i="10"/>
  <c r="A59" i="10"/>
  <c r="A58" i="10"/>
  <c r="C32" i="10"/>
  <c r="C31" i="10"/>
  <c r="C30" i="10"/>
  <c r="C29" i="10"/>
  <c r="C28" i="10"/>
  <c r="B32" i="10"/>
  <c r="B31" i="10"/>
  <c r="B30" i="10"/>
  <c r="B29" i="10"/>
  <c r="B28" i="10"/>
  <c r="C27" i="10"/>
  <c r="B27" i="10"/>
  <c r="A32" i="10"/>
  <c r="A29" i="10"/>
  <c r="A30" i="10"/>
  <c r="A31" i="10"/>
  <c r="A28" i="10"/>
  <c r="A27" i="10"/>
  <c r="C18" i="10"/>
  <c r="C17" i="10"/>
  <c r="C16" i="10"/>
  <c r="C15" i="10"/>
  <c r="C14" i="10"/>
  <c r="B18" i="10"/>
  <c r="B16" i="10"/>
  <c r="B14" i="10"/>
  <c r="C13" i="10"/>
  <c r="A16" i="10"/>
  <c r="A18" i="10"/>
  <c r="A14" i="10"/>
  <c r="H5" i="82" l="1"/>
  <c r="H4" i="82"/>
  <c r="H3" i="82"/>
  <c r="H2" i="82"/>
  <c r="S19" i="80" l="1"/>
  <c r="R19" i="80"/>
  <c r="Q19" i="80"/>
  <c r="P19" i="80"/>
  <c r="O19" i="80"/>
  <c r="N19" i="80"/>
  <c r="M19" i="80"/>
  <c r="L19" i="80"/>
  <c r="K19" i="80"/>
  <c r="J19" i="80"/>
  <c r="I19" i="80"/>
  <c r="H19" i="80"/>
  <c r="S8" i="80"/>
  <c r="R8" i="80"/>
  <c r="Q8" i="80"/>
  <c r="P8" i="80"/>
  <c r="O8" i="80"/>
  <c r="N8" i="80"/>
  <c r="M8" i="80"/>
  <c r="L8" i="80"/>
  <c r="K8" i="80"/>
  <c r="J8" i="80"/>
  <c r="I8" i="80"/>
  <c r="H8" i="80"/>
  <c r="S3" i="80"/>
  <c r="R3" i="80"/>
  <c r="Q3" i="80"/>
  <c r="P3" i="80"/>
  <c r="O3" i="80"/>
  <c r="N3" i="80"/>
  <c r="M3" i="80"/>
  <c r="L3" i="80"/>
  <c r="K3" i="80"/>
  <c r="J3" i="80"/>
  <c r="I3" i="80"/>
  <c r="H3" i="80"/>
  <c r="AI21" i="14" l="1"/>
  <c r="AH21" i="14"/>
  <c r="AG21" i="14"/>
  <c r="AF21" i="14"/>
  <c r="AE21" i="14"/>
  <c r="AD21" i="14"/>
  <c r="AC21" i="14"/>
  <c r="AB21" i="14"/>
  <c r="AA21" i="14"/>
  <c r="Z21" i="14"/>
  <c r="Y21" i="14"/>
  <c r="X21" i="14"/>
  <c r="W21" i="14"/>
  <c r="V21" i="14"/>
  <c r="U21" i="14"/>
  <c r="T21" i="14"/>
  <c r="S21" i="14"/>
  <c r="R21" i="14"/>
  <c r="Q21" i="14"/>
  <c r="P21" i="14"/>
  <c r="O21" i="14"/>
  <c r="N21" i="14"/>
  <c r="M21" i="14"/>
  <c r="L21" i="14"/>
  <c r="K21" i="14"/>
  <c r="J21" i="14"/>
  <c r="M11" i="13"/>
  <c r="K11" i="13"/>
  <c r="H11" i="13"/>
  <c r="F11" i="13"/>
  <c r="R10" i="13"/>
  <c r="Q10" i="13"/>
  <c r="O10" i="13"/>
  <c r="J10" i="13"/>
  <c r="R9" i="13"/>
  <c r="Q9" i="13"/>
  <c r="O9" i="13"/>
  <c r="J9" i="13"/>
  <c r="R8" i="13"/>
  <c r="Q8" i="13"/>
  <c r="O8" i="13"/>
  <c r="J8" i="13"/>
  <c r="R7" i="13"/>
  <c r="Q7" i="13"/>
  <c r="O7" i="13"/>
  <c r="J7" i="13"/>
  <c r="R6" i="13"/>
  <c r="Q6" i="13"/>
  <c r="O6" i="13"/>
  <c r="J6" i="13"/>
  <c r="R5" i="13"/>
  <c r="Q5" i="13"/>
  <c r="O5" i="13"/>
  <c r="J5" i="13"/>
  <c r="R4" i="13"/>
  <c r="Q4" i="13"/>
  <c r="O4" i="13"/>
  <c r="J4" i="13"/>
  <c r="J39" i="14"/>
  <c r="R11" i="13" l="1"/>
  <c r="R12" i="13" s="1"/>
  <c r="J11" i="13"/>
  <c r="Q11" i="13"/>
  <c r="Q12" i="13" s="1"/>
  <c r="AJ21" i="14"/>
  <c r="O11" i="13"/>
  <c r="AJ39" i="14"/>
  <c r="AJ38" i="14"/>
  <c r="D4" i="12"/>
  <c r="E4" i="12"/>
  <c r="F4" i="12"/>
  <c r="G4" i="12"/>
  <c r="H4" i="12"/>
  <c r="C5" i="12"/>
  <c r="C6" i="12"/>
  <c r="C7" i="12"/>
  <c r="C8" i="12"/>
  <c r="C9" i="12"/>
  <c r="C10" i="12"/>
  <c r="C11" i="12"/>
  <c r="S5" i="10"/>
  <c r="S6" i="10"/>
  <c r="S7" i="10"/>
  <c r="S8" i="10"/>
  <c r="S9" i="10"/>
  <c r="B10" i="10"/>
  <c r="C10" i="10"/>
  <c r="D10" i="10"/>
  <c r="E10" i="10"/>
  <c r="F10" i="10"/>
  <c r="G10" i="10"/>
  <c r="H10" i="10"/>
  <c r="I10" i="10"/>
  <c r="J10" i="10"/>
  <c r="K10" i="10"/>
  <c r="L10" i="10"/>
  <c r="M10" i="10"/>
  <c r="N10" i="10"/>
  <c r="O10" i="10"/>
  <c r="P10" i="10"/>
  <c r="Q10" i="10"/>
  <c r="R10" i="10"/>
  <c r="S10" i="10" l="1"/>
  <c r="C4" i="12"/>
  <c r="G16" i="9" l="1"/>
</calcChain>
</file>

<file path=xl/comments1.xml><?xml version="1.0" encoding="utf-8"?>
<comments xmlns="http://schemas.openxmlformats.org/spreadsheetml/2006/main">
  <authors>
    <author>Ziryukin, Yuri</author>
    <author>Boissay, Alina</author>
  </authors>
  <commentList>
    <comment ref="F2" authorId="0" shapeId="0">
      <text>
        <r>
          <rPr>
            <b/>
            <sz val="9"/>
            <color indexed="81"/>
            <rFont val="Tahoma"/>
            <family val="2"/>
          </rPr>
          <t>Ziryukin, Yuri:</t>
        </r>
        <r>
          <rPr>
            <sz val="9"/>
            <color indexed="81"/>
            <rFont val="Tahoma"/>
            <family val="2"/>
          </rPr>
          <t xml:space="preserve">
Please note: this field should be maintained for all steps, but should be left empty for business processes!</t>
        </r>
      </text>
    </comment>
    <comment ref="H2" authorId="1" shapeId="0">
      <text>
        <r>
          <rPr>
            <sz val="9"/>
            <color indexed="81"/>
            <rFont val="Tahoma"/>
            <family val="2"/>
          </rPr>
          <t>No User can create inconsistencies</t>
        </r>
      </text>
    </comment>
    <comment ref="I2" authorId="1" shapeId="0">
      <text>
        <r>
          <rPr>
            <sz val="9"/>
            <color indexed="81"/>
            <rFont val="Tahoma"/>
            <family val="2"/>
          </rPr>
          <t>All postings belonging together are posted either all at once, or not at all</t>
        </r>
      </text>
    </comment>
    <comment ref="J2" authorId="1" shapeId="0">
      <text>
        <r>
          <rPr>
            <sz val="9"/>
            <color indexed="81"/>
            <rFont val="Tahoma"/>
            <family val="2"/>
          </rPr>
          <t>Data Consistency is checked across systems</t>
        </r>
      </text>
    </comment>
    <comment ref="K2" authorId="1" shapeId="0">
      <text>
        <r>
          <rPr>
            <sz val="9"/>
            <color indexed="81"/>
            <rFont val="Tahoma"/>
            <family val="2"/>
          </rPr>
          <t>Completeness of End-to-End Business Proc. (for SAP and non-SAP) can be ensured</t>
        </r>
      </text>
    </comment>
    <comment ref="L2" authorId="1" shapeId="0">
      <text>
        <r>
          <rPr>
            <sz val="9"/>
            <color indexed="81"/>
            <rFont val="Tahoma"/>
            <family val="2"/>
          </rPr>
          <t>All exceptions are logged; exceptions are raised to the end users with context info</t>
        </r>
      </text>
    </comment>
    <comment ref="M2" authorId="1" shapeId="0">
      <text>
        <r>
          <rPr>
            <sz val="9"/>
            <color indexed="81"/>
            <rFont val="Tahoma"/>
            <family val="2"/>
          </rPr>
          <t>All exceptions are creating alerts</t>
        </r>
      </text>
    </comment>
    <comment ref="N2" authorId="1" shapeId="0">
      <text>
        <r>
          <rPr>
            <sz val="9"/>
            <color indexed="81"/>
            <rFont val="Tahoma"/>
            <family val="2"/>
          </rPr>
          <t xml:space="preserve">All exceptions are creating incidents; incident resolution is tracked </t>
        </r>
      </text>
    </comment>
    <comment ref="O2" authorId="1" shapeId="0">
      <text>
        <r>
          <rPr>
            <sz val="9"/>
            <color indexed="81"/>
            <rFont val="Tahoma"/>
            <family val="2"/>
          </rPr>
          <t>There are guided procedures for managing exceptions</t>
        </r>
      </text>
    </comment>
    <comment ref="P2" authorId="1" shapeId="0">
      <text>
        <r>
          <rPr>
            <sz val="9"/>
            <color indexed="81"/>
            <rFont val="Tahoma"/>
            <family val="2"/>
          </rPr>
          <t>All queues are monitored (processing completion and errors)</t>
        </r>
      </text>
    </comment>
    <comment ref="Q2" authorId="1" shapeId="0">
      <text>
        <r>
          <rPr>
            <sz val="9"/>
            <color indexed="81"/>
            <rFont val="Tahoma"/>
            <family val="2"/>
          </rPr>
          <t xml:space="preserve">End-to-End Business Process Performance trace is enabled </t>
        </r>
      </text>
    </comment>
    <comment ref="R2" authorId="1" shapeId="0">
      <text>
        <r>
          <rPr>
            <sz val="9"/>
            <color indexed="81"/>
            <rFont val="Tahoma"/>
            <family val="2"/>
          </rPr>
          <t>Business  process  KPIs  are defined, reported, and achieved</t>
        </r>
      </text>
    </comment>
    <comment ref="S2" authorId="1" shapeId="0">
      <text>
        <r>
          <rPr>
            <sz val="9"/>
            <color indexed="81"/>
            <rFont val="Tahoma"/>
            <family val="2"/>
          </rPr>
          <t>Parallelization and restartability are implemented and tested</t>
        </r>
      </text>
    </comment>
  </commentList>
</comments>
</file>

<file path=xl/comments2.xml><?xml version="1.0" encoding="utf-8"?>
<comments xmlns="http://schemas.openxmlformats.org/spreadsheetml/2006/main">
  <authors>
    <author>Ziryukin, Yuri</author>
  </authors>
  <commentList>
    <comment ref="F6" authorId="0" shapeId="0">
      <text>
        <r>
          <rPr>
            <b/>
            <sz val="9"/>
            <color indexed="81"/>
            <rFont val="Tahoma"/>
            <family val="2"/>
          </rPr>
          <t>Ziryukin, Yuri:</t>
        </r>
        <r>
          <rPr>
            <sz val="9"/>
            <color indexed="81"/>
            <rFont val="Tahoma"/>
            <family val="2"/>
          </rPr>
          <t xml:space="preserve">
Please note: this field should be maintained for all steps, but should be left empty for business processes!</t>
        </r>
      </text>
    </comment>
  </commentList>
</comments>
</file>

<file path=xl/comments3.xml><?xml version="1.0" encoding="utf-8"?>
<comments xmlns="http://schemas.openxmlformats.org/spreadsheetml/2006/main">
  <authors>
    <author>i812292</author>
  </authors>
  <commentList>
    <comment ref="G1" authorId="0" shapeId="0">
      <text>
        <r>
          <rPr>
            <b/>
            <sz val="9"/>
            <color indexed="81"/>
            <rFont val="Tahoma"/>
            <family val="2"/>
          </rPr>
          <t>Blue dates are in the future</t>
        </r>
        <r>
          <rPr>
            <sz val="9"/>
            <color indexed="81"/>
            <rFont val="Tahoma"/>
            <family val="2"/>
          </rPr>
          <t xml:space="preserve">
</t>
        </r>
      </text>
    </comment>
  </commentList>
</comments>
</file>

<file path=xl/sharedStrings.xml><?xml version="1.0" encoding="utf-8"?>
<sst xmlns="http://schemas.openxmlformats.org/spreadsheetml/2006/main" count="1213" uniqueCount="461">
  <si>
    <t>Integration Validator</t>
  </si>
  <si>
    <t>Parallelization and restart ability are implemented and tested</t>
  </si>
  <si>
    <t>Data Consistency</t>
  </si>
  <si>
    <t>System Integration &amp; Queues</t>
  </si>
  <si>
    <t>Job &amp; Volume Processing</t>
  </si>
  <si>
    <t>Performance &amp; 
Scalability</t>
  </si>
  <si>
    <t>Business Processes &amp; Steps</t>
  </si>
  <si>
    <t>Exception Management</t>
  </si>
  <si>
    <t>tbd</t>
  </si>
  <si>
    <t>Technical Component or interface</t>
  </si>
  <si>
    <t>No user can create inconsistencies</t>
  </si>
  <si>
    <t>Category</t>
  </si>
  <si>
    <t>Activity</t>
  </si>
  <si>
    <t>Understanding of business process, analyzing steps</t>
  </si>
  <si>
    <t>1 day per Business Process with around 15 steps</t>
  </si>
  <si>
    <t>Effort</t>
  </si>
  <si>
    <t>All postings belonging together are posted</t>
  </si>
  <si>
    <t>Trace analysis of steps</t>
  </si>
  <si>
    <t>2 hours per step including making the trace</t>
  </si>
  <si>
    <t>Prerequisites</t>
  </si>
  <si>
    <t>Contact persons from customer are available. Test data is available to go through the E2E process</t>
  </si>
  <si>
    <t>Test data is available to go through the E2E process</t>
  </si>
  <si>
    <t>Data Consistency is checked proactively across systems</t>
  </si>
  <si>
    <t>Understand, where it is necessary to compare data objects. Where necessary, setup CDC.</t>
  </si>
  <si>
    <t>2 days per business object including testing</t>
  </si>
  <si>
    <t>Information about the data model should be available. Significantly higher effort if we are comparing with non-SAP system and especially with the system which is not based on a relational DB. In case of not-relational DB the effort is impossible to predict.</t>
  </si>
  <si>
    <t>Completeness of the End-to-End business process (both SAP and non-SAP) can be ensured</t>
  </si>
  <si>
    <t>Wherever necessary, perform instrumentation for BPCC tool</t>
  </si>
  <si>
    <t>Instrumentation in ABAP only - 1 day per business process step incl. testing.</t>
  </si>
  <si>
    <t>If non-ABAP components are involved, the efforts are impossible to predict. Expert opinion is absolutely necessary. Contact Orchestration Deployment Room.</t>
  </si>
  <si>
    <t>Exceptions are logged, exceptions are raised to the end user with the appropriate context information</t>
  </si>
  <si>
    <t>In case of non-SAP system the effort will be unpredictable</t>
  </si>
  <si>
    <t>Exceptions create an alert</t>
  </si>
  <si>
    <t>Setup alerting for exceptions in EMC</t>
  </si>
  <si>
    <t>Exceptions create an incident and resolution is tracked</t>
  </si>
  <si>
    <t>Setup integration with incident management from EMC</t>
  </si>
  <si>
    <t>There are Guided Procedures for managing business critical exceptions</t>
  </si>
  <si>
    <t>Verify if the customer has procedures for critical exceptions. If not - advise to create them. In some cases we may even help the customer to do that…</t>
  </si>
  <si>
    <t>0,5 hours per business process step. Done as interview</t>
  </si>
  <si>
    <t>All queues are monitored with regards to completion and errors</t>
  </si>
  <si>
    <t>Setup Business Process Monitoring and Interface Monitoring</t>
  </si>
  <si>
    <t>2 days per business process w/o connection to the 3rd party tools</t>
  </si>
  <si>
    <t>System monitoring in Solution Manager is working and exceptions can be found in the central exception store</t>
  </si>
  <si>
    <t>1 day per business process</t>
  </si>
  <si>
    <t>~1 day per interface inclusive testing</t>
  </si>
  <si>
    <t>Test data and corresponding contact persons are available</t>
  </si>
  <si>
    <t>E2E Trace is enabled</t>
  </si>
  <si>
    <t>Configure E2E Root Cause Analysis in the Solution Manager inclusive Managed System Setup</t>
  </si>
  <si>
    <t>3 days</t>
  </si>
  <si>
    <t>Business Process KPIs are defined and reported</t>
  </si>
  <si>
    <t>For performance-related KPIs - trace the steps, compare response time with defined KPIs, look for optimization potential and propose measures.
For business-related KPIs - evaluate what can be these KPIs, discuss with the customer, agree on the proposal. Setup Business Process Monitoring in SolMan to cover the proposal.
And in addition use BP Analytics to identify improvement potential due to misconfiguration in the business process.</t>
  </si>
  <si>
    <t xml:space="preserve">For part 1 - 1 day per business process step
Technical implementation/activation of BP Analytics including authorizations in the Solution Manager: 2 days (one time effort for all processes and KPIs)
Selection and Configuration of Best Practice KPIs in BP Analytics (including simulation in ST13): 1 hour per KPI (e.g. 5 KPIs = 5 hours)
Validation (Root Cause) Analysis for selected Standard KPIs with BP Analytics: 0,5 day per KPI (e.g. 5 KPIs = 2,5 days)
</t>
  </si>
  <si>
    <t>Solution Manager is available, managed system configuration is completed</t>
  </si>
  <si>
    <t>Collect information about the important relevant jobs for the business process/step and verify (trace/code analysis) if they can be parallelized or restarted.
Take a look at the overall job schedule.</t>
  </si>
  <si>
    <t>2 hours per job, 1 day for the general analysis of job schedule</t>
  </si>
  <si>
    <t>Contact persons from the customer are available</t>
  </si>
  <si>
    <t>Contact persons from the customer are available.</t>
  </si>
  <si>
    <t>Example for 1 business process with 15 steps and 4 interfaces, only ABAP stack involved, plus one 3rd party system with SQL database behind</t>
  </si>
  <si>
    <t>1d</t>
  </si>
  <si>
    <t>4d</t>
  </si>
  <si>
    <t>8d</t>
  </si>
  <si>
    <t>0d (will be covered by business KPIs)</t>
  </si>
  <si>
    <t>2d</t>
  </si>
  <si>
    <t>3d</t>
  </si>
  <si>
    <t>Solution Manager is available. In case of non-SAP systems the effort is not predictable</t>
  </si>
  <si>
    <t>15d + 2d + 4d (setup KPIs) + 3d (reserved for root cause analysis for KPIs)</t>
  </si>
  <si>
    <t>3d (6 jobs + general analysis)</t>
  </si>
  <si>
    <t>Total:</t>
  </si>
  <si>
    <t>Additional documentation effort for issues and analysis</t>
  </si>
  <si>
    <t>Conbine analysis information and format it, upload to the Solution Manager to the right places, create issues and maintain all necessary information</t>
  </si>
  <si>
    <t>0,5 days per step/interface</t>
  </si>
  <si>
    <t>7d</t>
  </si>
  <si>
    <t>days</t>
  </si>
  <si>
    <t>Trace and coding analysis of steps, plus interview with the customer</t>
  </si>
  <si>
    <t>4 hours per business process step including recommendations to instrument/adjust the coding (but not physically doing that) + 2 hours interview</t>
  </si>
  <si>
    <t>11d (for 15 steps, 6 hours each)</t>
  </si>
  <si>
    <r>
      <t xml:space="preserve">All </t>
    </r>
    <r>
      <rPr>
        <b/>
        <sz val="6"/>
        <rFont val="Calibri"/>
        <family val="2"/>
        <scheme val="minor"/>
      </rPr>
      <t>postings</t>
    </r>
    <r>
      <rPr>
        <sz val="6"/>
        <rFont val="Calibri"/>
        <family val="2"/>
        <scheme val="minor"/>
      </rPr>
      <t xml:space="preserve"> belonging </t>
    </r>
    <r>
      <rPr>
        <b/>
        <sz val="6"/>
        <rFont val="Calibri"/>
        <family val="2"/>
        <scheme val="minor"/>
      </rPr>
      <t>together</t>
    </r>
    <r>
      <rPr>
        <sz val="6"/>
        <rFont val="Calibri"/>
        <family val="2"/>
        <scheme val="minor"/>
      </rPr>
      <t xml:space="preserve"> are posted </t>
    </r>
  </si>
  <si>
    <r>
      <t xml:space="preserve">Data Consistency is </t>
    </r>
    <r>
      <rPr>
        <b/>
        <sz val="6"/>
        <rFont val="Calibri"/>
        <family val="2"/>
        <scheme val="minor"/>
      </rPr>
      <t>checked</t>
    </r>
    <r>
      <rPr>
        <sz val="6"/>
        <rFont val="Calibri"/>
        <family val="2"/>
        <scheme val="minor"/>
      </rPr>
      <t xml:space="preserve"> across systems</t>
    </r>
  </si>
  <si>
    <r>
      <rPr>
        <b/>
        <sz val="6"/>
        <rFont val="Calibri"/>
        <family val="2"/>
        <scheme val="minor"/>
      </rPr>
      <t>Completeness</t>
    </r>
    <r>
      <rPr>
        <sz val="6"/>
        <rFont val="Calibri"/>
        <family val="2"/>
        <scheme val="minor"/>
      </rPr>
      <t xml:space="preserve"> of End-to-End Business Proc. (for SAP and non-SAP) can be ensured</t>
    </r>
  </si>
  <si>
    <r>
      <t xml:space="preserve">All exceptions are </t>
    </r>
    <r>
      <rPr>
        <b/>
        <sz val="6"/>
        <rFont val="Calibri"/>
        <family val="2"/>
        <scheme val="minor"/>
      </rPr>
      <t>logged;</t>
    </r>
    <r>
      <rPr>
        <sz val="6"/>
        <rFont val="Calibri"/>
        <family val="2"/>
        <scheme val="minor"/>
      </rPr>
      <t xml:space="preserve"> exceptions are </t>
    </r>
    <r>
      <rPr>
        <b/>
        <sz val="6"/>
        <rFont val="Calibri"/>
        <family val="2"/>
        <scheme val="minor"/>
      </rPr>
      <t>raised</t>
    </r>
    <r>
      <rPr>
        <sz val="6"/>
        <rFont val="Calibri"/>
        <family val="2"/>
        <scheme val="minor"/>
      </rPr>
      <t xml:space="preserve"> to the end users with context info</t>
    </r>
  </si>
  <si>
    <r>
      <t xml:space="preserve">All exceptions are creating </t>
    </r>
    <r>
      <rPr>
        <b/>
        <sz val="6"/>
        <rFont val="Calibri"/>
        <family val="2"/>
        <scheme val="minor"/>
      </rPr>
      <t>alerts</t>
    </r>
  </si>
  <si>
    <r>
      <t xml:space="preserve">All exceptions are creating </t>
    </r>
    <r>
      <rPr>
        <b/>
        <sz val="6"/>
        <rFont val="Calibri"/>
        <family val="2"/>
        <scheme val="minor"/>
      </rPr>
      <t>incidents;</t>
    </r>
    <r>
      <rPr>
        <sz val="6"/>
        <rFont val="Calibri"/>
        <family val="2"/>
        <scheme val="minor"/>
      </rPr>
      <t xml:space="preserve"> incident resolution is tracked </t>
    </r>
  </si>
  <si>
    <r>
      <t xml:space="preserve">There are </t>
    </r>
    <r>
      <rPr>
        <b/>
        <sz val="6"/>
        <rFont val="Calibri"/>
        <family val="2"/>
        <scheme val="minor"/>
      </rPr>
      <t>guided procedures</t>
    </r>
    <r>
      <rPr>
        <sz val="6"/>
        <rFont val="Calibri"/>
        <family val="2"/>
        <scheme val="minor"/>
      </rPr>
      <t xml:space="preserve"> for managing exceptions</t>
    </r>
  </si>
  <si>
    <r>
      <t xml:space="preserve">All </t>
    </r>
    <r>
      <rPr>
        <b/>
        <sz val="6"/>
        <rFont val="Calibri"/>
        <family val="2"/>
        <scheme val="minor"/>
      </rPr>
      <t>queues</t>
    </r>
    <r>
      <rPr>
        <sz val="6"/>
        <rFont val="Calibri"/>
        <family val="2"/>
        <scheme val="minor"/>
      </rPr>
      <t xml:space="preserve"> are </t>
    </r>
    <r>
      <rPr>
        <b/>
        <sz val="6"/>
        <rFont val="Calibri"/>
        <family val="2"/>
        <scheme val="minor"/>
      </rPr>
      <t>monitored</t>
    </r>
    <r>
      <rPr>
        <sz val="6"/>
        <rFont val="Calibri"/>
        <family val="2"/>
        <scheme val="minor"/>
      </rPr>
      <t xml:space="preserve"> (processing completion and errors)</t>
    </r>
  </si>
  <si>
    <r>
      <rPr>
        <b/>
        <sz val="6"/>
        <rFont val="Calibri"/>
        <family val="2"/>
        <scheme val="minor"/>
      </rPr>
      <t>No</t>
    </r>
    <r>
      <rPr>
        <sz val="6"/>
        <rFont val="Calibri"/>
        <family val="2"/>
        <scheme val="minor"/>
      </rPr>
      <t xml:space="preserve"> </t>
    </r>
    <r>
      <rPr>
        <b/>
        <sz val="6"/>
        <rFont val="Calibri"/>
        <family val="2"/>
        <scheme val="minor"/>
      </rPr>
      <t>User</t>
    </r>
    <r>
      <rPr>
        <sz val="6"/>
        <rFont val="Calibri"/>
        <family val="2"/>
        <scheme val="minor"/>
      </rPr>
      <t xml:space="preserve"> can </t>
    </r>
    <r>
      <rPr>
        <b/>
        <sz val="6"/>
        <rFont val="Calibri"/>
        <family val="2"/>
        <scheme val="minor"/>
      </rPr>
      <t>create</t>
    </r>
    <r>
      <rPr>
        <sz val="6"/>
        <rFont val="Calibri"/>
        <family val="2"/>
        <scheme val="minor"/>
      </rPr>
      <t xml:space="preserve"> inconsistencies</t>
    </r>
  </si>
  <si>
    <r>
      <rPr>
        <b/>
        <sz val="6"/>
        <rFont val="Calibri"/>
        <family val="2"/>
        <scheme val="minor"/>
      </rPr>
      <t>End-to-End</t>
    </r>
    <r>
      <rPr>
        <sz val="6"/>
        <rFont val="Calibri"/>
        <family val="2"/>
        <scheme val="minor"/>
      </rPr>
      <t xml:space="preserve"> Business Process Performance </t>
    </r>
    <r>
      <rPr>
        <b/>
        <sz val="6"/>
        <rFont val="Calibri"/>
        <family val="2"/>
        <scheme val="minor"/>
      </rPr>
      <t>trace</t>
    </r>
    <r>
      <rPr>
        <sz val="6"/>
        <rFont val="Calibri"/>
        <family val="2"/>
        <scheme val="minor"/>
      </rPr>
      <t xml:space="preserve"> is enabled </t>
    </r>
  </si>
  <si>
    <r>
      <t xml:space="preserve">Business  process  </t>
    </r>
    <r>
      <rPr>
        <b/>
        <sz val="6"/>
        <rFont val="Calibri"/>
        <family val="2"/>
        <scheme val="minor"/>
      </rPr>
      <t xml:space="preserve">KPIs  </t>
    </r>
    <r>
      <rPr>
        <sz val="6"/>
        <rFont val="Calibri"/>
        <family val="2"/>
        <scheme val="minor"/>
      </rPr>
      <t>are defined and reported</t>
    </r>
  </si>
  <si>
    <r>
      <rPr>
        <b/>
        <sz val="6"/>
        <rFont val="Calibri"/>
        <family val="2"/>
        <scheme val="minor"/>
      </rPr>
      <t>Parallelization</t>
    </r>
    <r>
      <rPr>
        <sz val="6"/>
        <rFont val="Calibri"/>
        <family val="2"/>
        <scheme val="minor"/>
      </rPr>
      <t xml:space="preserve"> and </t>
    </r>
    <r>
      <rPr>
        <b/>
        <sz val="6"/>
        <rFont val="Calibri"/>
        <family val="2"/>
        <scheme val="minor"/>
      </rPr>
      <t xml:space="preserve">restart ability </t>
    </r>
    <r>
      <rPr>
        <sz val="6"/>
        <rFont val="Calibri"/>
        <family val="2"/>
        <scheme val="minor"/>
      </rPr>
      <t>are implemented and tested</t>
    </r>
  </si>
  <si>
    <t>Steps
Analyzed</t>
  </si>
  <si>
    <t>TOTAL:</t>
  </si>
  <si>
    <t>-</t>
  </si>
  <si>
    <t>Open</t>
  </si>
  <si>
    <t>Total</t>
  </si>
  <si>
    <t xml:space="preserve"> # Issues</t>
  </si>
  <si>
    <t>Grand
Total
Issues</t>
  </si>
  <si>
    <t>Job &amp; Volume
Processing</t>
  </si>
  <si>
    <t>System Integration
&amp; Queues</t>
  </si>
  <si>
    <t>Performance &amp;
Scalability</t>
  </si>
  <si>
    <t>Exception 
Management</t>
  </si>
  <si>
    <t>Data 
Consistency</t>
  </si>
  <si>
    <t>Steps ready
 for IV</t>
  </si>
  <si>
    <r>
      <t xml:space="preserve"> #Steps
</t>
    </r>
    <r>
      <rPr>
        <sz val="10"/>
        <color theme="1"/>
        <rFont val="Calibri"/>
        <family val="2"/>
        <scheme val="minor"/>
      </rPr>
      <t>(incl. Interfaces)</t>
    </r>
  </si>
  <si>
    <t xml:space="preserve">              Validation
Business
Process</t>
  </si>
  <si>
    <t>TOTAL</t>
  </si>
  <si>
    <t>Closed</t>
  </si>
  <si>
    <t>Testing</t>
  </si>
  <si>
    <t>Recomm. Provided</t>
  </si>
  <si>
    <t>SAP Action</t>
  </si>
  <si>
    <t>Postponed</t>
  </si>
  <si>
    <t>New</t>
  </si>
  <si>
    <t>Issue Status</t>
  </si>
  <si>
    <t>In Testing</t>
  </si>
  <si>
    <t>0</t>
  </si>
  <si>
    <t xml:space="preserve"> 1-5</t>
  </si>
  <si>
    <t>Postponed / Rejected</t>
  </si>
  <si>
    <t>&gt;5</t>
  </si>
  <si>
    <t>Legend:</t>
  </si>
  <si>
    <t>Status</t>
  </si>
  <si>
    <t>JOB
VOL</t>
  </si>
  <si>
    <t>PERF
SCAL</t>
  </si>
  <si>
    <t>INTGR
QUE</t>
  </si>
  <si>
    <t>EXCP
MGT</t>
  </si>
  <si>
    <t>DATA
CONS</t>
  </si>
  <si>
    <t>Work
Stream</t>
  </si>
  <si>
    <t>Account Origination</t>
  </si>
  <si>
    <t>Hide
Column</t>
  </si>
  <si>
    <t>QA 
Baseline</t>
  </si>
  <si>
    <t>QA 
Latest Results</t>
  </si>
  <si>
    <t>PROD Baseline</t>
  </si>
  <si>
    <t xml:space="preserve">PROD 
Latest Results </t>
  </si>
  <si>
    <t>KPI 
Achievements</t>
  </si>
  <si>
    <t>No</t>
  </si>
  <si>
    <t>Step</t>
  </si>
  <si>
    <t>QA 
Details</t>
  </si>
  <si>
    <t>PROD Details</t>
  </si>
  <si>
    <t>Runtime 
[s]</t>
  </si>
  <si>
    <t>Date</t>
  </si>
  <si>
    <t>Improved</t>
  </si>
  <si>
    <t>Target Max [s]</t>
  </si>
  <si>
    <t>QA /
Target</t>
  </si>
  <si>
    <t>PROD /
Target</t>
  </si>
  <si>
    <t>Open Recommendation / Action</t>
  </si>
  <si>
    <t>Needs Analysis</t>
  </si>
  <si>
    <r>
      <rPr>
        <b/>
        <sz val="9"/>
        <color theme="1"/>
        <rFont val="Arial"/>
        <family val="2"/>
      </rPr>
      <t>Issue135</t>
    </r>
    <r>
      <rPr>
        <sz val="9"/>
        <color theme="1"/>
        <rFont val="Arial"/>
        <family val="2"/>
      </rPr>
      <t>: SAP preparing code proposal</t>
    </r>
  </si>
  <si>
    <t>Capture Purpose</t>
  </si>
  <si>
    <t>KPI achieved in Q and PROD.</t>
  </si>
  <si>
    <t>Client Info</t>
  </si>
  <si>
    <r>
      <rPr>
        <b/>
        <sz val="9"/>
        <color theme="1"/>
        <rFont val="Arial"/>
        <family val="2"/>
      </rPr>
      <t>Issue 123</t>
    </r>
    <r>
      <rPr>
        <sz val="9"/>
        <color theme="1"/>
        <rFont val="Arial"/>
        <family val="2"/>
      </rPr>
      <t xml:space="preserve"> Z-coding correction provided</t>
    </r>
  </si>
  <si>
    <t>Financial Info</t>
  </si>
  <si>
    <t>Use account 1234 and click on xyz</t>
  </si>
  <si>
    <t>Use accoiunt 345 and click on XYZ</t>
  </si>
  <si>
    <t>Collateral</t>
  </si>
  <si>
    <t>Product Recommendation</t>
  </si>
  <si>
    <t>Credit Decisioning</t>
  </si>
  <si>
    <r>
      <rPr>
        <b/>
        <sz val="9"/>
        <color theme="1"/>
        <rFont val="Arial"/>
        <family val="2"/>
      </rPr>
      <t>Issue 123</t>
    </r>
    <r>
      <rPr>
        <sz val="9"/>
        <color theme="1"/>
        <rFont val="Arial"/>
        <family val="2"/>
      </rPr>
      <t xml:space="preserve"> Z-coding correction</t>
    </r>
  </si>
  <si>
    <t>&lt;IssueNo&gt; KPI fulfilled</t>
  </si>
  <si>
    <t>&lt;IssueNo&gt; Recommendation provided &lt;specify if possible&gt;</t>
  </si>
  <si>
    <t>&lt;IssueNo&gt; RCA in process &lt;specify if possible&gt;</t>
  </si>
  <si>
    <t>&lt;IssueNo&gt; Open / New</t>
  </si>
  <si>
    <t>Order To Cash</t>
  </si>
  <si>
    <t>Procure To Pay</t>
  </si>
  <si>
    <t>Plan to Supply</t>
  </si>
  <si>
    <t>ALL</t>
  </si>
  <si>
    <t>BI Reporting</t>
  </si>
  <si>
    <t xml:space="preserve"> </t>
  </si>
  <si>
    <t xml:space="preserve">                                                            Time
Project-based
Activities</t>
  </si>
  <si>
    <t>CW24</t>
  </si>
  <si>
    <t>CW25</t>
  </si>
  <si>
    <t>CW26</t>
  </si>
  <si>
    <t>CW27</t>
  </si>
  <si>
    <t>CW28</t>
  </si>
  <si>
    <t>CW29</t>
  </si>
  <si>
    <t>CW30</t>
  </si>
  <si>
    <t>CW31</t>
  </si>
  <si>
    <t>CW32</t>
  </si>
  <si>
    <t>CW33</t>
  </si>
  <si>
    <t>CW34</t>
  </si>
  <si>
    <t>CW35</t>
  </si>
  <si>
    <t>CW36</t>
  </si>
  <si>
    <t>CW37</t>
  </si>
  <si>
    <t>CW38</t>
  </si>
  <si>
    <t>CW39</t>
  </si>
  <si>
    <t>CW40</t>
  </si>
  <si>
    <t>CW41</t>
  </si>
  <si>
    <t>CW42</t>
  </si>
  <si>
    <t>CW43</t>
  </si>
  <si>
    <t>CW44</t>
  </si>
  <si>
    <t>CW45</t>
  </si>
  <si>
    <t>CW46</t>
  </si>
  <si>
    <t>BP</t>
  </si>
  <si>
    <t>IT1</t>
  </si>
  <si>
    <t>IT2</t>
  </si>
  <si>
    <t>IT3</t>
  </si>
  <si>
    <t>VT</t>
  </si>
  <si>
    <t>UAT</t>
  </si>
  <si>
    <t>CO</t>
  </si>
  <si>
    <t>TGL</t>
  </si>
  <si>
    <t>GL</t>
  </si>
  <si>
    <t>OTC (Order To Cash)</t>
  </si>
  <si>
    <t>P2P (Procure To Pay)</t>
  </si>
  <si>
    <t>Executive Reporting</t>
  </si>
  <si>
    <t>IV Engagement Plan</t>
  </si>
  <si>
    <t>Performance, Scalability, Jobs, Volume</t>
  </si>
  <si>
    <t>TIC</t>
  </si>
  <si>
    <t>VAL</t>
  </si>
  <si>
    <t>VTO</t>
  </si>
  <si>
    <t>OCC</t>
  </si>
  <si>
    <t>GLS</t>
  </si>
  <si>
    <t>VAL1</t>
  </si>
  <si>
    <t>VAL2</t>
  </si>
  <si>
    <t>VAL3</t>
  </si>
  <si>
    <t xml:space="preserve">Data Consistency, System Integration </t>
  </si>
  <si>
    <t>WS</t>
  </si>
  <si>
    <t>Staffing Plan</t>
  </si>
  <si>
    <t>Paul Leaderman</t>
  </si>
  <si>
    <t>Klaus Order</t>
  </si>
  <si>
    <t>Hans Cash</t>
  </si>
  <si>
    <t>ABAP</t>
  </si>
  <si>
    <t>IFM</t>
  </si>
  <si>
    <t>BW</t>
  </si>
  <si>
    <t>BOBJ</t>
  </si>
  <si>
    <t>RSLF / BPM</t>
  </si>
  <si>
    <t>Onsite</t>
  </si>
  <si>
    <t>Remote</t>
  </si>
  <si>
    <t>Copy from here:</t>
  </si>
  <si>
    <t>MCO</t>
  </si>
  <si>
    <t>PGL</t>
  </si>
  <si>
    <t>?</t>
  </si>
  <si>
    <t>LEGEND:</t>
  </si>
  <si>
    <t>Blue Print Finished</t>
  </si>
  <si>
    <t>TIC / Assessment</t>
  </si>
  <si>
    <t>IT</t>
  </si>
  <si>
    <t>Integration Test</t>
  </si>
  <si>
    <t>Validation / Re-Valid.</t>
  </si>
  <si>
    <t>User Acceptance Test</t>
  </si>
  <si>
    <t>Workshop</t>
  </si>
  <si>
    <t>Volume Test</t>
  </si>
  <si>
    <t>Operations Control</t>
  </si>
  <si>
    <t>Mock Cutover</t>
  </si>
  <si>
    <t>Volume Test Support</t>
  </si>
  <si>
    <t>Cutover</t>
  </si>
  <si>
    <t>GoLive Support</t>
  </si>
  <si>
    <t>Pilot GL</t>
  </si>
  <si>
    <t>Tech GL</t>
  </si>
  <si>
    <t>Duration undefined</t>
  </si>
  <si>
    <t>GoLive</t>
  </si>
  <si>
    <t>Step ready for IV?</t>
  </si>
  <si>
    <t>Please use comments to the corresponding cells to provide more details. E.g. short results of checking, issue number in the SAP Solution Manager. Business processes and steps should be identical to the ones from Solution Manager</t>
  </si>
  <si>
    <t>Process ID</t>
  </si>
  <si>
    <t>Step ID</t>
  </si>
  <si>
    <t>Solution ID</t>
  </si>
  <si>
    <t>Business Process Step</t>
  </si>
  <si>
    <t>Comp</t>
  </si>
  <si>
    <t/>
  </si>
  <si>
    <t>Sales Agreement Processing in CRM</t>
  </si>
  <si>
    <t>1810220000</t>
  </si>
  <si>
    <t>2028</t>
  </si>
  <si>
    <t>Release sales agreement</t>
  </si>
  <si>
    <t>2177</t>
  </si>
  <si>
    <t>Z_SAP_CRM_ABAP</t>
  </si>
  <si>
    <t>Define authorized partners</t>
  </si>
  <si>
    <t>2175</t>
  </si>
  <si>
    <t>Negotiate terms and conditions</t>
  </si>
  <si>
    <t>2173</t>
  </si>
  <si>
    <t>Create sales agreement</t>
  </si>
  <si>
    <t>2170</t>
  </si>
  <si>
    <t>Contract Processing in CRM</t>
  </si>
  <si>
    <t>2041</t>
  </si>
  <si>
    <t>Release items</t>
  </si>
  <si>
    <t>2201</t>
  </si>
  <si>
    <t>System performs credit check</t>
  </si>
  <si>
    <t>2198</t>
  </si>
  <si>
    <t>Z_SB9</t>
  </si>
  <si>
    <t>Perform credit check</t>
  </si>
  <si>
    <t>2196</t>
  </si>
  <si>
    <t>Create follow-up actions</t>
  </si>
  <si>
    <t>2194</t>
  </si>
  <si>
    <t>Maintain cancellation details</t>
  </si>
  <si>
    <t>2192</t>
  </si>
  <si>
    <t>Maintain authorized partners</t>
  </si>
  <si>
    <t>2188</t>
  </si>
  <si>
    <t>Maintain target and estimated values</t>
  </si>
  <si>
    <t>2186</t>
  </si>
  <si>
    <t>2184</t>
  </si>
  <si>
    <t>Select sales agreement</t>
  </si>
  <si>
    <t>2182</t>
  </si>
  <si>
    <t>Create sales contract</t>
  </si>
  <si>
    <t>2179</t>
  </si>
  <si>
    <t>Activity Processing in CRM</t>
  </si>
  <si>
    <t>2057</t>
  </si>
  <si>
    <t>Document activity</t>
  </si>
  <si>
    <t>2212</t>
  </si>
  <si>
    <t>Replicate activity with groupware</t>
  </si>
  <si>
    <t>2208</t>
  </si>
  <si>
    <t>Create activity</t>
  </si>
  <si>
    <t>2206</t>
  </si>
  <si>
    <t>Schedule activity</t>
  </si>
  <si>
    <t>2203</t>
  </si>
  <si>
    <t>SUMMARY VIEW (for Weekly Report)</t>
  </si>
  <si>
    <t>Working Details</t>
  </si>
  <si>
    <t>Prio</t>
  </si>
  <si>
    <t>Issue Title</t>
  </si>
  <si>
    <t>Detailed Status</t>
  </si>
  <si>
    <t>Performance Case</t>
  </si>
  <si>
    <t>KPI</t>
  </si>
  <si>
    <t>1- DATA
CONS</t>
  </si>
  <si>
    <t>1-VH</t>
  </si>
  <si>
    <t>Quote To Cash</t>
  </si>
  <si>
    <t>Incomplete error handling  during goods movement</t>
  </si>
  <si>
    <t>12345/13</t>
  </si>
  <si>
    <t>Sean</t>
  </si>
  <si>
    <t>Peter</t>
  </si>
  <si>
    <t>25FEB: To be benchmarked on Wednesday.
18FEB: SAP investigates how much further improvement cache optimization will bring
12FEB: Further improvement expected by cache optimization. To be re-benchmarked in PROD today. SAP will also investigate the MaxHits while benchmarking.
5FEB: MaxHits ar several thousands (resulting into sev. Hundreds of pages). Reducing the MaxHits to  be discussed. HANA expected to provide significant further improvement.
22JAN: SAP retesting with new cache setup.
15JAN: SAP has taken first traces. First accesses significantly slower.
9JAN: Gail sent instructions</t>
  </si>
  <si>
    <t>2-H</t>
  </si>
  <si>
    <t>Bad count</t>
  </si>
  <si>
    <t>54321/12</t>
  </si>
  <si>
    <t>Allan</t>
  </si>
  <si>
    <t>Paul</t>
  </si>
  <si>
    <t>Implement note xyz</t>
  </si>
  <si>
    <t>15FEB: Can be closed
10FEB: In testing
8FEB: SAP created note xyz</t>
  </si>
  <si>
    <t>3-M</t>
  </si>
  <si>
    <t>Missing roll back functionality</t>
  </si>
  <si>
    <t>Pierre</t>
  </si>
  <si>
    <t>Mary</t>
  </si>
  <si>
    <t>Implement new kernel (&gt;= 1.234)</t>
  </si>
  <si>
    <t>5FEB: SAP provided code recommendation.</t>
  </si>
  <si>
    <t>2- EXCP
MGT</t>
  </si>
  <si>
    <t>Logging missing for xyz</t>
  </si>
  <si>
    <t>In RCA</t>
  </si>
  <si>
    <t>5FEB: SAP is debugging test case.
1FEB: &lt;Customer&gt; provided test case.</t>
  </si>
  <si>
    <t>Logging non-specific for xyz</t>
  </si>
  <si>
    <t>24680/13</t>
  </si>
  <si>
    <t>Test scripts missing, to be provided.</t>
  </si>
  <si>
    <t>28JAN: &lt;Customer&gt; to provide test case.</t>
  </si>
  <si>
    <t>3- INTGR
QUE</t>
  </si>
  <si>
    <t>Interface to xyz cannot be restarted</t>
  </si>
  <si>
    <t>&lt;Customer&gt; to provide test case</t>
  </si>
  <si>
    <t xml:space="preserve">No Queue Monitoring in place </t>
  </si>
  <si>
    <t>&lt;Customer&gt; working on creation of operation handbook</t>
  </si>
  <si>
    <t>28JAN: Planned to be provided until end of March</t>
  </si>
  <si>
    <t>4- PERF
SCAL</t>
  </si>
  <si>
    <t>Saving Orders too slow</t>
  </si>
  <si>
    <t>Z-code correction to avoid group processing. 
Create 2nd index.</t>
  </si>
  <si>
    <t>8FEB: &lt;Customer&gt; testing in Q-System
5FEB: SAP provided Z-code correction and secondary index.
3FEB: 10 items took 12 minutes for saving.
1FEB: &lt;Customer&gt; provided test case.</t>
  </si>
  <si>
    <t>Saving order with 5 items.</t>
  </si>
  <si>
    <t>5s</t>
  </si>
  <si>
    <t>Printing Goods Issue too slow</t>
  </si>
  <si>
    <t>109876/12</t>
  </si>
  <si>
    <t>E2E Monitoring not in place for XYZ component</t>
  </si>
  <si>
    <t>Configuration required to allow E2E monitoring of XYZ with Solution Manager</t>
  </si>
  <si>
    <t>5- JOB
VOL</t>
  </si>
  <si>
    <t>Monday night order peak window  jeopardized</t>
  </si>
  <si>
    <t>Adjust logon groups</t>
  </si>
  <si>
    <t>BI reporting not available Monday morning 8am</t>
  </si>
  <si>
    <t>Adjust Z-Program xyz to allow parallel processing</t>
  </si>
  <si>
    <t>Obsolete</t>
  </si>
  <si>
    <t>Work Stream</t>
  </si>
  <si>
    <t>Process</t>
  </si>
  <si>
    <t>Issue #</t>
  </si>
  <si>
    <t>Recommendation</t>
  </si>
  <si>
    <t>Date Provided</t>
  </si>
  <si>
    <t>Date in Prod</t>
  </si>
  <si>
    <t>In 
Report</t>
  </si>
  <si>
    <t>Implementation Status Details</t>
  </si>
  <si>
    <t>Recomm. 
Type</t>
  </si>
  <si>
    <t>No User can Create</t>
  </si>
  <si>
    <t>Implement note xyz to avoid Incomplete error handling  when performing goods movements.</t>
  </si>
  <si>
    <t>CW03</t>
  </si>
  <si>
    <t>Jim confirmed succesful testing of this Note. 
Issue got resolved by this Note.</t>
  </si>
  <si>
    <t>Product</t>
  </si>
  <si>
    <t>Posting Together</t>
  </si>
  <si>
    <t>102, 407</t>
  </si>
  <si>
    <t>Implement new kernel (&gt;= 1.234) to establish proper roll back functionality.</t>
  </si>
  <si>
    <t>CW07</t>
  </si>
  <si>
    <t>Basis resource bottleneck</t>
  </si>
  <si>
    <t>KPI's</t>
  </si>
  <si>
    <t>Z-code correction to avoid group processing 
[improves ~10%]</t>
  </si>
  <si>
    <t>CW02</t>
  </si>
  <si>
    <t>Custom</t>
  </si>
  <si>
    <t>Create 2nd index 
[improves ~50%]</t>
  </si>
  <si>
    <t>Waiting for transport into Prod</t>
  </si>
  <si>
    <t>Syst./Config</t>
  </si>
  <si>
    <t>&gt;= 14</t>
  </si>
  <si>
    <t>7-13</t>
  </si>
  <si>
    <t>Checked</t>
  </si>
  <si>
    <t>&lt;7</t>
  </si>
  <si>
    <t>Educ/Cons</t>
  </si>
  <si>
    <t xml:space="preserve">Process Completeness  </t>
  </si>
  <si>
    <t>Logged and Raised</t>
  </si>
  <si>
    <t xml:space="preserve">Alerts </t>
  </si>
  <si>
    <t>Incident Created</t>
  </si>
  <si>
    <t>Guided Procedures</t>
  </si>
  <si>
    <t>Monitored</t>
  </si>
  <si>
    <t>End-to-End Trace</t>
  </si>
  <si>
    <t xml:space="preserve">Parallelization &amp; restart ability </t>
  </si>
  <si>
    <t xml:space="preserve">Business Processes </t>
  </si>
  <si>
    <t>See also: 
https://go.sap.corp/iv-odr-na --&gt; IV Activities</t>
  </si>
  <si>
    <r>
      <t>No</t>
    </r>
    <r>
      <rPr>
        <sz val="6"/>
        <rFont val="Calibri"/>
        <family val="2"/>
        <scheme val="minor"/>
      </rPr>
      <t xml:space="preserve"> </t>
    </r>
    <r>
      <rPr>
        <b/>
        <sz val="6"/>
        <rFont val="Calibri"/>
        <family val="2"/>
        <scheme val="minor"/>
      </rPr>
      <t>User</t>
    </r>
    <r>
      <rPr>
        <sz val="6"/>
        <rFont val="Calibri"/>
        <family val="2"/>
        <scheme val="minor"/>
      </rPr>
      <t xml:space="preserve"> </t>
    </r>
    <r>
      <rPr>
        <b/>
        <sz val="6"/>
        <rFont val="Calibri"/>
        <family val="2"/>
        <scheme val="minor"/>
      </rPr>
      <t>can create</t>
    </r>
  </si>
  <si>
    <t>Postings Together</t>
  </si>
  <si>
    <t>Process Completeness</t>
  </si>
  <si>
    <t>Alerts</t>
  </si>
  <si>
    <t>Incidents Created</t>
  </si>
  <si>
    <t>End-to-End Trace enabled</t>
  </si>
  <si>
    <t>KPIs</t>
  </si>
  <si>
    <t>Parallelization &amp; Restartability</t>
  </si>
  <si>
    <t>Time from Recommendation to Production</t>
  </si>
  <si>
    <t>Issue No</t>
  </si>
  <si>
    <t>Defect Number</t>
  </si>
  <si>
    <t>SAP Message #</t>
  </si>
  <si>
    <t>Process / Area</t>
  </si>
  <si>
    <t>&lt;Customer&gt; Owner</t>
  </si>
  <si>
    <t>SAP Owner</t>
  </si>
  <si>
    <t>High Level Status</t>
  </si>
  <si>
    <t>Short Status / Recommendation</t>
  </si>
  <si>
    <t>1- DATA CONS</t>
  </si>
  <si>
    <t>2- EXCP MGT</t>
  </si>
  <si>
    <t>3- INTGR QUE</t>
  </si>
  <si>
    <t>4- PERF SCAL</t>
  </si>
  <si>
    <t>5- JOB VOL</t>
  </si>
  <si>
    <t>latest Runtime PROD [secs]</t>
  </si>
  <si>
    <t>Improv. Potential PROD</t>
  </si>
  <si>
    <r>
      <rPr>
        <b/>
        <u/>
        <sz val="8"/>
        <color theme="1"/>
        <rFont val="Calibri"/>
        <family val="2"/>
        <scheme val="minor"/>
      </rPr>
      <t xml:space="preserve">UPDATING INSTRUCTIONS:
</t>
    </r>
    <r>
      <rPr>
        <sz val="8"/>
        <color theme="1"/>
        <rFont val="Calibri"/>
        <family val="2"/>
        <scheme val="minor"/>
      </rPr>
      <t xml:space="preserve">-Add column for new week:
    -Right mouse-click on header of last data column -&gt; </t>
    </r>
    <r>
      <rPr>
        <b/>
        <sz val="8"/>
        <color theme="1"/>
        <rFont val="Calibri"/>
        <family val="2"/>
        <scheme val="minor"/>
      </rPr>
      <t>Copy</t>
    </r>
    <r>
      <rPr>
        <sz val="8"/>
        <color theme="1"/>
        <rFont val="Calibri"/>
        <family val="2"/>
        <scheme val="minor"/>
      </rPr>
      <t xml:space="preserve">
    -Right mouse-click on header of the first empty column to the right of the last data column -&gt;</t>
    </r>
    <r>
      <rPr>
        <b/>
        <sz val="8"/>
        <color theme="1"/>
        <rFont val="Calibri"/>
        <family val="2"/>
        <scheme val="minor"/>
      </rPr>
      <t xml:space="preserve">Insert copied Cells
</t>
    </r>
    <r>
      <rPr>
        <sz val="8"/>
        <color theme="1"/>
        <rFont val="Calibri"/>
        <family val="2"/>
        <scheme val="minor"/>
      </rPr>
      <t>-"Freeze" data from previous week:</t>
    </r>
    <r>
      <rPr>
        <b/>
        <sz val="8"/>
        <color theme="1"/>
        <rFont val="Calibri"/>
        <family val="2"/>
        <scheme val="minor"/>
      </rPr>
      <t xml:space="preserve">
</t>
    </r>
    <r>
      <rPr>
        <sz val="8"/>
        <color theme="1"/>
        <rFont val="Calibri"/>
        <family val="2"/>
        <scheme val="minor"/>
      </rPr>
      <t xml:space="preserve">    -With cells still in clipboard, right mouse-click the header of the copied column -&gt;</t>
    </r>
    <r>
      <rPr>
        <b/>
        <sz val="8"/>
        <color theme="1"/>
        <rFont val="Calibri"/>
        <family val="2"/>
        <scheme val="minor"/>
      </rPr>
      <t xml:space="preserve"> Paste Special -&gt; Values (V)
</t>
    </r>
    <r>
      <rPr>
        <sz val="8"/>
        <color theme="1"/>
        <rFont val="Calibri"/>
        <family val="2"/>
        <scheme val="minor"/>
      </rPr>
      <t xml:space="preserve">    -Column header date continually updates with today's date; after freezing the column, that date will be retained
-Update chart with data from new week:
    -Right-click table -&gt; </t>
    </r>
    <r>
      <rPr>
        <b/>
        <sz val="8"/>
        <color theme="1"/>
        <rFont val="Calibri"/>
        <family val="2"/>
        <scheme val="minor"/>
      </rPr>
      <t xml:space="preserve">Select Data
</t>
    </r>
    <r>
      <rPr>
        <sz val="8"/>
        <color theme="1"/>
        <rFont val="Calibri"/>
        <family val="2"/>
        <scheme val="minor"/>
      </rPr>
      <t xml:space="preserve">    -Edit each entry in "Legend Entries"; extend range of "Series Values" to include newly created column
    -Edit "Axis Labels"; extend "Axis Lables Range" to include newly create column</t>
    </r>
  </si>
  <si>
    <t>Quote to Cash</t>
  </si>
  <si>
    <t>Procure to Pay</t>
  </si>
  <si>
    <t>Miscellaneous</t>
  </si>
  <si>
    <r>
      <rPr>
        <b/>
        <u/>
        <sz val="8"/>
        <color theme="1"/>
        <rFont val="Calibri"/>
        <family val="2"/>
        <scheme val="minor"/>
      </rPr>
      <t xml:space="preserve">INSTRUCTIONS:
</t>
    </r>
    <r>
      <rPr>
        <sz val="8"/>
        <color theme="1"/>
        <rFont val="Calibri"/>
        <family val="2"/>
        <scheme val="minor"/>
      </rPr>
      <t>-Replace example Business Processes with processes relevant for your IV
    -NOTE: The process names MUST match (word for word + case) to the processes maintained in the Issue List Legend section in order for the automation to work
-# Steps, % Ready for IV, and % Analyzed must be filled in manually; Issue counts, totals, and grand totals will be automatically calculated
-When processes are removed/added:
    -The counts below the matrix will need to be manually adjusted so they are referencing the correct process name/count
    -Additionally, data selection for the charts will need to be updated
    -These should both be one-time activities</t>
    </r>
  </si>
  <si>
    <r>
      <rPr>
        <b/>
        <u/>
        <sz val="8"/>
        <color theme="1"/>
        <rFont val="Calibri"/>
        <family val="2"/>
        <scheme val="minor"/>
      </rPr>
      <t xml:space="preserve">INSTRUCTIONS:
</t>
    </r>
    <r>
      <rPr>
        <sz val="8"/>
        <color theme="1"/>
        <rFont val="Calibri"/>
        <family val="2"/>
        <scheme val="minor"/>
      </rPr>
      <t>-No manual maintenance required, everything should update automatically
-Date in title continually updates with today's date</t>
    </r>
  </si>
  <si>
    <t>Sub Category</t>
  </si>
  <si>
    <t>&lt;&lt;Customer&gt;&gt; Project Plan</t>
  </si>
  <si>
    <r>
      <rPr>
        <b/>
        <u/>
        <sz val="10"/>
        <color theme="1"/>
        <rFont val="Calibri"/>
        <family val="2"/>
        <scheme val="minor"/>
      </rPr>
      <t xml:space="preserve">INSTRUCTIONS:
</t>
    </r>
    <r>
      <rPr>
        <sz val="10"/>
        <color theme="1"/>
        <rFont val="Calibri"/>
        <family val="2"/>
        <scheme val="minor"/>
      </rPr>
      <t xml:space="preserve">-Change Process / Area entries in the Legend area to include the scope of your IV
-On IV Engagement Plan tab, replace &lt;&lt;Customer&gt;&gt; with customer name, and it will update everywhere else in the workbook
-Delete example issues and insert your own
-For each issue, values for colored cells should be copied and pasted directly from the Legend area to avoid format/value errors
-To insert a new issue:
    -Right-click the header of the row directly under the last entry for the work stream of the new issue (e.g. new Performance issues, choose the row below the last peformance issues on the list)
    -Choose insert; enter new values and copy Work Strem, Prio, Process, and Status from Legend
     -Be sure to maintain the different number ranges for each work stream (e.g. Issue No = 1xx for Data Cons, Issue No = 2xx for Excp Mgt, etc.)
</t>
    </r>
  </si>
  <si>
    <t>Qualification</t>
  </si>
  <si>
    <t>Name (if planned)</t>
  </si>
  <si>
    <t>Serivce Team / 
Time Zone</t>
  </si>
  <si>
    <t>DO NOT CHANGE. LISTS FOR ENGAGEMENT PLAN.</t>
  </si>
  <si>
    <t>Service Team Name</t>
  </si>
  <si>
    <t>Service Team Number</t>
  </si>
  <si>
    <t>Delivery Team CoE US</t>
  </si>
  <si>
    <t>Delivery Team CoE North Asia</t>
  </si>
  <si>
    <t>Delivery Team CoE EMEA Ireland</t>
  </si>
  <si>
    <t>OSD: ECC Sales &amp; Distribution (SD)</t>
  </si>
  <si>
    <t>OSD: ECC Materials Management (MM)</t>
  </si>
  <si>
    <t>Mobility - SUP</t>
  </si>
  <si>
    <t>OSD: Mobile Platform – SMP / SUP</t>
  </si>
  <si>
    <t>OSD: ERP/ECC Tech ABAP / Performance</t>
  </si>
  <si>
    <t>Technology - DB6</t>
  </si>
  <si>
    <t>OSD: DB DB6</t>
  </si>
  <si>
    <t>OSD: PI Interfaces classic (ALE / IDOC)</t>
  </si>
  <si>
    <t>OSD: BW Extract. &amp; Staging (WHM)</t>
  </si>
  <si>
    <t>OSD: BOBJ WebIntelligence</t>
  </si>
  <si>
    <t>OSD: ESRV RSLAF OCC Architect</t>
  </si>
  <si>
    <t>liveCache</t>
  </si>
  <si>
    <t>OSD: SCM Live Cache</t>
  </si>
  <si>
    <t>IV-Lead (Focus TQM)</t>
  </si>
  <si>
    <t>OSD: Focus TQM</t>
  </si>
  <si>
    <t>CW47</t>
  </si>
  <si>
    <t>CW48</t>
  </si>
  <si>
    <t>CW49</t>
  </si>
  <si>
    <t>CW50</t>
  </si>
  <si>
    <t>CW51</t>
  </si>
  <si>
    <t>CW52</t>
  </si>
  <si>
    <t>CW53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</si>
</sst>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
    <numFmt numFmtId="165" formatCode="0.0"/>
    <numFmt numFmtId="166" formatCode="m/d;@"/>
  </numFmts>
  <fonts count="91" x14ac:knownFonts="1">
    <font>
      <sz val="11"/>
      <color theme="1"/>
      <name val="Calibri"/>
      <family val="2"/>
      <scheme val="minor"/>
    </font>
    <font>
      <sz val="11"/>
      <color theme="0"/>
      <name val="Calibri"/>
      <family val="2"/>
      <scheme val="minor"/>
    </font>
    <font>
      <sz val="18"/>
      <color theme="0"/>
      <name val="Calibri"/>
      <family val="2"/>
      <scheme val="minor"/>
    </font>
    <font>
      <b/>
      <sz val="14"/>
      <color theme="0"/>
      <name val="Calibri"/>
      <family val="2"/>
      <scheme val="minor"/>
    </font>
    <font>
      <sz val="16"/>
      <color rgb="FFFFC000"/>
      <name val="Calibri"/>
      <family val="2"/>
      <scheme val="minor"/>
    </font>
    <font>
      <sz val="9"/>
      <name val="Calibri"/>
      <family val="2"/>
      <scheme val="minor"/>
    </font>
    <font>
      <sz val="11"/>
      <color theme="1"/>
      <name val="Calibri"/>
      <family val="2"/>
      <scheme val="minor"/>
    </font>
    <font>
      <b/>
      <sz val="9"/>
      <name val="Calibri"/>
      <family val="2"/>
      <scheme val="minor"/>
    </font>
    <font>
      <sz val="10"/>
      <name val="Arial"/>
      <family val="2"/>
    </font>
    <font>
      <b/>
      <sz val="11"/>
      <color theme="1"/>
      <name val="Calibri"/>
      <family val="2"/>
      <scheme val="minor"/>
    </font>
    <font>
      <sz val="11"/>
      <color rgb="FFF0AB00"/>
      <name val="Wingdings"/>
      <charset val="2"/>
    </font>
    <font>
      <sz val="22"/>
      <name val="Calibri"/>
      <family val="2"/>
      <scheme val="minor"/>
    </font>
    <font>
      <sz val="11"/>
      <name val="Calibri"/>
      <family val="2"/>
      <scheme val="minor"/>
    </font>
    <font>
      <sz val="10"/>
      <name val="Calibri"/>
      <family val="2"/>
      <scheme val="minor"/>
    </font>
    <font>
      <b/>
      <sz val="11"/>
      <name val="Calibri"/>
      <family val="2"/>
      <scheme val="minor"/>
    </font>
    <font>
      <sz val="6"/>
      <name val="Calibri"/>
      <family val="2"/>
      <scheme val="minor"/>
    </font>
    <font>
      <sz val="10"/>
      <color theme="9" tint="-0.249977111117893"/>
      <name val="Calibri"/>
      <family val="2"/>
      <scheme val="minor"/>
    </font>
    <font>
      <b/>
      <sz val="6"/>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8"/>
      <name val="Arial"/>
      <family val="2"/>
    </font>
    <font>
      <sz val="10"/>
      <color theme="1"/>
      <name val="Calibri"/>
      <family val="2"/>
      <scheme val="minor"/>
    </font>
    <font>
      <b/>
      <sz val="10"/>
      <color rgb="FF000000"/>
      <name val="Calibri"/>
      <family val="2"/>
    </font>
    <font>
      <b/>
      <sz val="10"/>
      <name val="Arial"/>
      <family val="2"/>
    </font>
    <font>
      <b/>
      <sz val="13"/>
      <color rgb="FF000000"/>
      <name val="Calibri"/>
      <family val="2"/>
    </font>
    <font>
      <b/>
      <sz val="13"/>
      <name val="Calibri"/>
      <family val="2"/>
    </font>
    <font>
      <b/>
      <sz val="12"/>
      <color rgb="FF000000"/>
      <name val="Calibri"/>
      <family val="2"/>
    </font>
    <font>
      <sz val="12"/>
      <name val="Calibri"/>
      <family val="2"/>
    </font>
    <font>
      <sz val="12"/>
      <color theme="0" tint="-0.34998626667073579"/>
      <name val="Calibri"/>
      <family val="2"/>
    </font>
    <font>
      <sz val="12"/>
      <color rgb="FF000000"/>
      <name val="Calibri"/>
      <family val="2"/>
    </font>
    <font>
      <b/>
      <sz val="9"/>
      <color rgb="FF000000"/>
      <name val="Calibri"/>
      <family val="2"/>
    </font>
    <font>
      <b/>
      <sz val="10"/>
      <color rgb="FF000000"/>
      <name val="Calibri"/>
      <family val="2"/>
    </font>
    <font>
      <b/>
      <sz val="14"/>
      <color theme="1"/>
      <name val="Calibri"/>
      <family val="2"/>
      <scheme val="minor"/>
    </font>
    <font>
      <b/>
      <sz val="11"/>
      <color rgb="FF000000"/>
      <name val="Calibri"/>
      <family val="2"/>
    </font>
    <font>
      <b/>
      <sz val="12"/>
      <color theme="1"/>
      <name val="Calibri"/>
      <family val="2"/>
      <scheme val="minor"/>
    </font>
    <font>
      <sz val="12"/>
      <name val="Calibri"/>
      <family val="2"/>
      <scheme val="minor"/>
    </font>
    <font>
      <sz val="8"/>
      <color theme="1"/>
      <name val="Calibri"/>
      <family val="2"/>
      <scheme val="minor"/>
    </font>
    <font>
      <b/>
      <u/>
      <sz val="8"/>
      <color theme="1"/>
      <name val="Calibri"/>
      <family val="2"/>
      <scheme val="minor"/>
    </font>
    <font>
      <b/>
      <sz val="12"/>
      <color theme="0"/>
      <name val="Calibri"/>
      <family val="2"/>
      <scheme val="minor"/>
    </font>
    <font>
      <b/>
      <sz val="12"/>
      <color rgb="FFBFBFBF"/>
      <name val="Calibri"/>
      <family val="2"/>
    </font>
    <font>
      <b/>
      <sz val="13"/>
      <name val="Calibri"/>
      <family val="2"/>
      <scheme val="minor"/>
    </font>
    <font>
      <b/>
      <sz val="11"/>
      <color rgb="FFBFBFBF"/>
      <name val="Calibri"/>
      <family val="2"/>
    </font>
    <font>
      <b/>
      <u/>
      <sz val="11"/>
      <color theme="1"/>
      <name val="Calibri"/>
      <family val="2"/>
      <scheme val="minor"/>
    </font>
    <font>
      <b/>
      <sz val="14"/>
      <color theme="0"/>
      <name val="Calibri"/>
      <family val="2"/>
    </font>
    <font>
      <sz val="12"/>
      <color rgb="FF7F7F7F"/>
      <name val="Calibri"/>
      <family val="2"/>
    </font>
    <font>
      <b/>
      <sz val="14"/>
      <name val="Calibri"/>
      <family val="2"/>
      <scheme val="minor"/>
    </font>
    <font>
      <b/>
      <sz val="11"/>
      <color theme="0" tint="-0.499984740745262"/>
      <name val="Arial"/>
      <family val="2"/>
    </font>
    <font>
      <b/>
      <sz val="12"/>
      <color theme="1" tint="0.34998626667073579"/>
      <name val="Arial"/>
      <family val="2"/>
    </font>
    <font>
      <b/>
      <sz val="12"/>
      <color rgb="FF000099"/>
      <name val="Arial"/>
      <family val="2"/>
    </font>
    <font>
      <b/>
      <sz val="12"/>
      <name val="Arial"/>
      <family val="2"/>
    </font>
    <font>
      <sz val="11"/>
      <color theme="1"/>
      <name val="Arial"/>
      <family val="2"/>
    </font>
    <font>
      <b/>
      <sz val="10"/>
      <color theme="0" tint="-0.499984740745262"/>
      <name val="Arial"/>
      <family val="2"/>
    </font>
    <font>
      <sz val="8"/>
      <color theme="1" tint="0.34998626667073579"/>
      <name val="Arial"/>
      <family val="2"/>
    </font>
    <font>
      <sz val="8"/>
      <color rgb="FF000099"/>
      <name val="Arial"/>
      <family val="2"/>
    </font>
    <font>
      <sz val="7"/>
      <color rgb="FF000099"/>
      <name val="Arial"/>
      <family val="2"/>
    </font>
    <font>
      <b/>
      <sz val="10"/>
      <color rgb="FF000099"/>
      <name val="Arial"/>
      <family val="2"/>
    </font>
    <font>
      <b/>
      <sz val="10"/>
      <color theme="1"/>
      <name val="Arial"/>
      <family val="2"/>
    </font>
    <font>
      <sz val="8"/>
      <color theme="0" tint="-0.499984740745262"/>
      <name val="Arial"/>
      <family val="2"/>
    </font>
    <font>
      <b/>
      <sz val="10"/>
      <color theme="1" tint="0.34998626667073579"/>
      <name val="Arial"/>
      <family val="2"/>
    </font>
    <font>
      <b/>
      <sz val="11"/>
      <color rgb="FF000099"/>
      <name val="Arial"/>
      <family val="2"/>
    </font>
    <font>
      <sz val="9"/>
      <color theme="1"/>
      <name val="Arial"/>
      <family val="2"/>
    </font>
    <font>
      <b/>
      <sz val="9"/>
      <color theme="1"/>
      <name val="Arial"/>
      <family val="2"/>
    </font>
    <font>
      <b/>
      <sz val="12"/>
      <color theme="1"/>
      <name val="Arial"/>
      <family val="2"/>
    </font>
    <font>
      <b/>
      <sz val="8"/>
      <color theme="1"/>
      <name val="Arial"/>
      <family val="2"/>
    </font>
    <font>
      <b/>
      <sz val="11"/>
      <color theme="1" tint="0.34998626667073579"/>
      <name val="Arial"/>
      <family val="2"/>
    </font>
    <font>
      <sz val="10"/>
      <color theme="0" tint="-0.499984740745262"/>
      <name val="Calibri"/>
      <family val="2"/>
      <scheme val="minor"/>
    </font>
    <font>
      <sz val="9"/>
      <color theme="0" tint="-0.499984740745262"/>
      <name val="Calibri"/>
      <family val="2"/>
      <scheme val="minor"/>
    </font>
    <font>
      <b/>
      <sz val="10"/>
      <name val="Calibri"/>
      <family val="2"/>
      <scheme val="minor"/>
    </font>
    <font>
      <b/>
      <sz val="3"/>
      <color theme="1"/>
      <name val="Calibri"/>
      <family val="2"/>
      <scheme val="minor"/>
    </font>
    <font>
      <b/>
      <u/>
      <sz val="12"/>
      <color theme="1"/>
      <name val="Calibri"/>
      <family val="2"/>
      <scheme val="minor"/>
    </font>
    <font>
      <sz val="9"/>
      <color indexed="81"/>
      <name val="Tahoma"/>
      <family val="2"/>
    </font>
    <font>
      <b/>
      <sz val="9"/>
      <color indexed="81"/>
      <name val="Tahoma"/>
      <family val="2"/>
    </font>
    <font>
      <b/>
      <sz val="11"/>
      <name val="Calibri"/>
      <family val="2"/>
    </font>
    <font>
      <b/>
      <sz val="16"/>
      <name val="Arial"/>
      <family val="2"/>
    </font>
    <font>
      <b/>
      <sz val="11"/>
      <name val="Arial"/>
      <family val="2"/>
    </font>
    <font>
      <sz val="11"/>
      <name val="Arial"/>
      <family val="2"/>
    </font>
    <font>
      <sz val="9"/>
      <name val="Arial"/>
      <family val="2"/>
    </font>
    <font>
      <sz val="16"/>
      <name val="Arial"/>
      <family val="2"/>
    </font>
    <font>
      <b/>
      <sz val="9"/>
      <name val="Arial"/>
      <family val="2"/>
    </font>
    <font>
      <sz val="11"/>
      <color theme="0" tint="-0.34998626667073579"/>
      <name val="Calibri"/>
      <family val="2"/>
      <scheme val="minor"/>
    </font>
    <font>
      <sz val="16"/>
      <name val="Calibri"/>
      <family val="2"/>
      <scheme val="minor"/>
    </font>
    <font>
      <b/>
      <sz val="16"/>
      <name val="Calibri"/>
      <family val="2"/>
      <scheme val="minor"/>
    </font>
    <font>
      <b/>
      <sz val="10"/>
      <color theme="0"/>
      <name val="Arial"/>
      <family val="2"/>
    </font>
    <font>
      <sz val="10"/>
      <name val="Calibri"/>
      <family val="2"/>
    </font>
    <font>
      <b/>
      <sz val="11"/>
      <color theme="0"/>
      <name val="Calibri"/>
      <family val="2"/>
      <scheme val="minor"/>
    </font>
    <font>
      <b/>
      <sz val="8"/>
      <color theme="0"/>
      <name val="Calibri"/>
      <family val="2"/>
      <scheme val="minor"/>
    </font>
    <font>
      <b/>
      <sz val="8"/>
      <name val="Calibri"/>
      <family val="2"/>
      <scheme val="minor"/>
    </font>
    <font>
      <sz val="16"/>
      <color theme="1"/>
      <name val="Calibri"/>
      <family val="2"/>
      <scheme val="minor"/>
    </font>
    <font>
      <b/>
      <sz val="8"/>
      <color theme="1"/>
      <name val="Calibri"/>
      <family val="2"/>
      <scheme val="minor"/>
    </font>
    <font>
      <b/>
      <u/>
      <sz val="10"/>
      <color theme="1"/>
      <name val="Calibri"/>
      <family val="2"/>
      <scheme val="minor"/>
    </font>
  </fonts>
  <fills count="32">
    <fill>
      <patternFill patternType="none"/>
    </fill>
    <fill>
      <patternFill patternType="gray125"/>
    </fill>
    <fill>
      <patternFill patternType="solid">
        <fgColor theme="1" tint="0.34998626667073579"/>
        <bgColor indexed="64"/>
      </patternFill>
    </fill>
    <fill>
      <gradientFill degree="90">
        <stop position="0">
          <color theme="0" tint="-0.25098422193060094"/>
        </stop>
        <stop position="1">
          <color theme="0" tint="-0.49803155613879818"/>
        </stop>
      </gradientFill>
    </fill>
    <fill>
      <patternFill patternType="solid">
        <fgColor rgb="FFC6EFCE"/>
      </patternFill>
    </fill>
    <fill>
      <patternFill patternType="solid">
        <fgColor rgb="FFFFC7CE"/>
      </patternFill>
    </fill>
    <fill>
      <patternFill patternType="solid">
        <fgColor rgb="FFFFEB9C"/>
      </patternFill>
    </fill>
    <fill>
      <patternFill patternType="solid">
        <fgColor theme="0" tint="-0.34998626667073579"/>
        <bgColor indexed="64"/>
      </patternFill>
    </fill>
    <fill>
      <patternFill patternType="solid">
        <fgColor rgb="FFFF9999"/>
        <bgColor indexed="64"/>
      </patternFill>
    </fill>
    <fill>
      <patternFill patternType="solid">
        <fgColor rgb="FFFFFF99"/>
        <bgColor indexed="64"/>
      </patternFill>
    </fill>
    <fill>
      <patternFill patternType="solid">
        <fgColor rgb="FF99FF9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7C80"/>
        <bgColor indexed="64"/>
      </patternFill>
    </fill>
    <fill>
      <patternFill patternType="solid">
        <fgColor rgb="FFC6EFCE"/>
        <bgColor indexed="64"/>
      </patternFill>
    </fill>
    <fill>
      <patternFill patternType="solid">
        <fgColor rgb="FF99CCFF"/>
        <bgColor indexed="64"/>
      </patternFill>
    </fill>
    <fill>
      <patternFill patternType="solid">
        <fgColor theme="2" tint="-0.249977111117893"/>
        <bgColor indexed="64"/>
      </patternFill>
    </fill>
    <fill>
      <patternFill patternType="solid">
        <fgColor rgb="FFFFCC99"/>
        <bgColor indexed="64"/>
      </patternFill>
    </fill>
    <fill>
      <patternFill patternType="solid">
        <fgColor theme="1" tint="4.9989318521683403E-2"/>
        <bgColor indexed="64"/>
      </patternFill>
    </fill>
    <fill>
      <patternFill patternType="solid">
        <fgColor rgb="FFBFBFBF"/>
        <bgColor indexed="64"/>
      </patternFill>
    </fill>
    <fill>
      <patternFill patternType="solid">
        <fgColor rgb="FF808080"/>
        <bgColor indexed="64"/>
      </patternFill>
    </fill>
    <fill>
      <patternFill patternType="solid">
        <fgColor rgb="FF404040"/>
        <bgColor indexed="64"/>
      </patternFill>
    </fill>
    <fill>
      <patternFill patternType="solid">
        <fgColor rgb="FFD6D1B4"/>
        <bgColor indexed="64"/>
      </patternFill>
    </fill>
    <fill>
      <patternFill patternType="solid">
        <fgColor rgb="FFFFFFCC"/>
        <bgColor indexed="64"/>
      </patternFill>
    </fill>
    <fill>
      <patternFill patternType="solid">
        <fgColor rgb="FFCCFFCC"/>
        <bgColor indexed="64"/>
      </patternFill>
    </fill>
    <fill>
      <patternFill patternType="solid">
        <fgColor rgb="FFFFCCCC"/>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F0AB00"/>
        <bgColor indexed="64"/>
      </patternFill>
    </fill>
    <fill>
      <patternFill patternType="solid">
        <fgColor rgb="FFC4BD97"/>
        <bgColor indexed="64"/>
      </patternFill>
    </fill>
  </fills>
  <borders count="162">
    <border>
      <left/>
      <right/>
      <top/>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style="thin">
        <color theme="0" tint="-0.14990691854609822"/>
      </left>
      <right style="thin">
        <color theme="0" tint="-0.1498764000366222"/>
      </right>
      <top style="thin">
        <color theme="0" tint="-0.14993743705557422"/>
      </top>
      <bottom style="thin">
        <color theme="0" tint="-0.14993743705557422"/>
      </bottom>
      <diagonal/>
    </border>
    <border>
      <left style="thin">
        <color theme="0" tint="-0.14990691854609822"/>
      </left>
      <right style="thin">
        <color theme="0" tint="-0.14990691854609822"/>
      </right>
      <top/>
      <bottom/>
      <diagonal/>
    </border>
    <border>
      <left style="thin">
        <color theme="0" tint="-0.14990691854609822"/>
      </left>
      <right style="thin">
        <color theme="0" tint="-0.14990691854609822"/>
      </right>
      <top style="thin">
        <color theme="0" tint="-0.14993743705557422"/>
      </top>
      <bottom style="thin">
        <color theme="0" tint="-0.14993743705557422"/>
      </bottom>
      <diagonal/>
    </border>
    <border>
      <left style="thin">
        <color theme="0" tint="-0.14990691854609822"/>
      </left>
      <right/>
      <top/>
      <bottom/>
      <diagonal/>
    </border>
    <border>
      <left/>
      <right style="thin">
        <color theme="0" tint="-0.14990691854609822"/>
      </right>
      <top/>
      <bottom/>
      <diagonal/>
    </border>
    <border>
      <left/>
      <right/>
      <top/>
      <bottom style="double">
        <color indexed="64"/>
      </bottom>
      <diagonal/>
    </border>
    <border>
      <left/>
      <right/>
      <top style="double">
        <color indexed="64"/>
      </top>
      <bottom style="double">
        <color indexed="64"/>
      </bottom>
      <diagonal/>
    </border>
    <border>
      <left style="thin">
        <color rgb="FF000000"/>
      </left>
      <right style="thin">
        <color rgb="FF000000"/>
      </right>
      <top/>
      <bottom style="thin">
        <color rgb="FF000000"/>
      </bottom>
      <diagonal/>
    </border>
    <border>
      <left style="thin">
        <color theme="0" tint="-0.34998626667073579"/>
      </left>
      <right style="thin">
        <color auto="1"/>
      </right>
      <top/>
      <bottom style="thin">
        <color auto="1"/>
      </bottom>
      <diagonal/>
    </border>
    <border>
      <left style="thin">
        <color theme="0" tint="-0.34998626667073579"/>
      </left>
      <right style="thin">
        <color theme="0" tint="-0.34998626667073579"/>
      </right>
      <top/>
      <bottom style="thin">
        <color auto="1"/>
      </bottom>
      <diagonal/>
    </border>
    <border>
      <left style="thin">
        <color rgb="FF000000"/>
      </left>
      <right style="thin">
        <color theme="0" tint="-0.34998626667073579"/>
      </right>
      <top/>
      <bottom style="thin">
        <color rgb="FF000000"/>
      </bottom>
      <diagonal/>
    </border>
    <border>
      <left/>
      <right style="thin">
        <color theme="0" tint="-0.34998626667073579"/>
      </right>
      <top/>
      <bottom style="thin">
        <color rgb="FF000000"/>
      </bottom>
      <diagonal/>
    </border>
    <border>
      <left style="thin">
        <color theme="0" tint="-0.34998626667073579"/>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theme="0" tint="-0.34998626667073579"/>
      </top>
      <bottom style="medium">
        <color rgb="FF000000"/>
      </bottom>
      <diagonal/>
    </border>
    <border>
      <left style="thin">
        <color theme="0" tint="-0.34998626667073579"/>
      </left>
      <right style="thin">
        <color auto="1"/>
      </right>
      <top style="thin">
        <color theme="0" tint="-0.34998626667073579"/>
      </top>
      <bottom style="medium">
        <color rgb="FF000000"/>
      </bottom>
      <diagonal/>
    </border>
    <border>
      <left style="thin">
        <color theme="0" tint="-0.34998626667073579"/>
      </left>
      <right style="thin">
        <color theme="0" tint="-0.34998626667073579"/>
      </right>
      <top style="thin">
        <color theme="0" tint="-0.34998626667073579"/>
      </top>
      <bottom style="medium">
        <color rgb="FF000000"/>
      </bottom>
      <diagonal/>
    </border>
    <border>
      <left style="thin">
        <color auto="1"/>
      </left>
      <right style="thin">
        <color theme="0" tint="-0.34998626667073579"/>
      </right>
      <top style="thin">
        <color theme="0" tint="-0.34998626667073579"/>
      </top>
      <bottom style="medium">
        <color rgb="FF000000"/>
      </bottom>
      <diagonal/>
    </border>
    <border>
      <left/>
      <right style="thin">
        <color theme="0" tint="-0.34998626667073579"/>
      </right>
      <top style="thin">
        <color theme="0" tint="-0.34998626667073579"/>
      </top>
      <bottom style="medium">
        <color rgb="FF000000"/>
      </bottom>
      <diagonal/>
    </border>
    <border>
      <left/>
      <right style="thin">
        <color auto="1"/>
      </right>
      <top style="thin">
        <color theme="0" tint="-0.34998626667073579"/>
      </top>
      <bottom style="medium">
        <color rgb="FF000000"/>
      </bottom>
      <diagonal/>
    </border>
    <border>
      <left style="thin">
        <color rgb="FF000000"/>
      </left>
      <right/>
      <top style="thin">
        <color theme="0" tint="-0.34998626667073579"/>
      </top>
      <bottom style="medium">
        <color rgb="FF000000"/>
      </bottom>
      <diagonal/>
    </border>
    <border>
      <left style="thin">
        <color rgb="FF000000"/>
      </left>
      <right style="thin">
        <color rgb="FF000000"/>
      </right>
      <top style="thin">
        <color theme="0" tint="-0.34998626667073579"/>
      </top>
      <bottom style="thin">
        <color theme="0" tint="-0.34998626667073579"/>
      </bottom>
      <diagonal/>
    </border>
    <border>
      <left style="thin">
        <color theme="0" tint="-0.34998626667073579"/>
      </left>
      <right style="thin">
        <color auto="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auto="1"/>
      </right>
      <top style="thin">
        <color theme="0" tint="-0.34998626667073579"/>
      </top>
      <bottom/>
      <diagonal/>
    </border>
    <border>
      <left style="thin">
        <color rgb="FF000000"/>
      </left>
      <right style="thin">
        <color theme="0" tint="-0.34998626667073579"/>
      </right>
      <top style="thin">
        <color theme="0" tint="-0.34998626667073579"/>
      </top>
      <bottom/>
      <diagonal/>
    </border>
    <border>
      <left style="thin">
        <color rgb="FF000000"/>
      </left>
      <right style="thin">
        <color theme="0" tint="-0.34998626667073579"/>
      </right>
      <top style="thin">
        <color theme="0" tint="-0.34998626667073579"/>
      </top>
      <bottom style="thin">
        <color theme="0" tint="-0.34998626667073579"/>
      </bottom>
      <diagonal/>
    </border>
    <border>
      <left style="thin">
        <color rgb="FF000000"/>
      </left>
      <right style="thin">
        <color rgb="FF000000"/>
      </right>
      <top style="thin">
        <color rgb="FF000000"/>
      </top>
      <bottom style="thin">
        <color theme="0" tint="-0.34998626667073579"/>
      </bottom>
      <diagonal/>
    </border>
    <border>
      <left style="thin">
        <color theme="0" tint="-0.34998626667073579"/>
      </left>
      <right style="thin">
        <color auto="1"/>
      </right>
      <top style="thin">
        <color rgb="FF000000"/>
      </top>
      <bottom style="thin">
        <color theme="0" tint="-0.34998626667073579"/>
      </bottom>
      <diagonal/>
    </border>
    <border>
      <left style="thin">
        <color theme="0" tint="-0.34998626667073579"/>
      </left>
      <right style="thin">
        <color theme="0" tint="-0.34998626667073579"/>
      </right>
      <top style="thin">
        <color rgb="FF000000"/>
      </top>
      <bottom style="thin">
        <color theme="0" tint="-0.34998626667073579"/>
      </bottom>
      <diagonal/>
    </border>
    <border>
      <left style="thin">
        <color rgb="FF000000"/>
      </left>
      <right style="thin">
        <color theme="0" tint="-0.34998626667073579"/>
      </right>
      <top style="thin">
        <color rgb="FF000000"/>
      </top>
      <bottom style="thin">
        <color theme="0" tint="-0.34998626667073579"/>
      </bottom>
      <diagonal/>
    </border>
    <border>
      <left style="thin">
        <color rgb="FF000000"/>
      </left>
      <right style="thin">
        <color rgb="FF000000"/>
      </right>
      <top/>
      <bottom/>
      <diagonal/>
    </border>
    <border>
      <left style="thin">
        <color theme="0" tint="-0.34998626667073579"/>
      </left>
      <right style="thin">
        <color theme="0" tint="-0.34998626667073579"/>
      </right>
      <top style="thin">
        <color theme="0" tint="-0.34998626667073579"/>
      </top>
      <bottom/>
      <diagonal/>
    </border>
    <border>
      <left style="thin">
        <color auto="1"/>
      </left>
      <right style="thin">
        <color theme="0" tint="-0.34998626667073579"/>
      </right>
      <top/>
      <bottom style="thin">
        <color rgb="FF000000"/>
      </bottom>
      <diagonal/>
    </border>
    <border>
      <left style="thin">
        <color theme="0" tint="-0.34998626667073579"/>
      </left>
      <right style="thin">
        <color rgb="FF000000"/>
      </right>
      <top style="thin">
        <color theme="0" tint="-0.34998626667073579"/>
      </top>
      <bottom/>
      <diagonal/>
    </border>
    <border diagonalDown="1">
      <left style="thin">
        <color rgb="FF000000"/>
      </left>
      <right style="thin">
        <color rgb="FF000000"/>
      </right>
      <top/>
      <bottom/>
      <diagonal style="thin">
        <color rgb="FF000000"/>
      </diagonal>
    </border>
    <border>
      <left/>
      <right style="thin">
        <color rgb="FF000000"/>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style="thin">
        <color theme="0" tint="-0.34998626667073579"/>
      </right>
      <top style="thin">
        <color theme="0" tint="-0.34998626667073579"/>
      </top>
      <bottom/>
      <diagonal/>
    </border>
    <border>
      <left/>
      <right style="thin">
        <color auto="1"/>
      </right>
      <top style="thin">
        <color theme="0" tint="-0.34998626667073579"/>
      </top>
      <bottom style="thin">
        <color theme="0" tint="-0.34998626667073579"/>
      </bottom>
      <diagonal/>
    </border>
    <border>
      <left style="thin">
        <color theme="0" tint="-0.34998626667073579"/>
      </left>
      <right style="thin">
        <color rgb="FF000000"/>
      </right>
      <top style="thin">
        <color theme="0" tint="-0.34998626667073579"/>
      </top>
      <bottom style="thin">
        <color theme="0" tint="-0.34998626667073579"/>
      </bottom>
      <diagonal/>
    </border>
    <border>
      <left style="thin">
        <color rgb="FF000000"/>
      </left>
      <right style="thin">
        <color rgb="FF000000"/>
      </right>
      <top style="thin">
        <color rgb="FF000000"/>
      </top>
      <bottom/>
      <diagonal/>
    </border>
    <border>
      <left/>
      <right style="thin">
        <color rgb="FF000000"/>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rgb="FF000000"/>
      </left>
      <right/>
      <top style="thin">
        <color auto="1"/>
      </top>
      <bottom/>
      <diagonal/>
    </border>
    <border>
      <left style="thin">
        <color theme="0" tint="-0.34998626667073579"/>
      </left>
      <right style="thin">
        <color rgb="FF000000"/>
      </right>
      <top style="thin">
        <color rgb="FF000000"/>
      </top>
      <bottom style="thin">
        <color theme="0" tint="-0.34998626667073579"/>
      </bottom>
      <diagonal/>
    </border>
    <border diagonalDown="1">
      <left style="thin">
        <color rgb="FF000000"/>
      </left>
      <right style="thin">
        <color rgb="FF000000"/>
      </right>
      <top style="thin">
        <color rgb="FF000000"/>
      </top>
      <bottom/>
      <diagonal style="thin">
        <color rgb="FF000000"/>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medium">
        <color theme="1" tint="0.34998626667073579"/>
      </bottom>
      <diagonal/>
    </border>
    <border>
      <left style="medium">
        <color theme="1" tint="0.34998626667073579"/>
      </left>
      <right style="thin">
        <color theme="1" tint="0.34998626667073579"/>
      </right>
      <top style="thin">
        <color theme="1" tint="0.34998626667073579"/>
      </top>
      <bottom/>
      <diagonal/>
    </border>
    <border>
      <left style="medium">
        <color theme="1" tint="0.34998626667073579"/>
      </left>
      <right style="thin">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bottom style="thin">
        <color theme="1" tint="0.34998626667073579"/>
      </bottom>
      <diagonal/>
    </border>
    <border>
      <left style="thin">
        <color theme="1" tint="0.34998626667073579"/>
      </left>
      <right/>
      <top style="thin">
        <color theme="1" tint="0.34998626667073579"/>
      </top>
      <bottom style="medium">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medium">
        <color rgb="FF272727"/>
      </left>
      <right style="medium">
        <color rgb="FF272727"/>
      </right>
      <top style="thin">
        <color rgb="FF272727"/>
      </top>
      <bottom style="medium">
        <color rgb="FF272727"/>
      </bottom>
      <diagonal/>
    </border>
    <border>
      <left style="medium">
        <color rgb="FF272727"/>
      </left>
      <right style="medium">
        <color rgb="FF272727"/>
      </right>
      <top style="thin">
        <color rgb="FF272727"/>
      </top>
      <bottom style="thin">
        <color rgb="FF272727"/>
      </bottom>
      <diagonal/>
    </border>
    <border>
      <left style="thin">
        <color theme="1" tint="0.34998626667073579"/>
      </left>
      <right/>
      <top style="medium">
        <color theme="1" tint="0.34998626667073579"/>
      </top>
      <bottom style="thin">
        <color theme="1" tint="0.34998626667073579"/>
      </bottom>
      <diagonal/>
    </border>
    <border>
      <left/>
      <right/>
      <top/>
      <bottom style="thin">
        <color rgb="FF272727"/>
      </bottom>
      <diagonal/>
    </border>
    <border>
      <left/>
      <right/>
      <top style="thin">
        <color theme="1" tint="0.34998626667073579"/>
      </top>
      <bottom/>
      <diagonal/>
    </border>
    <border>
      <left style="medium">
        <color theme="1" tint="0.34998626667073579"/>
      </left>
      <right style="medium">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medium">
        <color theme="1" tint="0.34998626667073579"/>
      </top>
      <bottom/>
      <diagonal/>
    </border>
    <border>
      <left style="thin">
        <color theme="1" tint="0.34998626667073579"/>
      </left>
      <right style="thin">
        <color theme="1" tint="0.34998626667073579"/>
      </right>
      <top style="medium">
        <color theme="1" tint="0.34998626667073579"/>
      </top>
      <bottom/>
      <diagonal/>
    </border>
    <border>
      <left style="medium">
        <color theme="1" tint="0.34998626667073579"/>
      </left>
      <right style="thin">
        <color theme="1" tint="0.34998626667073579"/>
      </right>
      <top style="medium">
        <color theme="1" tint="0.34998626667073579"/>
      </top>
      <bottom/>
      <diagonal/>
    </border>
    <border>
      <left style="thin">
        <color theme="0"/>
      </left>
      <right style="thin">
        <color theme="0"/>
      </right>
      <top/>
      <bottom style="thin">
        <color theme="0"/>
      </bottom>
      <diagonal/>
    </border>
    <border>
      <left style="thin">
        <color theme="0"/>
      </left>
      <right style="thin">
        <color theme="0"/>
      </right>
      <top/>
      <bottom/>
      <diagonal/>
    </border>
    <border>
      <left style="medium">
        <color theme="0"/>
      </left>
      <right/>
      <top style="thin">
        <color theme="0"/>
      </top>
      <bottom style="thin">
        <color theme="0"/>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theme="0"/>
      </left>
      <right style="medium">
        <color theme="0"/>
      </right>
      <top style="medium">
        <color theme="0"/>
      </top>
      <bottom style="medium">
        <color indexed="64"/>
      </bottom>
      <diagonal/>
    </border>
    <border>
      <left/>
      <right/>
      <top style="thin">
        <color theme="0"/>
      </top>
      <bottom style="thin">
        <color theme="0"/>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style="medium">
        <color auto="1"/>
      </right>
      <top style="medium">
        <color auto="1"/>
      </top>
      <bottom style="medium">
        <color auto="1"/>
      </bottom>
      <diagonal/>
    </border>
    <border>
      <left/>
      <right style="medium">
        <color indexed="64"/>
      </right>
      <top style="medium">
        <color indexed="64"/>
      </top>
      <bottom style="medium">
        <color indexed="64"/>
      </bottom>
      <diagonal/>
    </border>
    <border>
      <left style="medium">
        <color indexed="64"/>
      </left>
      <right style="medium">
        <color theme="0"/>
      </right>
      <top style="medium">
        <color indexed="64"/>
      </top>
      <bottom style="medium">
        <color indexed="64"/>
      </bottom>
      <diagonal/>
    </border>
    <border>
      <left style="medium">
        <color theme="0"/>
      </left>
      <right style="medium">
        <color theme="0"/>
      </right>
      <top style="medium">
        <color indexed="64"/>
      </top>
      <bottom style="medium">
        <color indexed="64"/>
      </bottom>
      <diagonal/>
    </border>
    <border>
      <left style="medium">
        <color theme="0"/>
      </left>
      <right style="medium">
        <color indexed="64"/>
      </right>
      <top style="medium">
        <color indexed="64"/>
      </top>
      <bottom style="medium">
        <color indexed="64"/>
      </bottom>
      <diagonal/>
    </border>
    <border>
      <left style="medium">
        <color indexed="64"/>
      </left>
      <right style="medium">
        <color theme="0"/>
      </right>
      <top style="medium">
        <color indexed="64"/>
      </top>
      <bottom style="medium">
        <color theme="0"/>
      </bottom>
      <diagonal/>
    </border>
    <border>
      <left/>
      <right/>
      <top style="thin">
        <color theme="0"/>
      </top>
      <bottom/>
      <diagonal/>
    </border>
    <border>
      <left style="thin">
        <color theme="0"/>
      </left>
      <right/>
      <top/>
      <bottom style="thin">
        <color theme="0"/>
      </bottom>
      <diagonal/>
    </border>
    <border>
      <left style="medium">
        <color indexed="64"/>
      </left>
      <right style="thin">
        <color indexed="64"/>
      </right>
      <top style="medium">
        <color indexed="64"/>
      </top>
      <bottom style="medium">
        <color indexed="64"/>
      </bottom>
      <diagonal/>
    </border>
    <border diagonalDown="1">
      <left style="thin">
        <color theme="1" tint="0.499984740745262"/>
      </left>
      <right/>
      <top style="thin">
        <color theme="1" tint="0.499984740745262"/>
      </top>
      <bottom/>
      <diagonal style="thin">
        <color theme="1" tint="0.499984740745262"/>
      </diagonal>
    </border>
    <border diagonalDown="1">
      <left/>
      <right style="thin">
        <color theme="1" tint="0.499984740745262"/>
      </right>
      <top style="thin">
        <color theme="1" tint="0.499984740745262"/>
      </top>
      <bottom/>
      <diagonal style="thin">
        <color theme="1" tint="0.499984740745262"/>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diagonalDown="1">
      <left style="thin">
        <color theme="1" tint="0.499984740745262"/>
      </left>
      <right/>
      <top/>
      <bottom/>
      <diagonal style="thin">
        <color theme="1" tint="0.499984740745262"/>
      </diagonal>
    </border>
    <border diagonalDown="1">
      <left/>
      <right style="thin">
        <color theme="1" tint="0.499984740745262"/>
      </right>
      <top/>
      <bottom/>
      <diagonal style="thin">
        <color theme="1" tint="0.499984740745262"/>
      </diagonal>
    </border>
    <border>
      <left/>
      <right style="thin">
        <color theme="1" tint="0.499984740745262"/>
      </right>
      <top/>
      <bottom/>
      <diagonal/>
    </border>
    <border>
      <left style="thin">
        <color theme="1" tint="0.499984740745262"/>
      </left>
      <right style="thin">
        <color theme="1" tint="0.499984740745262"/>
      </right>
      <top/>
      <bottom/>
      <diagonal/>
    </border>
    <border>
      <left style="thin">
        <color theme="1" tint="0.499984740745262"/>
      </left>
      <right/>
      <top style="medium">
        <color theme="1" tint="0.499984740745262"/>
      </top>
      <bottom style="thin">
        <color theme="0" tint="-0.24994659260841701"/>
      </bottom>
      <diagonal/>
    </border>
    <border>
      <left/>
      <right/>
      <top style="medium">
        <color theme="1" tint="0.499984740745262"/>
      </top>
      <bottom style="thin">
        <color theme="0" tint="-0.24994659260841701"/>
      </bottom>
      <diagonal/>
    </border>
    <border>
      <left/>
      <right/>
      <top style="medium">
        <color theme="1" tint="0.499984740745262"/>
      </top>
      <bottom/>
      <diagonal/>
    </border>
    <border>
      <left style="thin">
        <color theme="0" tint="-0.24994659260841701"/>
      </left>
      <right style="thin">
        <color theme="0" tint="-0.24994659260841701"/>
      </right>
      <top style="medium">
        <color theme="1" tint="0.499984740745262"/>
      </top>
      <bottom/>
      <diagonal/>
    </border>
    <border>
      <left style="thin">
        <color theme="1" tint="0.499984740745262"/>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top/>
      <bottom style="medium">
        <color theme="1" tint="0.499984740745262"/>
      </bottom>
      <diagonal/>
    </border>
    <border>
      <left/>
      <right/>
      <top/>
      <bottom style="medium">
        <color theme="1" tint="0.499984740745262"/>
      </bottom>
      <diagonal/>
    </border>
    <border>
      <left style="thin">
        <color theme="0" tint="-0.24994659260841701"/>
      </left>
      <right style="thin">
        <color theme="0" tint="-0.24994659260841701"/>
      </right>
      <top style="thin">
        <color theme="0" tint="-0.24994659260841701"/>
      </top>
      <bottom style="medium">
        <color theme="1" tint="0.499984740745262"/>
      </bottom>
      <diagonal/>
    </border>
    <border>
      <left/>
      <right style="thin">
        <color theme="1" tint="0.499984740745262"/>
      </right>
      <top style="medium">
        <color theme="1" tint="0.499984740745262"/>
      </top>
      <bottom style="thin">
        <color theme="0" tint="-0.24994659260841701"/>
      </bottom>
      <diagonal/>
    </border>
    <border>
      <left style="thin">
        <color theme="0" tint="-0.24994659260841701"/>
      </left>
      <right style="thin">
        <color theme="0" tint="-0.24994659260841701"/>
      </right>
      <top style="medium">
        <color theme="1" tint="0.499984740745262"/>
      </top>
      <bottom style="thin">
        <color theme="0" tint="-0.24994659260841701"/>
      </bottom>
      <diagonal/>
    </border>
    <border>
      <left style="thick">
        <color theme="0"/>
      </left>
      <right style="thick">
        <color theme="0"/>
      </right>
      <top style="thick">
        <color theme="0"/>
      </top>
      <bottom style="thick">
        <color theme="0"/>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medium">
        <color theme="1" tint="0.499984740745262"/>
      </bottom>
      <diagonal/>
    </border>
    <border>
      <left/>
      <right style="thin">
        <color theme="0" tint="-0.24994659260841701"/>
      </right>
      <top style="thin">
        <color theme="0" tint="-0.24994659260841701"/>
      </top>
      <bottom style="medium">
        <color theme="1" tint="0.499984740745262"/>
      </bottom>
      <diagonal/>
    </border>
    <border>
      <left/>
      <right style="thin">
        <color theme="0" tint="-0.24994659260841701"/>
      </right>
      <top style="medium">
        <color theme="1" tint="0.499984740745262"/>
      </top>
      <bottom/>
      <diagonal/>
    </border>
    <border>
      <left/>
      <right style="thin">
        <color theme="0" tint="-0.24994659260841701"/>
      </right>
      <top/>
      <bottom/>
      <diagonal/>
    </border>
    <border>
      <left/>
      <right style="thin">
        <color theme="0" tint="-0.24994659260841701"/>
      </right>
      <top/>
      <bottom style="medium">
        <color theme="1" tint="0.499984740745262"/>
      </bottom>
      <diagonal/>
    </border>
    <border>
      <left/>
      <right style="thin">
        <color theme="1" tint="0.499984740745262"/>
      </right>
      <top style="thin">
        <color theme="1" tint="0.499984740745262"/>
      </top>
      <bottom style="thin">
        <color theme="1" tint="0.499984740745262"/>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n">
        <color theme="0" tint="-0.14990691854609822"/>
      </left>
      <right/>
      <top style="thin">
        <color theme="0" tint="-0.14993743705557422"/>
      </top>
      <bottom style="thin">
        <color theme="0" tint="-0.14993743705557422"/>
      </bottom>
      <diagonal/>
    </border>
    <border>
      <left style="thin">
        <color theme="0" tint="-0.14990691854609822"/>
      </left>
      <right style="thin">
        <color theme="0" tint="-0.14990691854609822"/>
      </right>
      <top/>
      <bottom style="thin">
        <color theme="0" tint="-0.14993743705557422"/>
      </bottom>
      <diagonal/>
    </border>
    <border>
      <left style="thin">
        <color theme="0" tint="-0.14990691854609822"/>
      </left>
      <right/>
      <top/>
      <bottom style="thin">
        <color theme="0" tint="-0.14993743705557422"/>
      </bottom>
      <diagonal/>
    </border>
    <border>
      <left/>
      <right/>
      <top/>
      <bottom style="thin">
        <color theme="0" tint="-0.14993743705557422"/>
      </bottom>
      <diagonal/>
    </border>
    <border>
      <left/>
      <right style="thin">
        <color theme="0" tint="-0.14990691854609822"/>
      </right>
      <top/>
      <bottom style="thin">
        <color theme="0" tint="-0.14993743705557422"/>
      </bottom>
      <diagonal/>
    </border>
    <border>
      <left/>
      <right/>
      <top/>
      <bottom style="thin">
        <color auto="1"/>
      </bottom>
      <diagonal/>
    </border>
    <border>
      <left style="thin">
        <color auto="1"/>
      </left>
      <right style="thin">
        <color auto="1"/>
      </right>
      <top style="thin">
        <color auto="1"/>
      </top>
      <bottom/>
      <diagonal/>
    </border>
    <border>
      <left style="thin">
        <color theme="1"/>
      </left>
      <right style="thin">
        <color theme="1"/>
      </right>
      <top style="thin">
        <color theme="1"/>
      </top>
      <bottom style="thin">
        <color theme="1"/>
      </bottom>
      <diagonal/>
    </border>
    <border>
      <left/>
      <right style="thin">
        <color theme="1" tint="0.34998626667073579"/>
      </right>
      <top style="thin">
        <color theme="1" tint="0.34998626667073579"/>
      </top>
      <bottom style="thin">
        <color theme="1" tint="0.34998626667073579"/>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8" fillId="0" borderId="0"/>
    <xf numFmtId="0" fontId="6" fillId="0" borderId="0"/>
    <xf numFmtId="0" fontId="18" fillId="4" borderId="0" applyNumberFormat="0" applyBorder="0" applyAlignment="0" applyProtection="0"/>
    <xf numFmtId="0" fontId="19" fillId="5" borderId="0" applyNumberFormat="0" applyBorder="0" applyAlignment="0" applyProtection="0"/>
    <xf numFmtId="0" fontId="20" fillId="6" borderId="0" applyNumberFormat="0" applyBorder="0" applyAlignment="0" applyProtection="0"/>
    <xf numFmtId="0" fontId="8" fillId="0" borderId="0"/>
    <xf numFmtId="9" fontId="8" fillId="0" borderId="0" applyFont="0" applyFill="0" applyBorder="0" applyAlignment="0" applyProtection="0"/>
    <xf numFmtId="9" fontId="6" fillId="0" borderId="0" applyFont="0" applyFill="0" applyBorder="0" applyAlignment="0" applyProtection="0"/>
    <xf numFmtId="0" fontId="8" fillId="0" borderId="0"/>
  </cellStyleXfs>
  <cellXfs count="486">
    <xf numFmtId="0" fontId="0" fillId="0" borderId="0" xfId="0"/>
    <xf numFmtId="0" fontId="3" fillId="3" borderId="5" xfId="0" applyFont="1" applyFill="1" applyBorder="1" applyAlignment="1">
      <alignment horizontal="left" vertical="center" wrapText="1" indent="1"/>
    </xf>
    <xf numFmtId="0" fontId="2" fillId="3" borderId="5" xfId="0" applyFont="1" applyFill="1" applyBorder="1" applyAlignment="1">
      <alignment vertical="center"/>
    </xf>
    <xf numFmtId="0" fontId="5" fillId="2" borderId="3" xfId="0" applyFont="1" applyFill="1" applyBorder="1" applyAlignment="1">
      <alignment horizontal="center" vertical="center"/>
    </xf>
    <xf numFmtId="0" fontId="9" fillId="0" borderId="0" xfId="0" applyFont="1" applyFill="1" applyBorder="1" applyAlignment="1">
      <alignment horizontal="center" vertical="top"/>
    </xf>
    <xf numFmtId="0" fontId="9" fillId="0" borderId="0" xfId="0" applyFont="1" applyFill="1" applyBorder="1" applyAlignment="1">
      <alignment horizontal="center" vertical="top"/>
    </xf>
    <xf numFmtId="0" fontId="10" fillId="0" borderId="0" xfId="0" applyFont="1" applyAlignment="1">
      <alignment horizontal="left" vertical="center" indent="3" readingOrder="1"/>
    </xf>
    <xf numFmtId="0" fontId="0" fillId="0" borderId="0" xfId="0" applyFill="1"/>
    <xf numFmtId="0" fontId="2" fillId="0" borderId="0" xfId="0" applyFont="1" applyFill="1" applyAlignment="1">
      <alignment horizontal="left" vertical="center" indent="1"/>
    </xf>
    <xf numFmtId="0" fontId="4" fillId="0" borderId="0" xfId="0" applyFont="1" applyFill="1" applyAlignment="1">
      <alignment horizontal="left" vertical="center" indent="1"/>
    </xf>
    <xf numFmtId="0" fontId="1" fillId="0" borderId="0" xfId="0" applyFont="1" applyFill="1" applyAlignment="1">
      <alignment horizontal="left" vertical="center" indent="1"/>
    </xf>
    <xf numFmtId="0" fontId="12" fillId="0" borderId="0" xfId="0" applyFont="1" applyFill="1"/>
    <xf numFmtId="0" fontId="12" fillId="0" borderId="0" xfId="0" applyFont="1" applyFill="1" applyAlignment="1">
      <alignment horizontal="left" vertical="center" indent="1"/>
    </xf>
    <xf numFmtId="0" fontId="14" fillId="0" borderId="6" xfId="0" applyFont="1" applyFill="1" applyBorder="1" applyAlignment="1">
      <alignment vertical="center" wrapText="1"/>
    </xf>
    <xf numFmtId="0" fontId="13" fillId="0" borderId="6" xfId="0" applyFont="1" applyFill="1" applyBorder="1" applyAlignment="1">
      <alignment vertical="center" wrapText="1"/>
    </xf>
    <xf numFmtId="0" fontId="13" fillId="0" borderId="4" xfId="0" applyFont="1" applyFill="1" applyBorder="1" applyAlignment="1">
      <alignment horizontal="right" vertical="center" wrapText="1" indent="1"/>
    </xf>
    <xf numFmtId="0" fontId="15" fillId="0" borderId="4" xfId="0" applyFont="1" applyFill="1" applyBorder="1" applyAlignment="1">
      <alignment horizontal="left" vertical="center" wrapText="1" indent="1"/>
    </xf>
    <xf numFmtId="49" fontId="5" fillId="2" borderId="3"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0" fillId="0" borderId="0" xfId="0" applyAlignment="1">
      <alignment vertical="top" wrapText="1"/>
    </xf>
    <xf numFmtId="0" fontId="0" fillId="0" borderId="0" xfId="0" applyAlignment="1">
      <alignment vertical="top"/>
    </xf>
    <xf numFmtId="0" fontId="0" fillId="0" borderId="8" xfId="0" applyBorder="1" applyAlignment="1">
      <alignment vertical="top" wrapText="1"/>
    </xf>
    <xf numFmtId="0" fontId="9" fillId="0" borderId="8" xfId="0" applyFont="1" applyBorder="1"/>
    <xf numFmtId="0" fontId="0" fillId="0" borderId="9" xfId="0" applyBorder="1" applyAlignment="1">
      <alignment vertical="top" wrapText="1"/>
    </xf>
    <xf numFmtId="0" fontId="9" fillId="0" borderId="0" xfId="0" applyFont="1" applyFill="1" applyBorder="1"/>
    <xf numFmtId="0" fontId="0" fillId="0" borderId="8" xfId="0" applyBorder="1" applyAlignment="1">
      <alignment vertical="top"/>
    </xf>
    <xf numFmtId="0" fontId="0" fillId="0" borderId="0" xfId="0" applyFill="1" applyBorder="1" applyAlignment="1">
      <alignment vertical="top"/>
    </xf>
    <xf numFmtId="0" fontId="21" fillId="0" borderId="0" xfId="0" applyFont="1" applyAlignment="1">
      <alignment horizontal="center" vertical="center" wrapText="1"/>
    </xf>
    <xf numFmtId="0" fontId="21" fillId="0" borderId="0" xfId="0" applyFont="1" applyAlignment="1">
      <alignment vertical="center" wrapText="1"/>
    </xf>
    <xf numFmtId="9" fontId="30" fillId="15" borderId="29" xfId="0" applyNumberFormat="1" applyFont="1" applyFill="1" applyBorder="1" applyAlignment="1">
      <alignment horizontal="center" vertical="center" wrapText="1" readingOrder="1"/>
    </xf>
    <xf numFmtId="9" fontId="30" fillId="10" borderId="25" xfId="0" applyNumberFormat="1" applyFont="1" applyFill="1" applyBorder="1" applyAlignment="1">
      <alignment horizontal="center" vertical="center" wrapText="1" readingOrder="1"/>
    </xf>
    <xf numFmtId="9" fontId="30" fillId="15" borderId="25" xfId="0" applyNumberFormat="1" applyFont="1" applyFill="1" applyBorder="1" applyAlignment="1">
      <alignment horizontal="center" vertical="center" wrapText="1" readingOrder="1"/>
    </xf>
    <xf numFmtId="9" fontId="30" fillId="10" borderId="33" xfId="0" applyNumberFormat="1" applyFont="1" applyFill="1" applyBorder="1" applyAlignment="1">
      <alignment horizontal="center" vertical="center" wrapText="1" readingOrder="1"/>
    </xf>
    <xf numFmtId="0" fontId="31" fillId="13" borderId="29" xfId="0" applyFont="1" applyFill="1" applyBorder="1" applyAlignment="1">
      <alignment horizontal="center" vertical="center" wrapText="1" readingOrder="1"/>
    </xf>
    <xf numFmtId="0" fontId="31" fillId="11" borderId="37" xfId="0" applyFont="1" applyFill="1" applyBorder="1" applyAlignment="1">
      <alignment horizontal="center" vertical="center" wrapText="1" readingOrder="1"/>
    </xf>
    <xf numFmtId="0" fontId="0" fillId="0" borderId="0" xfId="0" applyAlignment="1">
      <alignment vertical="center"/>
    </xf>
    <xf numFmtId="0" fontId="9" fillId="0" borderId="0" xfId="0" applyFont="1" applyAlignment="1">
      <alignment vertical="center"/>
    </xf>
    <xf numFmtId="16" fontId="0" fillId="0" borderId="0" xfId="0" applyNumberFormat="1" applyAlignment="1">
      <alignment vertical="center"/>
    </xf>
    <xf numFmtId="0" fontId="35" fillId="0" borderId="0" xfId="0" applyFont="1" applyAlignment="1">
      <alignment horizontal="center" vertical="center"/>
    </xf>
    <xf numFmtId="0" fontId="35" fillId="13" borderId="0" xfId="0" applyFont="1" applyFill="1" applyAlignment="1">
      <alignment horizontal="center" vertical="center"/>
    </xf>
    <xf numFmtId="0" fontId="14" fillId="13" borderId="54" xfId="3" applyFont="1" applyFill="1" applyBorder="1" applyAlignment="1">
      <alignment horizontal="center" vertical="center" wrapText="1"/>
    </xf>
    <xf numFmtId="0" fontId="9" fillId="0" borderId="0" xfId="0" applyFont="1" applyAlignment="1">
      <alignment vertical="center" textRotation="90"/>
    </xf>
    <xf numFmtId="0" fontId="0" fillId="0" borderId="0" xfId="0" applyAlignment="1">
      <alignment horizontal="center" vertical="center"/>
    </xf>
    <xf numFmtId="0" fontId="28" fillId="16" borderId="55" xfId="0" applyFont="1" applyFill="1" applyBorder="1" applyAlignment="1">
      <alignment horizontal="center" vertical="center" wrapText="1"/>
    </xf>
    <xf numFmtId="0" fontId="36" fillId="11" borderId="56" xfId="0" applyFont="1" applyFill="1" applyBorder="1" applyAlignment="1">
      <alignment horizontal="center" vertical="center" wrapText="1"/>
    </xf>
    <xf numFmtId="0" fontId="36" fillId="17" borderId="57" xfId="0" applyFont="1" applyFill="1" applyBorder="1" applyAlignment="1">
      <alignment horizontal="center" vertical="center" wrapText="1"/>
    </xf>
    <xf numFmtId="0" fontId="36" fillId="18" borderId="57" xfId="4" applyFont="1" applyFill="1" applyBorder="1" applyAlignment="1">
      <alignment horizontal="center" vertical="center" wrapText="1"/>
    </xf>
    <xf numFmtId="0" fontId="36" fillId="9" borderId="57" xfId="5" applyFont="1" applyFill="1" applyBorder="1" applyAlignment="1">
      <alignment horizontal="center" vertical="center" wrapText="1"/>
    </xf>
    <xf numFmtId="0" fontId="36" fillId="19" borderId="58" xfId="4" applyFont="1" applyFill="1" applyBorder="1" applyAlignment="1">
      <alignment horizontal="center" vertical="center" wrapText="1"/>
    </xf>
    <xf numFmtId="0" fontId="36" fillId="8" borderId="58" xfId="4" applyFont="1" applyFill="1" applyBorder="1" applyAlignment="1">
      <alignment horizontal="center" vertical="center" wrapText="1"/>
    </xf>
    <xf numFmtId="16" fontId="39" fillId="20" borderId="0" xfId="0" applyNumberFormat="1" applyFont="1" applyFill="1" applyAlignment="1">
      <alignment horizontal="center" vertical="center"/>
    </xf>
    <xf numFmtId="0" fontId="26" fillId="16" borderId="59" xfId="0" applyFont="1" applyFill="1" applyBorder="1" applyAlignment="1">
      <alignment horizontal="center" vertical="center" wrapText="1" readingOrder="1"/>
    </xf>
    <xf numFmtId="0" fontId="26" fillId="16" borderId="55" xfId="0" applyFont="1" applyFill="1" applyBorder="1" applyAlignment="1">
      <alignment horizontal="center" vertical="center" wrapText="1"/>
    </xf>
    <xf numFmtId="0" fontId="26" fillId="11" borderId="61" xfId="0" applyFont="1" applyFill="1" applyBorder="1" applyAlignment="1">
      <alignment horizontal="center" vertical="center" wrapText="1" readingOrder="1"/>
    </xf>
    <xf numFmtId="0" fontId="41" fillId="11" borderId="56" xfId="0" applyFont="1" applyFill="1" applyBorder="1" applyAlignment="1">
      <alignment horizontal="center" vertical="center" wrapText="1"/>
    </xf>
    <xf numFmtId="0" fontId="26" fillId="17" borderId="61" xfId="0" applyFont="1" applyFill="1" applyBorder="1" applyAlignment="1">
      <alignment horizontal="center" vertical="center" wrapText="1" readingOrder="1"/>
    </xf>
    <xf numFmtId="0" fontId="41" fillId="17" borderId="57" xfId="0" applyFont="1" applyFill="1" applyBorder="1" applyAlignment="1">
      <alignment horizontal="center" vertical="center" wrapText="1"/>
    </xf>
    <xf numFmtId="0" fontId="40" fillId="12" borderId="57" xfId="0" applyFont="1" applyFill="1" applyBorder="1" applyAlignment="1">
      <alignment horizontal="center" vertical="center" wrapText="1" readingOrder="1"/>
    </xf>
    <xf numFmtId="0" fontId="26" fillId="18" borderId="61" xfId="0" applyFont="1" applyFill="1" applyBorder="1" applyAlignment="1">
      <alignment horizontal="center" vertical="center" wrapText="1" readingOrder="1"/>
    </xf>
    <xf numFmtId="0" fontId="41" fillId="18" borderId="57" xfId="4" applyFont="1" applyFill="1" applyBorder="1" applyAlignment="1">
      <alignment horizontal="center" vertical="center" wrapText="1"/>
    </xf>
    <xf numFmtId="0" fontId="0" fillId="0" borderId="0" xfId="0" applyAlignment="1">
      <alignment horizontal="right"/>
    </xf>
    <xf numFmtId="49" fontId="42" fillId="0" borderId="62" xfId="0" applyNumberFormat="1" applyFont="1" applyBorder="1" applyAlignment="1">
      <alignment horizontal="center" vertical="center" wrapText="1" readingOrder="1"/>
    </xf>
    <xf numFmtId="0" fontId="26" fillId="9" borderId="61" xfId="0" applyFont="1" applyFill="1" applyBorder="1" applyAlignment="1">
      <alignment horizontal="center" vertical="center" wrapText="1" readingOrder="1"/>
    </xf>
    <xf numFmtId="0" fontId="41" fillId="9" borderId="57" xfId="5" applyFont="1" applyFill="1" applyBorder="1" applyAlignment="1">
      <alignment horizontal="center" vertical="center" wrapText="1"/>
    </xf>
    <xf numFmtId="0" fontId="34" fillId="21" borderId="63" xfId="0" applyFont="1" applyFill="1" applyBorder="1" applyAlignment="1">
      <alignment horizontal="center" vertical="center" wrapText="1" readingOrder="1"/>
    </xf>
    <xf numFmtId="0" fontId="41" fillId="19" borderId="61" xfId="4" applyFont="1" applyFill="1" applyBorder="1" applyAlignment="1">
      <alignment horizontal="center" vertical="center" wrapText="1"/>
    </xf>
    <xf numFmtId="0" fontId="41" fillId="19" borderId="58" xfId="4" applyFont="1" applyFill="1" applyBorder="1" applyAlignment="1">
      <alignment horizontal="center" vertical="center" wrapText="1"/>
    </xf>
    <xf numFmtId="0" fontId="34" fillId="22" borderId="63" xfId="0" applyFont="1" applyFill="1" applyBorder="1" applyAlignment="1">
      <alignment horizontal="center" vertical="center" wrapText="1" readingOrder="1"/>
    </xf>
    <xf numFmtId="0" fontId="41" fillId="8" borderId="64" xfId="4" applyFont="1" applyFill="1" applyBorder="1" applyAlignment="1">
      <alignment horizontal="center" vertical="center" wrapText="1"/>
    </xf>
    <xf numFmtId="0" fontId="41" fillId="8" borderId="58" xfId="4" applyFont="1" applyFill="1" applyBorder="1" applyAlignment="1">
      <alignment horizontal="center" vertical="center" wrapText="1"/>
    </xf>
    <xf numFmtId="0" fontId="43" fillId="0" borderId="65" xfId="0" applyFont="1" applyBorder="1" applyAlignment="1">
      <alignment vertical="center"/>
    </xf>
    <xf numFmtId="0" fontId="26" fillId="16" borderId="60" xfId="0" applyFont="1" applyFill="1" applyBorder="1" applyAlignment="1">
      <alignment horizontal="center" vertical="center" wrapText="1" readingOrder="1"/>
    </xf>
    <xf numFmtId="0" fontId="26" fillId="9" borderId="54" xfId="0" applyFont="1" applyFill="1" applyBorder="1" applyAlignment="1">
      <alignment horizontal="center" vertical="center" wrapText="1" readingOrder="1"/>
    </xf>
    <xf numFmtId="0" fontId="26" fillId="18" borderId="54" xfId="0" applyFont="1" applyFill="1" applyBorder="1" applyAlignment="1">
      <alignment horizontal="center" vertical="center" wrapText="1" readingOrder="1"/>
    </xf>
    <xf numFmtId="0" fontId="26" fillId="17" borderId="54" xfId="0" applyFont="1" applyFill="1" applyBorder="1" applyAlignment="1">
      <alignment horizontal="center" vertical="center" wrapText="1" readingOrder="1"/>
    </xf>
    <xf numFmtId="0" fontId="26" fillId="8" borderId="57" xfId="0" applyFont="1" applyFill="1" applyBorder="1" applyAlignment="1">
      <alignment horizontal="center" vertical="center" wrapText="1" readingOrder="1"/>
    </xf>
    <xf numFmtId="0" fontId="44" fillId="23" borderId="66" xfId="0" applyFont="1" applyFill="1" applyBorder="1" applyAlignment="1">
      <alignment horizontal="center" vertical="center" wrapText="1" readingOrder="1"/>
    </xf>
    <xf numFmtId="0" fontId="27" fillId="0" borderId="67" xfId="0" applyFont="1" applyBorder="1" applyAlignment="1">
      <alignment horizontal="left" wrapText="1" readingOrder="1"/>
    </xf>
    <xf numFmtId="0" fontId="26" fillId="16" borderId="68" xfId="0" applyFont="1" applyFill="1" applyBorder="1" applyAlignment="1">
      <alignment horizontal="center" vertical="center" wrapText="1" readingOrder="1"/>
    </xf>
    <xf numFmtId="0" fontId="26" fillId="9" borderId="69" xfId="0" applyFont="1" applyFill="1" applyBorder="1" applyAlignment="1">
      <alignment horizontal="center" vertical="center" wrapText="1" readingOrder="1"/>
    </xf>
    <xf numFmtId="0" fontId="26" fillId="18" borderId="69" xfId="0" applyFont="1" applyFill="1" applyBorder="1" applyAlignment="1">
      <alignment horizontal="center" vertical="center" wrapText="1" readingOrder="1"/>
    </xf>
    <xf numFmtId="0" fontId="26" fillId="17" borderId="69" xfId="0" applyFont="1" applyFill="1" applyBorder="1" applyAlignment="1">
      <alignment horizontal="center" vertical="center" wrapText="1" readingOrder="1"/>
    </xf>
    <xf numFmtId="0" fontId="26" fillId="8" borderId="70" xfId="0" applyFont="1" applyFill="1" applyBorder="1" applyAlignment="1">
      <alignment horizontal="center" vertical="center" wrapText="1" readingOrder="1"/>
    </xf>
    <xf numFmtId="0" fontId="27" fillId="0" borderId="68" xfId="0" applyFont="1" applyBorder="1" applyAlignment="1">
      <alignment horizontal="right" vertical="top" wrapText="1" readingOrder="1"/>
    </xf>
    <xf numFmtId="0" fontId="45" fillId="0" borderId="70" xfId="0" applyFont="1" applyBorder="1" applyAlignment="1">
      <alignment horizontal="center" wrapText="1" readingOrder="1"/>
    </xf>
    <xf numFmtId="0" fontId="0" fillId="0" borderId="71" xfId="0" applyBorder="1" applyAlignment="1">
      <alignment horizontal="center" vertical="center"/>
    </xf>
    <xf numFmtId="0" fontId="0" fillId="0" borderId="72" xfId="0" applyBorder="1" applyAlignment="1">
      <alignment horizontal="center" vertical="center"/>
    </xf>
    <xf numFmtId="0" fontId="0" fillId="0" borderId="72" xfId="0" applyBorder="1" applyAlignment="1">
      <alignment horizontal="left" vertical="center"/>
    </xf>
    <xf numFmtId="0" fontId="37" fillId="0" borderId="72" xfId="0" applyFont="1" applyBorder="1" applyAlignment="1">
      <alignment vertical="center"/>
    </xf>
    <xf numFmtId="0" fontId="0" fillId="0" borderId="72" xfId="0" applyBorder="1" applyAlignment="1">
      <alignment vertical="center"/>
    </xf>
    <xf numFmtId="0" fontId="0" fillId="0" borderId="73" xfId="0" applyBorder="1" applyAlignment="1">
      <alignment vertical="center"/>
    </xf>
    <xf numFmtId="0" fontId="47" fillId="0" borderId="76" xfId="0" applyFont="1" applyBorder="1" applyAlignment="1">
      <alignment horizontal="center" vertical="center" wrapText="1"/>
    </xf>
    <xf numFmtId="0" fontId="51" fillId="0" borderId="83" xfId="0" applyFont="1" applyBorder="1" applyAlignment="1">
      <alignment vertical="center"/>
    </xf>
    <xf numFmtId="0" fontId="0" fillId="0" borderId="84" xfId="0" applyBorder="1" applyAlignment="1">
      <alignment vertical="center"/>
    </xf>
    <xf numFmtId="0" fontId="24" fillId="12" borderId="85" xfId="0" applyFont="1" applyFill="1" applyBorder="1" applyAlignment="1">
      <alignment horizontal="center" vertical="center"/>
    </xf>
    <xf numFmtId="0" fontId="24" fillId="12" borderId="86" xfId="0" applyFont="1" applyFill="1" applyBorder="1" applyAlignment="1">
      <alignment horizontal="left" vertical="center"/>
    </xf>
    <xf numFmtId="1" fontId="52" fillId="0" borderId="87" xfId="9" applyNumberFormat="1" applyFont="1" applyFill="1" applyBorder="1" applyAlignment="1">
      <alignment horizontal="center" vertical="center" wrapText="1"/>
    </xf>
    <xf numFmtId="1" fontId="52" fillId="0" borderId="88" xfId="9" applyNumberFormat="1" applyFont="1" applyFill="1" applyBorder="1" applyAlignment="1">
      <alignment horizontal="center" vertical="center" wrapText="1"/>
    </xf>
    <xf numFmtId="0" fontId="53" fillId="14" borderId="89" xfId="0" applyFont="1" applyFill="1" applyBorder="1" applyAlignment="1">
      <alignment horizontal="center" vertical="center" wrapText="1"/>
    </xf>
    <xf numFmtId="0" fontId="53" fillId="14" borderId="90" xfId="0" applyFont="1" applyFill="1" applyBorder="1" applyAlignment="1">
      <alignment horizontal="center" vertical="center" wrapText="1"/>
    </xf>
    <xf numFmtId="0" fontId="54" fillId="12" borderId="89" xfId="0" applyFont="1" applyFill="1" applyBorder="1" applyAlignment="1">
      <alignment horizontal="center" vertical="center" wrapText="1"/>
    </xf>
    <xf numFmtId="0" fontId="54" fillId="12" borderId="91" xfId="0" applyFont="1" applyFill="1" applyBorder="1" applyAlignment="1">
      <alignment horizontal="center" vertical="center" wrapText="1"/>
    </xf>
    <xf numFmtId="1" fontId="55" fillId="12" borderId="90" xfId="9" applyNumberFormat="1" applyFont="1" applyFill="1" applyBorder="1" applyAlignment="1">
      <alignment horizontal="center" vertical="center" wrapText="1"/>
    </xf>
    <xf numFmtId="0" fontId="24" fillId="24" borderId="92" xfId="0" applyFont="1" applyFill="1" applyBorder="1" applyAlignment="1">
      <alignment horizontal="center" vertical="center" wrapText="1"/>
    </xf>
    <xf numFmtId="0" fontId="56" fillId="24" borderId="91" xfId="0" applyFont="1" applyFill="1" applyBorder="1" applyAlignment="1">
      <alignment horizontal="center" vertical="center" wrapText="1"/>
    </xf>
    <xf numFmtId="0" fontId="56" fillId="24" borderId="93" xfId="0" applyFont="1" applyFill="1" applyBorder="1" applyAlignment="1">
      <alignment horizontal="center" vertical="center" wrapText="1"/>
    </xf>
    <xf numFmtId="0" fontId="50" fillId="12" borderId="94" xfId="0" applyFont="1" applyFill="1" applyBorder="1" applyAlignment="1">
      <alignment horizontal="center" vertical="center" wrapText="1"/>
    </xf>
    <xf numFmtId="0" fontId="8" fillId="0" borderId="95" xfId="0" applyFont="1" applyBorder="1" applyAlignment="1">
      <alignment horizontal="center" vertical="center"/>
    </xf>
    <xf numFmtId="0" fontId="8" fillId="12" borderId="77" xfId="0" applyFont="1" applyFill="1" applyBorder="1" applyAlignment="1">
      <alignment horizontal="center" vertical="center"/>
    </xf>
    <xf numFmtId="0" fontId="57" fillId="12" borderId="96" xfId="0" applyFont="1" applyFill="1" applyBorder="1" applyAlignment="1">
      <alignment horizontal="left" vertical="center" wrapText="1"/>
    </xf>
    <xf numFmtId="1" fontId="58" fillId="0" borderId="79" xfId="9" applyNumberFormat="1" applyFont="1" applyFill="1" applyBorder="1" applyAlignment="1">
      <alignment horizontal="left" vertical="center" wrapText="1"/>
    </xf>
    <xf numFmtId="1" fontId="58" fillId="0" borderId="97" xfId="9" applyNumberFormat="1" applyFont="1" applyFill="1" applyBorder="1" applyAlignment="1">
      <alignment horizontal="left" vertical="center" wrapText="1"/>
    </xf>
    <xf numFmtId="0" fontId="59" fillId="14" borderId="77" xfId="0" applyFont="1" applyFill="1" applyBorder="1" applyAlignment="1">
      <alignment horizontal="center" vertical="center"/>
    </xf>
    <xf numFmtId="164" fontId="53" fillId="14" borderId="78" xfId="0" applyNumberFormat="1" applyFont="1" applyFill="1" applyBorder="1" applyAlignment="1">
      <alignment horizontal="center" vertical="center"/>
    </xf>
    <xf numFmtId="0" fontId="60" fillId="12" borderId="77" xfId="9" applyFont="1" applyFill="1" applyBorder="1" applyAlignment="1">
      <alignment horizontal="center" vertical="center" wrapText="1"/>
    </xf>
    <xf numFmtId="164" fontId="54" fillId="12" borderId="79" xfId="0" applyNumberFormat="1" applyFont="1" applyFill="1" applyBorder="1" applyAlignment="1">
      <alignment horizontal="center" vertical="center"/>
    </xf>
    <xf numFmtId="9" fontId="56" fillId="12" borderId="78" xfId="8" applyFont="1" applyFill="1" applyBorder="1" applyAlignment="1">
      <alignment horizontal="center" vertical="center"/>
    </xf>
    <xf numFmtId="0" fontId="59" fillId="14" borderId="98" xfId="0" applyFont="1" applyFill="1" applyBorder="1" applyAlignment="1">
      <alignment horizontal="center" vertical="center"/>
    </xf>
    <xf numFmtId="164" fontId="53" fillId="14" borderId="97" xfId="0" applyNumberFormat="1" applyFont="1" applyFill="1" applyBorder="1" applyAlignment="1">
      <alignment horizontal="center" vertical="center"/>
    </xf>
    <xf numFmtId="164" fontId="54" fillId="12" borderId="96" xfId="0" applyNumberFormat="1" applyFont="1" applyFill="1" applyBorder="1" applyAlignment="1">
      <alignment horizontal="center" vertical="center"/>
    </xf>
    <xf numFmtId="0" fontId="24" fillId="24" borderId="99" xfId="6" applyFont="1" applyFill="1" applyBorder="1" applyAlignment="1">
      <alignment horizontal="center" vertical="center" wrapText="1"/>
    </xf>
    <xf numFmtId="9" fontId="56" fillId="24" borderId="96" xfId="8" applyFont="1" applyFill="1" applyBorder="1" applyAlignment="1">
      <alignment horizontal="center" vertical="center" wrapText="1"/>
    </xf>
    <xf numFmtId="9" fontId="56" fillId="24" borderId="100" xfId="8" applyNumberFormat="1" applyFont="1" applyFill="1" applyBorder="1" applyAlignment="1">
      <alignment horizontal="center" vertical="center" wrapText="1"/>
    </xf>
    <xf numFmtId="0" fontId="61" fillId="25" borderId="101" xfId="0" applyFont="1" applyFill="1" applyBorder="1" applyAlignment="1">
      <alignment horizontal="left" vertical="center" wrapText="1"/>
    </xf>
    <xf numFmtId="0" fontId="8" fillId="12" borderId="98" xfId="0" applyFont="1" applyFill="1" applyBorder="1" applyAlignment="1">
      <alignment horizontal="center" vertical="center"/>
    </xf>
    <xf numFmtId="1" fontId="58" fillId="0" borderId="96" xfId="9" applyNumberFormat="1" applyFont="1" applyFill="1" applyBorder="1" applyAlignment="1">
      <alignment horizontal="left" vertical="center" wrapText="1"/>
    </xf>
    <xf numFmtId="0" fontId="60" fillId="12" borderId="98" xfId="9" applyFont="1" applyFill="1" applyBorder="1" applyAlignment="1">
      <alignment horizontal="center" vertical="center" wrapText="1"/>
    </xf>
    <xf numFmtId="9" fontId="56" fillId="12" borderId="97" xfId="8" applyFont="1" applyFill="1" applyBorder="1" applyAlignment="1">
      <alignment horizontal="center" vertical="center"/>
    </xf>
    <xf numFmtId="0" fontId="61" fillId="26" borderId="102" xfId="0" applyFont="1" applyFill="1" applyBorder="1" applyAlignment="1">
      <alignment horizontal="left" vertical="center" wrapText="1"/>
    </xf>
    <xf numFmtId="0" fontId="61" fillId="17" borderId="102" xfId="0" applyFont="1" applyFill="1" applyBorder="1" applyAlignment="1">
      <alignment horizontal="left" vertical="center" wrapText="1"/>
    </xf>
    <xf numFmtId="165" fontId="59" fillId="14" borderId="98" xfId="0" applyNumberFormat="1" applyFont="1" applyFill="1" applyBorder="1" applyAlignment="1">
      <alignment horizontal="center" vertical="center"/>
    </xf>
    <xf numFmtId="0" fontId="61" fillId="17" borderId="103" xfId="0" applyFont="1" applyFill="1" applyBorder="1" applyAlignment="1">
      <alignment horizontal="left" vertical="center" wrapText="1"/>
    </xf>
    <xf numFmtId="0" fontId="63" fillId="0" borderId="105" xfId="0" applyFont="1" applyBorder="1" applyAlignment="1">
      <alignment horizontal="left" vertical="center"/>
    </xf>
    <xf numFmtId="0" fontId="64" fillId="0" borderId="106" xfId="0" applyFont="1" applyBorder="1" applyAlignment="1">
      <alignment horizontal="right" vertical="center"/>
    </xf>
    <xf numFmtId="1" fontId="65" fillId="14" borderId="105" xfId="0" applyNumberFormat="1" applyFont="1" applyFill="1" applyBorder="1" applyAlignment="1">
      <alignment horizontal="center" vertical="center"/>
    </xf>
    <xf numFmtId="16" fontId="59" fillId="14" borderId="107" xfId="0" applyNumberFormat="1" applyFont="1" applyFill="1" applyBorder="1" applyAlignment="1">
      <alignment horizontal="center" vertical="center"/>
    </xf>
    <xf numFmtId="1" fontId="49" fillId="12" borderId="108" xfId="0" applyNumberFormat="1" applyFont="1" applyFill="1" applyBorder="1" applyAlignment="1">
      <alignment horizontal="center" vertical="center"/>
    </xf>
    <xf numFmtId="16" fontId="56" fillId="12" borderId="109" xfId="0" applyNumberFormat="1" applyFont="1" applyFill="1" applyBorder="1" applyAlignment="1">
      <alignment horizontal="center" vertical="center"/>
    </xf>
    <xf numFmtId="9" fontId="49" fillId="12" borderId="110" xfId="8" applyFont="1" applyFill="1" applyBorder="1" applyAlignment="1">
      <alignment horizontal="right" vertical="center"/>
    </xf>
    <xf numFmtId="1" fontId="63" fillId="24" borderId="76" xfId="0" applyNumberFormat="1" applyFont="1" applyFill="1" applyBorder="1" applyAlignment="1">
      <alignment horizontal="center" vertical="center"/>
    </xf>
    <xf numFmtId="0" fontId="49" fillId="10" borderId="87" xfId="0" applyFont="1" applyFill="1" applyBorder="1" applyAlignment="1">
      <alignment horizontal="center" vertical="center"/>
    </xf>
    <xf numFmtId="0" fontId="49" fillId="10" borderId="88" xfId="0" applyFont="1" applyFill="1" applyBorder="1" applyAlignment="1">
      <alignment horizontal="center" vertical="center"/>
    </xf>
    <xf numFmtId="0" fontId="63" fillId="0" borderId="111" xfId="0" applyFont="1" applyBorder="1" applyAlignment="1">
      <alignment horizontal="left" vertical="center"/>
    </xf>
    <xf numFmtId="0" fontId="0" fillId="0" borderId="112" xfId="0" applyBorder="1" applyAlignment="1">
      <alignment vertical="center"/>
    </xf>
    <xf numFmtId="0" fontId="0" fillId="0" borderId="71" xfId="0" applyBorder="1" applyAlignment="1">
      <alignment horizontal="left" vertical="center"/>
    </xf>
    <xf numFmtId="0" fontId="37" fillId="0" borderId="71" xfId="0" applyFont="1" applyBorder="1" applyAlignment="1">
      <alignment vertical="center"/>
    </xf>
    <xf numFmtId="0" fontId="0" fillId="0" borderId="71" xfId="0" applyBorder="1" applyAlignment="1">
      <alignment vertical="center"/>
    </xf>
    <xf numFmtId="0" fontId="0" fillId="0" borderId="113" xfId="0" applyBorder="1" applyAlignment="1">
      <alignment vertical="center"/>
    </xf>
    <xf numFmtId="0" fontId="49" fillId="27" borderId="114" xfId="0" applyFont="1" applyFill="1" applyBorder="1" applyAlignment="1">
      <alignment horizontal="center" vertical="center"/>
    </xf>
    <xf numFmtId="0" fontId="49" fillId="27" borderId="88" xfId="0" applyFont="1" applyFill="1" applyBorder="1" applyAlignment="1">
      <alignment horizontal="center" vertical="center"/>
    </xf>
    <xf numFmtId="0" fontId="0" fillId="0" borderId="0" xfId="0" applyAlignment="1">
      <alignment horizontal="left" vertical="center"/>
    </xf>
    <xf numFmtId="0" fontId="37" fillId="0" borderId="0" xfId="0" applyFont="1" applyAlignment="1">
      <alignment vertical="center"/>
    </xf>
    <xf numFmtId="0" fontId="61" fillId="26" borderId="98" xfId="0" applyFont="1" applyFill="1" applyBorder="1" applyAlignment="1">
      <alignment horizontal="left" vertical="center" wrapText="1"/>
    </xf>
    <xf numFmtId="0" fontId="61" fillId="17" borderId="98" xfId="0" applyFont="1" applyFill="1" applyBorder="1" applyAlignment="1">
      <alignment horizontal="left" vertical="center" wrapText="1"/>
    </xf>
    <xf numFmtId="0" fontId="61" fillId="25" borderId="98" xfId="0" applyFont="1" applyFill="1" applyBorder="1" applyAlignment="1">
      <alignment horizontal="left" vertical="center" wrapText="1"/>
    </xf>
    <xf numFmtId="0" fontId="61" fillId="27" borderId="98" xfId="0" applyFont="1" applyFill="1" applyBorder="1" applyAlignment="1">
      <alignment horizontal="left" vertical="center" wrapText="1"/>
    </xf>
    <xf numFmtId="0" fontId="12" fillId="28" borderId="96" xfId="4" applyFont="1" applyFill="1" applyBorder="1" applyAlignment="1">
      <alignment horizontal="center" vertical="center" wrapText="1"/>
    </xf>
    <xf numFmtId="0" fontId="12" fillId="17" borderId="96" xfId="0" applyFont="1" applyFill="1" applyBorder="1" applyAlignment="1">
      <alignment horizontal="center" vertical="center" wrapText="1"/>
    </xf>
    <xf numFmtId="0" fontId="12" fillId="18" borderId="99" xfId="4" applyFont="1" applyFill="1" applyBorder="1" applyAlignment="1">
      <alignment horizontal="center" vertical="center" wrapText="1"/>
    </xf>
    <xf numFmtId="0" fontId="12" fillId="13" borderId="96" xfId="0" applyFont="1" applyFill="1" applyBorder="1" applyAlignment="1">
      <alignment horizontal="center" vertical="center" wrapText="1"/>
    </xf>
    <xf numFmtId="0" fontId="12" fillId="9" borderId="96" xfId="5" applyFont="1" applyFill="1" applyBorder="1" applyAlignment="1" applyProtection="1">
      <alignment horizontal="center" vertical="center" wrapText="1"/>
      <protection locked="0"/>
    </xf>
    <xf numFmtId="0" fontId="9" fillId="11" borderId="117" xfId="0" applyFont="1" applyFill="1" applyBorder="1" applyAlignment="1">
      <alignment horizontal="left" vertical="center"/>
    </xf>
    <xf numFmtId="0" fontId="22" fillId="7" borderId="118" xfId="0" applyFont="1" applyFill="1" applyBorder="1" applyAlignment="1">
      <alignment horizontal="center" vertical="center" textRotation="90"/>
    </xf>
    <xf numFmtId="0" fontId="9" fillId="11" borderId="122" xfId="0" applyFont="1" applyFill="1" applyBorder="1" applyAlignment="1">
      <alignment horizontal="left" vertical="center"/>
    </xf>
    <xf numFmtId="166" fontId="13" fillId="7" borderId="119" xfId="0" applyNumberFormat="1" applyFont="1" applyFill="1" applyBorder="1" applyAlignment="1">
      <alignment horizontal="center" vertical="center" textRotation="90"/>
    </xf>
    <xf numFmtId="0" fontId="35" fillId="11" borderId="126" xfId="0" applyFont="1" applyFill="1" applyBorder="1" applyAlignment="1">
      <alignment horizontal="center" vertical="center"/>
    </xf>
    <xf numFmtId="0" fontId="9" fillId="17" borderId="127" xfId="0" applyFont="1" applyFill="1" applyBorder="1" applyAlignment="1">
      <alignment horizontal="center" vertical="center"/>
    </xf>
    <xf numFmtId="0" fontId="9" fillId="11" borderId="127" xfId="0" applyFont="1" applyFill="1" applyBorder="1" applyAlignment="1">
      <alignment horizontal="center" vertical="center"/>
    </xf>
    <xf numFmtId="0" fontId="9" fillId="9" borderId="127" xfId="0" applyFont="1" applyFill="1" applyBorder="1" applyAlignment="1">
      <alignment horizontal="center" vertical="center"/>
    </xf>
    <xf numFmtId="0" fontId="9" fillId="8" borderId="127" xfId="0" applyFont="1" applyFill="1" applyBorder="1" applyAlignment="1">
      <alignment horizontal="center" vertical="center"/>
    </xf>
    <xf numFmtId="0" fontId="22" fillId="11" borderId="126" xfId="0" applyFont="1" applyFill="1" applyBorder="1" applyAlignment="1">
      <alignment vertical="center"/>
    </xf>
    <xf numFmtId="0" fontId="66" fillId="13" borderId="0" xfId="0" applyFont="1" applyFill="1" applyBorder="1" applyAlignment="1">
      <alignment horizontal="right" vertical="center" wrapText="1"/>
    </xf>
    <xf numFmtId="0" fontId="67" fillId="17" borderId="129" xfId="0" applyFont="1" applyFill="1" applyBorder="1" applyAlignment="1">
      <alignment horizontal="center" vertical="center"/>
    </xf>
    <xf numFmtId="0" fontId="67" fillId="14" borderId="129" xfId="0" applyFont="1" applyFill="1" applyBorder="1" applyAlignment="1">
      <alignment horizontal="center" vertical="center"/>
    </xf>
    <xf numFmtId="0" fontId="67" fillId="9" borderId="129" xfId="0" applyFont="1" applyFill="1" applyBorder="1" applyAlignment="1">
      <alignment horizontal="center" vertical="center"/>
    </xf>
    <xf numFmtId="0" fontId="67" fillId="8" borderId="129" xfId="0" applyFont="1" applyFill="1" applyBorder="1" applyAlignment="1">
      <alignment horizontal="center" vertical="center"/>
    </xf>
    <xf numFmtId="0" fontId="22" fillId="11" borderId="0" xfId="0" applyFont="1" applyFill="1" applyBorder="1" applyAlignment="1">
      <alignment vertical="center"/>
    </xf>
    <xf numFmtId="0" fontId="66" fillId="13" borderId="131" xfId="0" applyFont="1" applyFill="1" applyBorder="1" applyAlignment="1">
      <alignment horizontal="right" vertical="center" wrapText="1"/>
    </xf>
    <xf numFmtId="0" fontId="67" fillId="17" borderId="132" xfId="0" applyFont="1" applyFill="1" applyBorder="1" applyAlignment="1">
      <alignment horizontal="center" vertical="center"/>
    </xf>
    <xf numFmtId="0" fontId="67" fillId="14" borderId="132" xfId="0" applyFont="1" applyFill="1" applyBorder="1" applyAlignment="1">
      <alignment horizontal="center" vertical="center"/>
    </xf>
    <xf numFmtId="0" fontId="67" fillId="9" borderId="132" xfId="0" applyFont="1" applyFill="1" applyBorder="1" applyAlignment="1">
      <alignment horizontal="center" vertical="center"/>
    </xf>
    <xf numFmtId="0" fontId="67" fillId="8" borderId="132" xfId="0" applyFont="1" applyFill="1" applyBorder="1" applyAlignment="1">
      <alignment horizontal="center" vertical="center"/>
    </xf>
    <xf numFmtId="0" fontId="22" fillId="11" borderId="131" xfId="0" applyFont="1" applyFill="1" applyBorder="1" applyAlignment="1">
      <alignment vertical="center"/>
    </xf>
    <xf numFmtId="0" fontId="35" fillId="11" borderId="125" xfId="0" applyFont="1" applyFill="1" applyBorder="1" applyAlignment="1">
      <alignment horizontal="center" vertical="center"/>
    </xf>
    <xf numFmtId="0" fontId="9" fillId="11" borderId="134" xfId="0" applyFont="1" applyFill="1" applyBorder="1" applyAlignment="1">
      <alignment horizontal="center" vertical="center"/>
    </xf>
    <xf numFmtId="0" fontId="14" fillId="13" borderId="0" xfId="0" applyFont="1" applyFill="1" applyBorder="1" applyAlignment="1">
      <alignment horizontal="right" vertical="center" wrapText="1"/>
    </xf>
    <xf numFmtId="0" fontId="7" fillId="13" borderId="129" xfId="0" applyFont="1" applyFill="1" applyBorder="1" applyAlignment="1">
      <alignment horizontal="center" vertical="center"/>
    </xf>
    <xf numFmtId="0" fontId="7" fillId="10" borderId="129" xfId="0" applyFont="1" applyFill="1" applyBorder="1" applyAlignment="1">
      <alignment horizontal="center" vertical="center"/>
    </xf>
    <xf numFmtId="0" fontId="68" fillId="11" borderId="0" xfId="0" applyFont="1" applyFill="1" applyBorder="1" applyAlignment="1">
      <alignment vertical="center"/>
    </xf>
    <xf numFmtId="0" fontId="67" fillId="10" borderId="129" xfId="0" applyFont="1" applyFill="1" applyBorder="1" applyAlignment="1">
      <alignment horizontal="center" vertical="center"/>
    </xf>
    <xf numFmtId="0" fontId="67" fillId="10" borderId="132" xfId="0" applyFont="1" applyFill="1" applyBorder="1" applyAlignment="1">
      <alignment horizontal="center" vertical="center"/>
    </xf>
    <xf numFmtId="0" fontId="69" fillId="11" borderId="126" xfId="0" applyFont="1" applyFill="1" applyBorder="1" applyAlignment="1">
      <alignment horizontal="center" vertical="center"/>
    </xf>
    <xf numFmtId="0" fontId="69" fillId="11" borderId="127" xfId="0" applyFont="1" applyFill="1" applyBorder="1" applyAlignment="1">
      <alignment horizontal="center" vertical="center"/>
    </xf>
    <xf numFmtId="0" fontId="9" fillId="13" borderId="134" xfId="0" applyFont="1" applyFill="1" applyBorder="1" applyAlignment="1">
      <alignment horizontal="center" vertical="center"/>
    </xf>
    <xf numFmtId="0" fontId="9" fillId="7" borderId="126" xfId="0" applyFont="1" applyFill="1" applyBorder="1" applyAlignment="1">
      <alignment horizontal="center" vertical="center"/>
    </xf>
    <xf numFmtId="0" fontId="0" fillId="0" borderId="135" xfId="0" applyBorder="1" applyAlignment="1">
      <alignment vertical="center"/>
    </xf>
    <xf numFmtId="0" fontId="67" fillId="14" borderId="137" xfId="0" applyFont="1" applyFill="1" applyBorder="1" applyAlignment="1">
      <alignment horizontal="right" vertical="center"/>
    </xf>
    <xf numFmtId="0" fontId="7" fillId="8" borderId="129" xfId="0" applyFont="1" applyFill="1" applyBorder="1" applyAlignment="1">
      <alignment horizontal="center" vertical="center"/>
    </xf>
    <xf numFmtId="0" fontId="5" fillId="10" borderId="129" xfId="0" applyFont="1" applyFill="1" applyBorder="1" applyAlignment="1">
      <alignment horizontal="center" vertical="center"/>
    </xf>
    <xf numFmtId="0" fontId="0" fillId="11" borderId="0" xfId="0" applyFill="1" applyBorder="1" applyAlignment="1">
      <alignment horizontal="center" vertical="center"/>
    </xf>
    <xf numFmtId="0" fontId="67" fillId="14" borderId="138" xfId="0" applyFont="1" applyFill="1" applyBorder="1" applyAlignment="1">
      <alignment horizontal="right" vertical="center"/>
    </xf>
    <xf numFmtId="0" fontId="67" fillId="14" borderId="139" xfId="0" applyFont="1" applyFill="1" applyBorder="1" applyAlignment="1">
      <alignment horizontal="center" vertical="center"/>
    </xf>
    <xf numFmtId="0" fontId="67" fillId="14" borderId="141" xfId="0" applyFont="1" applyFill="1" applyBorder="1" applyAlignment="1">
      <alignment horizontal="right" vertical="center"/>
    </xf>
    <xf numFmtId="0" fontId="0" fillId="11" borderId="131" xfId="0" applyFill="1" applyBorder="1" applyAlignment="1">
      <alignment horizontal="center" vertical="center"/>
    </xf>
    <xf numFmtId="0" fontId="7" fillId="8" borderId="143" xfId="0" applyFont="1" applyFill="1" applyBorder="1" applyAlignment="1">
      <alignment horizontal="right" vertical="center"/>
    </xf>
    <xf numFmtId="0" fontId="5" fillId="10" borderId="143" xfId="0" applyFont="1" applyFill="1" applyBorder="1" applyAlignment="1">
      <alignment horizontal="right" vertical="center"/>
    </xf>
    <xf numFmtId="0" fontId="43" fillId="0" borderId="0" xfId="0" applyFont="1" applyBorder="1" applyAlignment="1">
      <alignment horizontal="center" vertical="center"/>
    </xf>
    <xf numFmtId="0" fontId="67" fillId="14" borderId="145" xfId="0" applyFont="1" applyFill="1" applyBorder="1" applyAlignment="1">
      <alignment horizontal="center" vertical="center"/>
    </xf>
    <xf numFmtId="0" fontId="22" fillId="17" borderId="135" xfId="0" applyFont="1" applyFill="1" applyBorder="1" applyAlignment="1">
      <alignment horizontal="center" vertical="center"/>
    </xf>
    <xf numFmtId="0" fontId="22" fillId="12" borderId="135" xfId="0" applyFont="1" applyFill="1" applyBorder="1" applyAlignment="1">
      <alignment vertical="center"/>
    </xf>
    <xf numFmtId="0" fontId="22" fillId="10" borderId="135" xfId="0" applyFont="1" applyFill="1" applyBorder="1" applyAlignment="1">
      <alignment horizontal="center" vertical="center"/>
    </xf>
    <xf numFmtId="0" fontId="22" fillId="9" borderId="135" xfId="0" applyFont="1" applyFill="1" applyBorder="1" applyAlignment="1">
      <alignment horizontal="center" vertical="center"/>
    </xf>
    <xf numFmtId="0" fontId="22" fillId="14" borderId="135" xfId="0" applyFont="1" applyFill="1" applyBorder="1" applyAlignment="1">
      <alignment horizontal="center" vertical="center"/>
    </xf>
    <xf numFmtId="0" fontId="22" fillId="8" borderId="135" xfId="0" applyFont="1" applyFill="1" applyBorder="1" applyAlignment="1">
      <alignment horizontal="center" vertical="center"/>
    </xf>
    <xf numFmtId="0" fontId="3" fillId="3" borderId="2" xfId="0" applyFont="1" applyFill="1" applyBorder="1" applyAlignment="1">
      <alignment horizontal="left" vertical="center" indent="1"/>
    </xf>
    <xf numFmtId="0" fontId="3" fillId="3" borderId="1" xfId="0" applyFont="1" applyFill="1" applyBorder="1" applyAlignment="1">
      <alignment horizontal="left" vertical="center" wrapText="1" indent="1"/>
    </xf>
    <xf numFmtId="0" fontId="3" fillId="3" borderId="148" xfId="0" applyFont="1" applyFill="1" applyBorder="1" applyAlignment="1">
      <alignment horizontal="left" vertical="center" indent="1"/>
    </xf>
    <xf numFmtId="0" fontId="3" fillId="3" borderId="5" xfId="0" applyFont="1" applyFill="1" applyBorder="1" applyAlignment="1">
      <alignment horizontal="left" vertical="center" indent="1"/>
    </xf>
    <xf numFmtId="0" fontId="0" fillId="0" borderId="4" xfId="0" applyBorder="1"/>
    <xf numFmtId="0" fontId="11" fillId="0" borderId="4" xfId="0" applyFont="1" applyFill="1" applyBorder="1" applyAlignment="1">
      <alignment horizontal="left" vertical="center" wrapText="1"/>
    </xf>
    <xf numFmtId="0" fontId="14" fillId="0" borderId="4" xfId="0" applyFont="1" applyFill="1" applyBorder="1" applyAlignment="1">
      <alignment horizontal="center" vertical="center" wrapText="1"/>
    </xf>
    <xf numFmtId="49" fontId="16" fillId="0" borderId="149" xfId="0" applyNumberFormat="1" applyFont="1" applyFill="1" applyBorder="1" applyAlignment="1">
      <alignment horizontal="left" vertical="center" wrapText="1"/>
    </xf>
    <xf numFmtId="0" fontId="14" fillId="0" borderId="7" xfId="0" applyFont="1" applyFill="1" applyBorder="1" applyAlignment="1">
      <alignment horizontal="center" vertical="center" wrapText="1"/>
    </xf>
    <xf numFmtId="0" fontId="11" fillId="0" borderId="6" xfId="0" applyFont="1" applyFill="1" applyBorder="1" applyAlignment="1">
      <alignment vertical="center" wrapText="1"/>
    </xf>
    <xf numFmtId="0" fontId="11" fillId="0" borderId="0" xfId="0" applyFont="1" applyFill="1" applyBorder="1" applyAlignment="1">
      <alignment vertical="center" wrapText="1"/>
    </xf>
    <xf numFmtId="0" fontId="11" fillId="0" borderId="7" xfId="0" applyFont="1" applyFill="1" applyBorder="1" applyAlignment="1">
      <alignment vertical="center" wrapText="1"/>
    </xf>
    <xf numFmtId="49" fontId="16" fillId="0" borderId="150" xfId="0" applyNumberFormat="1" applyFont="1" applyFill="1" applyBorder="1" applyAlignment="1">
      <alignment vertical="center" wrapText="1"/>
    </xf>
    <xf numFmtId="49" fontId="16" fillId="0" borderId="151" xfId="0" applyNumberFormat="1" applyFont="1" applyFill="1" applyBorder="1" applyAlignment="1">
      <alignment vertical="center" wrapText="1"/>
    </xf>
    <xf numFmtId="49" fontId="16" fillId="0" borderId="152" xfId="0" applyNumberFormat="1" applyFont="1" applyFill="1" applyBorder="1" applyAlignment="1">
      <alignment vertical="center" wrapText="1"/>
    </xf>
    <xf numFmtId="0" fontId="0" fillId="0" borderId="6" xfId="0" applyBorder="1"/>
    <xf numFmtId="0" fontId="0" fillId="0" borderId="0" xfId="0" applyBorder="1"/>
    <xf numFmtId="0" fontId="0" fillId="0" borderId="7" xfId="0" applyBorder="1"/>
    <xf numFmtId="49" fontId="13" fillId="0" borderId="5" xfId="0" applyNumberFormat="1" applyFont="1" applyFill="1" applyBorder="1" applyAlignment="1">
      <alignment horizontal="left" vertical="center" indent="1"/>
    </xf>
    <xf numFmtId="0" fontId="13" fillId="0" borderId="1" xfId="0" applyFont="1" applyFill="1" applyBorder="1" applyAlignment="1">
      <alignment horizontal="left" vertical="center" indent="2"/>
    </xf>
    <xf numFmtId="0" fontId="13" fillId="0" borderId="3" xfId="0" applyFont="1" applyFill="1" applyBorder="1" applyAlignment="1">
      <alignment horizontal="left" vertical="center" indent="1"/>
    </xf>
    <xf numFmtId="49" fontId="68" fillId="0" borderId="5" xfId="0" applyNumberFormat="1" applyFont="1" applyFill="1" applyBorder="1" applyAlignment="1">
      <alignment horizontal="left" vertical="center" indent="1"/>
    </xf>
    <xf numFmtId="0" fontId="68" fillId="0" borderId="3" xfId="0" applyFont="1" applyFill="1" applyBorder="1" applyAlignment="1">
      <alignment horizontal="left" vertical="center" indent="1"/>
    </xf>
    <xf numFmtId="0" fontId="68" fillId="0" borderId="2" xfId="0" applyFont="1" applyFill="1" applyBorder="1" applyAlignment="1">
      <alignment horizontal="center" vertical="center"/>
    </xf>
    <xf numFmtId="0" fontId="68" fillId="0" borderId="1" xfId="0" applyFont="1" applyFill="1" applyBorder="1" applyAlignment="1">
      <alignment horizontal="left" vertical="center" indent="1"/>
    </xf>
    <xf numFmtId="0" fontId="7" fillId="2" borderId="3" xfId="0" applyNumberFormat="1" applyFont="1" applyFill="1" applyBorder="1" applyAlignment="1">
      <alignment horizontal="center" vertical="center"/>
    </xf>
    <xf numFmtId="0" fontId="14" fillId="0" borderId="4" xfId="0" applyFont="1" applyFill="1" applyBorder="1" applyAlignment="1">
      <alignment horizontal="center" vertical="center" wrapText="1"/>
    </xf>
    <xf numFmtId="0" fontId="5" fillId="0" borderId="0" xfId="0" applyFont="1" applyBorder="1" applyAlignment="1" applyProtection="1">
      <alignment vertical="top" wrapText="1"/>
      <protection locked="0"/>
    </xf>
    <xf numFmtId="165" fontId="39" fillId="30" borderId="154" xfId="0" applyNumberFormat="1" applyFont="1" applyFill="1" applyBorder="1" applyAlignment="1" applyProtection="1">
      <alignment horizontal="center" vertical="top" wrapText="1"/>
      <protection locked="0"/>
    </xf>
    <xf numFmtId="0" fontId="14" fillId="14" borderId="0" xfId="0" applyFont="1" applyFill="1" applyBorder="1" applyAlignment="1" applyProtection="1">
      <alignment horizontal="center" vertical="center" wrapText="1"/>
      <protection locked="0"/>
    </xf>
    <xf numFmtId="0" fontId="68" fillId="14" borderId="0" xfId="0" applyFont="1" applyFill="1" applyBorder="1" applyAlignment="1" applyProtection="1">
      <alignment horizontal="center" vertical="center" wrapText="1"/>
      <protection locked="0"/>
    </xf>
    <xf numFmtId="0" fontId="14" fillId="8" borderId="96" xfId="4" applyFont="1" applyFill="1" applyBorder="1" applyAlignment="1" applyProtection="1">
      <alignment horizontal="center" vertical="center" wrapText="1"/>
      <protection locked="0"/>
    </xf>
    <xf numFmtId="0" fontId="12" fillId="8" borderId="96" xfId="4" applyFont="1" applyFill="1" applyBorder="1" applyAlignment="1">
      <alignment horizontal="center" vertical="center" wrapText="1"/>
    </xf>
    <xf numFmtId="0" fontId="77" fillId="12" borderId="0" xfId="0" applyFont="1" applyFill="1" applyBorder="1" applyAlignment="1" applyProtection="1">
      <alignment horizontal="center" vertical="center" wrapText="1"/>
      <protection locked="0"/>
    </xf>
    <xf numFmtId="0" fontId="50" fillId="12" borderId="0" xfId="0" applyFont="1" applyFill="1" applyBorder="1" applyAlignment="1" applyProtection="1">
      <alignment horizontal="center" vertical="center" wrapText="1"/>
      <protection locked="0"/>
    </xf>
    <xf numFmtId="0" fontId="77" fillId="0" borderId="0" xfId="0" applyFont="1" applyBorder="1" applyAlignment="1" applyProtection="1">
      <alignment vertical="center" wrapText="1"/>
      <protection locked="0"/>
    </xf>
    <xf numFmtId="0" fontId="14" fillId="9" borderId="96" xfId="5" applyFont="1" applyFill="1" applyBorder="1" applyAlignment="1" applyProtection="1">
      <alignment horizontal="center" vertical="center" wrapText="1"/>
      <protection locked="0"/>
    </xf>
    <xf numFmtId="0" fontId="14" fillId="17" borderId="96" xfId="5" applyFont="1" applyFill="1" applyBorder="1" applyAlignment="1" applyProtection="1">
      <alignment horizontal="center" vertical="center" wrapText="1"/>
      <protection locked="0"/>
    </xf>
    <xf numFmtId="9" fontId="50" fillId="12" borderId="0" xfId="0" applyNumberFormat="1" applyFont="1" applyFill="1" applyBorder="1" applyAlignment="1" applyProtection="1">
      <alignment horizontal="center" vertical="center" wrapText="1"/>
      <protection locked="0"/>
    </xf>
    <xf numFmtId="165" fontId="77" fillId="0" borderId="0" xfId="0" applyNumberFormat="1" applyFont="1" applyBorder="1" applyAlignment="1" applyProtection="1">
      <alignment vertical="center" wrapText="1"/>
      <protection locked="0"/>
    </xf>
    <xf numFmtId="0" fontId="78" fillId="0" borderId="0" xfId="0" applyFont="1" applyBorder="1" applyAlignment="1" applyProtection="1">
      <alignment horizontal="center" vertical="center" wrapText="1"/>
      <protection locked="0"/>
    </xf>
    <xf numFmtId="0" fontId="74" fillId="0" borderId="0" xfId="0" applyFont="1" applyBorder="1" applyAlignment="1" applyProtection="1">
      <alignment horizontal="center" vertical="center" wrapText="1"/>
      <protection locked="0"/>
    </xf>
    <xf numFmtId="0" fontId="77" fillId="0" borderId="0" xfId="0" applyFont="1" applyBorder="1" applyAlignment="1" applyProtection="1">
      <alignment horizontal="left" vertical="center" wrapText="1"/>
      <protection locked="0"/>
    </xf>
    <xf numFmtId="0" fontId="79" fillId="0" borderId="0" xfId="0" applyFont="1" applyBorder="1" applyAlignment="1" applyProtection="1">
      <alignment vertical="center" wrapText="1"/>
      <protection locked="0"/>
    </xf>
    <xf numFmtId="0" fontId="77" fillId="0" borderId="0" xfId="0" applyFont="1" applyBorder="1" applyAlignment="1" applyProtection="1">
      <alignment horizontal="center" vertical="top" wrapText="1"/>
      <protection locked="0"/>
    </xf>
    <xf numFmtId="0" fontId="14" fillId="0" borderId="0" xfId="0" applyFont="1" applyBorder="1" applyAlignment="1" applyProtection="1">
      <alignment horizontal="center" vertical="center" wrapText="1"/>
      <protection locked="0"/>
    </xf>
    <xf numFmtId="0" fontId="12" fillId="0" borderId="0" xfId="0" applyFont="1" applyBorder="1" applyAlignment="1" applyProtection="1">
      <alignment horizontal="left" vertical="center" wrapText="1"/>
      <protection locked="0"/>
    </xf>
    <xf numFmtId="0" fontId="14" fillId="0" borderId="0" xfId="0" applyFont="1" applyBorder="1" applyAlignment="1" applyProtection="1">
      <alignment vertical="center" wrapText="1"/>
      <protection locked="0"/>
    </xf>
    <xf numFmtId="0" fontId="80" fillId="2" borderId="96" xfId="4" applyFont="1" applyFill="1" applyBorder="1" applyAlignment="1">
      <alignment horizontal="center" vertical="center" wrapText="1"/>
    </xf>
    <xf numFmtId="0" fontId="12" fillId="0" borderId="0" xfId="0" applyFont="1" applyBorder="1" applyAlignment="1" applyProtection="1">
      <alignment vertical="center" wrapText="1"/>
      <protection locked="0"/>
    </xf>
    <xf numFmtId="0" fontId="12" fillId="0" borderId="0" xfId="0" applyFont="1" applyBorder="1" applyAlignment="1" applyProtection="1">
      <alignment horizontal="center" vertical="top" wrapText="1"/>
      <protection locked="0"/>
    </xf>
    <xf numFmtId="0" fontId="12" fillId="0" borderId="0" xfId="0" applyFont="1" applyBorder="1" applyAlignment="1" applyProtection="1">
      <alignment horizontal="center" vertical="center" wrapText="1"/>
      <protection locked="0"/>
    </xf>
    <xf numFmtId="165" fontId="12" fillId="0" borderId="0" xfId="0" applyNumberFormat="1" applyFont="1" applyBorder="1" applyAlignment="1" applyProtection="1">
      <alignment vertical="center" wrapText="1"/>
      <protection locked="0"/>
    </xf>
    <xf numFmtId="0" fontId="81" fillId="0" borderId="0" xfId="0" applyFont="1" applyBorder="1" applyAlignment="1" applyProtection="1">
      <alignment horizontal="center" vertical="center" wrapText="1"/>
      <protection locked="0"/>
    </xf>
    <xf numFmtId="0" fontId="82" fillId="0" borderId="0" xfId="0" applyFont="1" applyBorder="1" applyAlignment="1" applyProtection="1">
      <alignment horizontal="center" vertical="center" wrapText="1"/>
      <protection locked="0"/>
    </xf>
    <xf numFmtId="0" fontId="5" fillId="0" borderId="0" xfId="0" applyFont="1" applyBorder="1" applyAlignment="1" applyProtection="1">
      <alignment horizontal="left" vertical="center" wrapText="1"/>
      <protection locked="0"/>
    </xf>
    <xf numFmtId="0" fontId="7" fillId="0" borderId="0" xfId="0" applyFont="1" applyBorder="1" applyAlignment="1" applyProtection="1">
      <alignment vertical="center" wrapText="1"/>
      <protection locked="0"/>
    </xf>
    <xf numFmtId="165" fontId="77" fillId="0" borderId="0" xfId="0" applyNumberFormat="1" applyFont="1" applyBorder="1" applyAlignment="1" applyProtection="1">
      <alignment vertical="top" wrapText="1"/>
      <protection locked="0"/>
    </xf>
    <xf numFmtId="0" fontId="78" fillId="0" borderId="0" xfId="0" applyFont="1" applyBorder="1" applyAlignment="1" applyProtection="1">
      <alignment horizontal="center" vertical="top" wrapText="1"/>
      <protection locked="0"/>
    </xf>
    <xf numFmtId="0" fontId="77" fillId="0" borderId="0" xfId="0" applyFont="1" applyBorder="1" applyAlignment="1" applyProtection="1">
      <alignment vertical="top" wrapText="1"/>
      <protection locked="0"/>
    </xf>
    <xf numFmtId="0" fontId="79" fillId="0" borderId="0" xfId="0" applyFont="1" applyBorder="1" applyAlignment="1" applyProtection="1">
      <alignment vertical="top" wrapText="1"/>
      <protection locked="0"/>
    </xf>
    <xf numFmtId="165" fontId="83" fillId="30" borderId="154" xfId="0" applyNumberFormat="1" applyFont="1" applyFill="1" applyBorder="1" applyAlignment="1" applyProtection="1">
      <alignment horizontal="center" vertical="top" wrapText="1"/>
      <protection locked="0"/>
    </xf>
    <xf numFmtId="0" fontId="75" fillId="14" borderId="0" xfId="0" applyFont="1" applyFill="1" applyBorder="1" applyAlignment="1" applyProtection="1">
      <alignment horizontal="center" vertical="center" wrapText="1"/>
      <protection locked="0"/>
    </xf>
    <xf numFmtId="0" fontId="24" fillId="0" borderId="0" xfId="9" applyFont="1" applyAlignment="1">
      <alignment vertical="center" wrapText="1"/>
    </xf>
    <xf numFmtId="0" fontId="8" fillId="0" borderId="0" xfId="9" applyAlignment="1">
      <alignment vertical="center" wrapText="1"/>
    </xf>
    <xf numFmtId="0" fontId="77" fillId="0" borderId="0" xfId="0" applyFont="1" applyBorder="1" applyAlignment="1" applyProtection="1">
      <alignment horizontal="center" vertical="center" wrapText="1"/>
      <protection locked="0"/>
    </xf>
    <xf numFmtId="0" fontId="24" fillId="0" borderId="0" xfId="0" applyFont="1" applyBorder="1" applyAlignment="1" applyProtection="1">
      <alignment vertical="center" wrapText="1"/>
      <protection locked="0"/>
    </xf>
    <xf numFmtId="0" fontId="8" fillId="0" borderId="0" xfId="9" applyAlignment="1">
      <alignment horizontal="center" vertical="center" wrapText="1"/>
    </xf>
    <xf numFmtId="0" fontId="8" fillId="0" borderId="0" xfId="9" applyAlignment="1">
      <alignment horizontal="left" vertical="center" wrapText="1"/>
    </xf>
    <xf numFmtId="0" fontId="27" fillId="0" borderId="32" xfId="0" applyFont="1" applyFill="1" applyBorder="1" applyAlignment="1">
      <alignment horizontal="left" vertical="center" wrapText="1" readingOrder="1"/>
    </xf>
    <xf numFmtId="0" fontId="27" fillId="0" borderId="35" xfId="0" applyFont="1" applyFill="1" applyBorder="1" applyAlignment="1">
      <alignment horizontal="center" vertical="center" wrapText="1" readingOrder="1"/>
    </xf>
    <xf numFmtId="0" fontId="27" fillId="0" borderId="24" xfId="0" applyFont="1" applyFill="1" applyBorder="1" applyAlignment="1">
      <alignment horizontal="left" vertical="center" wrapText="1" readingOrder="1"/>
    </xf>
    <xf numFmtId="0" fontId="27" fillId="0" borderId="31" xfId="0" applyFont="1" applyFill="1" applyBorder="1" applyAlignment="1">
      <alignment horizontal="center" vertical="center" wrapText="1" readingOrder="1"/>
    </xf>
    <xf numFmtId="0" fontId="27" fillId="0" borderId="30" xfId="0" applyFont="1" applyFill="1" applyBorder="1" applyAlignment="1">
      <alignment horizontal="center" vertical="center" wrapText="1" readingOrder="1"/>
    </xf>
    <xf numFmtId="0" fontId="27" fillId="0" borderId="17" xfId="0" applyFont="1" applyFill="1" applyBorder="1" applyAlignment="1">
      <alignment horizontal="left" vertical="center" wrapText="1" readingOrder="1"/>
    </xf>
    <xf numFmtId="0" fontId="27" fillId="0" borderId="23" xfId="0" applyFont="1" applyFill="1" applyBorder="1" applyAlignment="1">
      <alignment horizontal="center" vertical="center" wrapText="1" readingOrder="1"/>
    </xf>
    <xf numFmtId="0" fontId="25" fillId="0" borderId="16" xfId="0" applyFont="1" applyFill="1" applyBorder="1" applyAlignment="1">
      <alignment horizontal="right" vertical="center" wrapText="1" readingOrder="1"/>
    </xf>
    <xf numFmtId="0" fontId="25" fillId="0" borderId="13" xfId="0" applyFont="1" applyFill="1" applyBorder="1" applyAlignment="1">
      <alignment horizontal="center" vertical="center" wrapText="1" readingOrder="1"/>
    </xf>
    <xf numFmtId="1" fontId="27" fillId="0" borderId="32" xfId="0" applyNumberFormat="1" applyFont="1" applyFill="1" applyBorder="1" applyAlignment="1">
      <alignment horizontal="center" vertical="center" wrapText="1" readingOrder="1"/>
    </xf>
    <xf numFmtId="1" fontId="27" fillId="0" borderId="24" xfId="0" applyNumberFormat="1" applyFont="1" applyFill="1" applyBorder="1" applyAlignment="1">
      <alignment horizontal="center" vertical="center" wrapText="1" readingOrder="1"/>
    </xf>
    <xf numFmtId="1" fontId="27" fillId="0" borderId="17" xfId="0" applyNumberFormat="1" applyFont="1" applyFill="1" applyBorder="1" applyAlignment="1">
      <alignment horizontal="center" vertical="center" wrapText="1" readingOrder="1"/>
    </xf>
    <xf numFmtId="0" fontId="30" fillId="0" borderId="22" xfId="0" applyFont="1" applyFill="1" applyBorder="1" applyAlignment="1">
      <alignment horizontal="center" vertical="center" wrapText="1" readingOrder="1"/>
    </xf>
    <xf numFmtId="0" fontId="29" fillId="0" borderId="21" xfId="0" applyFont="1" applyFill="1" applyBorder="1" applyAlignment="1">
      <alignment horizontal="center" vertical="center" wrapText="1" readingOrder="1"/>
    </xf>
    <xf numFmtId="0" fontId="28" fillId="0" borderId="19" xfId="0" applyFont="1" applyFill="1" applyBorder="1" applyAlignment="1">
      <alignment horizontal="center" vertical="center" wrapText="1"/>
    </xf>
    <xf numFmtId="0" fontId="28" fillId="0" borderId="18" xfId="0" applyFont="1" applyFill="1" applyBorder="1" applyAlignment="1">
      <alignment horizontal="center" vertical="center" wrapText="1"/>
    </xf>
    <xf numFmtId="0" fontId="29" fillId="0" borderId="20" xfId="0" applyFont="1" applyFill="1" applyBorder="1" applyAlignment="1">
      <alignment horizontal="center" vertical="center" wrapText="1" readingOrder="1"/>
    </xf>
    <xf numFmtId="0" fontId="28" fillId="0" borderId="34" xfId="0" applyFont="1" applyFill="1" applyBorder="1" applyAlignment="1">
      <alignment horizontal="center" vertical="center" wrapText="1"/>
    </xf>
    <xf numFmtId="0" fontId="30" fillId="0" borderId="33" xfId="0" applyFont="1" applyFill="1" applyBorder="1" applyAlignment="1">
      <alignment horizontal="center" vertical="center" wrapText="1" readingOrder="1"/>
    </xf>
    <xf numFmtId="9" fontId="30" fillId="0" borderId="33" xfId="0" applyNumberFormat="1" applyFont="1" applyFill="1" applyBorder="1" applyAlignment="1">
      <alignment horizontal="center" vertical="center" wrapText="1" readingOrder="1"/>
    </xf>
    <xf numFmtId="0" fontId="28" fillId="0" borderId="26" xfId="0" applyFont="1" applyFill="1" applyBorder="1" applyAlignment="1">
      <alignment horizontal="center" vertical="center" wrapText="1"/>
    </xf>
    <xf numFmtId="0" fontId="28" fillId="0" borderId="25" xfId="0" applyFont="1" applyFill="1" applyBorder="1" applyAlignment="1">
      <alignment horizontal="center" vertical="center" wrapText="1"/>
    </xf>
    <xf numFmtId="9" fontId="30" fillId="0" borderId="25" xfId="0" applyNumberFormat="1" applyFont="1" applyFill="1" applyBorder="1" applyAlignment="1">
      <alignment horizontal="center" vertical="center" wrapText="1" readingOrder="1"/>
    </xf>
    <xf numFmtId="9" fontId="30" fillId="0" borderId="29" xfId="0" applyNumberFormat="1" applyFont="1" applyFill="1" applyBorder="1" applyAlignment="1">
      <alignment horizontal="center" vertical="center" wrapText="1" readingOrder="1"/>
    </xf>
    <xf numFmtId="9" fontId="25" fillId="0" borderId="15" xfId="0" applyNumberFormat="1" applyFont="1" applyFill="1" applyBorder="1" applyAlignment="1">
      <alignment horizontal="center" vertical="center" wrapText="1" readingOrder="1"/>
    </xf>
    <xf numFmtId="9" fontId="25" fillId="0" borderId="13" xfId="0" applyNumberFormat="1" applyFont="1" applyFill="1" applyBorder="1" applyAlignment="1">
      <alignment horizontal="center" vertical="center" wrapText="1" readingOrder="1"/>
    </xf>
    <xf numFmtId="0" fontId="26" fillId="0" borderId="12" xfId="0" applyFont="1" applyFill="1" applyBorder="1" applyAlignment="1">
      <alignment horizontal="center" vertical="center" wrapText="1"/>
    </xf>
    <xf numFmtId="0" fontId="26" fillId="0" borderId="11" xfId="0" applyFont="1" applyFill="1" applyBorder="1" applyAlignment="1">
      <alignment horizontal="center" vertical="center" wrapText="1"/>
    </xf>
    <xf numFmtId="9" fontId="25" fillId="0" borderId="14" xfId="0" applyNumberFormat="1" applyFont="1" applyFill="1" applyBorder="1" applyAlignment="1">
      <alignment horizontal="center" vertical="center" wrapText="1" readingOrder="1"/>
    </xf>
    <xf numFmtId="0" fontId="86" fillId="3" borderId="2" xfId="0" applyFont="1" applyFill="1" applyBorder="1" applyAlignment="1">
      <alignment horizontal="left" vertical="center" wrapText="1" indent="1"/>
    </xf>
    <xf numFmtId="0" fontId="85" fillId="3" borderId="5" xfId="0" applyFont="1" applyFill="1" applyBorder="1" applyAlignment="1">
      <alignment horizontal="left" vertical="center" wrapText="1" indent="1"/>
    </xf>
    <xf numFmtId="0" fontId="86" fillId="3" borderId="148" xfId="0" applyFont="1" applyFill="1" applyBorder="1" applyAlignment="1">
      <alignment horizontal="left" vertical="center" wrapText="1" indent="1"/>
    </xf>
    <xf numFmtId="0" fontId="17" fillId="3" borderId="2" xfId="0" applyFont="1" applyFill="1" applyBorder="1" applyAlignment="1">
      <alignment horizontal="center" vertical="center" wrapText="1"/>
    </xf>
    <xf numFmtId="0" fontId="87" fillId="3" borderId="2" xfId="0" applyFont="1" applyFill="1" applyBorder="1" applyAlignment="1">
      <alignment horizontal="center" vertical="center" wrapText="1"/>
    </xf>
    <xf numFmtId="14" fontId="0" fillId="0" borderId="0" xfId="0" applyNumberFormat="1"/>
    <xf numFmtId="1" fontId="25" fillId="0" borderId="10" xfId="0" applyNumberFormat="1" applyFont="1" applyFill="1" applyBorder="1" applyAlignment="1">
      <alignment horizontal="center" vertical="center" wrapText="1" readingOrder="1"/>
    </xf>
    <xf numFmtId="0" fontId="12" fillId="29" borderId="96" xfId="0" applyFont="1" applyFill="1" applyBorder="1" applyAlignment="1">
      <alignment horizontal="center" vertical="center" wrapText="1"/>
    </xf>
    <xf numFmtId="0" fontId="12" fillId="9" borderId="96" xfId="5" applyFont="1" applyFill="1" applyBorder="1" applyAlignment="1">
      <alignment horizontal="center" vertical="center" wrapText="1"/>
    </xf>
    <xf numFmtId="0" fontId="12" fillId="18" borderId="96" xfId="5" applyFont="1" applyFill="1" applyBorder="1" applyAlignment="1">
      <alignment horizontal="center" vertical="center" wrapText="1"/>
    </xf>
    <xf numFmtId="0" fontId="12" fillId="11" borderId="96" xfId="0" applyFont="1" applyFill="1" applyBorder="1" applyAlignment="1">
      <alignment horizontal="center" vertical="center" wrapText="1"/>
    </xf>
    <xf numFmtId="0" fontId="12" fillId="10" borderId="96" xfId="3" applyFont="1" applyFill="1" applyBorder="1" applyAlignment="1">
      <alignment horizontal="center" vertical="center" wrapText="1"/>
    </xf>
    <xf numFmtId="0" fontId="39" fillId="30" borderId="154" xfId="0" applyFont="1" applyFill="1" applyBorder="1" applyAlignment="1" applyProtection="1">
      <alignment horizontal="center" vertical="top" wrapText="1"/>
      <protection locked="0"/>
    </xf>
    <xf numFmtId="0" fontId="39" fillId="30" borderId="154" xfId="0" applyFont="1" applyFill="1" applyBorder="1" applyAlignment="1" applyProtection="1">
      <alignment horizontal="left" vertical="top" wrapText="1"/>
      <protection locked="0"/>
    </xf>
    <xf numFmtId="0" fontId="73" fillId="8" borderId="155" xfId="0" applyFont="1" applyFill="1" applyBorder="1" applyAlignment="1">
      <alignment horizontal="center" vertical="center" wrapText="1" readingOrder="1"/>
    </xf>
    <xf numFmtId="0" fontId="14" fillId="8" borderId="155" xfId="4" applyFont="1" applyFill="1" applyBorder="1" applyAlignment="1" applyProtection="1">
      <alignment horizontal="center" vertical="center" wrapText="1"/>
      <protection locked="0"/>
    </xf>
    <xf numFmtId="0" fontId="12" fillId="28" borderId="155" xfId="4" applyFont="1" applyFill="1" applyBorder="1" applyAlignment="1">
      <alignment horizontal="center" vertical="center" wrapText="1"/>
    </xf>
    <xf numFmtId="0" fontId="74" fillId="12" borderId="155" xfId="0" applyFont="1" applyFill="1" applyBorder="1" applyAlignment="1" applyProtection="1">
      <alignment horizontal="center" vertical="center" wrapText="1"/>
      <protection locked="0"/>
    </xf>
    <xf numFmtId="0" fontId="75" fillId="12" borderId="155" xfId="0" applyFont="1" applyFill="1" applyBorder="1" applyAlignment="1" applyProtection="1">
      <alignment horizontal="left" vertical="center" wrapText="1" indent="1"/>
      <protection locked="0"/>
    </xf>
    <xf numFmtId="0" fontId="75" fillId="12" borderId="155" xfId="0" applyFont="1" applyFill="1" applyBorder="1" applyAlignment="1" applyProtection="1">
      <alignment horizontal="center" vertical="center" wrapText="1"/>
      <protection locked="0"/>
    </xf>
    <xf numFmtId="0" fontId="76" fillId="12" borderId="155" xfId="0" applyFont="1" applyFill="1" applyBorder="1" applyAlignment="1" applyProtection="1">
      <alignment horizontal="center" vertical="center" wrapText="1"/>
      <protection locked="0"/>
    </xf>
    <xf numFmtId="0" fontId="12" fillId="8" borderId="155" xfId="4" applyFont="1" applyFill="1" applyBorder="1" applyAlignment="1">
      <alignment horizontal="center" vertical="center" wrapText="1"/>
    </xf>
    <xf numFmtId="0" fontId="8" fillId="12" borderId="155" xfId="0" applyFont="1" applyFill="1" applyBorder="1" applyAlignment="1" applyProtection="1">
      <alignment horizontal="left" vertical="center" wrapText="1" indent="1"/>
      <protection locked="0"/>
    </xf>
    <xf numFmtId="0" fontId="77" fillId="12" borderId="155" xfId="0" applyFont="1" applyFill="1" applyBorder="1" applyAlignment="1" applyProtection="1">
      <alignment horizontal="left" vertical="top" wrapText="1"/>
      <protection locked="0"/>
    </xf>
    <xf numFmtId="0" fontId="14" fillId="9" borderId="155" xfId="5" applyFont="1" applyFill="1" applyBorder="1" applyAlignment="1" applyProtection="1">
      <alignment horizontal="center" vertical="center" wrapText="1"/>
      <protection locked="0"/>
    </xf>
    <xf numFmtId="0" fontId="12" fillId="17" borderId="155" xfId="0" applyFont="1" applyFill="1" applyBorder="1" applyAlignment="1">
      <alignment horizontal="center" vertical="center" wrapText="1"/>
    </xf>
    <xf numFmtId="0" fontId="12" fillId="10" borderId="155" xfId="3" applyFont="1" applyFill="1" applyBorder="1" applyAlignment="1">
      <alignment horizontal="center" vertical="center" wrapText="1"/>
    </xf>
    <xf numFmtId="0" fontId="14" fillId="17" borderId="155" xfId="5" applyFont="1" applyFill="1" applyBorder="1" applyAlignment="1" applyProtection="1">
      <alignment horizontal="center" vertical="center" wrapText="1"/>
      <protection locked="0"/>
    </xf>
    <xf numFmtId="0" fontId="12" fillId="13" borderId="155" xfId="0" applyFont="1" applyFill="1" applyBorder="1" applyAlignment="1">
      <alignment horizontal="center" vertical="center" wrapText="1"/>
    </xf>
    <xf numFmtId="0" fontId="73" fillId="17" borderId="155" xfId="0" applyFont="1" applyFill="1" applyBorder="1" applyAlignment="1">
      <alignment horizontal="center" vertical="center" wrapText="1" readingOrder="1"/>
    </xf>
    <xf numFmtId="0" fontId="12" fillId="18" borderId="155" xfId="4" applyFont="1" applyFill="1" applyBorder="1" applyAlignment="1">
      <alignment horizontal="center" vertical="center" wrapText="1"/>
    </xf>
    <xf numFmtId="0" fontId="12" fillId="9" borderId="155" xfId="5" applyFont="1" applyFill="1" applyBorder="1" applyAlignment="1">
      <alignment horizontal="center" vertical="center" wrapText="1"/>
    </xf>
    <xf numFmtId="0" fontId="12" fillId="29" borderId="155" xfId="0" applyFont="1" applyFill="1" applyBorder="1" applyAlignment="1">
      <alignment horizontal="center" vertical="center" wrapText="1"/>
    </xf>
    <xf numFmtId="0" fontId="73" fillId="18" borderId="155" xfId="0" applyFont="1" applyFill="1" applyBorder="1" applyAlignment="1">
      <alignment horizontal="center" vertical="center" wrapText="1" readingOrder="1"/>
    </xf>
    <xf numFmtId="0" fontId="73" fillId="9" borderId="155" xfId="0" applyFont="1" applyFill="1" applyBorder="1" applyAlignment="1">
      <alignment horizontal="center" vertical="center" wrapText="1" readingOrder="1"/>
    </xf>
    <xf numFmtId="0" fontId="12" fillId="11" borderId="155" xfId="0" applyFont="1" applyFill="1" applyBorder="1" applyAlignment="1">
      <alignment horizontal="center" vertical="center" wrapText="1"/>
    </xf>
    <xf numFmtId="0" fontId="73" fillId="16" borderId="155" xfId="0" applyFont="1" applyFill="1" applyBorder="1" applyAlignment="1">
      <alignment horizontal="center" vertical="center" wrapText="1" readingOrder="1"/>
    </xf>
    <xf numFmtId="0" fontId="12" fillId="9" borderId="155" xfId="5" applyFont="1" applyFill="1" applyBorder="1" applyAlignment="1" applyProtection="1">
      <alignment horizontal="center" vertical="center" wrapText="1"/>
      <protection locked="0"/>
    </xf>
    <xf numFmtId="16" fontId="37" fillId="0" borderId="0" xfId="0" applyNumberFormat="1" applyFont="1" applyAlignment="1">
      <alignment vertical="top" wrapText="1"/>
    </xf>
    <xf numFmtId="0" fontId="73" fillId="31" borderId="155" xfId="0" applyFont="1" applyFill="1" applyBorder="1" applyAlignment="1">
      <alignment horizontal="center" vertical="center" wrapText="1" readingOrder="1"/>
    </xf>
    <xf numFmtId="0" fontId="75" fillId="0" borderId="0" xfId="0" applyFont="1" applyBorder="1" applyAlignment="1" applyProtection="1">
      <alignment horizontal="left" vertical="center" wrapText="1"/>
      <protection locked="0"/>
    </xf>
    <xf numFmtId="0" fontId="77" fillId="0" borderId="0" xfId="0" applyFont="1" applyBorder="1" applyAlignment="1" applyProtection="1">
      <alignment horizontal="left" vertical="top" wrapText="1"/>
      <protection locked="0"/>
    </xf>
    <xf numFmtId="0" fontId="50" fillId="0" borderId="0" xfId="0" applyFont="1" applyBorder="1" applyAlignment="1" applyProtection="1">
      <alignment horizontal="center" vertical="center" wrapText="1"/>
      <protection locked="0"/>
    </xf>
    <xf numFmtId="0" fontId="8" fillId="0" borderId="0" xfId="0" applyFont="1" applyBorder="1" applyAlignment="1" applyProtection="1">
      <alignment horizontal="left" vertical="center" wrapText="1"/>
      <protection locked="0"/>
    </xf>
    <xf numFmtId="0" fontId="75" fillId="0" borderId="0" xfId="0" applyFont="1" applyBorder="1" applyAlignment="1" applyProtection="1">
      <alignment horizontal="center" vertical="center" wrapText="1"/>
      <protection locked="0"/>
    </xf>
    <xf numFmtId="0" fontId="14" fillId="0" borderId="0" xfId="0" applyNumberFormat="1" applyFont="1" applyBorder="1" applyAlignment="1" applyProtection="1">
      <alignment horizontal="center" vertical="center" wrapText="1"/>
      <protection locked="0"/>
    </xf>
    <xf numFmtId="0" fontId="76" fillId="0" borderId="0" xfId="0" applyFont="1" applyBorder="1" applyAlignment="1" applyProtection="1">
      <alignment horizontal="center" vertical="center" wrapText="1"/>
      <protection locked="0"/>
    </xf>
    <xf numFmtId="10" fontId="50" fillId="0" borderId="0" xfId="0" applyNumberFormat="1" applyFont="1" applyBorder="1" applyAlignment="1" applyProtection="1">
      <alignment horizontal="center" vertical="center" wrapText="1"/>
      <protection locked="0"/>
    </xf>
    <xf numFmtId="0" fontId="12" fillId="28" borderId="99" xfId="4" applyFont="1" applyFill="1" applyBorder="1" applyAlignment="1">
      <alignment horizontal="center" vertical="center" wrapText="1"/>
    </xf>
    <xf numFmtId="0" fontId="12" fillId="17" borderId="99" xfId="0" applyFont="1" applyFill="1" applyBorder="1" applyAlignment="1">
      <alignment horizontal="center" vertical="center" wrapText="1"/>
    </xf>
    <xf numFmtId="0" fontId="12" fillId="29" borderId="156" xfId="0" applyFont="1" applyFill="1" applyBorder="1" applyAlignment="1">
      <alignment horizontal="center" vertical="center" wrapText="1"/>
    </xf>
    <xf numFmtId="0" fontId="12" fillId="13" borderId="99" xfId="0" applyFont="1" applyFill="1" applyBorder="1" applyAlignment="1">
      <alignment horizontal="center" vertical="center" wrapText="1"/>
    </xf>
    <xf numFmtId="0" fontId="12" fillId="9" borderId="99" xfId="5" applyFont="1" applyFill="1" applyBorder="1" applyAlignment="1" applyProtection="1">
      <alignment horizontal="center" vertical="center" wrapText="1"/>
      <protection locked="0"/>
    </xf>
    <xf numFmtId="0" fontId="73" fillId="8" borderId="96" xfId="0" applyFont="1" applyFill="1" applyBorder="1" applyAlignment="1">
      <alignment horizontal="center" vertical="center" wrapText="1" readingOrder="1"/>
    </xf>
    <xf numFmtId="0" fontId="84" fillId="8" borderId="96" xfId="0" applyFont="1" applyFill="1" applyBorder="1" applyAlignment="1">
      <alignment horizontal="center" vertical="center" wrapText="1" readingOrder="1"/>
    </xf>
    <xf numFmtId="0" fontId="73" fillId="17" borderId="96" xfId="0" applyFont="1" applyFill="1" applyBorder="1" applyAlignment="1">
      <alignment horizontal="center" vertical="center" wrapText="1" readingOrder="1"/>
    </xf>
    <xf numFmtId="0" fontId="84" fillId="17" borderId="96" xfId="0" applyFont="1" applyFill="1" applyBorder="1" applyAlignment="1">
      <alignment horizontal="center" vertical="center" wrapText="1" readingOrder="1"/>
    </xf>
    <xf numFmtId="0" fontId="73" fillId="18" borderId="96" xfId="0" applyFont="1" applyFill="1" applyBorder="1" applyAlignment="1">
      <alignment horizontal="center" vertical="center" wrapText="1" readingOrder="1"/>
    </xf>
    <xf numFmtId="0" fontId="84" fillId="18" borderId="96" xfId="0" applyFont="1" applyFill="1" applyBorder="1" applyAlignment="1">
      <alignment horizontal="center" vertical="center" wrapText="1" readingOrder="1"/>
    </xf>
    <xf numFmtId="0" fontId="73" fillId="9" borderId="96" xfId="0" applyFont="1" applyFill="1" applyBorder="1" applyAlignment="1">
      <alignment horizontal="center" vertical="center" wrapText="1" readingOrder="1"/>
    </xf>
    <xf numFmtId="0" fontId="84" fillId="9" borderId="96" xfId="0" applyFont="1" applyFill="1" applyBorder="1" applyAlignment="1">
      <alignment horizontal="center" vertical="center" wrapText="1" readingOrder="1"/>
    </xf>
    <xf numFmtId="0" fontId="73" fillId="16" borderId="96" xfId="0" applyFont="1" applyFill="1" applyBorder="1" applyAlignment="1">
      <alignment horizontal="center" vertical="center" wrapText="1" readingOrder="1"/>
    </xf>
    <xf numFmtId="0" fontId="84" fillId="16" borderId="96" xfId="0" applyFont="1" applyFill="1" applyBorder="1" applyAlignment="1">
      <alignment horizontal="center" vertical="center" wrapText="1" readingOrder="1"/>
    </xf>
    <xf numFmtId="0" fontId="75" fillId="12" borderId="96" xfId="9" applyFont="1" applyFill="1" applyBorder="1" applyAlignment="1">
      <alignment horizontal="center" vertical="center" wrapText="1"/>
    </xf>
    <xf numFmtId="0" fontId="8" fillId="12" borderId="96" xfId="9" applyFont="1" applyFill="1" applyBorder="1" applyAlignment="1">
      <alignment vertical="center" wrapText="1"/>
    </xf>
    <xf numFmtId="16" fontId="76" fillId="12" borderId="96" xfId="9" applyNumberFormat="1" applyFont="1" applyFill="1" applyBorder="1" applyAlignment="1">
      <alignment horizontal="center" vertical="center" wrapText="1"/>
    </xf>
    <xf numFmtId="1" fontId="76" fillId="0" borderId="96" xfId="9" applyNumberFormat="1" applyFont="1" applyFill="1" applyBorder="1" applyAlignment="1">
      <alignment horizontal="center" vertical="center" wrapText="1"/>
    </xf>
    <xf numFmtId="0" fontId="76" fillId="12" borderId="96" xfId="9" applyFont="1" applyFill="1" applyBorder="1" applyAlignment="1">
      <alignment horizontal="center" vertical="center" wrapText="1"/>
    </xf>
    <xf numFmtId="0" fontId="8" fillId="12" borderId="96" xfId="9" applyFont="1" applyFill="1" applyBorder="1" applyAlignment="1">
      <alignment horizontal="left" vertical="center" wrapText="1"/>
    </xf>
    <xf numFmtId="49" fontId="76" fillId="8" borderId="96" xfId="9" applyNumberFormat="1" applyFont="1" applyFill="1" applyBorder="1" applyAlignment="1">
      <alignment horizontal="center" vertical="center" wrapText="1"/>
    </xf>
    <xf numFmtId="49" fontId="76" fillId="9" borderId="96" xfId="9" applyNumberFormat="1" applyFont="1" applyFill="1" applyBorder="1" applyAlignment="1">
      <alignment horizontal="center" vertical="center" wrapText="1"/>
    </xf>
    <xf numFmtId="49" fontId="76" fillId="10" borderId="96" xfId="9" applyNumberFormat="1" applyFont="1" applyFill="1" applyBorder="1" applyAlignment="1">
      <alignment horizontal="center" vertical="center" wrapText="1"/>
    </xf>
    <xf numFmtId="0" fontId="12" fillId="18" borderId="96" xfId="4" applyFont="1" applyFill="1" applyBorder="1" applyAlignment="1">
      <alignment horizontal="center" vertical="center" wrapText="1"/>
    </xf>
    <xf numFmtId="0" fontId="67" fillId="14" borderId="137" xfId="0" applyFont="1" applyFill="1" applyBorder="1" applyAlignment="1">
      <alignment horizontal="right" vertical="center"/>
    </xf>
    <xf numFmtId="0" fontId="67" fillId="14" borderId="141" xfId="0" applyFont="1" applyFill="1" applyBorder="1" applyAlignment="1">
      <alignment horizontal="right" vertical="center"/>
    </xf>
    <xf numFmtId="0" fontId="35" fillId="11" borderId="125" xfId="0" applyFont="1" applyFill="1" applyBorder="1" applyAlignment="1">
      <alignment horizontal="center" vertical="center"/>
    </xf>
    <xf numFmtId="0" fontId="43" fillId="0" borderId="0" xfId="0" applyFont="1" applyBorder="1" applyAlignment="1">
      <alignment horizontal="center" vertical="center"/>
    </xf>
    <xf numFmtId="0" fontId="66" fillId="13" borderId="0" xfId="0" applyFont="1" applyFill="1" applyBorder="1" applyAlignment="1">
      <alignment horizontal="right" vertical="center" wrapText="1"/>
    </xf>
    <xf numFmtId="0" fontId="66" fillId="13" borderId="131" xfId="0" applyFont="1" applyFill="1" applyBorder="1" applyAlignment="1">
      <alignment horizontal="right" vertical="center" wrapText="1"/>
    </xf>
    <xf numFmtId="0" fontId="14" fillId="13" borderId="0" xfId="0" applyFont="1" applyFill="1" applyBorder="1" applyAlignment="1">
      <alignment horizontal="right" vertical="center" wrapText="1"/>
    </xf>
    <xf numFmtId="0" fontId="67" fillId="14" borderId="137" xfId="0" applyFont="1" applyFill="1" applyBorder="1" applyAlignment="1">
      <alignment horizontal="right" vertical="center"/>
    </xf>
    <xf numFmtId="0" fontId="35" fillId="11" borderId="125" xfId="0" applyFont="1" applyFill="1" applyBorder="1" applyAlignment="1">
      <alignment horizontal="center" vertical="center" wrapText="1"/>
    </xf>
    <xf numFmtId="0" fontId="0" fillId="0" borderId="157" xfId="0" applyBorder="1"/>
    <xf numFmtId="0" fontId="0" fillId="0" borderId="158" xfId="0" applyBorder="1"/>
    <xf numFmtId="0" fontId="0" fillId="0" borderId="159" xfId="0" applyBorder="1"/>
    <xf numFmtId="0" fontId="0" fillId="0" borderId="160" xfId="0" applyBorder="1"/>
    <xf numFmtId="0" fontId="0" fillId="0" borderId="161" xfId="0" applyBorder="1"/>
    <xf numFmtId="0" fontId="9" fillId="0" borderId="104" xfId="0" applyFont="1" applyBorder="1" applyAlignment="1">
      <alignment horizontal="centerContinuous"/>
    </xf>
    <xf numFmtId="0" fontId="9" fillId="0" borderId="105" xfId="0" applyFont="1" applyBorder="1" applyAlignment="1">
      <alignment horizontal="centerContinuous"/>
    </xf>
    <xf numFmtId="0" fontId="9" fillId="0" borderId="107" xfId="0" applyFont="1" applyBorder="1" applyAlignment="1">
      <alignment horizontal="centerContinuous"/>
    </xf>
    <xf numFmtId="0" fontId="0" fillId="0" borderId="0" xfId="0" applyFill="1" applyBorder="1"/>
    <xf numFmtId="0" fontId="67" fillId="14" borderId="136" xfId="0" applyFont="1" applyFill="1" applyBorder="1" applyAlignment="1">
      <alignment horizontal="right" vertical="center"/>
    </xf>
    <xf numFmtId="0" fontId="67" fillId="14" borderId="137" xfId="0" applyFont="1" applyFill="1" applyBorder="1" applyAlignment="1">
      <alignment horizontal="right" vertical="center"/>
    </xf>
    <xf numFmtId="0" fontId="14" fillId="13" borderId="128" xfId="0" applyFont="1" applyFill="1" applyBorder="1" applyAlignment="1">
      <alignment horizontal="right" vertical="center" wrapText="1"/>
    </xf>
    <xf numFmtId="0" fontId="14" fillId="13" borderId="0" xfId="0" applyFont="1" applyFill="1" applyBorder="1" applyAlignment="1">
      <alignment horizontal="right" vertical="center" wrapText="1"/>
    </xf>
    <xf numFmtId="0" fontId="9" fillId="11" borderId="115" xfId="0" applyFont="1" applyFill="1" applyBorder="1" applyAlignment="1">
      <alignment horizontal="left" vertical="center" wrapText="1"/>
    </xf>
    <xf numFmtId="0" fontId="9" fillId="11" borderId="116" xfId="0" applyFont="1" applyFill="1" applyBorder="1" applyAlignment="1">
      <alignment horizontal="left" vertical="center"/>
    </xf>
    <xf numFmtId="0" fontId="9" fillId="11" borderId="120" xfId="0" applyFont="1" applyFill="1" applyBorder="1" applyAlignment="1">
      <alignment horizontal="left" vertical="center"/>
    </xf>
    <xf numFmtId="0" fontId="9" fillId="11" borderId="121" xfId="0" applyFont="1" applyFill="1" applyBorder="1" applyAlignment="1">
      <alignment horizontal="left" vertical="center"/>
    </xf>
    <xf numFmtId="0" fontId="22" fillId="7" borderId="119" xfId="0" applyFont="1" applyFill="1" applyBorder="1" applyAlignment="1">
      <alignment horizontal="center" vertical="center" textRotation="90"/>
    </xf>
    <xf numFmtId="0" fontId="22" fillId="7" borderId="123" xfId="0" applyFont="1" applyFill="1" applyBorder="1" applyAlignment="1">
      <alignment horizontal="center" vertical="center" textRotation="90"/>
    </xf>
    <xf numFmtId="0" fontId="35" fillId="11" borderId="124" xfId="0" applyFont="1" applyFill="1" applyBorder="1" applyAlignment="1">
      <alignment horizontal="center" vertical="center"/>
    </xf>
    <xf numFmtId="0" fontId="35" fillId="11" borderId="125" xfId="0" applyFont="1" applyFill="1" applyBorder="1" applyAlignment="1">
      <alignment horizontal="center" vertical="center"/>
    </xf>
    <xf numFmtId="0" fontId="66" fillId="13" borderId="128" xfId="0" applyFont="1" applyFill="1" applyBorder="1" applyAlignment="1">
      <alignment horizontal="right" vertical="center" wrapText="1"/>
    </xf>
    <xf numFmtId="0" fontId="66" fillId="13" borderId="0" xfId="0" applyFont="1" applyFill="1" applyBorder="1" applyAlignment="1">
      <alignment horizontal="right" vertical="center" wrapText="1"/>
    </xf>
    <xf numFmtId="0" fontId="66" fillId="13" borderId="130" xfId="0" applyFont="1" applyFill="1" applyBorder="1" applyAlignment="1">
      <alignment horizontal="right" vertical="center" wrapText="1"/>
    </xf>
    <xf numFmtId="0" fontId="66" fillId="13" borderId="131" xfId="0" applyFont="1" applyFill="1" applyBorder="1" applyAlignment="1">
      <alignment horizontal="right" vertical="center" wrapText="1"/>
    </xf>
    <xf numFmtId="0" fontId="35" fillId="11" borderId="124" xfId="0" applyFont="1" applyFill="1" applyBorder="1" applyAlignment="1">
      <alignment horizontal="center" vertical="center" wrapText="1"/>
    </xf>
    <xf numFmtId="0" fontId="35" fillId="11" borderId="133" xfId="0" applyFont="1" applyFill="1" applyBorder="1" applyAlignment="1">
      <alignment horizontal="center" vertical="center"/>
    </xf>
    <xf numFmtId="0" fontId="67" fillId="14" borderId="136" xfId="0" applyFont="1" applyFill="1" applyBorder="1" applyAlignment="1">
      <alignment horizontal="right" vertical="center"/>
    </xf>
    <xf numFmtId="0" fontId="67" fillId="14" borderId="137" xfId="0" applyFont="1" applyFill="1" applyBorder="1" applyAlignment="1">
      <alignment horizontal="right" vertical="center"/>
    </xf>
    <xf numFmtId="0" fontId="69" fillId="11" borderId="124" xfId="0" applyFont="1" applyFill="1" applyBorder="1" applyAlignment="1">
      <alignment horizontal="center" vertical="center"/>
    </xf>
    <xf numFmtId="0" fontId="69" fillId="11" borderId="125" xfId="0" applyFont="1" applyFill="1" applyBorder="1" applyAlignment="1">
      <alignment horizontal="center" vertical="center"/>
    </xf>
    <xf numFmtId="0" fontId="70" fillId="0" borderId="146" xfId="0" applyFont="1" applyBorder="1" applyAlignment="1">
      <alignment horizontal="left" vertical="center"/>
    </xf>
    <xf numFmtId="0" fontId="70" fillId="0" borderId="147" xfId="0" applyFont="1" applyBorder="1" applyAlignment="1">
      <alignment horizontal="left" vertical="center"/>
    </xf>
    <xf numFmtId="0" fontId="67" fillId="14" borderId="140" xfId="0" applyFont="1" applyFill="1" applyBorder="1" applyAlignment="1">
      <alignment horizontal="right" vertical="center"/>
    </xf>
    <xf numFmtId="0" fontId="67" fillId="14" borderId="141" xfId="0" applyFont="1" applyFill="1" applyBorder="1" applyAlignment="1">
      <alignment horizontal="right" vertical="center"/>
    </xf>
    <xf numFmtId="0" fontId="7" fillId="8" borderId="126" xfId="0" applyFont="1" applyFill="1" applyBorder="1" applyAlignment="1">
      <alignment horizontal="right" vertical="center"/>
    </xf>
    <xf numFmtId="0" fontId="7" fillId="8" borderId="142" xfId="0" applyFont="1" applyFill="1" applyBorder="1" applyAlignment="1">
      <alignment horizontal="right" vertical="center"/>
    </xf>
    <xf numFmtId="0" fontId="5" fillId="10" borderId="131" xfId="0" applyFont="1" applyFill="1" applyBorder="1" applyAlignment="1">
      <alignment horizontal="right" vertical="center"/>
    </xf>
    <xf numFmtId="0" fontId="5" fillId="10" borderId="144" xfId="0" applyFont="1" applyFill="1" applyBorder="1" applyAlignment="1">
      <alignment horizontal="right" vertical="center"/>
    </xf>
    <xf numFmtId="0" fontId="43" fillId="0" borderId="0" xfId="0" applyFont="1" applyBorder="1" applyAlignment="1">
      <alignment horizontal="center" vertical="center"/>
    </xf>
    <xf numFmtId="0" fontId="14" fillId="0" borderId="6" xfId="0" applyFont="1" applyFill="1" applyBorder="1" applyAlignment="1">
      <alignment horizontal="center" vertical="center" wrapText="1"/>
    </xf>
    <xf numFmtId="0" fontId="14" fillId="0" borderId="0" xfId="0" applyFont="1" applyFill="1" applyBorder="1" applyAlignment="1">
      <alignment horizontal="center" vertical="center" wrapText="1"/>
    </xf>
    <xf numFmtId="0" fontId="14" fillId="0" borderId="7"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6"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13" fillId="0" borderId="7" xfId="0" applyFont="1" applyFill="1" applyBorder="1" applyAlignment="1">
      <alignment horizontal="center" vertical="center" wrapText="1"/>
    </xf>
    <xf numFmtId="0" fontId="88" fillId="0" borderId="0" xfId="0" applyFont="1" applyAlignment="1">
      <alignment horizontal="left" vertical="top" wrapText="1"/>
    </xf>
    <xf numFmtId="165" fontId="3" fillId="30" borderId="153" xfId="0" applyNumberFormat="1" applyFont="1" applyFill="1" applyBorder="1" applyAlignment="1" applyProtection="1">
      <alignment horizontal="center" vertical="top" wrapText="1"/>
      <protection locked="0"/>
    </xf>
    <xf numFmtId="0" fontId="46" fillId="14" borderId="0" xfId="0" applyFont="1" applyFill="1" applyBorder="1" applyAlignment="1" applyProtection="1">
      <alignment horizontal="center" vertical="top" wrapText="1"/>
      <protection locked="0"/>
    </xf>
    <xf numFmtId="165" fontId="50" fillId="13" borderId="0" xfId="0" applyNumberFormat="1" applyFont="1" applyFill="1" applyBorder="1" applyAlignment="1" applyProtection="1">
      <alignment horizontal="left" vertical="center" wrapText="1"/>
      <protection locked="0"/>
    </xf>
    <xf numFmtId="16" fontId="22" fillId="0" borderId="0" xfId="0" applyNumberFormat="1" applyFont="1" applyAlignment="1">
      <alignment horizontal="left" vertical="top" wrapText="1"/>
    </xf>
    <xf numFmtId="0" fontId="49" fillId="12" borderId="77" xfId="0" applyFont="1" applyFill="1" applyBorder="1" applyAlignment="1">
      <alignment horizontal="center" vertical="center" wrapText="1"/>
    </xf>
    <xf numFmtId="0" fontId="49" fillId="12" borderId="79" xfId="0" applyFont="1" applyFill="1" applyBorder="1" applyAlignment="1">
      <alignment horizontal="center" vertical="center" wrapText="1"/>
    </xf>
    <xf numFmtId="0" fontId="49" fillId="12" borderId="78" xfId="0" applyFont="1" applyFill="1" applyBorder="1" applyAlignment="1">
      <alignment horizontal="center" vertical="center" wrapText="1"/>
    </xf>
    <xf numFmtId="0" fontId="50" fillId="24" borderId="80" xfId="0" applyFont="1" applyFill="1" applyBorder="1" applyAlignment="1">
      <alignment horizontal="center" vertical="center" wrapText="1"/>
    </xf>
    <xf numFmtId="0" fontId="50" fillId="24" borderId="81" xfId="0" applyFont="1" applyFill="1" applyBorder="1" applyAlignment="1">
      <alignment horizontal="center" vertical="center" wrapText="1"/>
    </xf>
    <xf numFmtId="0" fontId="50" fillId="24" borderId="82" xfId="0" applyFont="1" applyFill="1" applyBorder="1" applyAlignment="1">
      <alignment horizontal="center" vertical="center" wrapText="1"/>
    </xf>
    <xf numFmtId="0" fontId="63" fillId="12" borderId="104" xfId="0" applyFont="1" applyFill="1" applyBorder="1" applyAlignment="1">
      <alignment horizontal="right" vertical="center"/>
    </xf>
    <xf numFmtId="0" fontId="63" fillId="12" borderId="105" xfId="0" applyFont="1" applyFill="1" applyBorder="1" applyAlignment="1">
      <alignment horizontal="right" vertical="center"/>
    </xf>
    <xf numFmtId="0" fontId="46" fillId="18" borderId="74" xfId="4" applyFont="1" applyFill="1" applyBorder="1" applyAlignment="1">
      <alignment horizontal="center" vertical="center" wrapText="1"/>
    </xf>
    <xf numFmtId="0" fontId="46" fillId="18" borderId="75" xfId="4" applyFont="1" applyFill="1" applyBorder="1" applyAlignment="1">
      <alignment horizontal="center" vertical="center" wrapText="1"/>
    </xf>
    <xf numFmtId="0" fontId="48" fillId="14" borderId="77" xfId="0" applyFont="1" applyFill="1" applyBorder="1" applyAlignment="1">
      <alignment horizontal="center" vertical="center" wrapText="1"/>
    </xf>
    <xf numFmtId="0" fontId="48" fillId="14" borderId="78" xfId="0" applyFont="1" applyFill="1" applyBorder="1" applyAlignment="1">
      <alignment horizontal="center" vertical="center" wrapText="1"/>
    </xf>
    <xf numFmtId="0" fontId="33" fillId="7" borderId="53" xfId="0" applyFont="1" applyFill="1" applyBorder="1" applyAlignment="1">
      <alignment horizontal="left" vertical="center" wrapText="1"/>
    </xf>
    <xf numFmtId="0" fontId="33" fillId="7" borderId="40" xfId="0" applyFont="1" applyFill="1" applyBorder="1" applyAlignment="1">
      <alignment horizontal="left" vertical="center" wrapText="1"/>
    </xf>
    <xf numFmtId="0" fontId="34" fillId="11" borderId="26" xfId="0" applyFont="1" applyFill="1" applyBorder="1" applyAlignment="1">
      <alignment horizontal="center" vertical="center" wrapText="1" readingOrder="1"/>
    </xf>
    <xf numFmtId="0" fontId="34" fillId="11" borderId="25" xfId="0" applyFont="1" applyFill="1" applyBorder="1" applyAlignment="1">
      <alignment horizontal="center" vertical="center" wrapText="1" readingOrder="1"/>
    </xf>
    <xf numFmtId="0" fontId="23" fillId="11" borderId="27" xfId="0" applyFont="1" applyFill="1" applyBorder="1" applyAlignment="1">
      <alignment horizontal="center" vertical="center" wrapText="1" readingOrder="1"/>
    </xf>
    <xf numFmtId="0" fontId="23" fillId="11" borderId="28" xfId="0" applyFont="1" applyFill="1" applyBorder="1" applyAlignment="1">
      <alignment horizontal="center" vertical="center" wrapText="1" readingOrder="1"/>
    </xf>
    <xf numFmtId="0" fontId="23" fillId="11" borderId="43" xfId="0" applyFont="1" applyFill="1" applyBorder="1" applyAlignment="1">
      <alignment horizontal="center" vertical="center" wrapText="1" readingOrder="1"/>
    </xf>
    <xf numFmtId="0" fontId="23" fillId="11" borderId="38" xfId="0" applyFont="1" applyFill="1" applyBorder="1" applyAlignment="1">
      <alignment horizontal="center" vertical="center" wrapText="1" readingOrder="1"/>
    </xf>
    <xf numFmtId="0" fontId="23" fillId="7" borderId="52" xfId="0" applyFont="1" applyFill="1" applyBorder="1" applyAlignment="1">
      <alignment horizontal="center" vertical="center" textRotation="90" wrapText="1" readingOrder="1"/>
    </xf>
    <xf numFmtId="0" fontId="32" fillId="7" borderId="45" xfId="0" applyFont="1" applyFill="1" applyBorder="1" applyAlignment="1">
      <alignment horizontal="center" vertical="center" textRotation="90" wrapText="1" readingOrder="1"/>
    </xf>
    <xf numFmtId="0" fontId="32" fillId="7" borderId="39" xfId="0" applyFont="1" applyFill="1" applyBorder="1" applyAlignment="1">
      <alignment horizontal="center" vertical="center" textRotation="90" wrapText="1" readingOrder="1"/>
    </xf>
    <xf numFmtId="0" fontId="9" fillId="7" borderId="35" xfId="0" applyFont="1" applyFill="1" applyBorder="1" applyAlignment="1">
      <alignment horizontal="center" vertical="center" textRotation="90" wrapText="1"/>
    </xf>
    <xf numFmtId="0" fontId="9" fillId="7" borderId="31" xfId="0" applyFont="1" applyFill="1" applyBorder="1" applyAlignment="1">
      <alignment horizontal="center" vertical="center" textRotation="90" wrapText="1"/>
    </xf>
    <xf numFmtId="0" fontId="9" fillId="7" borderId="30" xfId="0" applyFont="1" applyFill="1" applyBorder="1" applyAlignment="1">
      <alignment horizontal="center" vertical="center" textRotation="90" wrapText="1"/>
    </xf>
    <xf numFmtId="16" fontId="37" fillId="0" borderId="0" xfId="0" applyNumberFormat="1" applyFont="1" applyAlignment="1">
      <alignment horizontal="left" vertical="top" wrapText="1"/>
    </xf>
    <xf numFmtId="0" fontId="34" fillId="11" borderId="42" xfId="0" applyFont="1" applyFill="1" applyBorder="1" applyAlignment="1">
      <alignment horizontal="center" vertical="center" wrapText="1" readingOrder="1"/>
    </xf>
    <xf numFmtId="0" fontId="34" fillId="11" borderId="44" xfId="0" applyFont="1" applyFill="1" applyBorder="1" applyAlignment="1">
      <alignment horizontal="center" vertical="center" wrapText="1" readingOrder="1"/>
    </xf>
    <xf numFmtId="0" fontId="27" fillId="7" borderId="51" xfId="0" applyFont="1" applyFill="1" applyBorder="1" applyAlignment="1">
      <alignment horizontal="center" vertical="center" wrapText="1" readingOrder="1"/>
    </xf>
    <xf numFmtId="0" fontId="27" fillId="7" borderId="48" xfId="0" applyFont="1" applyFill="1" applyBorder="1" applyAlignment="1">
      <alignment horizontal="center" vertical="center" wrapText="1" readingOrder="1"/>
    </xf>
    <xf numFmtId="0" fontId="27" fillId="7" borderId="50" xfId="0" applyFont="1" applyFill="1" applyBorder="1" applyAlignment="1">
      <alignment horizontal="center" vertical="center" wrapText="1" readingOrder="1"/>
    </xf>
    <xf numFmtId="0" fontId="27" fillId="7" borderId="49" xfId="0" applyFont="1" applyFill="1" applyBorder="1" applyAlignment="1">
      <alignment horizontal="center" vertical="center" wrapText="1" readingOrder="1"/>
    </xf>
    <xf numFmtId="0" fontId="27" fillId="7" borderId="47" xfId="0" applyFont="1" applyFill="1" applyBorder="1" applyAlignment="1">
      <alignment horizontal="center" vertical="center" wrapText="1" readingOrder="1"/>
    </xf>
    <xf numFmtId="0" fontId="9" fillId="7" borderId="46" xfId="0" applyFont="1" applyFill="1" applyBorder="1" applyAlignment="1">
      <alignment horizontal="center" wrapText="1"/>
    </xf>
    <xf numFmtId="0" fontId="9" fillId="7" borderId="36" xfId="0" applyFont="1" applyFill="1" applyBorder="1" applyAlignment="1">
      <alignment horizontal="center" wrapText="1"/>
    </xf>
    <xf numFmtId="0" fontId="34" fillId="11" borderId="41" xfId="0" applyFont="1" applyFill="1" applyBorder="1" applyAlignment="1">
      <alignment horizontal="center" vertical="center" wrapText="1" readingOrder="1"/>
    </xf>
    <xf numFmtId="165" fontId="24" fillId="13" borderId="0" xfId="0" applyNumberFormat="1" applyFont="1" applyFill="1" applyBorder="1" applyAlignment="1" applyProtection="1">
      <alignment horizontal="left" vertical="center" wrapText="1"/>
      <protection locked="0"/>
    </xf>
    <xf numFmtId="0" fontId="9" fillId="0" borderId="0" xfId="0" applyFont="1" applyFill="1" applyBorder="1" applyAlignment="1">
      <alignment horizontal="center" vertical="top"/>
    </xf>
    <xf numFmtId="0" fontId="9" fillId="0" borderId="0" xfId="0" applyFont="1" applyFill="1" applyBorder="1" applyAlignment="1">
      <alignment horizontal="left" vertical="top"/>
    </xf>
  </cellXfs>
  <cellStyles count="10">
    <cellStyle name="Bad" xfId="4" builtinId="27"/>
    <cellStyle name="Good" xfId="3" builtinId="26"/>
    <cellStyle name="Neutral" xfId="5" builtinId="28"/>
    <cellStyle name="Normal" xfId="0" builtinId="0"/>
    <cellStyle name="Normal 2" xfId="1"/>
    <cellStyle name="Normal 2 2" xfId="2"/>
    <cellStyle name="Normal 2 3" xfId="9"/>
    <cellStyle name="Normal 3" xfId="6"/>
    <cellStyle name="Percent" xfId="8" builtinId="5"/>
    <cellStyle name="Percent 2" xfId="7"/>
  </cellStyles>
  <dxfs count="51">
    <dxf>
      <fill>
        <patternFill>
          <bgColor rgb="FFFF9999"/>
        </patternFill>
      </fill>
    </dxf>
    <dxf>
      <fill>
        <patternFill>
          <bgColor rgb="FFFFFF99"/>
        </patternFill>
      </fill>
    </dxf>
    <dxf>
      <fill>
        <patternFill>
          <bgColor rgb="FF99FF99"/>
        </patternFill>
      </fill>
    </dxf>
    <dxf>
      <font>
        <color theme="0" tint="-0.499984740745262"/>
      </font>
      <fill>
        <patternFill>
          <bgColor theme="0"/>
        </patternFill>
      </fill>
    </dxf>
    <dxf>
      <font>
        <color theme="1"/>
      </font>
      <fill>
        <patternFill>
          <bgColor theme="0" tint="-0.24994659260841701"/>
        </patternFill>
      </fill>
    </dxf>
    <dxf>
      <font>
        <color theme="1"/>
      </font>
      <fill>
        <patternFill>
          <bgColor theme="1" tint="0.499984740745262"/>
        </patternFill>
      </fill>
    </dxf>
    <dxf>
      <fill>
        <patternFill>
          <bgColor rgb="FF99FF99"/>
        </patternFill>
      </fill>
    </dxf>
    <dxf>
      <fill>
        <patternFill>
          <bgColor rgb="FFFFCCCC"/>
        </patternFill>
      </fill>
    </dxf>
    <dxf>
      <fill>
        <patternFill>
          <bgColor theme="0"/>
        </patternFill>
      </fill>
    </dxf>
    <dxf>
      <fill>
        <patternFill>
          <bgColor rgb="FF99FF99"/>
        </patternFill>
      </fill>
    </dxf>
    <dxf>
      <fill>
        <patternFill>
          <bgColor rgb="FFFFCCCC"/>
        </patternFill>
      </fill>
    </dxf>
    <dxf>
      <fill>
        <patternFill>
          <bgColor theme="0"/>
        </patternFill>
      </fill>
    </dxf>
    <dxf>
      <fill>
        <patternFill>
          <bgColor rgb="FF99FF99"/>
        </patternFill>
      </fill>
    </dxf>
    <dxf>
      <fill>
        <patternFill>
          <bgColor rgb="FFFFCCCC"/>
        </patternFill>
      </fill>
    </dxf>
    <dxf>
      <fill>
        <patternFill>
          <bgColor theme="0"/>
        </patternFill>
      </fill>
    </dxf>
    <dxf>
      <fill>
        <patternFill>
          <bgColor rgb="FF99FF99"/>
        </patternFill>
      </fill>
    </dxf>
    <dxf>
      <fill>
        <patternFill>
          <bgColor rgb="FFFFCCCC"/>
        </patternFill>
      </fill>
    </dxf>
    <dxf>
      <fill>
        <patternFill>
          <bgColor theme="0"/>
        </patternFill>
      </fill>
    </dxf>
    <dxf>
      <fill>
        <patternFill>
          <bgColor rgb="FF99FF99"/>
        </patternFill>
      </fill>
    </dxf>
    <dxf>
      <fill>
        <patternFill>
          <bgColor rgb="FFFFCCCC"/>
        </patternFill>
      </fill>
    </dxf>
    <dxf>
      <fill>
        <patternFill>
          <bgColor theme="0" tint="-0.24994659260841701"/>
        </patternFill>
      </fill>
    </dxf>
    <dxf>
      <fill>
        <patternFill>
          <bgColor rgb="FFFFCCCC"/>
        </patternFill>
      </fill>
    </dxf>
    <dxf>
      <fill>
        <patternFill>
          <bgColor rgb="FFFFFFCC"/>
        </patternFill>
      </fill>
    </dxf>
    <dxf>
      <fill>
        <patternFill>
          <bgColor rgb="FF99FF99"/>
        </patternFill>
      </fill>
    </dxf>
    <dxf>
      <fill>
        <patternFill>
          <bgColor rgb="FF99FF99"/>
        </patternFill>
      </fill>
    </dxf>
    <dxf>
      <fill>
        <patternFill>
          <bgColor rgb="FFFFCCCC"/>
        </patternFill>
      </fill>
    </dxf>
    <dxf>
      <fill>
        <patternFill>
          <bgColor theme="0" tint="-0.24994659260841701"/>
        </patternFill>
      </fill>
    </dxf>
    <dxf>
      <font>
        <color theme="0" tint="-0.34998626667073579"/>
      </font>
      <fill>
        <patternFill>
          <bgColor theme="1" tint="0.34998626667073579"/>
        </patternFill>
      </fill>
      <border>
        <left style="thin">
          <color auto="1"/>
        </left>
        <right style="thin">
          <color auto="1"/>
        </right>
        <top style="thin">
          <color auto="1"/>
        </top>
        <bottom style="thin">
          <color auto="1"/>
        </bottom>
        <vertical/>
        <horizontal/>
      </border>
    </dxf>
    <dxf>
      <fill>
        <patternFill>
          <bgColor rgb="FFFF9999"/>
        </patternFill>
      </fill>
      <border>
        <left style="thin">
          <color auto="1"/>
        </left>
        <right style="thin">
          <color auto="1"/>
        </right>
        <top style="thin">
          <color auto="1"/>
        </top>
        <bottom style="thin">
          <color auto="1"/>
        </bottom>
        <vertical/>
        <horizontal/>
      </border>
    </dxf>
    <dxf>
      <fill>
        <patternFill>
          <bgColor rgb="FFFABF8F"/>
        </patternFill>
      </fill>
      <border>
        <left style="thin">
          <color auto="1"/>
        </left>
        <right style="thin">
          <color auto="1"/>
        </right>
        <top style="thin">
          <color auto="1"/>
        </top>
        <bottom style="thin">
          <color auto="1"/>
        </bottom>
        <vertical/>
        <horizontal/>
      </border>
    </dxf>
    <dxf>
      <fill>
        <patternFill>
          <bgColor rgb="FFFFFF99"/>
        </patternFill>
      </fill>
      <border>
        <left style="thin">
          <color auto="1"/>
        </left>
        <right style="thin">
          <color auto="1"/>
        </right>
        <top style="thin">
          <color auto="1"/>
        </top>
        <bottom style="thin">
          <color auto="1"/>
        </bottom>
        <vertical/>
        <horizontal/>
      </border>
    </dxf>
    <dxf>
      <fill>
        <patternFill>
          <bgColor rgb="FFC4BD97"/>
        </patternFill>
      </fill>
      <border>
        <left style="thin">
          <color auto="1"/>
        </left>
        <right style="thin">
          <color auto="1"/>
        </right>
        <top style="thin">
          <color auto="1"/>
        </top>
        <bottom style="thin">
          <color auto="1"/>
        </bottom>
        <vertical/>
        <horizontal/>
      </border>
    </dxf>
    <dxf>
      <fill>
        <patternFill>
          <bgColor rgb="FF99CCFF"/>
        </patternFill>
      </fill>
      <border>
        <left style="thin">
          <color auto="1"/>
        </left>
        <right style="thin">
          <color auto="1"/>
        </right>
        <top style="thin">
          <color auto="1"/>
        </top>
        <bottom style="thin">
          <color auto="1"/>
        </bottom>
        <vertical/>
        <horizontal/>
      </border>
    </dxf>
    <dxf>
      <fill>
        <patternFill>
          <bgColor rgb="FFBFBFBF"/>
        </patternFill>
      </fill>
      <border>
        <left style="thin">
          <color auto="1"/>
        </left>
        <right style="thin">
          <color auto="1"/>
        </right>
        <top style="thin">
          <color auto="1"/>
        </top>
        <bottom style="thin">
          <color auto="1"/>
        </bottom>
        <vertical/>
        <horizontal/>
      </border>
    </dxf>
    <dxf>
      <fill>
        <patternFill>
          <bgColor rgb="FF99FF99"/>
        </patternFill>
      </fill>
      <border>
        <left style="thin">
          <color auto="1"/>
        </left>
        <right style="thin">
          <color auto="1"/>
        </right>
        <top style="thin">
          <color auto="1"/>
        </top>
        <bottom style="thin">
          <color auto="1"/>
        </bottom>
        <vertical/>
        <horizontal/>
      </border>
    </dxf>
    <dxf>
      <fill>
        <patternFill>
          <bgColor rgb="FFFF9999"/>
        </patternFill>
      </fill>
      <border>
        <left style="thin">
          <color auto="1"/>
        </left>
        <right style="thin">
          <color auto="1"/>
        </right>
        <top style="thin">
          <color auto="1"/>
        </top>
        <bottom style="thin">
          <color auto="1"/>
        </bottom>
        <vertical/>
        <horizontal/>
      </border>
    </dxf>
    <dxf>
      <fill>
        <patternFill>
          <bgColor rgb="FFFFFF99"/>
        </patternFill>
      </fill>
      <border>
        <left style="thin">
          <color auto="1"/>
        </left>
        <right style="thin">
          <color auto="1"/>
        </right>
        <top style="thin">
          <color auto="1"/>
        </top>
        <bottom style="thin">
          <color auto="1"/>
        </bottom>
        <vertical/>
        <horizontal/>
      </border>
    </dxf>
    <dxf>
      <fill>
        <patternFill>
          <bgColor rgb="FF99CCFF"/>
        </patternFill>
      </fill>
      <border>
        <left style="thin">
          <color auto="1"/>
        </left>
        <right style="thin">
          <color auto="1"/>
        </right>
        <top style="thin">
          <color auto="1"/>
        </top>
        <bottom style="thin">
          <color auto="1"/>
        </bottom>
        <vertical/>
        <horizontal/>
      </border>
    </dxf>
    <dxf>
      <fill>
        <patternFill>
          <bgColor rgb="FFFF9999"/>
        </patternFill>
      </fill>
      <border>
        <left style="thin">
          <color auto="1"/>
        </left>
        <right style="thin">
          <color auto="1"/>
        </right>
        <top style="thin">
          <color auto="1"/>
        </top>
        <bottom style="thin">
          <color auto="1"/>
        </bottom>
        <vertical/>
        <horizontal/>
      </border>
    </dxf>
    <dxf>
      <fill>
        <patternFill>
          <bgColor rgb="FF99CCFF"/>
        </patternFill>
      </fill>
      <border>
        <left style="thin">
          <color auto="1"/>
        </left>
        <right style="thin">
          <color auto="1"/>
        </right>
        <top style="thin">
          <color auto="1"/>
        </top>
        <bottom style="thin">
          <color auto="1"/>
        </bottom>
        <vertical/>
        <horizontal/>
      </border>
    </dxf>
    <dxf>
      <fill>
        <patternFill>
          <bgColor rgb="FFC4BD97"/>
        </patternFill>
      </fill>
      <border>
        <left style="thin">
          <color auto="1"/>
        </left>
        <right style="thin">
          <color auto="1"/>
        </right>
        <top style="thin">
          <color auto="1"/>
        </top>
        <bottom style="thin">
          <color auto="1"/>
        </bottom>
        <vertical/>
        <horizontal/>
      </border>
    </dxf>
    <dxf>
      <fill>
        <patternFill>
          <bgColor rgb="FFFFFF99"/>
        </patternFill>
      </fill>
      <border>
        <left style="thin">
          <color auto="1"/>
        </left>
        <right style="thin">
          <color auto="1"/>
        </right>
        <top style="thin">
          <color auto="1"/>
        </top>
        <bottom style="thin">
          <color auto="1"/>
        </bottom>
        <vertical/>
        <horizontal/>
      </border>
    </dxf>
    <dxf>
      <fill>
        <patternFill>
          <bgColor rgb="FFC6EFCE"/>
        </patternFill>
      </fill>
      <border>
        <left style="thin">
          <color auto="1"/>
        </left>
        <right style="thin">
          <color auto="1"/>
        </right>
        <top style="thin">
          <color auto="1"/>
        </top>
        <bottom style="thin">
          <color auto="1"/>
        </bottom>
      </border>
    </dxf>
    <dxf>
      <fill>
        <patternFill>
          <bgColor theme="0" tint="-0.34998626667073579"/>
        </patternFill>
      </fill>
    </dxf>
    <dxf>
      <fill>
        <patternFill>
          <bgColor theme="5" tint="0.39994506668294322"/>
        </patternFill>
      </fill>
    </dxf>
    <dxf>
      <fill>
        <patternFill>
          <bgColor theme="6" tint="0.39994506668294322"/>
        </patternFill>
      </fill>
    </dxf>
    <dxf>
      <font>
        <color theme="0"/>
      </font>
      <fill>
        <patternFill>
          <bgColor theme="5" tint="-0.24994659260841701"/>
        </patternFill>
      </fill>
    </dxf>
    <dxf>
      <fill>
        <patternFill>
          <bgColor theme="0" tint="-0.34998626667073579"/>
        </patternFill>
      </fill>
    </dxf>
    <dxf>
      <fill>
        <patternFill>
          <bgColor theme="5" tint="0.39994506668294322"/>
        </patternFill>
      </fill>
    </dxf>
    <dxf>
      <fill>
        <patternFill>
          <bgColor theme="6" tint="0.39994506668294322"/>
        </patternFill>
      </fill>
    </dxf>
    <dxf>
      <font>
        <color theme="0"/>
      </font>
      <fill>
        <patternFill>
          <bgColor theme="5" tint="-0.24994659260841701"/>
        </patternFill>
      </fill>
    </dxf>
  </dxfs>
  <tableStyles count="0" defaultTableStyle="TableStyleMedium2" defaultPivotStyle="PivotStyleLight16"/>
  <colors>
    <mruColors>
      <color rgb="FF99FF99"/>
      <color rgb="FFBFBFBF"/>
      <color rgb="FF99CCFF"/>
      <color rgb="FFC4BD97"/>
      <color rgb="FFFFFF99"/>
      <color rgb="FFFABF8F"/>
      <color rgb="FFFF9999"/>
      <color rgb="FFC6EFCE"/>
      <color rgb="FF0033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Data Consistency Issues per Process</a:t>
            </a:r>
          </a:p>
        </c:rich>
      </c:tx>
      <c:overlay val="0"/>
    </c:title>
    <c:autoTitleDeleted val="0"/>
    <c:plotArea>
      <c:layout/>
      <c:barChart>
        <c:barDir val="col"/>
        <c:grouping val="stacked"/>
        <c:varyColors val="0"/>
        <c:ser>
          <c:idx val="0"/>
          <c:order val="0"/>
          <c:tx>
            <c:strRef>
              <c:f>'IV Progress (Issues)'!$B$12</c:f>
              <c:strCache>
                <c:ptCount val="1"/>
                <c:pt idx="0">
                  <c:v>Closed</c:v>
                </c:pt>
              </c:strCache>
            </c:strRef>
          </c:tx>
          <c:spPr>
            <a:solidFill>
              <a:srgbClr val="99FF99"/>
            </a:solidFill>
          </c:spPr>
          <c:invertIfNegative val="0"/>
          <c:cat>
            <c:strRef>
              <c:f>'IV Progress (Issues)'!$A$13:$A$18</c:f>
              <c:strCache>
                <c:ptCount val="6"/>
                <c:pt idx="0">
                  <c:v>Plan to Supply</c:v>
                </c:pt>
                <c:pt idx="1">
                  <c:v>Quote to Cash</c:v>
                </c:pt>
                <c:pt idx="2">
                  <c:v>Account Origination</c:v>
                </c:pt>
                <c:pt idx="3">
                  <c:v>Procure to Pay</c:v>
                </c:pt>
                <c:pt idx="4">
                  <c:v>BI Reporting</c:v>
                </c:pt>
                <c:pt idx="5">
                  <c:v>Miscellaneous</c:v>
                </c:pt>
              </c:strCache>
            </c:strRef>
          </c:cat>
          <c:val>
            <c:numRef>
              <c:f>'IV Progress (Issues)'!$B$13:$B$18</c:f>
              <c:numCache>
                <c:formatCode>General</c:formatCode>
                <c:ptCount val="6"/>
                <c:pt idx="0">
                  <c:v>0</c:v>
                </c:pt>
                <c:pt idx="1">
                  <c:v>0</c:v>
                </c:pt>
                <c:pt idx="2">
                  <c:v>0</c:v>
                </c:pt>
                <c:pt idx="3">
                  <c:v>1</c:v>
                </c:pt>
                <c:pt idx="4">
                  <c:v>0</c:v>
                </c:pt>
                <c:pt idx="5">
                  <c:v>0</c:v>
                </c:pt>
              </c:numCache>
            </c:numRef>
          </c:val>
        </c:ser>
        <c:ser>
          <c:idx val="1"/>
          <c:order val="1"/>
          <c:tx>
            <c:strRef>
              <c:f>'IV Progress (Issues)'!$C$12</c:f>
              <c:strCache>
                <c:ptCount val="1"/>
                <c:pt idx="0">
                  <c:v>Open</c:v>
                </c:pt>
              </c:strCache>
            </c:strRef>
          </c:tx>
          <c:spPr>
            <a:solidFill>
              <a:srgbClr val="FF9999"/>
            </a:solidFill>
          </c:spPr>
          <c:invertIfNegative val="0"/>
          <c:cat>
            <c:strRef>
              <c:f>'IV Progress (Issues)'!$A$13:$A$18</c:f>
              <c:strCache>
                <c:ptCount val="6"/>
                <c:pt idx="0">
                  <c:v>Plan to Supply</c:v>
                </c:pt>
                <c:pt idx="1">
                  <c:v>Quote to Cash</c:v>
                </c:pt>
                <c:pt idx="2">
                  <c:v>Account Origination</c:v>
                </c:pt>
                <c:pt idx="3">
                  <c:v>Procure to Pay</c:v>
                </c:pt>
                <c:pt idx="4">
                  <c:v>BI Reporting</c:v>
                </c:pt>
                <c:pt idx="5">
                  <c:v>Miscellaneous</c:v>
                </c:pt>
              </c:strCache>
            </c:strRef>
          </c:cat>
          <c:val>
            <c:numRef>
              <c:f>'IV Progress (Issues)'!$C$13:$C$18</c:f>
              <c:numCache>
                <c:formatCode>General</c:formatCode>
                <c:ptCount val="6"/>
                <c:pt idx="0">
                  <c:v>0</c:v>
                </c:pt>
                <c:pt idx="1">
                  <c:v>1</c:v>
                </c:pt>
                <c:pt idx="2">
                  <c:v>0</c:v>
                </c:pt>
                <c:pt idx="3">
                  <c:v>0</c:v>
                </c:pt>
                <c:pt idx="4">
                  <c:v>0</c:v>
                </c:pt>
                <c:pt idx="5">
                  <c:v>1</c:v>
                </c:pt>
              </c:numCache>
            </c:numRef>
          </c:val>
        </c:ser>
        <c:dLbls>
          <c:showLegendKey val="0"/>
          <c:showVal val="0"/>
          <c:showCatName val="0"/>
          <c:showSerName val="0"/>
          <c:showPercent val="0"/>
          <c:showBubbleSize val="0"/>
        </c:dLbls>
        <c:gapWidth val="55"/>
        <c:overlap val="100"/>
        <c:axId val="390427904"/>
        <c:axId val="390428688"/>
      </c:barChart>
      <c:catAx>
        <c:axId val="390427904"/>
        <c:scaling>
          <c:orientation val="minMax"/>
        </c:scaling>
        <c:delete val="0"/>
        <c:axPos val="b"/>
        <c:numFmt formatCode="General" sourceLinked="0"/>
        <c:majorTickMark val="none"/>
        <c:minorTickMark val="none"/>
        <c:tickLblPos val="nextTo"/>
        <c:crossAx val="390428688"/>
        <c:crosses val="autoZero"/>
        <c:auto val="1"/>
        <c:lblAlgn val="ctr"/>
        <c:lblOffset val="100"/>
        <c:noMultiLvlLbl val="0"/>
      </c:catAx>
      <c:valAx>
        <c:axId val="390428688"/>
        <c:scaling>
          <c:orientation val="minMax"/>
        </c:scaling>
        <c:delete val="0"/>
        <c:axPos val="l"/>
        <c:majorGridlines/>
        <c:numFmt formatCode="General" sourceLinked="1"/>
        <c:majorTickMark val="none"/>
        <c:minorTickMark val="none"/>
        <c:tickLblPos val="nextTo"/>
        <c:crossAx val="390427904"/>
        <c:crosses val="autoZero"/>
        <c:crossBetween val="between"/>
        <c:majorUnit val="1"/>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Exception Mgmt.</a:t>
            </a:r>
            <a:r>
              <a:rPr lang="de-DE" baseline="0"/>
              <a:t> Issues per Process</a:t>
            </a:r>
            <a:endParaRPr lang="de-DE"/>
          </a:p>
        </c:rich>
      </c:tx>
      <c:overlay val="0"/>
    </c:title>
    <c:autoTitleDeleted val="0"/>
    <c:plotArea>
      <c:layout/>
      <c:barChart>
        <c:barDir val="col"/>
        <c:grouping val="stacked"/>
        <c:varyColors val="0"/>
        <c:ser>
          <c:idx val="0"/>
          <c:order val="0"/>
          <c:tx>
            <c:strRef>
              <c:f>'IV Progress (Issues)'!$B$12</c:f>
              <c:strCache>
                <c:ptCount val="1"/>
                <c:pt idx="0">
                  <c:v>Closed</c:v>
                </c:pt>
              </c:strCache>
            </c:strRef>
          </c:tx>
          <c:spPr>
            <a:solidFill>
              <a:srgbClr val="99FF99"/>
            </a:solidFill>
          </c:spPr>
          <c:invertIfNegative val="0"/>
          <c:cat>
            <c:strRef>
              <c:f>'IV Progress (Issues)'!$A$27:$A$32</c:f>
              <c:strCache>
                <c:ptCount val="6"/>
                <c:pt idx="0">
                  <c:v>Plan to Supply</c:v>
                </c:pt>
                <c:pt idx="1">
                  <c:v>Quote to Cash</c:v>
                </c:pt>
                <c:pt idx="2">
                  <c:v>Account Origination</c:v>
                </c:pt>
                <c:pt idx="3">
                  <c:v>Procure to Pay</c:v>
                </c:pt>
                <c:pt idx="4">
                  <c:v>BI Reporting</c:v>
                </c:pt>
                <c:pt idx="5">
                  <c:v>Miscellaneous</c:v>
                </c:pt>
              </c:strCache>
            </c:strRef>
          </c:cat>
          <c:val>
            <c:numRef>
              <c:f>'IV Progress (Issues)'!$B$27:$B$32</c:f>
              <c:numCache>
                <c:formatCode>General</c:formatCode>
                <c:ptCount val="6"/>
                <c:pt idx="0">
                  <c:v>0</c:v>
                </c:pt>
                <c:pt idx="1">
                  <c:v>0</c:v>
                </c:pt>
                <c:pt idx="2">
                  <c:v>0</c:v>
                </c:pt>
                <c:pt idx="3">
                  <c:v>0</c:v>
                </c:pt>
                <c:pt idx="4">
                  <c:v>0</c:v>
                </c:pt>
                <c:pt idx="5">
                  <c:v>0</c:v>
                </c:pt>
              </c:numCache>
            </c:numRef>
          </c:val>
        </c:ser>
        <c:ser>
          <c:idx val="1"/>
          <c:order val="1"/>
          <c:tx>
            <c:strRef>
              <c:f>'IV Progress (Issues)'!$C$12</c:f>
              <c:strCache>
                <c:ptCount val="1"/>
                <c:pt idx="0">
                  <c:v>Open</c:v>
                </c:pt>
              </c:strCache>
            </c:strRef>
          </c:tx>
          <c:spPr>
            <a:solidFill>
              <a:srgbClr val="FF9999"/>
            </a:solidFill>
          </c:spPr>
          <c:invertIfNegative val="0"/>
          <c:cat>
            <c:strRef>
              <c:f>'IV Progress (Issues)'!$A$27:$A$32</c:f>
              <c:strCache>
                <c:ptCount val="6"/>
                <c:pt idx="0">
                  <c:v>Plan to Supply</c:v>
                </c:pt>
                <c:pt idx="1">
                  <c:v>Quote to Cash</c:v>
                </c:pt>
                <c:pt idx="2">
                  <c:v>Account Origination</c:v>
                </c:pt>
                <c:pt idx="3">
                  <c:v>Procure to Pay</c:v>
                </c:pt>
                <c:pt idx="4">
                  <c:v>BI Reporting</c:v>
                </c:pt>
                <c:pt idx="5">
                  <c:v>Miscellaneous</c:v>
                </c:pt>
              </c:strCache>
            </c:strRef>
          </c:cat>
          <c:val>
            <c:numRef>
              <c:f>'IV Progress (Issues)'!$C$27:$C$32</c:f>
              <c:numCache>
                <c:formatCode>General</c:formatCode>
                <c:ptCount val="6"/>
                <c:pt idx="0">
                  <c:v>1</c:v>
                </c:pt>
                <c:pt idx="1">
                  <c:v>0</c:v>
                </c:pt>
                <c:pt idx="2">
                  <c:v>1</c:v>
                </c:pt>
                <c:pt idx="3">
                  <c:v>0</c:v>
                </c:pt>
                <c:pt idx="4">
                  <c:v>0</c:v>
                </c:pt>
                <c:pt idx="5">
                  <c:v>0</c:v>
                </c:pt>
              </c:numCache>
            </c:numRef>
          </c:val>
        </c:ser>
        <c:dLbls>
          <c:showLegendKey val="0"/>
          <c:showVal val="0"/>
          <c:showCatName val="0"/>
          <c:showSerName val="0"/>
          <c:showPercent val="0"/>
          <c:showBubbleSize val="0"/>
        </c:dLbls>
        <c:gapWidth val="55"/>
        <c:overlap val="100"/>
        <c:axId val="390429080"/>
        <c:axId val="390432216"/>
      </c:barChart>
      <c:catAx>
        <c:axId val="390429080"/>
        <c:scaling>
          <c:orientation val="minMax"/>
        </c:scaling>
        <c:delete val="0"/>
        <c:axPos val="b"/>
        <c:numFmt formatCode="General" sourceLinked="0"/>
        <c:majorTickMark val="none"/>
        <c:minorTickMark val="none"/>
        <c:tickLblPos val="nextTo"/>
        <c:crossAx val="390432216"/>
        <c:crosses val="autoZero"/>
        <c:auto val="1"/>
        <c:lblAlgn val="ctr"/>
        <c:lblOffset val="100"/>
        <c:noMultiLvlLbl val="0"/>
      </c:catAx>
      <c:valAx>
        <c:axId val="390432216"/>
        <c:scaling>
          <c:orientation val="minMax"/>
        </c:scaling>
        <c:delete val="0"/>
        <c:axPos val="l"/>
        <c:majorGridlines/>
        <c:numFmt formatCode="General" sourceLinked="1"/>
        <c:majorTickMark val="none"/>
        <c:minorTickMark val="none"/>
        <c:tickLblPos val="nextTo"/>
        <c:crossAx val="390429080"/>
        <c:crosses val="autoZero"/>
        <c:crossBetween val="between"/>
        <c:majorUnit val="1"/>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Perf.</a:t>
            </a:r>
            <a:r>
              <a:rPr lang="de-DE" baseline="0"/>
              <a:t> and </a:t>
            </a:r>
            <a:r>
              <a:rPr lang="de-DE"/>
              <a:t>Scal.</a:t>
            </a:r>
            <a:r>
              <a:rPr lang="de-DE" baseline="0"/>
              <a:t> Issues per Process</a:t>
            </a:r>
            <a:endParaRPr lang="de-DE"/>
          </a:p>
        </c:rich>
      </c:tx>
      <c:overlay val="0"/>
    </c:title>
    <c:autoTitleDeleted val="0"/>
    <c:plotArea>
      <c:layout/>
      <c:barChart>
        <c:barDir val="col"/>
        <c:grouping val="stacked"/>
        <c:varyColors val="0"/>
        <c:ser>
          <c:idx val="0"/>
          <c:order val="0"/>
          <c:tx>
            <c:strRef>
              <c:f>'IV Progress (Issues)'!$B$12</c:f>
              <c:strCache>
                <c:ptCount val="1"/>
                <c:pt idx="0">
                  <c:v>Closed</c:v>
                </c:pt>
              </c:strCache>
            </c:strRef>
          </c:tx>
          <c:spPr>
            <a:solidFill>
              <a:srgbClr val="99FF99"/>
            </a:solidFill>
          </c:spPr>
          <c:invertIfNegative val="0"/>
          <c:cat>
            <c:strRef>
              <c:f>'IV Progress (Issues)'!$A$58:$A$63</c:f>
              <c:strCache>
                <c:ptCount val="6"/>
                <c:pt idx="0">
                  <c:v>Plan to Supply</c:v>
                </c:pt>
                <c:pt idx="1">
                  <c:v>Quote to Cash</c:v>
                </c:pt>
                <c:pt idx="2">
                  <c:v>Account Origination</c:v>
                </c:pt>
                <c:pt idx="3">
                  <c:v>Procure to Pay</c:v>
                </c:pt>
                <c:pt idx="4">
                  <c:v>BI Reporting</c:v>
                </c:pt>
                <c:pt idx="5">
                  <c:v>Miscellaneous</c:v>
                </c:pt>
              </c:strCache>
            </c:strRef>
          </c:cat>
          <c:val>
            <c:numRef>
              <c:f>'IV Progress (Issues)'!$B$58:$B$63</c:f>
              <c:numCache>
                <c:formatCode>General</c:formatCode>
                <c:ptCount val="6"/>
                <c:pt idx="0">
                  <c:v>0</c:v>
                </c:pt>
                <c:pt idx="1">
                  <c:v>0</c:v>
                </c:pt>
                <c:pt idx="2">
                  <c:v>0</c:v>
                </c:pt>
                <c:pt idx="3">
                  <c:v>0</c:v>
                </c:pt>
                <c:pt idx="4">
                  <c:v>0</c:v>
                </c:pt>
                <c:pt idx="5">
                  <c:v>0</c:v>
                </c:pt>
              </c:numCache>
            </c:numRef>
          </c:val>
        </c:ser>
        <c:ser>
          <c:idx val="1"/>
          <c:order val="1"/>
          <c:tx>
            <c:strRef>
              <c:f>'IV Progress (Issues)'!$C$12</c:f>
              <c:strCache>
                <c:ptCount val="1"/>
                <c:pt idx="0">
                  <c:v>Open</c:v>
                </c:pt>
              </c:strCache>
            </c:strRef>
          </c:tx>
          <c:spPr>
            <a:solidFill>
              <a:srgbClr val="FF9999"/>
            </a:solidFill>
          </c:spPr>
          <c:invertIfNegative val="0"/>
          <c:cat>
            <c:strRef>
              <c:f>'IV Progress (Issues)'!$A$58:$A$63</c:f>
              <c:strCache>
                <c:ptCount val="6"/>
                <c:pt idx="0">
                  <c:v>Plan to Supply</c:v>
                </c:pt>
                <c:pt idx="1">
                  <c:v>Quote to Cash</c:v>
                </c:pt>
                <c:pt idx="2">
                  <c:v>Account Origination</c:v>
                </c:pt>
                <c:pt idx="3">
                  <c:v>Procure to Pay</c:v>
                </c:pt>
                <c:pt idx="4">
                  <c:v>BI Reporting</c:v>
                </c:pt>
                <c:pt idx="5">
                  <c:v>Miscellaneous</c:v>
                </c:pt>
              </c:strCache>
            </c:strRef>
          </c:cat>
          <c:val>
            <c:numRef>
              <c:f>'IV Progress (Issues)'!$C$58:$C$63</c:f>
              <c:numCache>
                <c:formatCode>General</c:formatCode>
                <c:ptCount val="6"/>
                <c:pt idx="0">
                  <c:v>0</c:v>
                </c:pt>
                <c:pt idx="1">
                  <c:v>2</c:v>
                </c:pt>
                <c:pt idx="2">
                  <c:v>0</c:v>
                </c:pt>
                <c:pt idx="3">
                  <c:v>0</c:v>
                </c:pt>
                <c:pt idx="4">
                  <c:v>0</c:v>
                </c:pt>
                <c:pt idx="5">
                  <c:v>1</c:v>
                </c:pt>
              </c:numCache>
            </c:numRef>
          </c:val>
        </c:ser>
        <c:dLbls>
          <c:showLegendKey val="0"/>
          <c:showVal val="0"/>
          <c:showCatName val="0"/>
          <c:showSerName val="0"/>
          <c:showPercent val="0"/>
          <c:showBubbleSize val="0"/>
        </c:dLbls>
        <c:gapWidth val="55"/>
        <c:overlap val="100"/>
        <c:axId val="390433000"/>
        <c:axId val="390430256"/>
      </c:barChart>
      <c:catAx>
        <c:axId val="390433000"/>
        <c:scaling>
          <c:orientation val="minMax"/>
        </c:scaling>
        <c:delete val="0"/>
        <c:axPos val="b"/>
        <c:numFmt formatCode="General" sourceLinked="0"/>
        <c:majorTickMark val="none"/>
        <c:minorTickMark val="none"/>
        <c:tickLblPos val="nextTo"/>
        <c:crossAx val="390430256"/>
        <c:crosses val="autoZero"/>
        <c:auto val="1"/>
        <c:lblAlgn val="ctr"/>
        <c:lblOffset val="100"/>
        <c:noMultiLvlLbl val="0"/>
      </c:catAx>
      <c:valAx>
        <c:axId val="390430256"/>
        <c:scaling>
          <c:orientation val="minMax"/>
        </c:scaling>
        <c:delete val="0"/>
        <c:axPos val="l"/>
        <c:majorGridlines/>
        <c:numFmt formatCode="General" sourceLinked="1"/>
        <c:majorTickMark val="none"/>
        <c:minorTickMark val="none"/>
        <c:tickLblPos val="nextTo"/>
        <c:crossAx val="390433000"/>
        <c:crosses val="autoZero"/>
        <c:crossBetween val="between"/>
        <c:majorUnit val="1"/>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Job/Volume Issues </a:t>
            </a:r>
            <a:r>
              <a:rPr lang="de-DE" baseline="0"/>
              <a:t>per Process</a:t>
            </a:r>
            <a:endParaRPr lang="de-DE"/>
          </a:p>
        </c:rich>
      </c:tx>
      <c:overlay val="0"/>
    </c:title>
    <c:autoTitleDeleted val="0"/>
    <c:plotArea>
      <c:layout/>
      <c:barChart>
        <c:barDir val="col"/>
        <c:grouping val="stacked"/>
        <c:varyColors val="0"/>
        <c:ser>
          <c:idx val="0"/>
          <c:order val="0"/>
          <c:tx>
            <c:strRef>
              <c:f>'IV Progress (Issues)'!$B$12</c:f>
              <c:strCache>
                <c:ptCount val="1"/>
                <c:pt idx="0">
                  <c:v>Closed</c:v>
                </c:pt>
              </c:strCache>
            </c:strRef>
          </c:tx>
          <c:spPr>
            <a:solidFill>
              <a:srgbClr val="99FF99"/>
            </a:solidFill>
          </c:spPr>
          <c:invertIfNegative val="0"/>
          <c:cat>
            <c:strRef>
              <c:f>'IV Progress (Issues)'!$A$72:$A$77</c:f>
              <c:strCache>
                <c:ptCount val="6"/>
                <c:pt idx="0">
                  <c:v>Plan to Supply</c:v>
                </c:pt>
                <c:pt idx="1">
                  <c:v>Quote to Cash</c:v>
                </c:pt>
                <c:pt idx="2">
                  <c:v>Account Origination</c:v>
                </c:pt>
                <c:pt idx="3">
                  <c:v>Procure to Pay</c:v>
                </c:pt>
                <c:pt idx="4">
                  <c:v>BI Reporting</c:v>
                </c:pt>
                <c:pt idx="5">
                  <c:v>Miscellaneous</c:v>
                </c:pt>
              </c:strCache>
            </c:strRef>
          </c:cat>
          <c:val>
            <c:numRef>
              <c:f>'IV Progress (Issues)'!$B$72:$B$77</c:f>
              <c:numCache>
                <c:formatCode>General</c:formatCode>
                <c:ptCount val="6"/>
                <c:pt idx="0">
                  <c:v>0</c:v>
                </c:pt>
                <c:pt idx="1">
                  <c:v>0</c:v>
                </c:pt>
                <c:pt idx="2">
                  <c:v>0</c:v>
                </c:pt>
                <c:pt idx="3">
                  <c:v>0</c:v>
                </c:pt>
                <c:pt idx="4">
                  <c:v>0</c:v>
                </c:pt>
                <c:pt idx="5">
                  <c:v>0</c:v>
                </c:pt>
              </c:numCache>
            </c:numRef>
          </c:val>
        </c:ser>
        <c:ser>
          <c:idx val="1"/>
          <c:order val="1"/>
          <c:tx>
            <c:strRef>
              <c:f>'IV Progress (Issues)'!$C$12</c:f>
              <c:strCache>
                <c:ptCount val="1"/>
                <c:pt idx="0">
                  <c:v>Open</c:v>
                </c:pt>
              </c:strCache>
            </c:strRef>
          </c:tx>
          <c:spPr>
            <a:solidFill>
              <a:srgbClr val="FF9999"/>
            </a:solidFill>
          </c:spPr>
          <c:invertIfNegative val="0"/>
          <c:cat>
            <c:strRef>
              <c:f>'IV Progress (Issues)'!$A$72:$A$77</c:f>
              <c:strCache>
                <c:ptCount val="6"/>
                <c:pt idx="0">
                  <c:v>Plan to Supply</c:v>
                </c:pt>
                <c:pt idx="1">
                  <c:v>Quote to Cash</c:v>
                </c:pt>
                <c:pt idx="2">
                  <c:v>Account Origination</c:v>
                </c:pt>
                <c:pt idx="3">
                  <c:v>Procure to Pay</c:v>
                </c:pt>
                <c:pt idx="4">
                  <c:v>BI Reporting</c:v>
                </c:pt>
                <c:pt idx="5">
                  <c:v>Miscellaneous</c:v>
                </c:pt>
              </c:strCache>
            </c:strRef>
          </c:cat>
          <c:val>
            <c:numRef>
              <c:f>'IV Progress (Issues)'!$C$72:$C$77</c:f>
              <c:numCache>
                <c:formatCode>General</c:formatCode>
                <c:ptCount val="6"/>
                <c:pt idx="0">
                  <c:v>0</c:v>
                </c:pt>
                <c:pt idx="1">
                  <c:v>2</c:v>
                </c:pt>
                <c:pt idx="2">
                  <c:v>0</c:v>
                </c:pt>
                <c:pt idx="3">
                  <c:v>0</c:v>
                </c:pt>
                <c:pt idx="4">
                  <c:v>0</c:v>
                </c:pt>
                <c:pt idx="5">
                  <c:v>0</c:v>
                </c:pt>
              </c:numCache>
            </c:numRef>
          </c:val>
        </c:ser>
        <c:dLbls>
          <c:showLegendKey val="0"/>
          <c:showVal val="0"/>
          <c:showCatName val="0"/>
          <c:showSerName val="0"/>
          <c:showPercent val="0"/>
          <c:showBubbleSize val="0"/>
        </c:dLbls>
        <c:gapWidth val="55"/>
        <c:overlap val="100"/>
        <c:axId val="390431040"/>
        <c:axId val="390427120"/>
      </c:barChart>
      <c:catAx>
        <c:axId val="390431040"/>
        <c:scaling>
          <c:orientation val="minMax"/>
        </c:scaling>
        <c:delete val="0"/>
        <c:axPos val="b"/>
        <c:numFmt formatCode="General" sourceLinked="0"/>
        <c:majorTickMark val="none"/>
        <c:minorTickMark val="none"/>
        <c:tickLblPos val="nextTo"/>
        <c:crossAx val="390427120"/>
        <c:crosses val="autoZero"/>
        <c:auto val="1"/>
        <c:lblAlgn val="ctr"/>
        <c:lblOffset val="100"/>
        <c:noMultiLvlLbl val="0"/>
      </c:catAx>
      <c:valAx>
        <c:axId val="390427120"/>
        <c:scaling>
          <c:orientation val="minMax"/>
        </c:scaling>
        <c:delete val="0"/>
        <c:axPos val="l"/>
        <c:majorGridlines/>
        <c:numFmt formatCode="General" sourceLinked="1"/>
        <c:majorTickMark val="none"/>
        <c:minorTickMark val="none"/>
        <c:tickLblPos val="nextTo"/>
        <c:crossAx val="390431040"/>
        <c:crosses val="autoZero"/>
        <c:crossBetween val="between"/>
        <c:majorUnit val="1"/>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System Int./Queues</a:t>
            </a:r>
            <a:r>
              <a:rPr lang="de-DE" baseline="0"/>
              <a:t> Issues per Process</a:t>
            </a:r>
            <a:endParaRPr lang="de-DE"/>
          </a:p>
        </c:rich>
      </c:tx>
      <c:overlay val="0"/>
    </c:title>
    <c:autoTitleDeleted val="0"/>
    <c:plotArea>
      <c:layout/>
      <c:barChart>
        <c:barDir val="col"/>
        <c:grouping val="stacked"/>
        <c:varyColors val="0"/>
        <c:ser>
          <c:idx val="0"/>
          <c:order val="0"/>
          <c:tx>
            <c:strRef>
              <c:f>'IV Progress (Issues)'!$B$12</c:f>
              <c:strCache>
                <c:ptCount val="1"/>
                <c:pt idx="0">
                  <c:v>Closed</c:v>
                </c:pt>
              </c:strCache>
            </c:strRef>
          </c:tx>
          <c:spPr>
            <a:solidFill>
              <a:srgbClr val="99FF99"/>
            </a:solidFill>
          </c:spPr>
          <c:invertIfNegative val="0"/>
          <c:cat>
            <c:strRef>
              <c:f>'IV Progress (Issues)'!$A$42:$A$47</c:f>
              <c:strCache>
                <c:ptCount val="6"/>
                <c:pt idx="0">
                  <c:v>Plan to Supply</c:v>
                </c:pt>
                <c:pt idx="1">
                  <c:v>Quote to Cash</c:v>
                </c:pt>
                <c:pt idx="2">
                  <c:v>Account Origination</c:v>
                </c:pt>
                <c:pt idx="3">
                  <c:v>Procure to Pay</c:v>
                </c:pt>
                <c:pt idx="4">
                  <c:v>BI Reporting</c:v>
                </c:pt>
                <c:pt idx="5">
                  <c:v>Miscellaneous</c:v>
                </c:pt>
              </c:strCache>
            </c:strRef>
          </c:cat>
          <c:val>
            <c:numRef>
              <c:f>'IV Progress (Issues)'!$B$42:$B$47</c:f>
              <c:numCache>
                <c:formatCode>General</c:formatCode>
                <c:ptCount val="6"/>
                <c:pt idx="0">
                  <c:v>0</c:v>
                </c:pt>
                <c:pt idx="1">
                  <c:v>0</c:v>
                </c:pt>
                <c:pt idx="2">
                  <c:v>0</c:v>
                </c:pt>
                <c:pt idx="3">
                  <c:v>0</c:v>
                </c:pt>
                <c:pt idx="4">
                  <c:v>0</c:v>
                </c:pt>
                <c:pt idx="5">
                  <c:v>0</c:v>
                </c:pt>
              </c:numCache>
            </c:numRef>
          </c:val>
        </c:ser>
        <c:ser>
          <c:idx val="1"/>
          <c:order val="1"/>
          <c:tx>
            <c:strRef>
              <c:f>'IV Progress (Issues)'!$C$12</c:f>
              <c:strCache>
                <c:ptCount val="1"/>
                <c:pt idx="0">
                  <c:v>Open</c:v>
                </c:pt>
              </c:strCache>
            </c:strRef>
          </c:tx>
          <c:spPr>
            <a:solidFill>
              <a:srgbClr val="FF9999"/>
            </a:solidFill>
          </c:spPr>
          <c:invertIfNegative val="0"/>
          <c:cat>
            <c:strRef>
              <c:f>'IV Progress (Issues)'!$A$42:$A$47</c:f>
              <c:strCache>
                <c:ptCount val="6"/>
                <c:pt idx="0">
                  <c:v>Plan to Supply</c:v>
                </c:pt>
                <c:pt idx="1">
                  <c:v>Quote to Cash</c:v>
                </c:pt>
                <c:pt idx="2">
                  <c:v>Account Origination</c:v>
                </c:pt>
                <c:pt idx="3">
                  <c:v>Procure to Pay</c:v>
                </c:pt>
                <c:pt idx="4">
                  <c:v>BI Reporting</c:v>
                </c:pt>
                <c:pt idx="5">
                  <c:v>Miscellaneous</c:v>
                </c:pt>
              </c:strCache>
            </c:strRef>
          </c:cat>
          <c:val>
            <c:numRef>
              <c:f>'IV Progress (Issues)'!$C$42:$C$47</c:f>
              <c:numCache>
                <c:formatCode>General</c:formatCode>
                <c:ptCount val="6"/>
                <c:pt idx="0">
                  <c:v>1</c:v>
                </c:pt>
                <c:pt idx="1">
                  <c:v>0</c:v>
                </c:pt>
                <c:pt idx="2">
                  <c:v>0</c:v>
                </c:pt>
                <c:pt idx="3">
                  <c:v>0</c:v>
                </c:pt>
                <c:pt idx="4">
                  <c:v>0</c:v>
                </c:pt>
                <c:pt idx="5">
                  <c:v>1</c:v>
                </c:pt>
              </c:numCache>
            </c:numRef>
          </c:val>
        </c:ser>
        <c:dLbls>
          <c:showLegendKey val="0"/>
          <c:showVal val="0"/>
          <c:showCatName val="0"/>
          <c:showSerName val="0"/>
          <c:showPercent val="0"/>
          <c:showBubbleSize val="0"/>
        </c:dLbls>
        <c:gapWidth val="55"/>
        <c:overlap val="100"/>
        <c:axId val="390427512"/>
        <c:axId val="390432608"/>
      </c:barChart>
      <c:catAx>
        <c:axId val="390427512"/>
        <c:scaling>
          <c:orientation val="minMax"/>
        </c:scaling>
        <c:delete val="0"/>
        <c:axPos val="b"/>
        <c:numFmt formatCode="General" sourceLinked="0"/>
        <c:majorTickMark val="none"/>
        <c:minorTickMark val="none"/>
        <c:tickLblPos val="nextTo"/>
        <c:crossAx val="390432608"/>
        <c:crosses val="autoZero"/>
        <c:auto val="1"/>
        <c:lblAlgn val="ctr"/>
        <c:lblOffset val="100"/>
        <c:noMultiLvlLbl val="0"/>
      </c:catAx>
      <c:valAx>
        <c:axId val="390432608"/>
        <c:scaling>
          <c:orientation val="minMax"/>
        </c:scaling>
        <c:delete val="0"/>
        <c:axPos val="l"/>
        <c:majorGridlines/>
        <c:numFmt formatCode="General" sourceLinked="1"/>
        <c:majorTickMark val="none"/>
        <c:minorTickMark val="none"/>
        <c:tickLblPos val="nextTo"/>
        <c:crossAx val="390427512"/>
        <c:crosses val="autoZero"/>
        <c:crossBetween val="between"/>
        <c:majorUnit val="1"/>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988407699037624E-2"/>
          <c:y val="2.7579168588619349E-2"/>
          <c:w val="0.9179271653543305"/>
          <c:h val="0.81128562312982067"/>
        </c:manualLayout>
      </c:layout>
      <c:barChart>
        <c:barDir val="col"/>
        <c:grouping val="stacked"/>
        <c:varyColors val="0"/>
        <c:ser>
          <c:idx val="7"/>
          <c:order val="0"/>
          <c:tx>
            <c:strRef>
              <c:f>'Issue Progress'!$B$8</c:f>
              <c:strCache>
                <c:ptCount val="1"/>
                <c:pt idx="0">
                  <c:v>Closed</c:v>
                </c:pt>
              </c:strCache>
            </c:strRef>
          </c:tx>
          <c:spPr>
            <a:solidFill>
              <a:srgbClr val="99FF99"/>
            </a:solidFill>
          </c:spPr>
          <c:invertIfNegative val="0"/>
          <c:cat>
            <c:numRef>
              <c:f>'Issue Progress'!$C$1</c:f>
              <c:numCache>
                <c:formatCode>d\-mmm</c:formatCode>
                <c:ptCount val="1"/>
                <c:pt idx="0">
                  <c:v>42244</c:v>
                </c:pt>
              </c:numCache>
            </c:numRef>
          </c:cat>
          <c:val>
            <c:numRef>
              <c:f>'Issue Progress'!$C$8</c:f>
              <c:numCache>
                <c:formatCode>General</c:formatCode>
                <c:ptCount val="1"/>
                <c:pt idx="0">
                  <c:v>1</c:v>
                </c:pt>
              </c:numCache>
            </c:numRef>
          </c:val>
        </c:ser>
        <c:ser>
          <c:idx val="6"/>
          <c:order val="1"/>
          <c:tx>
            <c:strRef>
              <c:f>'Issue Progress'!$B$7</c:f>
              <c:strCache>
                <c:ptCount val="1"/>
                <c:pt idx="0">
                  <c:v>Testing</c:v>
                </c:pt>
              </c:strCache>
            </c:strRef>
          </c:tx>
          <c:spPr>
            <a:solidFill>
              <a:schemeClr val="bg1">
                <a:lumMod val="75000"/>
              </a:schemeClr>
            </a:solidFill>
          </c:spPr>
          <c:invertIfNegative val="0"/>
          <c:cat>
            <c:numRef>
              <c:f>'Issue Progress'!$C$1</c:f>
              <c:numCache>
                <c:formatCode>d\-mmm</c:formatCode>
                <c:ptCount val="1"/>
                <c:pt idx="0">
                  <c:v>42244</c:v>
                </c:pt>
              </c:numCache>
            </c:numRef>
          </c:cat>
          <c:val>
            <c:numRef>
              <c:f>'Issue Progress'!$C$7</c:f>
              <c:numCache>
                <c:formatCode>General</c:formatCode>
                <c:ptCount val="1"/>
                <c:pt idx="0">
                  <c:v>3</c:v>
                </c:pt>
              </c:numCache>
            </c:numRef>
          </c:val>
        </c:ser>
        <c:ser>
          <c:idx val="5"/>
          <c:order val="2"/>
          <c:tx>
            <c:strRef>
              <c:f>'Issue Progress'!$B$6</c:f>
              <c:strCache>
                <c:ptCount val="1"/>
                <c:pt idx="0">
                  <c:v>Recomm. Provided</c:v>
                </c:pt>
              </c:strCache>
            </c:strRef>
          </c:tx>
          <c:spPr>
            <a:solidFill>
              <a:srgbClr val="99CCFF"/>
            </a:solidFill>
          </c:spPr>
          <c:invertIfNegative val="0"/>
          <c:cat>
            <c:numRef>
              <c:f>'Issue Progress'!$C$1</c:f>
              <c:numCache>
                <c:formatCode>d\-mmm</c:formatCode>
                <c:ptCount val="1"/>
                <c:pt idx="0">
                  <c:v>42244</c:v>
                </c:pt>
              </c:numCache>
            </c:numRef>
          </c:cat>
          <c:val>
            <c:numRef>
              <c:f>'Issue Progress'!$C$6</c:f>
              <c:numCache>
                <c:formatCode>General</c:formatCode>
                <c:ptCount val="1"/>
                <c:pt idx="0">
                  <c:v>1</c:v>
                </c:pt>
              </c:numCache>
            </c:numRef>
          </c:val>
        </c:ser>
        <c:ser>
          <c:idx val="4"/>
          <c:order val="3"/>
          <c:tx>
            <c:strRef>
              <c:f>'Issue Progress'!$B$5</c:f>
              <c:strCache>
                <c:ptCount val="1"/>
                <c:pt idx="0">
                  <c:v>&lt;&lt;Customer&gt;&gt; Action</c:v>
                </c:pt>
              </c:strCache>
            </c:strRef>
          </c:tx>
          <c:spPr>
            <a:solidFill>
              <a:schemeClr val="bg2">
                <a:lumMod val="50000"/>
              </a:schemeClr>
            </a:solidFill>
          </c:spPr>
          <c:invertIfNegative val="0"/>
          <c:cat>
            <c:numRef>
              <c:f>'Issue Progress'!$C$1</c:f>
              <c:numCache>
                <c:formatCode>d\-mmm</c:formatCode>
                <c:ptCount val="1"/>
                <c:pt idx="0">
                  <c:v>42244</c:v>
                </c:pt>
              </c:numCache>
            </c:numRef>
          </c:cat>
          <c:val>
            <c:numRef>
              <c:f>'Issue Progress'!$C$5</c:f>
              <c:numCache>
                <c:formatCode>General</c:formatCode>
                <c:ptCount val="1"/>
                <c:pt idx="0">
                  <c:v>4</c:v>
                </c:pt>
              </c:numCache>
            </c:numRef>
          </c:val>
        </c:ser>
        <c:ser>
          <c:idx val="2"/>
          <c:order val="4"/>
          <c:tx>
            <c:strRef>
              <c:f>'Issue Progress'!$B$4</c:f>
              <c:strCache>
                <c:ptCount val="1"/>
                <c:pt idx="0">
                  <c:v>SAP Action</c:v>
                </c:pt>
              </c:strCache>
            </c:strRef>
          </c:tx>
          <c:spPr>
            <a:solidFill>
              <a:srgbClr val="FFFF99"/>
            </a:solidFill>
          </c:spPr>
          <c:invertIfNegative val="0"/>
          <c:cat>
            <c:numRef>
              <c:f>'Issue Progress'!$C$1</c:f>
              <c:numCache>
                <c:formatCode>d\-mmm</c:formatCode>
                <c:ptCount val="1"/>
                <c:pt idx="0">
                  <c:v>42244</c:v>
                </c:pt>
              </c:numCache>
            </c:numRef>
          </c:cat>
          <c:val>
            <c:numRef>
              <c:f>'Issue Progress'!$C$4</c:f>
              <c:numCache>
                <c:formatCode>General</c:formatCode>
                <c:ptCount val="1"/>
                <c:pt idx="0">
                  <c:v>2</c:v>
                </c:pt>
              </c:numCache>
            </c:numRef>
          </c:val>
        </c:ser>
        <c:ser>
          <c:idx val="1"/>
          <c:order val="5"/>
          <c:tx>
            <c:strRef>
              <c:f>'Issue Progress'!$B$3</c:f>
              <c:strCache>
                <c:ptCount val="1"/>
                <c:pt idx="0">
                  <c:v>Postponed</c:v>
                </c:pt>
              </c:strCache>
            </c:strRef>
          </c:tx>
          <c:spPr>
            <a:solidFill>
              <a:srgbClr val="FFCC99"/>
            </a:solidFill>
          </c:spPr>
          <c:invertIfNegative val="0"/>
          <c:cat>
            <c:numRef>
              <c:f>'Issue Progress'!$C$1</c:f>
              <c:numCache>
                <c:formatCode>d\-mmm</c:formatCode>
                <c:ptCount val="1"/>
                <c:pt idx="0">
                  <c:v>42244</c:v>
                </c:pt>
              </c:numCache>
            </c:numRef>
          </c:cat>
          <c:val>
            <c:numRef>
              <c:f>'Issue Progress'!$C$3</c:f>
              <c:numCache>
                <c:formatCode>General</c:formatCode>
                <c:ptCount val="1"/>
                <c:pt idx="0">
                  <c:v>0</c:v>
                </c:pt>
              </c:numCache>
            </c:numRef>
          </c:val>
        </c:ser>
        <c:ser>
          <c:idx val="0"/>
          <c:order val="6"/>
          <c:tx>
            <c:strRef>
              <c:f>'Issue Progress'!$B$2</c:f>
              <c:strCache>
                <c:ptCount val="1"/>
                <c:pt idx="0">
                  <c:v>New</c:v>
                </c:pt>
              </c:strCache>
            </c:strRef>
          </c:tx>
          <c:spPr>
            <a:solidFill>
              <a:srgbClr val="FF9999"/>
            </a:solidFill>
          </c:spPr>
          <c:invertIfNegative val="0"/>
          <c:cat>
            <c:numRef>
              <c:f>'Issue Progress'!$C$1</c:f>
              <c:numCache>
                <c:formatCode>d\-mmm</c:formatCode>
                <c:ptCount val="1"/>
                <c:pt idx="0">
                  <c:v>42244</c:v>
                </c:pt>
              </c:numCache>
            </c:numRef>
          </c:cat>
          <c:val>
            <c:numRef>
              <c:f>'Issue Progress'!$C$2</c:f>
              <c:numCache>
                <c:formatCode>General</c:formatCode>
                <c:ptCount val="1"/>
                <c:pt idx="0">
                  <c:v>1</c:v>
                </c:pt>
              </c:numCache>
            </c:numRef>
          </c:val>
        </c:ser>
        <c:dLbls>
          <c:showLegendKey val="0"/>
          <c:showVal val="0"/>
          <c:showCatName val="0"/>
          <c:showSerName val="0"/>
          <c:showPercent val="0"/>
          <c:showBubbleSize val="0"/>
        </c:dLbls>
        <c:gapWidth val="150"/>
        <c:overlap val="100"/>
        <c:axId val="390723464"/>
        <c:axId val="390726992"/>
      </c:barChart>
      <c:catAx>
        <c:axId val="390723464"/>
        <c:scaling>
          <c:orientation val="minMax"/>
        </c:scaling>
        <c:delete val="0"/>
        <c:axPos val="b"/>
        <c:numFmt formatCode="d\-mmm" sourceLinked="1"/>
        <c:majorTickMark val="out"/>
        <c:minorTickMark val="none"/>
        <c:tickLblPos val="nextTo"/>
        <c:txPr>
          <a:bodyPr/>
          <a:lstStyle/>
          <a:p>
            <a:pPr>
              <a:defRPr sz="2400"/>
            </a:pPr>
            <a:endParaRPr lang="en-US"/>
          </a:p>
        </c:txPr>
        <c:crossAx val="390726992"/>
        <c:crosses val="autoZero"/>
        <c:auto val="0"/>
        <c:lblAlgn val="ctr"/>
        <c:lblOffset val="100"/>
        <c:noMultiLvlLbl val="0"/>
      </c:catAx>
      <c:valAx>
        <c:axId val="390726992"/>
        <c:scaling>
          <c:orientation val="minMax"/>
        </c:scaling>
        <c:delete val="0"/>
        <c:axPos val="l"/>
        <c:majorGridlines/>
        <c:numFmt formatCode="General" sourceLinked="1"/>
        <c:majorTickMark val="out"/>
        <c:minorTickMark val="none"/>
        <c:tickLblPos val="nextTo"/>
        <c:txPr>
          <a:bodyPr/>
          <a:lstStyle/>
          <a:p>
            <a:pPr>
              <a:defRPr sz="2400"/>
            </a:pPr>
            <a:endParaRPr lang="en-US"/>
          </a:p>
        </c:txPr>
        <c:crossAx val="390723464"/>
        <c:crosses val="autoZero"/>
        <c:crossBetween val="between"/>
      </c:valAx>
    </c:plotArea>
    <c:legend>
      <c:legendPos val="r"/>
      <c:layout>
        <c:manualLayout>
          <c:xMode val="edge"/>
          <c:yMode val="edge"/>
          <c:x val="8.1778134673675701E-2"/>
          <c:y val="3.2064307928928698E-2"/>
          <c:w val="0.18028542695639116"/>
          <c:h val="0.28363005080714898"/>
        </c:manualLayout>
      </c:layout>
      <c:overlay val="0"/>
      <c:spPr>
        <a:solidFill>
          <a:srgbClr val="F2F2F2"/>
        </a:solidFill>
      </c:spPr>
      <c:txPr>
        <a:bodyPr/>
        <a:lstStyle/>
        <a:p>
          <a:pPr>
            <a:defRPr sz="1400"/>
          </a:pPr>
          <a:endParaRPr lang="en-US"/>
        </a:p>
      </c:txPr>
    </c:legend>
    <c:plotVisOnly val="1"/>
    <c:dispBlanksAs val="gap"/>
    <c:showDLblsOverMax val="0"/>
  </c:chart>
  <c:spPr>
    <a:ln>
      <a:noFill/>
    </a:ln>
  </c:spPr>
  <c:txPr>
    <a:bodyPr/>
    <a:lstStyle/>
    <a:p>
      <a:pPr>
        <a:defRPr sz="1200" b="1"/>
      </a:pPr>
      <a:endParaRPr lang="en-US"/>
    </a:p>
  </c:txPr>
  <c:printSettings>
    <c:headerFooter/>
    <c:pageMargins b="0.750000000000003" l="0.70000000000000062" r="0.70000000000000062" t="0.750000000000003" header="0.30000000000000032" footer="0.30000000000000032"/>
    <c:pageSetup/>
  </c:printSettings>
  <c:userShapes r:id="rId1"/>
</c:chartSpace>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1</xdr:col>
      <xdr:colOff>3288195</xdr:colOff>
      <xdr:row>0</xdr:row>
      <xdr:rowOff>679174</xdr:rowOff>
    </xdr:from>
    <xdr:ext cx="184731" cy="264560"/>
    <xdr:sp macro="" textlink="">
      <xdr:nvSpPr>
        <xdr:cNvPr id="19" name="TextBox 18"/>
        <xdr:cNvSpPr txBox="1"/>
      </xdr:nvSpPr>
      <xdr:spPr>
        <a:xfrm>
          <a:off x="3404152" y="86967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9</xdr:col>
      <xdr:colOff>231912</xdr:colOff>
      <xdr:row>4</xdr:row>
      <xdr:rowOff>33129</xdr:rowOff>
    </xdr:from>
    <xdr:ext cx="4431195" cy="1595180"/>
    <xdr:sp macro="" textlink="">
      <xdr:nvSpPr>
        <xdr:cNvPr id="20" name="TextBox 19"/>
        <xdr:cNvSpPr txBox="1"/>
      </xdr:nvSpPr>
      <xdr:spPr>
        <a:xfrm>
          <a:off x="5391977" y="1532281"/>
          <a:ext cx="4431195" cy="1595180"/>
        </a:xfrm>
        <a:prstGeom prst="rect">
          <a:avLst/>
        </a:prstGeom>
        <a:solidFill>
          <a:schemeClr val="accent1"/>
        </a:solidFill>
        <a:ln>
          <a:solidFill>
            <a:schemeClr val="tx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solidFill>
                <a:schemeClr val="bg1"/>
              </a:solidFill>
            </a:rPr>
            <a:t>Please use comments to the corresponding cells to provide more details on how</a:t>
          </a:r>
          <a:r>
            <a:rPr lang="en-US" sz="1600" b="1" baseline="0">
              <a:solidFill>
                <a:schemeClr val="bg1"/>
              </a:solidFill>
            </a:rPr>
            <a:t> Ratings have been set</a:t>
          </a:r>
          <a:r>
            <a:rPr lang="en-US" sz="1600" b="1">
              <a:solidFill>
                <a:schemeClr val="bg1"/>
              </a:solidFill>
            </a:rPr>
            <a:t>. </a:t>
          </a:r>
        </a:p>
        <a:p>
          <a:r>
            <a:rPr lang="en-US" sz="1200" b="0">
              <a:solidFill>
                <a:schemeClr val="bg1"/>
              </a:solidFill>
            </a:rPr>
            <a:t>E.g. short results of checking, issue number in the SAP Solution Manager. </a:t>
          </a:r>
        </a:p>
        <a:p>
          <a:r>
            <a:rPr lang="en-US" sz="1200" b="0">
              <a:solidFill>
                <a:schemeClr val="bg1"/>
              </a:solidFill>
            </a:rPr>
            <a:t>Business processes and steps should be identical to the ones from Solution Manager</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7</xdr:col>
      <xdr:colOff>247650</xdr:colOff>
      <xdr:row>6</xdr:row>
      <xdr:rowOff>36836</xdr:rowOff>
    </xdr:from>
    <xdr:to>
      <xdr:col>7</xdr:col>
      <xdr:colOff>491299</xdr:colOff>
      <xdr:row>6</xdr:row>
      <xdr:rowOff>316380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10075" y="2189486"/>
          <a:ext cx="243649" cy="279544"/>
        </a:xfrm>
        <a:prstGeom prst="rect">
          <a:avLst/>
        </a:prstGeom>
      </xdr:spPr>
    </xdr:pic>
    <xdr:clientData/>
  </xdr:twoCellAnchor>
  <xdr:twoCellAnchor editAs="oneCell">
    <xdr:from>
      <xdr:col>9</xdr:col>
      <xdr:colOff>277929</xdr:colOff>
      <xdr:row>6</xdr:row>
      <xdr:rowOff>59578</xdr:rowOff>
    </xdr:from>
    <xdr:to>
      <xdr:col>9</xdr:col>
      <xdr:colOff>501769</xdr:colOff>
      <xdr:row>6</xdr:row>
      <xdr:rowOff>293639</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69104" y="2212228"/>
          <a:ext cx="223840" cy="234061"/>
        </a:xfrm>
        <a:prstGeom prst="rect">
          <a:avLst/>
        </a:prstGeom>
      </xdr:spPr>
    </xdr:pic>
    <xdr:clientData/>
  </xdr:twoCellAnchor>
  <xdr:twoCellAnchor editAs="oneCell">
    <xdr:from>
      <xdr:col>8</xdr:col>
      <xdr:colOff>167281</xdr:colOff>
      <xdr:row>6</xdr:row>
      <xdr:rowOff>44548</xdr:rowOff>
    </xdr:from>
    <xdr:to>
      <xdr:col>8</xdr:col>
      <xdr:colOff>572063</xdr:colOff>
      <xdr:row>6</xdr:row>
      <xdr:rowOff>308668</xdr:rowOff>
    </xdr:to>
    <xdr:pic>
      <xdr:nvPicPr>
        <xdr:cNvPr id="4"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44081" y="2197198"/>
          <a:ext cx="404782" cy="264120"/>
        </a:xfrm>
        <a:prstGeom prst="rect">
          <a:avLst/>
        </a:prstGeom>
      </xdr:spPr>
    </xdr:pic>
    <xdr:clientData/>
  </xdr:twoCellAnchor>
  <xdr:twoCellAnchor editAs="oneCell">
    <xdr:from>
      <xdr:col>11</xdr:col>
      <xdr:colOff>272968</xdr:colOff>
      <xdr:row>6</xdr:row>
      <xdr:rowOff>81000</xdr:rowOff>
    </xdr:from>
    <xdr:to>
      <xdr:col>11</xdr:col>
      <xdr:colOff>488595</xdr:colOff>
      <xdr:row>6</xdr:row>
      <xdr:rowOff>272216</xdr:rowOff>
    </xdr:to>
    <xdr:pic>
      <xdr:nvPicPr>
        <xdr:cNvPr id="5"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321468" y="2233650"/>
          <a:ext cx="215627" cy="191216"/>
        </a:xfrm>
        <a:prstGeom prst="rect">
          <a:avLst/>
        </a:prstGeom>
      </xdr:spPr>
    </xdr:pic>
    <xdr:clientData/>
  </xdr:twoCellAnchor>
  <xdr:twoCellAnchor editAs="oneCell">
    <xdr:from>
      <xdr:col>10</xdr:col>
      <xdr:colOff>251919</xdr:colOff>
      <xdr:row>6</xdr:row>
      <xdr:rowOff>68858</xdr:rowOff>
    </xdr:from>
    <xdr:to>
      <xdr:col>10</xdr:col>
      <xdr:colOff>512606</xdr:colOff>
      <xdr:row>6</xdr:row>
      <xdr:rowOff>284359</xdr:rowOff>
    </xdr:to>
    <xdr:pic>
      <xdr:nvPicPr>
        <xdr:cNvPr id="6" name="Picture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57469" y="2221508"/>
          <a:ext cx="260687" cy="215501"/>
        </a:xfrm>
        <a:prstGeom prst="rect">
          <a:avLst/>
        </a:prstGeom>
      </xdr:spPr>
    </xdr:pic>
    <xdr:clientData/>
  </xdr:twoCellAnchor>
  <xdr:twoCellAnchor editAs="oneCell">
    <xdr:from>
      <xdr:col>12</xdr:col>
      <xdr:colOff>170904</xdr:colOff>
      <xdr:row>6</xdr:row>
      <xdr:rowOff>82248</xdr:rowOff>
    </xdr:from>
    <xdr:to>
      <xdr:col>12</xdr:col>
      <xdr:colOff>551903</xdr:colOff>
      <xdr:row>6</xdr:row>
      <xdr:rowOff>270968</xdr:rowOff>
    </xdr:to>
    <xdr:pic>
      <xdr:nvPicPr>
        <xdr:cNvPr id="7" name="Picture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33779" y="2234898"/>
          <a:ext cx="380999" cy="188720"/>
        </a:xfrm>
        <a:prstGeom prst="rect">
          <a:avLst/>
        </a:prstGeom>
      </xdr:spPr>
    </xdr:pic>
    <xdr:clientData/>
  </xdr:twoCellAnchor>
  <xdr:twoCellAnchor editAs="oneCell">
    <xdr:from>
      <xdr:col>13</xdr:col>
      <xdr:colOff>192551</xdr:colOff>
      <xdr:row>6</xdr:row>
      <xdr:rowOff>82248</xdr:rowOff>
    </xdr:from>
    <xdr:to>
      <xdr:col>13</xdr:col>
      <xdr:colOff>559881</xdr:colOff>
      <xdr:row>6</xdr:row>
      <xdr:rowOff>270968</xdr:rowOff>
    </xdr:to>
    <xdr:pic>
      <xdr:nvPicPr>
        <xdr:cNvPr id="8" name="Picture 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669801" y="2234898"/>
          <a:ext cx="367330" cy="188720"/>
        </a:xfrm>
        <a:prstGeom prst="rect">
          <a:avLst/>
        </a:prstGeom>
      </xdr:spPr>
    </xdr:pic>
    <xdr:clientData/>
  </xdr:twoCellAnchor>
  <xdr:twoCellAnchor editAs="oneCell">
    <xdr:from>
      <xdr:col>14</xdr:col>
      <xdr:colOff>183398</xdr:colOff>
      <xdr:row>6</xdr:row>
      <xdr:rowOff>75700</xdr:rowOff>
    </xdr:from>
    <xdr:to>
      <xdr:col>14</xdr:col>
      <xdr:colOff>589130</xdr:colOff>
      <xdr:row>6</xdr:row>
      <xdr:rowOff>277516</xdr:rowOff>
    </xdr:to>
    <xdr:pic>
      <xdr:nvPicPr>
        <xdr:cNvPr id="9" name="Picture 8"/>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375023" y="2228350"/>
          <a:ext cx="405732" cy="201816"/>
        </a:xfrm>
        <a:prstGeom prst="rect">
          <a:avLst/>
        </a:prstGeom>
      </xdr:spPr>
    </xdr:pic>
    <xdr:clientData/>
  </xdr:twoCellAnchor>
  <xdr:twoCellAnchor editAs="oneCell">
    <xdr:from>
      <xdr:col>15</xdr:col>
      <xdr:colOff>195940</xdr:colOff>
      <xdr:row>6</xdr:row>
      <xdr:rowOff>100408</xdr:rowOff>
    </xdr:from>
    <xdr:to>
      <xdr:col>15</xdr:col>
      <xdr:colOff>565063</xdr:colOff>
      <xdr:row>6</xdr:row>
      <xdr:rowOff>252808</xdr:rowOff>
    </xdr:to>
    <xdr:pic>
      <xdr:nvPicPr>
        <xdr:cNvPr id="10" name="Picture 9"/>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101940" y="2253058"/>
          <a:ext cx="369123" cy="152400"/>
        </a:xfrm>
        <a:prstGeom prst="rect">
          <a:avLst/>
        </a:prstGeom>
      </xdr:spPr>
    </xdr:pic>
    <xdr:clientData/>
  </xdr:twoCellAnchor>
  <xdr:twoCellAnchor editAs="oneCell">
    <xdr:from>
      <xdr:col>16</xdr:col>
      <xdr:colOff>187038</xdr:colOff>
      <xdr:row>6</xdr:row>
      <xdr:rowOff>58267</xdr:rowOff>
    </xdr:from>
    <xdr:to>
      <xdr:col>16</xdr:col>
      <xdr:colOff>426238</xdr:colOff>
      <xdr:row>6</xdr:row>
      <xdr:rowOff>294950</xdr:rowOff>
    </xdr:to>
    <xdr:pic>
      <xdr:nvPicPr>
        <xdr:cNvPr id="11" name="Picture 10"/>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807413" y="2210917"/>
          <a:ext cx="239200" cy="236683"/>
        </a:xfrm>
        <a:prstGeom prst="rect">
          <a:avLst/>
        </a:prstGeom>
      </xdr:spPr>
    </xdr:pic>
    <xdr:clientData/>
  </xdr:twoCellAnchor>
  <xdr:twoCellAnchor editAs="oneCell">
    <xdr:from>
      <xdr:col>17</xdr:col>
      <xdr:colOff>274236</xdr:colOff>
      <xdr:row>6</xdr:row>
      <xdr:rowOff>62309</xdr:rowOff>
    </xdr:from>
    <xdr:to>
      <xdr:col>17</xdr:col>
      <xdr:colOff>452593</xdr:colOff>
      <xdr:row>6</xdr:row>
      <xdr:rowOff>290908</xdr:rowOff>
    </xdr:to>
    <xdr:pic>
      <xdr:nvPicPr>
        <xdr:cNvPr id="12" name="Picture 11"/>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608986" y="2214959"/>
          <a:ext cx="178357" cy="228599"/>
        </a:xfrm>
        <a:prstGeom prst="rect">
          <a:avLst/>
        </a:prstGeom>
      </xdr:spPr>
    </xdr:pic>
    <xdr:clientData/>
  </xdr:twoCellAnchor>
  <xdr:twoCellAnchor editAs="oneCell">
    <xdr:from>
      <xdr:col>18</xdr:col>
      <xdr:colOff>284220</xdr:colOff>
      <xdr:row>6</xdr:row>
      <xdr:rowOff>64282</xdr:rowOff>
    </xdr:from>
    <xdr:to>
      <xdr:col>18</xdr:col>
      <xdr:colOff>482443</xdr:colOff>
      <xdr:row>6</xdr:row>
      <xdr:rowOff>288935</xdr:rowOff>
    </xdr:to>
    <xdr:pic>
      <xdr:nvPicPr>
        <xdr:cNvPr id="13" name="Picture 12"/>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333345" y="2216932"/>
          <a:ext cx="198223" cy="224653"/>
        </a:xfrm>
        <a:prstGeom prst="rect">
          <a:avLst/>
        </a:prstGeom>
      </xdr:spPr>
    </xdr:pic>
    <xdr:clientData/>
  </xdr:twoCellAnchor>
  <xdr:twoCellAnchor editAs="oneCell">
    <xdr:from>
      <xdr:col>18</xdr:col>
      <xdr:colOff>291380</xdr:colOff>
      <xdr:row>4</xdr:row>
      <xdr:rowOff>30325</xdr:rowOff>
    </xdr:from>
    <xdr:to>
      <xdr:col>18</xdr:col>
      <xdr:colOff>489603</xdr:colOff>
      <xdr:row>4</xdr:row>
      <xdr:rowOff>254978</xdr:rowOff>
    </xdr:to>
    <xdr:pic>
      <xdr:nvPicPr>
        <xdr:cNvPr id="14" name="Picture 13"/>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340505" y="1039975"/>
          <a:ext cx="198223" cy="224653"/>
        </a:xfrm>
        <a:prstGeom prst="rect">
          <a:avLst/>
        </a:prstGeom>
      </xdr:spPr>
    </xdr:pic>
    <xdr:clientData/>
  </xdr:twoCellAnchor>
  <xdr:twoCellAnchor editAs="oneCell">
    <xdr:from>
      <xdr:col>17</xdr:col>
      <xdr:colOff>0</xdr:colOff>
      <xdr:row>4</xdr:row>
      <xdr:rowOff>44156</xdr:rowOff>
    </xdr:from>
    <xdr:to>
      <xdr:col>17</xdr:col>
      <xdr:colOff>168809</xdr:colOff>
      <xdr:row>4</xdr:row>
      <xdr:rowOff>241147</xdr:rowOff>
    </xdr:to>
    <xdr:pic>
      <xdr:nvPicPr>
        <xdr:cNvPr id="15" name="Picture 14"/>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34750" y="1053806"/>
          <a:ext cx="168809" cy="196991"/>
        </a:xfrm>
        <a:prstGeom prst="rect">
          <a:avLst/>
        </a:prstGeom>
      </xdr:spPr>
    </xdr:pic>
    <xdr:clientData/>
  </xdr:twoCellAnchor>
  <xdr:twoCellAnchor editAs="oneCell">
    <xdr:from>
      <xdr:col>15</xdr:col>
      <xdr:colOff>194964</xdr:colOff>
      <xdr:row>4</xdr:row>
      <xdr:rowOff>66451</xdr:rowOff>
    </xdr:from>
    <xdr:to>
      <xdr:col>15</xdr:col>
      <xdr:colOff>564087</xdr:colOff>
      <xdr:row>4</xdr:row>
      <xdr:rowOff>218851</xdr:rowOff>
    </xdr:to>
    <xdr:pic>
      <xdr:nvPicPr>
        <xdr:cNvPr id="16" name="Picture 15"/>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100964" y="1076101"/>
          <a:ext cx="369123" cy="152400"/>
        </a:xfrm>
        <a:prstGeom prst="rect">
          <a:avLst/>
        </a:prstGeom>
      </xdr:spPr>
    </xdr:pic>
    <xdr:clientData/>
  </xdr:twoCellAnchor>
  <xdr:twoCellAnchor editAs="oneCell">
    <xdr:from>
      <xdr:col>12</xdr:col>
      <xdr:colOff>596219</xdr:colOff>
      <xdr:row>4</xdr:row>
      <xdr:rowOff>79640</xdr:rowOff>
    </xdr:from>
    <xdr:to>
      <xdr:col>13</xdr:col>
      <xdr:colOff>110444</xdr:colOff>
      <xdr:row>4</xdr:row>
      <xdr:rowOff>308240</xdr:rowOff>
    </xdr:to>
    <xdr:pic>
      <xdr:nvPicPr>
        <xdr:cNvPr id="17" name="Picture 16"/>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359094" y="1089290"/>
          <a:ext cx="228599" cy="228600"/>
        </a:xfrm>
        <a:prstGeom prst="rect">
          <a:avLst/>
        </a:prstGeom>
      </xdr:spPr>
    </xdr:pic>
    <xdr:clientData/>
  </xdr:twoCellAnchor>
  <xdr:twoCellAnchor editAs="oneCell">
    <xdr:from>
      <xdr:col>8</xdr:col>
      <xdr:colOff>542193</xdr:colOff>
      <xdr:row>4</xdr:row>
      <xdr:rowOff>576</xdr:rowOff>
    </xdr:from>
    <xdr:to>
      <xdr:col>9</xdr:col>
      <xdr:colOff>127873</xdr:colOff>
      <xdr:row>4</xdr:row>
      <xdr:rowOff>270073</xdr:rowOff>
    </xdr:to>
    <xdr:pic>
      <xdr:nvPicPr>
        <xdr:cNvPr id="18" name="Picture 17"/>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418993" y="1010226"/>
          <a:ext cx="300056" cy="2694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171450</xdr:rowOff>
    </xdr:from>
    <xdr:to>
      <xdr:col>23</xdr:col>
      <xdr:colOff>103010</xdr:colOff>
      <xdr:row>37</xdr:row>
      <xdr:rowOff>75355</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361950"/>
          <a:ext cx="14123810" cy="67619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7</xdr:col>
      <xdr:colOff>381000</xdr:colOff>
      <xdr:row>5</xdr:row>
      <xdr:rowOff>337039</xdr:rowOff>
    </xdr:from>
    <xdr:ext cx="9481039" cy="4412683"/>
    <xdr:sp macro="" textlink="">
      <xdr:nvSpPr>
        <xdr:cNvPr id="3" name="TextBox 2"/>
        <xdr:cNvSpPr txBox="1"/>
      </xdr:nvSpPr>
      <xdr:spPr>
        <a:xfrm>
          <a:off x="6154615" y="3165231"/>
          <a:ext cx="9481039" cy="4412683"/>
        </a:xfrm>
        <a:prstGeom prst="rect">
          <a:avLst/>
        </a:prstGeom>
        <a:solidFill>
          <a:schemeClr val="accent1"/>
        </a:solidFill>
        <a:ln>
          <a:solidFill>
            <a:schemeClr val="tx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solidFill>
                <a:schemeClr val="bg1"/>
              </a:solidFill>
            </a:rPr>
            <a:t>INSTRUCTIONS:</a:t>
          </a:r>
        </a:p>
        <a:p>
          <a:r>
            <a:rPr lang="en-US" sz="1600" b="1">
              <a:solidFill>
                <a:schemeClr val="bg1"/>
              </a:solidFill>
            </a:rPr>
            <a:t>* Change Process / Area entries in the Legend area to include the scope of your IV</a:t>
          </a:r>
        </a:p>
        <a:p>
          <a:endParaRPr lang="en-US" sz="1600" b="1">
            <a:solidFill>
              <a:schemeClr val="bg1"/>
            </a:solidFill>
          </a:endParaRPr>
        </a:p>
        <a:p>
          <a:r>
            <a:rPr lang="en-US" sz="1600" b="1">
              <a:solidFill>
                <a:schemeClr val="bg1"/>
              </a:solidFill>
            </a:rPr>
            <a:t>* On IV Engagement Plan tab, replace &lt;&lt;Customer&gt;&gt; with customer name, and it will update everywhere else in the workbook</a:t>
          </a:r>
        </a:p>
        <a:p>
          <a:endParaRPr lang="en-US" sz="1600" b="1">
            <a:solidFill>
              <a:schemeClr val="bg1"/>
            </a:solidFill>
          </a:endParaRPr>
        </a:p>
        <a:p>
          <a:r>
            <a:rPr lang="en-US" sz="1600" b="1">
              <a:solidFill>
                <a:schemeClr val="bg1"/>
              </a:solidFill>
            </a:rPr>
            <a:t>* Delete example issues and insert your own</a:t>
          </a:r>
        </a:p>
        <a:p>
          <a:endParaRPr lang="en-US" sz="1600" b="1">
            <a:solidFill>
              <a:schemeClr val="bg1"/>
            </a:solidFill>
          </a:endParaRPr>
        </a:p>
        <a:p>
          <a:r>
            <a:rPr lang="en-US" sz="1600" b="1">
              <a:solidFill>
                <a:schemeClr val="bg1"/>
              </a:solidFill>
            </a:rPr>
            <a:t>* For each issue, values for colored cells should be copied and pasted directly from the Legend area to avoid format/value errors</a:t>
          </a:r>
        </a:p>
        <a:p>
          <a:endParaRPr lang="en-US" sz="1600" b="1">
            <a:solidFill>
              <a:schemeClr val="bg1"/>
            </a:solidFill>
          </a:endParaRPr>
        </a:p>
        <a:p>
          <a:r>
            <a:rPr lang="en-US" sz="1600" b="1">
              <a:solidFill>
                <a:schemeClr val="bg1"/>
              </a:solidFill>
            </a:rPr>
            <a:t>*  To insert a new issue:</a:t>
          </a:r>
        </a:p>
        <a:p>
          <a:r>
            <a:rPr lang="en-US" sz="1600" b="1">
              <a:solidFill>
                <a:schemeClr val="bg1"/>
              </a:solidFill>
            </a:rPr>
            <a:t>    - Right-click the header of the row directly under the last entry for the work stream of the new issue (e.g. new Performance issues, choose the row below the last peformance issues on the list)</a:t>
          </a:r>
        </a:p>
        <a:p>
          <a:r>
            <a:rPr lang="en-US" sz="1600" b="1">
              <a:solidFill>
                <a:schemeClr val="bg1"/>
              </a:solidFill>
            </a:rPr>
            <a:t>    - Choose insert; enter new values and copy Work Strem, Prio, Process, and Status from Legend</a:t>
          </a:r>
        </a:p>
        <a:p>
          <a:r>
            <a:rPr lang="en-US" sz="1600" b="1">
              <a:solidFill>
                <a:schemeClr val="bg1"/>
              </a:solidFill>
            </a:rPr>
            <a:t>     - Be sure to maintain the different number ranges for each work stream (e.g. Issue No = 1xx for Data Cons, Issue No = 2xx for Excp Mgt, etc.)</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5</xdr:col>
      <xdr:colOff>190501</xdr:colOff>
      <xdr:row>11</xdr:row>
      <xdr:rowOff>2199</xdr:rowOff>
    </xdr:from>
    <xdr:to>
      <xdr:col>17</xdr:col>
      <xdr:colOff>36636</xdr:colOff>
      <xdr:row>23</xdr:row>
      <xdr:rowOff>166322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190501</xdr:colOff>
      <xdr:row>25</xdr:row>
      <xdr:rowOff>2199</xdr:rowOff>
    </xdr:from>
    <xdr:to>
      <xdr:col>17</xdr:col>
      <xdr:colOff>36636</xdr:colOff>
      <xdr:row>37</xdr:row>
      <xdr:rowOff>166322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190501</xdr:colOff>
      <xdr:row>56</xdr:row>
      <xdr:rowOff>2199</xdr:rowOff>
    </xdr:from>
    <xdr:to>
      <xdr:col>17</xdr:col>
      <xdr:colOff>36636</xdr:colOff>
      <xdr:row>68</xdr:row>
      <xdr:rowOff>166322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190501</xdr:colOff>
      <xdr:row>70</xdr:row>
      <xdr:rowOff>2199</xdr:rowOff>
    </xdr:from>
    <xdr:to>
      <xdr:col>17</xdr:col>
      <xdr:colOff>36636</xdr:colOff>
      <xdr:row>82</xdr:row>
      <xdr:rowOff>166322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190501</xdr:colOff>
      <xdr:row>40</xdr:row>
      <xdr:rowOff>2199</xdr:rowOff>
    </xdr:from>
    <xdr:to>
      <xdr:col>17</xdr:col>
      <xdr:colOff>36636</xdr:colOff>
      <xdr:row>52</xdr:row>
      <xdr:rowOff>166322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6</xdr:col>
      <xdr:colOff>182217</xdr:colOff>
      <xdr:row>3</xdr:row>
      <xdr:rowOff>165652</xdr:rowOff>
    </xdr:from>
    <xdr:ext cx="6692349" cy="2749827"/>
    <xdr:sp macro="" textlink="">
      <xdr:nvSpPr>
        <xdr:cNvPr id="8" name="TextBox 7"/>
        <xdr:cNvSpPr txBox="1"/>
      </xdr:nvSpPr>
      <xdr:spPr>
        <a:xfrm>
          <a:off x="3718891" y="1159565"/>
          <a:ext cx="6692349" cy="2749827"/>
        </a:xfrm>
        <a:prstGeom prst="rect">
          <a:avLst/>
        </a:prstGeom>
        <a:solidFill>
          <a:schemeClr val="accent1"/>
        </a:solidFill>
        <a:ln>
          <a:solidFill>
            <a:schemeClr val="tx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bg1"/>
              </a:solidFill>
            </a:rPr>
            <a:t>INSTRUCTIONS:</a:t>
          </a:r>
        </a:p>
        <a:p>
          <a:r>
            <a:rPr lang="en-US" sz="1400" b="0">
              <a:solidFill>
                <a:schemeClr val="bg1"/>
              </a:solidFill>
            </a:rPr>
            <a:t>*</a:t>
          </a:r>
          <a:r>
            <a:rPr lang="en-US" sz="1400" b="0" baseline="0">
              <a:solidFill>
                <a:schemeClr val="bg1"/>
              </a:solidFill>
            </a:rPr>
            <a:t> </a:t>
          </a:r>
          <a:r>
            <a:rPr lang="en-US" sz="1400" b="0">
              <a:solidFill>
                <a:schemeClr val="bg1"/>
              </a:solidFill>
            </a:rPr>
            <a:t>Replace example Business Processes with processes relevant for your IV</a:t>
          </a:r>
        </a:p>
        <a:p>
          <a:r>
            <a:rPr lang="en-US" sz="1400" b="0">
              <a:solidFill>
                <a:schemeClr val="bg1"/>
              </a:solidFill>
            </a:rPr>
            <a:t>    - NOTE: The process names MUST match (word for word + case) to the processes maintained in the Issue List Legend section in order for the automation to work</a:t>
          </a:r>
        </a:p>
        <a:p>
          <a:r>
            <a:rPr lang="en-US" sz="1400" b="0">
              <a:solidFill>
                <a:schemeClr val="bg1"/>
              </a:solidFill>
            </a:rPr>
            <a:t>*</a:t>
          </a:r>
          <a:r>
            <a:rPr lang="en-US" sz="1400" b="0" baseline="0">
              <a:solidFill>
                <a:schemeClr val="bg1"/>
              </a:solidFill>
            </a:rPr>
            <a:t> </a:t>
          </a:r>
          <a:r>
            <a:rPr lang="en-US" sz="1400" b="0">
              <a:solidFill>
                <a:schemeClr val="bg1"/>
              </a:solidFill>
            </a:rPr>
            <a:t># Steps, % Ready for IV, and % Analyzed must be filled in manually; Issue counts, totals, and grand totals will be automatically calculated</a:t>
          </a:r>
        </a:p>
        <a:p>
          <a:r>
            <a:rPr lang="en-US" sz="1400" b="0">
              <a:solidFill>
                <a:schemeClr val="bg1"/>
              </a:solidFill>
            </a:rPr>
            <a:t>*</a:t>
          </a:r>
          <a:r>
            <a:rPr lang="en-US" sz="1400" b="0" baseline="0">
              <a:solidFill>
                <a:schemeClr val="bg1"/>
              </a:solidFill>
            </a:rPr>
            <a:t> </a:t>
          </a:r>
          <a:r>
            <a:rPr lang="en-US" sz="1400" b="0">
              <a:solidFill>
                <a:schemeClr val="bg1"/>
              </a:solidFill>
            </a:rPr>
            <a:t>When processes are removed/added:</a:t>
          </a:r>
        </a:p>
        <a:p>
          <a:r>
            <a:rPr lang="en-US" sz="1400" b="0">
              <a:solidFill>
                <a:schemeClr val="bg1"/>
              </a:solidFill>
            </a:rPr>
            <a:t>    - The counts below the matrix will need to be manually adjusted so they are referencing the correct process name/count</a:t>
          </a:r>
        </a:p>
        <a:p>
          <a:r>
            <a:rPr lang="en-US" sz="1400" b="0">
              <a:solidFill>
                <a:schemeClr val="bg1"/>
              </a:solidFill>
            </a:rPr>
            <a:t>    - Additionally, data selection for the charts will need to be updated</a:t>
          </a:r>
        </a:p>
        <a:p>
          <a:r>
            <a:rPr lang="en-US" sz="1400" b="0">
              <a:solidFill>
                <a:schemeClr val="bg1"/>
              </a:solidFill>
            </a:rPr>
            <a:t>    - These should both be one-time activities</a:t>
          </a:r>
          <a:endParaRPr lang="en-US" sz="1100" b="0">
            <a:solidFill>
              <a:schemeClr val="bg1"/>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4</xdr:col>
      <xdr:colOff>130969</xdr:colOff>
      <xdr:row>11</xdr:row>
      <xdr:rowOff>0</xdr:rowOff>
    </xdr:from>
    <xdr:to>
      <xdr:col>14</xdr:col>
      <xdr:colOff>590550</xdr:colOff>
      <xdr:row>40</xdr:row>
      <xdr:rowOff>96953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876300</xdr:colOff>
      <xdr:row>12</xdr:row>
      <xdr:rowOff>76200</xdr:rowOff>
    </xdr:from>
    <xdr:ext cx="6915150" cy="3609975"/>
    <xdr:sp macro="" textlink="">
      <xdr:nvSpPr>
        <xdr:cNvPr id="3" name="TextBox 2"/>
        <xdr:cNvSpPr txBox="1"/>
      </xdr:nvSpPr>
      <xdr:spPr>
        <a:xfrm>
          <a:off x="1123950" y="2457450"/>
          <a:ext cx="6915150" cy="3609975"/>
        </a:xfrm>
        <a:prstGeom prst="rect">
          <a:avLst/>
        </a:prstGeom>
        <a:solidFill>
          <a:schemeClr val="accent1"/>
        </a:solidFill>
        <a:ln>
          <a:solidFill>
            <a:schemeClr val="tx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solidFill>
            </a:rPr>
            <a:t>UPDATING INSTRUCTIONS:</a:t>
          </a:r>
        </a:p>
        <a:p>
          <a:r>
            <a:rPr lang="en-US" sz="1400" b="0">
              <a:solidFill>
                <a:schemeClr val="bg1"/>
              </a:solidFill>
            </a:rPr>
            <a:t>*</a:t>
          </a:r>
          <a:r>
            <a:rPr lang="en-US" sz="1400" b="0" baseline="0">
              <a:solidFill>
                <a:schemeClr val="bg1"/>
              </a:solidFill>
            </a:rPr>
            <a:t> </a:t>
          </a:r>
          <a:r>
            <a:rPr lang="en-US" sz="1400" b="0">
              <a:solidFill>
                <a:schemeClr val="bg1"/>
              </a:solidFill>
            </a:rPr>
            <a:t>Add column for new week:</a:t>
          </a:r>
        </a:p>
        <a:p>
          <a:r>
            <a:rPr lang="en-US" sz="1400" b="0">
              <a:solidFill>
                <a:schemeClr val="bg1"/>
              </a:solidFill>
            </a:rPr>
            <a:t>    -Right mouse-click on header of last data column -&gt; Copy</a:t>
          </a:r>
        </a:p>
        <a:p>
          <a:r>
            <a:rPr lang="en-US" sz="1400" b="0">
              <a:solidFill>
                <a:schemeClr val="bg1"/>
              </a:solidFill>
            </a:rPr>
            <a:t>    -Right mouse-click on header of the first empty column to the right of the last data column -&gt;Insert copied Cells</a:t>
          </a:r>
        </a:p>
        <a:p>
          <a:r>
            <a:rPr lang="en-US" sz="1400" b="0">
              <a:solidFill>
                <a:schemeClr val="bg1"/>
              </a:solidFill>
            </a:rPr>
            <a:t>*</a:t>
          </a:r>
          <a:r>
            <a:rPr lang="en-US" sz="1400" b="0" baseline="0">
              <a:solidFill>
                <a:schemeClr val="bg1"/>
              </a:solidFill>
            </a:rPr>
            <a:t> </a:t>
          </a:r>
          <a:r>
            <a:rPr lang="en-US" sz="1400" b="0">
              <a:solidFill>
                <a:schemeClr val="bg1"/>
              </a:solidFill>
            </a:rPr>
            <a:t>"Freeze" data from previous week:</a:t>
          </a:r>
        </a:p>
        <a:p>
          <a:r>
            <a:rPr lang="en-US" sz="1400" b="0">
              <a:solidFill>
                <a:schemeClr val="bg1"/>
              </a:solidFill>
            </a:rPr>
            <a:t>    -With cells still in clipboard, right mouse-click the header of the copied column -&gt; Paste Special -&gt; Values (V)</a:t>
          </a:r>
        </a:p>
        <a:p>
          <a:r>
            <a:rPr lang="en-US" sz="1400" b="0">
              <a:solidFill>
                <a:schemeClr val="bg1"/>
              </a:solidFill>
            </a:rPr>
            <a:t>    -Column header date continually updates with today's date; after freezing the column, that date will be retained</a:t>
          </a:r>
        </a:p>
        <a:p>
          <a:r>
            <a:rPr lang="en-US" sz="1400" b="0">
              <a:solidFill>
                <a:schemeClr val="bg1"/>
              </a:solidFill>
            </a:rPr>
            <a:t>* Update chart with data from new week:</a:t>
          </a:r>
        </a:p>
        <a:p>
          <a:r>
            <a:rPr lang="en-US" sz="1400" b="0">
              <a:solidFill>
                <a:schemeClr val="bg1"/>
              </a:solidFill>
            </a:rPr>
            <a:t>    -Right-click table -&gt; Select Data</a:t>
          </a:r>
        </a:p>
        <a:p>
          <a:r>
            <a:rPr lang="en-US" sz="1400" b="0">
              <a:solidFill>
                <a:schemeClr val="bg1"/>
              </a:solidFill>
            </a:rPr>
            <a:t>    -Edit each entry in "Legend Entries"; extend range of "Series Values" to include newly created column</a:t>
          </a:r>
        </a:p>
        <a:p>
          <a:r>
            <a:rPr lang="en-US" sz="1400" b="0">
              <a:solidFill>
                <a:schemeClr val="bg1"/>
              </a:solidFill>
            </a:rPr>
            <a:t>    -Edit "Axis Labels"; extend "Axis Lables Range" to include newly create column</a:t>
          </a:r>
          <a:endParaRPr lang="en-US" sz="1100" b="0">
            <a:solidFill>
              <a:schemeClr val="bg1"/>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0.49495</cdr:x>
      <cdr:y>0.05972</cdr:y>
    </cdr:from>
    <cdr:to>
      <cdr:x>0.56932</cdr:x>
      <cdr:y>0.13185</cdr:y>
    </cdr:to>
    <cdr:sp macro="" textlink="">
      <cdr:nvSpPr>
        <cdr:cNvPr id="2" name="Rectangle 1"/>
        <cdr:cNvSpPr/>
      </cdr:nvSpPr>
      <cdr:spPr>
        <a:xfrm xmlns:a="http://schemas.openxmlformats.org/drawingml/2006/main">
          <a:off x="5837604" y="335692"/>
          <a:ext cx="877145" cy="405475"/>
        </a:xfrm>
        <a:prstGeom xmlns:a="http://schemas.openxmlformats.org/drawingml/2006/main" prst="rect">
          <a:avLst/>
        </a:prstGeom>
      </cdr:spPr>
      <cdr:txBody>
        <a:bodyPr xmlns:a="http://schemas.openxmlformats.org/drawingml/2006/main" vert="horz"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2000" b="1" dirty="0" smtClean="0"/>
            <a:t>12</a:t>
          </a:r>
          <a:endParaRPr lang="en-US" sz="2000" dirty="0"/>
        </a:p>
      </cdr:txBody>
    </cdr:sp>
  </cdr:relSizeAnchor>
</c:userShapes>
</file>

<file path=xl/drawings/drawing8.xml><?xml version="1.0" encoding="utf-8"?>
<xdr:wsDr xmlns:xdr="http://schemas.openxmlformats.org/drawingml/2006/spreadsheetDrawing" xmlns:a="http://schemas.openxmlformats.org/drawingml/2006/main">
  <xdr:oneCellAnchor>
    <xdr:from>
      <xdr:col>1</xdr:col>
      <xdr:colOff>865187</xdr:colOff>
      <xdr:row>8</xdr:row>
      <xdr:rowOff>206375</xdr:rowOff>
    </xdr:from>
    <xdr:ext cx="5524500" cy="1460500"/>
    <xdr:sp macro="" textlink="">
      <xdr:nvSpPr>
        <xdr:cNvPr id="2" name="TextBox 1"/>
        <xdr:cNvSpPr txBox="1"/>
      </xdr:nvSpPr>
      <xdr:spPr>
        <a:xfrm>
          <a:off x="1476375" y="2159000"/>
          <a:ext cx="5524500" cy="1460500"/>
        </a:xfrm>
        <a:prstGeom prst="rect">
          <a:avLst/>
        </a:prstGeom>
        <a:solidFill>
          <a:schemeClr val="accent1"/>
        </a:solidFill>
        <a:ln>
          <a:solidFill>
            <a:schemeClr val="tx1"/>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solidFill>
            </a:rPr>
            <a:t>INSTRUCTIONS:</a:t>
          </a:r>
        </a:p>
        <a:p>
          <a:r>
            <a:rPr lang="en-US" sz="1600" b="0">
              <a:solidFill>
                <a:schemeClr val="bg1"/>
              </a:solidFill>
            </a:rPr>
            <a:t>- No manual maintenance required, everything should update automatically</a:t>
          </a:r>
        </a:p>
        <a:p>
          <a:r>
            <a:rPr lang="en-US" sz="1600" b="0">
              <a:solidFill>
                <a:schemeClr val="bg1"/>
              </a:solidFill>
            </a:rPr>
            <a:t>- Date in title continually updates with today's date</a:t>
          </a:r>
          <a:endParaRPr lang="en-US" sz="1100" b="0">
            <a:solidFill>
              <a:schemeClr val="bg1"/>
            </a:solidFill>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390526</xdr:colOff>
      <xdr:row>1</xdr:row>
      <xdr:rowOff>28575</xdr:rowOff>
    </xdr:from>
    <xdr:to>
      <xdr:col>3</xdr:col>
      <xdr:colOff>571501</xdr:colOff>
      <xdr:row>8</xdr:row>
      <xdr:rowOff>133350</xdr:rowOff>
    </xdr:to>
    <xdr:sp macro="" textlink="">
      <xdr:nvSpPr>
        <xdr:cNvPr id="2" name="rect10000000204"/>
        <xdr:cNvSpPr>
          <a:spLocks noChangeArrowheads="1"/>
        </xdr:cNvSpPr>
      </xdr:nvSpPr>
      <xdr:spPr bwMode="auto">
        <a:xfrm>
          <a:off x="390526" y="219075"/>
          <a:ext cx="3505200" cy="1438275"/>
        </a:xfrm>
        <a:prstGeom prst="rect">
          <a:avLst/>
        </a:prstGeom>
        <a:solidFill>
          <a:srgbClr val="EFF6FB"/>
        </a:solidFill>
        <a:ln w="9525">
          <a:solidFill>
            <a:srgbClr val="000000"/>
          </a:solidFill>
          <a:miter lim="800000"/>
          <a:headEnd/>
          <a:tailEnd/>
        </a:ln>
      </xdr:spPr>
      <xdr:txBody>
        <a:bodyPr wrap="square"/>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r>
            <a:rPr lang="en-US"/>
            <a:t>POS</a:t>
          </a:r>
        </a:p>
      </xdr:txBody>
    </xdr:sp>
    <xdr:clientData/>
  </xdr:twoCellAnchor>
  <xdr:twoCellAnchor>
    <xdr:from>
      <xdr:col>0</xdr:col>
      <xdr:colOff>692151</xdr:colOff>
      <xdr:row>5</xdr:row>
      <xdr:rowOff>47625</xdr:rowOff>
    </xdr:from>
    <xdr:to>
      <xdr:col>0</xdr:col>
      <xdr:colOff>1628776</xdr:colOff>
      <xdr:row>7</xdr:row>
      <xdr:rowOff>95250</xdr:rowOff>
    </xdr:to>
    <xdr:sp macro="" textlink="">
      <xdr:nvSpPr>
        <xdr:cNvPr id="3" name="body0000000212"/>
        <xdr:cNvSpPr>
          <a:spLocks noChangeArrowheads="1"/>
        </xdr:cNvSpPr>
      </xdr:nvSpPr>
      <xdr:spPr bwMode="auto">
        <a:xfrm>
          <a:off x="692151" y="1000125"/>
          <a:ext cx="936625" cy="428625"/>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Create purchase requisition</a:t>
          </a:r>
        </a:p>
      </xdr:txBody>
    </xdr:sp>
    <xdr:clientData/>
  </xdr:twoCellAnchor>
  <xdr:twoCellAnchor>
    <xdr:from>
      <xdr:col>0</xdr:col>
      <xdr:colOff>381001</xdr:colOff>
      <xdr:row>9</xdr:row>
      <xdr:rowOff>66674</xdr:rowOff>
    </xdr:from>
    <xdr:to>
      <xdr:col>5</xdr:col>
      <xdr:colOff>312421</xdr:colOff>
      <xdr:row>11</xdr:row>
      <xdr:rowOff>18765</xdr:rowOff>
    </xdr:to>
    <xdr:sp macro="" textlink="">
      <xdr:nvSpPr>
        <xdr:cNvPr id="4" name="rect10000000204"/>
        <xdr:cNvSpPr>
          <a:spLocks noChangeArrowheads="1"/>
        </xdr:cNvSpPr>
      </xdr:nvSpPr>
      <xdr:spPr bwMode="auto">
        <a:xfrm>
          <a:off x="381001" y="1781174"/>
          <a:ext cx="4474845" cy="333091"/>
        </a:xfrm>
        <a:prstGeom prst="rect">
          <a:avLst/>
        </a:prstGeom>
        <a:solidFill>
          <a:srgbClr val="EFF6FB"/>
        </a:solidFill>
        <a:ln w="9525">
          <a:solidFill>
            <a:srgbClr val="000000"/>
          </a:solidFill>
          <a:miter lim="800000"/>
          <a:headEnd/>
          <a:tailEnd/>
        </a:ln>
      </xdr:spPr>
      <xdr:txBody>
        <a:bodyPr wrap="square"/>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r"/>
          <a:r>
            <a:rPr lang="en-US" altLang="zh-CN"/>
            <a:t>PI</a:t>
          </a:r>
        </a:p>
      </xdr:txBody>
    </xdr:sp>
    <xdr:clientData/>
  </xdr:twoCellAnchor>
  <xdr:twoCellAnchor>
    <xdr:from>
      <xdr:col>0</xdr:col>
      <xdr:colOff>381000</xdr:colOff>
      <xdr:row>11</xdr:row>
      <xdr:rowOff>104773</xdr:rowOff>
    </xdr:from>
    <xdr:to>
      <xdr:col>5</xdr:col>
      <xdr:colOff>295276</xdr:colOff>
      <xdr:row>27</xdr:row>
      <xdr:rowOff>19050</xdr:rowOff>
    </xdr:to>
    <xdr:sp macro="" textlink="">
      <xdr:nvSpPr>
        <xdr:cNvPr id="5" name="rect10000000204"/>
        <xdr:cNvSpPr>
          <a:spLocks noChangeArrowheads="1"/>
        </xdr:cNvSpPr>
      </xdr:nvSpPr>
      <xdr:spPr bwMode="auto">
        <a:xfrm>
          <a:off x="381000" y="2200273"/>
          <a:ext cx="4457701" cy="2962277"/>
        </a:xfrm>
        <a:prstGeom prst="rect">
          <a:avLst/>
        </a:prstGeom>
        <a:solidFill>
          <a:srgbClr val="EFF6FB"/>
        </a:solidFill>
        <a:ln w="9525">
          <a:solidFill>
            <a:srgbClr val="000000"/>
          </a:solidFill>
          <a:miter lim="800000"/>
          <a:headEnd/>
          <a:tailEnd/>
        </a:ln>
      </xdr:spPr>
      <xdr:txBody>
        <a:bodyPr wrap="square"/>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r>
            <a:rPr lang="en-US"/>
            <a:t>Retail</a:t>
          </a:r>
        </a:p>
      </xdr:txBody>
    </xdr:sp>
    <xdr:clientData/>
  </xdr:twoCellAnchor>
  <xdr:twoCellAnchor>
    <xdr:from>
      <xdr:col>0</xdr:col>
      <xdr:colOff>1958976</xdr:colOff>
      <xdr:row>12</xdr:row>
      <xdr:rowOff>89214</xdr:rowOff>
    </xdr:from>
    <xdr:to>
      <xdr:col>3</xdr:col>
      <xdr:colOff>17045</xdr:colOff>
      <xdr:row>14</xdr:row>
      <xdr:rowOff>48607</xdr:rowOff>
    </xdr:to>
    <xdr:sp macro="" textlink="">
      <xdr:nvSpPr>
        <xdr:cNvPr id="6" name="body0000000212"/>
        <xdr:cNvSpPr>
          <a:spLocks noChangeArrowheads="1"/>
        </xdr:cNvSpPr>
      </xdr:nvSpPr>
      <xdr:spPr bwMode="auto">
        <a:xfrm>
          <a:off x="1958976" y="2375214"/>
          <a:ext cx="1382294" cy="340393"/>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Create STO</a:t>
          </a:r>
        </a:p>
      </xdr:txBody>
    </xdr:sp>
    <xdr:clientData/>
  </xdr:twoCellAnchor>
  <xdr:twoCellAnchor>
    <xdr:from>
      <xdr:col>7</xdr:col>
      <xdr:colOff>85726</xdr:colOff>
      <xdr:row>2</xdr:row>
      <xdr:rowOff>31775</xdr:rowOff>
    </xdr:from>
    <xdr:to>
      <xdr:col>10</xdr:col>
      <xdr:colOff>533401</xdr:colOff>
      <xdr:row>25</xdr:row>
      <xdr:rowOff>178460</xdr:rowOff>
    </xdr:to>
    <xdr:sp macro="" textlink="">
      <xdr:nvSpPr>
        <xdr:cNvPr id="7" name="rect10000000204"/>
        <xdr:cNvSpPr>
          <a:spLocks noChangeArrowheads="1"/>
        </xdr:cNvSpPr>
      </xdr:nvSpPr>
      <xdr:spPr bwMode="auto">
        <a:xfrm>
          <a:off x="5848351" y="412775"/>
          <a:ext cx="2276475" cy="4528185"/>
        </a:xfrm>
        <a:prstGeom prst="rect">
          <a:avLst/>
        </a:prstGeom>
        <a:solidFill>
          <a:srgbClr val="EFF6FB"/>
        </a:solidFill>
        <a:ln w="9525">
          <a:solidFill>
            <a:srgbClr val="000000"/>
          </a:solidFill>
          <a:miter lim="800000"/>
          <a:headEnd/>
          <a:tailEnd/>
        </a:ln>
      </xdr:spPr>
      <xdr:txBody>
        <a:bodyPr wrap="square"/>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r>
            <a:rPr lang="en-US"/>
            <a:t>EWM</a:t>
          </a:r>
        </a:p>
      </xdr:txBody>
    </xdr:sp>
    <xdr:clientData/>
  </xdr:twoCellAnchor>
  <xdr:twoCellAnchor>
    <xdr:from>
      <xdr:col>8</xdr:col>
      <xdr:colOff>213996</xdr:colOff>
      <xdr:row>2</xdr:row>
      <xdr:rowOff>95184</xdr:rowOff>
    </xdr:from>
    <xdr:to>
      <xdr:col>10</xdr:col>
      <xdr:colOff>37385</xdr:colOff>
      <xdr:row>5</xdr:row>
      <xdr:rowOff>16535</xdr:rowOff>
    </xdr:to>
    <xdr:sp macro="" textlink="">
      <xdr:nvSpPr>
        <xdr:cNvPr id="8" name="body0000000212"/>
        <xdr:cNvSpPr>
          <a:spLocks noChangeArrowheads="1"/>
        </xdr:cNvSpPr>
      </xdr:nvSpPr>
      <xdr:spPr bwMode="auto">
        <a:xfrm>
          <a:off x="6586221" y="476184"/>
          <a:ext cx="1042589" cy="492851"/>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000" kern="0">
              <a:latin typeface="Arial" charset="0"/>
              <a:ea typeface="Arial Unicode MS" pitchFamily="34" charset="-128"/>
              <a:cs typeface="Arial Unicode MS" pitchFamily="34" charset="-128"/>
            </a:rPr>
            <a:t>Create out bound delivery request</a:t>
          </a:r>
        </a:p>
      </xdr:txBody>
    </xdr:sp>
    <xdr:clientData/>
  </xdr:twoCellAnchor>
  <xdr:twoCellAnchor>
    <xdr:from>
      <xdr:col>0</xdr:col>
      <xdr:colOff>1956469</xdr:colOff>
      <xdr:row>23</xdr:row>
      <xdr:rowOff>102760</xdr:rowOff>
    </xdr:from>
    <xdr:to>
      <xdr:col>3</xdr:col>
      <xdr:colOff>17045</xdr:colOff>
      <xdr:row>26</xdr:row>
      <xdr:rowOff>96754</xdr:rowOff>
    </xdr:to>
    <xdr:sp macro="" textlink="">
      <xdr:nvSpPr>
        <xdr:cNvPr id="9" name="body0000000212"/>
        <xdr:cNvSpPr>
          <a:spLocks noChangeArrowheads="1"/>
        </xdr:cNvSpPr>
      </xdr:nvSpPr>
      <xdr:spPr bwMode="auto">
        <a:xfrm>
          <a:off x="1956469" y="4484260"/>
          <a:ext cx="1384801" cy="565494"/>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Goods Receipts  per store (BAPI_GOODSMVT_CREATE)</a:t>
          </a:r>
          <a:endParaRPr lang="en-US" sz="1100" kern="0">
            <a:solidFill>
              <a:srgbClr val="FF0000"/>
            </a:solidFill>
            <a:latin typeface="Arial" charset="0"/>
            <a:ea typeface="Arial Unicode MS" pitchFamily="34" charset="-128"/>
            <a:cs typeface="Arial Unicode MS" pitchFamily="34" charset="-128"/>
          </a:endParaRPr>
        </a:p>
      </xdr:txBody>
    </xdr:sp>
    <xdr:clientData/>
  </xdr:twoCellAnchor>
  <xdr:twoCellAnchor>
    <xdr:from>
      <xdr:col>1</xdr:col>
      <xdr:colOff>177801</xdr:colOff>
      <xdr:row>5</xdr:row>
      <xdr:rowOff>38100</xdr:rowOff>
    </xdr:from>
    <xdr:to>
      <xdr:col>2</xdr:col>
      <xdr:colOff>504826</xdr:colOff>
      <xdr:row>7</xdr:row>
      <xdr:rowOff>85725</xdr:rowOff>
    </xdr:to>
    <xdr:sp macro="" textlink="">
      <xdr:nvSpPr>
        <xdr:cNvPr id="10" name="body0000000212"/>
        <xdr:cNvSpPr>
          <a:spLocks noChangeArrowheads="1"/>
        </xdr:cNvSpPr>
      </xdr:nvSpPr>
      <xdr:spPr bwMode="auto">
        <a:xfrm>
          <a:off x="2282826" y="990600"/>
          <a:ext cx="936625" cy="428625"/>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Good Receipt</a:t>
          </a:r>
        </a:p>
      </xdr:txBody>
    </xdr:sp>
    <xdr:clientData/>
  </xdr:twoCellAnchor>
  <xdr:twoCellAnchor>
    <xdr:from>
      <xdr:col>0</xdr:col>
      <xdr:colOff>1949451</xdr:colOff>
      <xdr:row>20</xdr:row>
      <xdr:rowOff>132838</xdr:rowOff>
    </xdr:from>
    <xdr:to>
      <xdr:col>3</xdr:col>
      <xdr:colOff>10027</xdr:colOff>
      <xdr:row>22</xdr:row>
      <xdr:rowOff>109294</xdr:rowOff>
    </xdr:to>
    <xdr:sp macro="" textlink="">
      <xdr:nvSpPr>
        <xdr:cNvPr id="11" name="body0000000212"/>
        <xdr:cNvSpPr>
          <a:spLocks noChangeArrowheads="1"/>
        </xdr:cNvSpPr>
      </xdr:nvSpPr>
      <xdr:spPr bwMode="auto">
        <a:xfrm>
          <a:off x="1949451" y="3942838"/>
          <a:ext cx="1384801" cy="357456"/>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Goods Issue  for main stock</a:t>
          </a:r>
        </a:p>
      </xdr:txBody>
    </xdr:sp>
    <xdr:clientData/>
  </xdr:twoCellAnchor>
  <xdr:twoCellAnchor>
    <xdr:from>
      <xdr:col>3</xdr:col>
      <xdr:colOff>10026</xdr:colOff>
      <xdr:row>2</xdr:row>
      <xdr:rowOff>95184</xdr:rowOff>
    </xdr:from>
    <xdr:to>
      <xdr:col>9</xdr:col>
      <xdr:colOff>125691</xdr:colOff>
      <xdr:row>19</xdr:row>
      <xdr:rowOff>6506</xdr:rowOff>
    </xdr:to>
    <xdr:cxnSp macro="">
      <xdr:nvCxnSpPr>
        <xdr:cNvPr id="12" name="Elbow Connector 11"/>
        <xdr:cNvCxnSpPr>
          <a:stCxn id="44" idx="3"/>
          <a:endCxn id="8" idx="0"/>
        </xdr:cNvCxnSpPr>
      </xdr:nvCxnSpPr>
      <xdr:spPr>
        <a:xfrm flipV="1">
          <a:off x="3334251" y="476184"/>
          <a:ext cx="3773265" cy="3149822"/>
        </a:xfrm>
        <a:prstGeom prst="bentConnector4">
          <a:avLst>
            <a:gd name="adj1" fmla="val 43092"/>
            <a:gd name="adj2" fmla="val 107258"/>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10027</xdr:colOff>
      <xdr:row>21</xdr:row>
      <xdr:rowOff>121067</xdr:rowOff>
    </xdr:from>
    <xdr:to>
      <xdr:col>8</xdr:col>
      <xdr:colOff>220981</xdr:colOff>
      <xdr:row>24</xdr:row>
      <xdr:rowOff>100356</xdr:rowOff>
    </xdr:to>
    <xdr:cxnSp macro="">
      <xdr:nvCxnSpPr>
        <xdr:cNvPr id="13" name="Shape 18"/>
        <xdr:cNvCxnSpPr>
          <a:stCxn id="38" idx="1"/>
          <a:endCxn id="11" idx="3"/>
        </xdr:cNvCxnSpPr>
      </xdr:nvCxnSpPr>
      <xdr:spPr>
        <a:xfrm rot="10800000">
          <a:off x="3334252" y="4121567"/>
          <a:ext cx="3258954" cy="550789"/>
        </a:xfrm>
        <a:prstGeom prst="bentConnector3">
          <a:avLst>
            <a:gd name="adj1" fmla="val 50000"/>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504826</xdr:colOff>
      <xdr:row>6</xdr:row>
      <xdr:rowOff>61913</xdr:rowOff>
    </xdr:from>
    <xdr:to>
      <xdr:col>3</xdr:col>
      <xdr:colOff>17045</xdr:colOff>
      <xdr:row>25</xdr:row>
      <xdr:rowOff>4507</xdr:rowOff>
    </xdr:to>
    <xdr:cxnSp macro="">
      <xdr:nvCxnSpPr>
        <xdr:cNvPr id="14" name="Elbow Connector 13"/>
        <xdr:cNvCxnSpPr>
          <a:stCxn id="10" idx="3"/>
          <a:endCxn id="9" idx="3"/>
        </xdr:cNvCxnSpPr>
      </xdr:nvCxnSpPr>
      <xdr:spPr>
        <a:xfrm>
          <a:off x="3219451" y="1204913"/>
          <a:ext cx="121819" cy="3562094"/>
        </a:xfrm>
        <a:prstGeom prst="bentConnector3">
          <a:avLst>
            <a:gd name="adj1" fmla="val 287655"/>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349425</xdr:colOff>
      <xdr:row>18</xdr:row>
      <xdr:rowOff>39193</xdr:rowOff>
    </xdr:from>
    <xdr:to>
      <xdr:col>5</xdr:col>
      <xdr:colOff>158925</xdr:colOff>
      <xdr:row>19</xdr:row>
      <xdr:rowOff>10276</xdr:rowOff>
    </xdr:to>
    <xdr:sp macro="" textlink="">
      <xdr:nvSpPr>
        <xdr:cNvPr id="15" name="TextBox 24"/>
        <xdr:cNvSpPr txBox="1"/>
      </xdr:nvSpPr>
      <xdr:spPr>
        <a:xfrm>
          <a:off x="3673650" y="3468193"/>
          <a:ext cx="1028700" cy="161583"/>
        </a:xfrm>
        <a:prstGeom prst="rect">
          <a:avLst/>
        </a:prstGeom>
        <a:noFill/>
      </xdr:spPr>
      <xdr:txBody>
        <a:bodyPr wrap="square" lIns="0" tIns="0" rIns="0" bIns="0" rtlCol="0">
          <a:spAutoFit/>
        </a:bodyP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fontAlgn="base">
            <a:spcBef>
              <a:spcPct val="50000"/>
            </a:spcBef>
            <a:spcAft>
              <a:spcPct val="0"/>
            </a:spcAft>
            <a:buClr>
              <a:srgbClr val="F0AB00"/>
            </a:buClr>
            <a:buSzPct val="80000"/>
          </a:pPr>
          <a:r>
            <a:rPr lang="en-US" sz="1050" kern="0">
              <a:ea typeface="Arial Unicode MS" pitchFamily="34" charset="-128"/>
              <a:cs typeface="Arial Unicode MS" pitchFamily="34" charset="-128"/>
            </a:rPr>
            <a:t>synchronous</a:t>
          </a:r>
        </a:p>
      </xdr:txBody>
    </xdr:sp>
    <xdr:clientData/>
  </xdr:twoCellAnchor>
  <xdr:twoCellAnchor>
    <xdr:from>
      <xdr:col>0</xdr:col>
      <xdr:colOff>390527</xdr:colOff>
      <xdr:row>27</xdr:row>
      <xdr:rowOff>72687</xdr:rowOff>
    </xdr:from>
    <xdr:to>
      <xdr:col>11</xdr:col>
      <xdr:colOff>476252</xdr:colOff>
      <xdr:row>28</xdr:row>
      <xdr:rowOff>66853</xdr:rowOff>
    </xdr:to>
    <xdr:sp macro="" textlink="">
      <xdr:nvSpPr>
        <xdr:cNvPr id="16" name="TextBox 25"/>
        <xdr:cNvSpPr txBox="1"/>
      </xdr:nvSpPr>
      <xdr:spPr>
        <a:xfrm>
          <a:off x="390527" y="5216187"/>
          <a:ext cx="8286750" cy="184666"/>
        </a:xfrm>
        <a:prstGeom prst="rect">
          <a:avLst/>
        </a:prstGeom>
        <a:noFill/>
      </xdr:spPr>
      <xdr:txBody>
        <a:bodyPr wrap="square" lIns="0" tIns="0" rIns="0" bIns="0" rtlCol="0">
          <a:spAutoFit/>
        </a:bodyP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fontAlgn="base">
            <a:spcBef>
              <a:spcPct val="50000"/>
            </a:spcBef>
            <a:spcAft>
              <a:spcPct val="0"/>
            </a:spcAft>
            <a:buClr>
              <a:srgbClr val="F0AB00"/>
            </a:buClr>
            <a:buSzPct val="80000"/>
          </a:pPr>
          <a:r>
            <a:rPr lang="en-US" sz="1200" kern="0">
              <a:ea typeface="Arial Unicode MS" pitchFamily="34" charset="-128"/>
              <a:cs typeface="Arial Unicode MS" pitchFamily="34" charset="-128"/>
            </a:rPr>
            <a:t>The replenishment is following 1 2 1 </a:t>
          </a:r>
          <a:r>
            <a:rPr lang="en-US" altLang="zh-CN" sz="1200" kern="0">
              <a:ea typeface="Arial Unicode MS" pitchFamily="34" charset="-128"/>
              <a:cs typeface="Arial Unicode MS" pitchFamily="34" charset="-128"/>
            </a:rPr>
            <a:t>(S,M,L of generic material)</a:t>
          </a:r>
          <a:r>
            <a:rPr lang="en-US" sz="1200" kern="0">
              <a:ea typeface="Arial Unicode MS" pitchFamily="34" charset="-128"/>
              <a:cs typeface="Arial Unicode MS" pitchFamily="34" charset="-128"/>
            </a:rPr>
            <a:t> principal</a:t>
          </a:r>
          <a:r>
            <a:rPr lang="en-US" altLang="zh-CN" sz="1200" kern="0">
              <a:ea typeface="Arial Unicode MS" pitchFamily="34" charset="-128"/>
              <a:cs typeface="Arial Unicode MS" pitchFamily="34" charset="-128"/>
            </a:rPr>
            <a:t>, hard coded </a:t>
          </a:r>
          <a:endParaRPr lang="en-US" sz="1200" kern="0">
            <a:ea typeface="Arial Unicode MS" pitchFamily="34" charset="-128"/>
            <a:cs typeface="Arial Unicode MS" pitchFamily="34" charset="-128"/>
          </a:endParaRPr>
        </a:p>
      </xdr:txBody>
    </xdr:sp>
    <xdr:clientData/>
  </xdr:twoCellAnchor>
  <xdr:twoCellAnchor>
    <xdr:from>
      <xdr:col>0</xdr:col>
      <xdr:colOff>1224710</xdr:colOff>
      <xdr:row>9</xdr:row>
      <xdr:rowOff>142875</xdr:rowOff>
    </xdr:from>
    <xdr:to>
      <xdr:col>1</xdr:col>
      <xdr:colOff>157910</xdr:colOff>
      <xdr:row>10</xdr:row>
      <xdr:rowOff>106263</xdr:rowOff>
    </xdr:to>
    <xdr:sp macro="" textlink="">
      <xdr:nvSpPr>
        <xdr:cNvPr id="17" name="TextBox 19"/>
        <xdr:cNvSpPr txBox="1"/>
      </xdr:nvSpPr>
      <xdr:spPr>
        <a:xfrm>
          <a:off x="1224710" y="1857375"/>
          <a:ext cx="1038225" cy="153888"/>
        </a:xfrm>
        <a:prstGeom prst="rect">
          <a:avLst/>
        </a:prstGeom>
        <a:noFill/>
      </xdr:spPr>
      <xdr:txBody>
        <a:bodyPr wrap="square" lIns="0" tIns="0" rIns="0" bIns="0" rtlCol="0">
          <a:spAutoFit/>
        </a:bodyP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fontAlgn="base">
            <a:spcBef>
              <a:spcPct val="50000"/>
            </a:spcBef>
            <a:spcAft>
              <a:spcPct val="0"/>
            </a:spcAft>
            <a:buClr>
              <a:srgbClr val="F0AB00"/>
            </a:buClr>
            <a:buSzPct val="80000"/>
          </a:pPr>
          <a:r>
            <a:rPr lang="en-US" sz="1000" kern="0">
              <a:ea typeface="Arial Unicode MS" pitchFamily="34" charset="-128"/>
              <a:cs typeface="Arial Unicode MS" pitchFamily="34" charset="-128"/>
            </a:rPr>
            <a:t>Web service</a:t>
          </a:r>
        </a:p>
      </xdr:txBody>
    </xdr:sp>
    <xdr:clientData/>
  </xdr:twoCellAnchor>
  <xdr:twoCellAnchor>
    <xdr:from>
      <xdr:col>2</xdr:col>
      <xdr:colOff>180976</xdr:colOff>
      <xdr:row>9</xdr:row>
      <xdr:rowOff>133350</xdr:rowOff>
    </xdr:from>
    <xdr:to>
      <xdr:col>4</xdr:col>
      <xdr:colOff>1</xdr:colOff>
      <xdr:row>10</xdr:row>
      <xdr:rowOff>96738</xdr:rowOff>
    </xdr:to>
    <xdr:sp macro="" textlink="">
      <xdr:nvSpPr>
        <xdr:cNvPr id="18" name="TextBox 21"/>
        <xdr:cNvSpPr txBox="1"/>
      </xdr:nvSpPr>
      <xdr:spPr>
        <a:xfrm>
          <a:off x="2895601" y="1847850"/>
          <a:ext cx="1038225" cy="153888"/>
        </a:xfrm>
        <a:prstGeom prst="rect">
          <a:avLst/>
        </a:prstGeom>
        <a:noFill/>
      </xdr:spPr>
      <xdr:txBody>
        <a:bodyPr wrap="square" lIns="0" tIns="0" rIns="0" bIns="0" rtlCol="0">
          <a:spAutoFit/>
        </a:bodyP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fontAlgn="base">
            <a:spcBef>
              <a:spcPct val="50000"/>
            </a:spcBef>
            <a:spcAft>
              <a:spcPct val="0"/>
            </a:spcAft>
            <a:buClr>
              <a:srgbClr val="F0AB00"/>
            </a:buClr>
            <a:buSzPct val="80000"/>
          </a:pPr>
          <a:r>
            <a:rPr lang="en-US" sz="1000" kern="0">
              <a:ea typeface="Arial Unicode MS" pitchFamily="34" charset="-128"/>
              <a:cs typeface="Arial Unicode MS" pitchFamily="34" charset="-128"/>
            </a:rPr>
            <a:t>Web service</a:t>
          </a:r>
        </a:p>
      </xdr:txBody>
    </xdr:sp>
    <xdr:clientData/>
  </xdr:twoCellAnchor>
  <xdr:twoCellAnchor>
    <xdr:from>
      <xdr:col>5</xdr:col>
      <xdr:colOff>448057</xdr:colOff>
      <xdr:row>14</xdr:row>
      <xdr:rowOff>92735</xdr:rowOff>
    </xdr:from>
    <xdr:to>
      <xdr:col>6</xdr:col>
      <xdr:colOff>314707</xdr:colOff>
      <xdr:row>15</xdr:row>
      <xdr:rowOff>56123</xdr:rowOff>
    </xdr:to>
    <xdr:sp macro="" textlink="">
      <xdr:nvSpPr>
        <xdr:cNvPr id="19" name="TextBox 22"/>
        <xdr:cNvSpPr txBox="1"/>
      </xdr:nvSpPr>
      <xdr:spPr>
        <a:xfrm>
          <a:off x="4991482" y="2759735"/>
          <a:ext cx="476250" cy="153888"/>
        </a:xfrm>
        <a:prstGeom prst="rect">
          <a:avLst/>
        </a:prstGeom>
        <a:noFill/>
      </xdr:spPr>
      <xdr:txBody>
        <a:bodyPr wrap="square" lIns="0" tIns="0" rIns="0" bIns="0" rtlCol="0">
          <a:spAutoFit/>
        </a:bodyP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fontAlgn="base">
            <a:spcBef>
              <a:spcPct val="50000"/>
            </a:spcBef>
            <a:spcAft>
              <a:spcPct val="0"/>
            </a:spcAft>
            <a:buClr>
              <a:srgbClr val="F0AB00"/>
            </a:buClr>
            <a:buSzPct val="80000"/>
          </a:pPr>
          <a:r>
            <a:rPr lang="en-US" sz="1000" kern="0">
              <a:ea typeface="Arial Unicode MS" pitchFamily="34" charset="-128"/>
              <a:cs typeface="Arial Unicode MS" pitchFamily="34" charset="-128"/>
            </a:rPr>
            <a:t>sRFC</a:t>
          </a:r>
        </a:p>
      </xdr:txBody>
    </xdr:sp>
    <xdr:clientData/>
  </xdr:twoCellAnchor>
  <xdr:twoCellAnchor>
    <xdr:from>
      <xdr:col>5</xdr:col>
      <xdr:colOff>560071</xdr:colOff>
      <xdr:row>23</xdr:row>
      <xdr:rowOff>172745</xdr:rowOff>
    </xdr:from>
    <xdr:to>
      <xdr:col>6</xdr:col>
      <xdr:colOff>426721</xdr:colOff>
      <xdr:row>24</xdr:row>
      <xdr:rowOff>136133</xdr:rowOff>
    </xdr:to>
    <xdr:sp macro="" textlink="">
      <xdr:nvSpPr>
        <xdr:cNvPr id="20" name="TextBox 26"/>
        <xdr:cNvSpPr txBox="1"/>
      </xdr:nvSpPr>
      <xdr:spPr>
        <a:xfrm>
          <a:off x="5103496" y="4554245"/>
          <a:ext cx="476250" cy="153888"/>
        </a:xfrm>
        <a:prstGeom prst="rect">
          <a:avLst/>
        </a:prstGeom>
        <a:noFill/>
      </xdr:spPr>
      <xdr:txBody>
        <a:bodyPr wrap="square" lIns="0" tIns="0" rIns="0" bIns="0" rtlCol="0">
          <a:spAutoFit/>
        </a:bodyP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fontAlgn="base">
            <a:spcBef>
              <a:spcPct val="50000"/>
            </a:spcBef>
            <a:spcAft>
              <a:spcPct val="0"/>
            </a:spcAft>
            <a:buClr>
              <a:srgbClr val="F0AB00"/>
            </a:buClr>
            <a:buSzPct val="80000"/>
          </a:pPr>
          <a:r>
            <a:rPr lang="en-US" sz="1000" kern="0">
              <a:ea typeface="Arial Unicode MS" pitchFamily="34" charset="-128"/>
              <a:cs typeface="Arial Unicode MS" pitchFamily="34" charset="-128"/>
            </a:rPr>
            <a:t>sRFC</a:t>
          </a:r>
        </a:p>
      </xdr:txBody>
    </xdr:sp>
    <xdr:clientData/>
  </xdr:twoCellAnchor>
  <xdr:twoCellAnchor>
    <xdr:from>
      <xdr:col>0</xdr:col>
      <xdr:colOff>666751</xdr:colOff>
      <xdr:row>15</xdr:row>
      <xdr:rowOff>38100</xdr:rowOff>
    </xdr:from>
    <xdr:to>
      <xdr:col>0</xdr:col>
      <xdr:colOff>1657352</xdr:colOff>
      <xdr:row>17</xdr:row>
      <xdr:rowOff>171451</xdr:rowOff>
    </xdr:to>
    <xdr:sp macro="" textlink="">
      <xdr:nvSpPr>
        <xdr:cNvPr id="21" name="body0000000212"/>
        <xdr:cNvSpPr>
          <a:spLocks noChangeArrowheads="1"/>
        </xdr:cNvSpPr>
      </xdr:nvSpPr>
      <xdr:spPr bwMode="auto">
        <a:xfrm>
          <a:off x="666751" y="2895600"/>
          <a:ext cx="990601" cy="514351"/>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altLang="zh-CN" sz="1100" kern="0">
              <a:latin typeface="Arial" charset="0"/>
              <a:ea typeface="Arial Unicode MS" pitchFamily="34" charset="-128"/>
              <a:cs typeface="Arial Unicode MS" pitchFamily="34" charset="-128"/>
            </a:rPr>
            <a:t>Aggregate for all stores</a:t>
          </a:r>
        </a:p>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ZSD05B</a:t>
          </a:r>
        </a:p>
      </xdr:txBody>
    </xdr:sp>
    <xdr:clientData/>
  </xdr:twoCellAnchor>
  <xdr:twoCellAnchor>
    <xdr:from>
      <xdr:col>0</xdr:col>
      <xdr:colOff>638176</xdr:colOff>
      <xdr:row>19</xdr:row>
      <xdr:rowOff>104776</xdr:rowOff>
    </xdr:from>
    <xdr:to>
      <xdr:col>0</xdr:col>
      <xdr:colOff>1695451</xdr:colOff>
      <xdr:row>23</xdr:row>
      <xdr:rowOff>123826</xdr:rowOff>
    </xdr:to>
    <xdr:sp macro="" textlink="">
      <xdr:nvSpPr>
        <xdr:cNvPr id="22" name="body0000000212"/>
        <xdr:cNvSpPr>
          <a:spLocks noChangeArrowheads="1"/>
        </xdr:cNvSpPr>
      </xdr:nvSpPr>
      <xdr:spPr bwMode="auto">
        <a:xfrm>
          <a:off x="638176" y="3724276"/>
          <a:ext cx="1057275" cy="781050"/>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altLang="zh-CN" sz="1100" kern="0">
              <a:latin typeface="Arial" charset="0"/>
              <a:ea typeface="Arial Unicode MS" pitchFamily="34" charset="-128"/>
              <a:cs typeface="Arial Unicode MS" pitchFamily="34" charset="-128"/>
            </a:rPr>
            <a:t>Display the requisition and allow dispatch</a:t>
          </a:r>
        </a:p>
        <a:p>
          <a:pPr algn="ctr">
            <a:lnSpc>
              <a:spcPts val="1100"/>
            </a:lnSpc>
            <a:spcBef>
              <a:spcPct val="50000"/>
            </a:spcBef>
            <a:buClr>
              <a:srgbClr val="F0AB00"/>
            </a:buClr>
            <a:defRPr/>
          </a:pPr>
          <a:r>
            <a:rPr lang="en-US" altLang="zh-CN" sz="1100" kern="0">
              <a:latin typeface="Arial" charset="0"/>
              <a:ea typeface="Arial Unicode MS" pitchFamily="34" charset="-128"/>
              <a:cs typeface="Arial Unicode MS" pitchFamily="34" charset="-128"/>
            </a:rPr>
            <a:t>ZSD05</a:t>
          </a:r>
          <a:endParaRPr lang="en-US" sz="1100" kern="0">
            <a:latin typeface="Arial" charset="0"/>
            <a:ea typeface="Arial Unicode MS" pitchFamily="34" charset="-128"/>
            <a:cs typeface="Arial Unicode MS" pitchFamily="34" charset="-128"/>
          </a:endParaRPr>
        </a:p>
      </xdr:txBody>
    </xdr:sp>
    <xdr:clientData/>
  </xdr:twoCellAnchor>
  <xdr:twoCellAnchor>
    <xdr:from>
      <xdr:col>0</xdr:col>
      <xdr:colOff>1162052</xdr:colOff>
      <xdr:row>17</xdr:row>
      <xdr:rowOff>171451</xdr:rowOff>
    </xdr:from>
    <xdr:to>
      <xdr:col>0</xdr:col>
      <xdr:colOff>1166814</xdr:colOff>
      <xdr:row>19</xdr:row>
      <xdr:rowOff>104776</xdr:rowOff>
    </xdr:to>
    <xdr:cxnSp macro="">
      <xdr:nvCxnSpPr>
        <xdr:cNvPr id="23" name="Straight Arrow Connector 22"/>
        <xdr:cNvCxnSpPr>
          <a:stCxn id="21" idx="2"/>
          <a:endCxn id="22" idx="0"/>
        </xdr:cNvCxnSpPr>
      </xdr:nvCxnSpPr>
      <xdr:spPr>
        <a:xfrm>
          <a:off x="1162052" y="3409951"/>
          <a:ext cx="4762" cy="314325"/>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1695451</xdr:colOff>
      <xdr:row>12</xdr:row>
      <xdr:rowOff>89214</xdr:rowOff>
    </xdr:from>
    <xdr:to>
      <xdr:col>1</xdr:col>
      <xdr:colOff>545098</xdr:colOff>
      <xdr:row>21</xdr:row>
      <xdr:rowOff>114301</xdr:rowOff>
    </xdr:to>
    <xdr:cxnSp macro="">
      <xdr:nvCxnSpPr>
        <xdr:cNvPr id="24" name="Shape 39"/>
        <xdr:cNvCxnSpPr>
          <a:stCxn id="22" idx="3"/>
          <a:endCxn id="6" idx="0"/>
        </xdr:cNvCxnSpPr>
      </xdr:nvCxnSpPr>
      <xdr:spPr>
        <a:xfrm flipV="1">
          <a:off x="1695451" y="2375214"/>
          <a:ext cx="954672" cy="1739587"/>
        </a:xfrm>
        <a:prstGeom prst="bentConnector4">
          <a:avLst>
            <a:gd name="adj1" fmla="val 13802"/>
            <a:gd name="adj2" fmla="val 11314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1160464</xdr:colOff>
      <xdr:row>7</xdr:row>
      <xdr:rowOff>95250</xdr:rowOff>
    </xdr:from>
    <xdr:to>
      <xdr:col>0</xdr:col>
      <xdr:colOff>1162052</xdr:colOff>
      <xdr:row>15</xdr:row>
      <xdr:rowOff>38100</xdr:rowOff>
    </xdr:to>
    <xdr:cxnSp macro="">
      <xdr:nvCxnSpPr>
        <xdr:cNvPr id="25" name="Straight Arrow Connector 24"/>
        <xdr:cNvCxnSpPr>
          <a:stCxn id="3" idx="2"/>
          <a:endCxn id="21" idx="0"/>
        </xdr:cNvCxnSpPr>
      </xdr:nvCxnSpPr>
      <xdr:spPr>
        <a:xfrm>
          <a:off x="1160464" y="1428750"/>
          <a:ext cx="1588" cy="1466850"/>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177801</xdr:colOff>
      <xdr:row>1</xdr:row>
      <xdr:rowOff>133350</xdr:rowOff>
    </xdr:from>
    <xdr:to>
      <xdr:col>2</xdr:col>
      <xdr:colOff>504826</xdr:colOff>
      <xdr:row>3</xdr:row>
      <xdr:rowOff>180975</xdr:rowOff>
    </xdr:to>
    <xdr:sp macro="" textlink="">
      <xdr:nvSpPr>
        <xdr:cNvPr id="26" name="body0000000212"/>
        <xdr:cNvSpPr>
          <a:spLocks noChangeArrowheads="1"/>
        </xdr:cNvSpPr>
      </xdr:nvSpPr>
      <xdr:spPr bwMode="auto">
        <a:xfrm>
          <a:off x="2282826" y="323850"/>
          <a:ext cx="936625" cy="428625"/>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Generate Delivery Note</a:t>
          </a:r>
        </a:p>
      </xdr:txBody>
    </xdr:sp>
    <xdr:clientData/>
  </xdr:twoCellAnchor>
  <xdr:twoCellAnchor>
    <xdr:from>
      <xdr:col>2</xdr:col>
      <xdr:colOff>504826</xdr:colOff>
      <xdr:row>2</xdr:row>
      <xdr:rowOff>157163</xdr:rowOff>
    </xdr:from>
    <xdr:to>
      <xdr:col>3</xdr:col>
      <xdr:colOff>10026</xdr:colOff>
      <xdr:row>16</xdr:row>
      <xdr:rowOff>733</xdr:rowOff>
    </xdr:to>
    <xdr:cxnSp macro="">
      <xdr:nvCxnSpPr>
        <xdr:cNvPr id="27" name="Shape 46"/>
        <xdr:cNvCxnSpPr>
          <a:stCxn id="42" idx="3"/>
          <a:endCxn id="26" idx="3"/>
        </xdr:cNvCxnSpPr>
      </xdr:nvCxnSpPr>
      <xdr:spPr>
        <a:xfrm flipH="1" flipV="1">
          <a:off x="3219451" y="538163"/>
          <a:ext cx="114800" cy="2510570"/>
        </a:xfrm>
        <a:prstGeom prst="bentConnector3">
          <a:avLst>
            <a:gd name="adj1" fmla="val -199129"/>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36514</xdr:colOff>
      <xdr:row>3</xdr:row>
      <xdr:rowOff>180975</xdr:rowOff>
    </xdr:from>
    <xdr:to>
      <xdr:col>2</xdr:col>
      <xdr:colOff>36514</xdr:colOff>
      <xdr:row>5</xdr:row>
      <xdr:rowOff>38100</xdr:rowOff>
    </xdr:to>
    <xdr:cxnSp macro="">
      <xdr:nvCxnSpPr>
        <xdr:cNvPr id="28" name="Straight Arrow Connector 27"/>
        <xdr:cNvCxnSpPr>
          <a:stCxn id="26" idx="2"/>
          <a:endCxn id="10" idx="0"/>
        </xdr:cNvCxnSpPr>
      </xdr:nvCxnSpPr>
      <xdr:spPr>
        <a:xfrm>
          <a:off x="2751139" y="752475"/>
          <a:ext cx="0" cy="238125"/>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205741</xdr:colOff>
      <xdr:row>5</xdr:row>
      <xdr:rowOff>123215</xdr:rowOff>
    </xdr:from>
    <xdr:to>
      <xdr:col>10</xdr:col>
      <xdr:colOff>45721</xdr:colOff>
      <xdr:row>8</xdr:row>
      <xdr:rowOff>39395</xdr:rowOff>
    </xdr:to>
    <xdr:sp macro="" textlink="">
      <xdr:nvSpPr>
        <xdr:cNvPr id="29" name="body0000000186"/>
        <xdr:cNvSpPr>
          <a:spLocks noChangeArrowheads="1"/>
        </xdr:cNvSpPr>
      </xdr:nvSpPr>
      <xdr:spPr bwMode="auto">
        <a:xfrm>
          <a:off x="6577966" y="1075715"/>
          <a:ext cx="1059180" cy="487680"/>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buClrTx/>
            <a:buSzTx/>
            <a:buFontTx/>
            <a:buNone/>
          </a:pPr>
          <a:r>
            <a:rPr lang="en-US" sz="1000">
              <a:cs typeface="Arial" charset="0"/>
            </a:rPr>
            <a:t>Create Outbound Delivery Order</a:t>
          </a:r>
        </a:p>
      </xdr:txBody>
    </xdr:sp>
    <xdr:clientData/>
  </xdr:twoCellAnchor>
  <xdr:twoCellAnchor>
    <xdr:from>
      <xdr:col>8</xdr:col>
      <xdr:colOff>205741</xdr:colOff>
      <xdr:row>8</xdr:row>
      <xdr:rowOff>172603</xdr:rowOff>
    </xdr:from>
    <xdr:to>
      <xdr:col>10</xdr:col>
      <xdr:colOff>45721</xdr:colOff>
      <xdr:row>11</xdr:row>
      <xdr:rowOff>31811</xdr:rowOff>
    </xdr:to>
    <xdr:sp macro="" textlink="">
      <xdr:nvSpPr>
        <xdr:cNvPr id="30" name="body0000000186"/>
        <xdr:cNvSpPr>
          <a:spLocks noChangeArrowheads="1"/>
        </xdr:cNvSpPr>
      </xdr:nvSpPr>
      <xdr:spPr bwMode="auto">
        <a:xfrm>
          <a:off x="6577966" y="1696603"/>
          <a:ext cx="1059180" cy="430708"/>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r>
            <a:rPr lang="en-US" altLang="zh-CN" sz="1000">
              <a:cs typeface="Arial" charset="0"/>
            </a:rPr>
            <a:t>Assign to Wave via PPF </a:t>
          </a:r>
          <a:endParaRPr lang="en-US" sz="1000">
            <a:cs typeface="Arial" charset="0"/>
          </a:endParaRPr>
        </a:p>
      </xdr:txBody>
    </xdr:sp>
    <xdr:clientData/>
  </xdr:twoCellAnchor>
  <xdr:twoCellAnchor>
    <xdr:from>
      <xdr:col>9</xdr:col>
      <xdr:colOff>125731</xdr:colOff>
      <xdr:row>8</xdr:row>
      <xdr:rowOff>39395</xdr:rowOff>
    </xdr:from>
    <xdr:to>
      <xdr:col>9</xdr:col>
      <xdr:colOff>125731</xdr:colOff>
      <xdr:row>8</xdr:row>
      <xdr:rowOff>172603</xdr:rowOff>
    </xdr:to>
    <xdr:cxnSp macro="">
      <xdr:nvCxnSpPr>
        <xdr:cNvPr id="31" name="Straight Arrow Connector 30"/>
        <xdr:cNvCxnSpPr>
          <a:stCxn id="29" idx="2"/>
          <a:endCxn id="30" idx="0"/>
        </xdr:cNvCxnSpPr>
      </xdr:nvCxnSpPr>
      <xdr:spPr>
        <a:xfrm>
          <a:off x="7107556" y="1563395"/>
          <a:ext cx="0" cy="133208"/>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125731</xdr:colOff>
      <xdr:row>11</xdr:row>
      <xdr:rowOff>31811</xdr:rowOff>
    </xdr:from>
    <xdr:to>
      <xdr:col>9</xdr:col>
      <xdr:colOff>133351</xdr:colOff>
      <xdr:row>11</xdr:row>
      <xdr:rowOff>150755</xdr:rowOff>
    </xdr:to>
    <xdr:cxnSp macro="">
      <xdr:nvCxnSpPr>
        <xdr:cNvPr id="32" name="Straight Arrow Connector 31"/>
        <xdr:cNvCxnSpPr>
          <a:stCxn id="30" idx="2"/>
          <a:endCxn id="36" idx="0"/>
        </xdr:cNvCxnSpPr>
      </xdr:nvCxnSpPr>
      <xdr:spPr>
        <a:xfrm>
          <a:off x="7107556" y="2127311"/>
          <a:ext cx="7620" cy="118944"/>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137161</xdr:colOff>
      <xdr:row>14</xdr:row>
      <xdr:rowOff>115155</xdr:rowOff>
    </xdr:from>
    <xdr:to>
      <xdr:col>10</xdr:col>
      <xdr:colOff>144781</xdr:colOff>
      <xdr:row>19</xdr:row>
      <xdr:rowOff>115595</xdr:rowOff>
    </xdr:to>
    <xdr:sp macro="" textlink="">
      <xdr:nvSpPr>
        <xdr:cNvPr id="33" name="body0000000186"/>
        <xdr:cNvSpPr>
          <a:spLocks noChangeArrowheads="1"/>
        </xdr:cNvSpPr>
      </xdr:nvSpPr>
      <xdr:spPr bwMode="auto">
        <a:xfrm>
          <a:off x="6509386" y="2782155"/>
          <a:ext cx="1226820" cy="952940"/>
        </a:xfrm>
        <a:prstGeom prst="roundRect">
          <a:avLst>
            <a:gd name="adj" fmla="val 20000"/>
          </a:avLst>
        </a:prstGeom>
        <a:solidFill>
          <a:schemeClr val="tx2">
            <a:lumMod val="60000"/>
            <a:lumOff val="40000"/>
          </a:schemeClr>
        </a:solidFill>
        <a:ln w="9525">
          <a:solidFill>
            <a:schemeClr val="tx1"/>
          </a:solidFill>
          <a:round/>
          <a:headEnd/>
          <a:tailEnd/>
        </a:ln>
      </xdr:spPr>
      <xdr:txBody>
        <a:bodyPr wrap="square" lIns="0" tIns="0" rIns="0" bIns="0" anchor="t" anchorCtr="0"/>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r>
            <a:rPr lang="en-US" altLang="zh-CN" sz="1000">
              <a:cs typeface="Arial" charset="0"/>
            </a:rPr>
            <a:t>Scan Product number  to perform picking WT and Confirm using picking HU</a:t>
          </a:r>
        </a:p>
        <a:p>
          <a:pPr algn="ctr" eaLnBrk="0" hangingPunct="0"/>
          <a:r>
            <a:rPr lang="en-US" sz="1000">
              <a:cs typeface="Arial" charset="0"/>
            </a:rPr>
            <a:t>(SCWM/RFUI)</a:t>
          </a:r>
        </a:p>
      </xdr:txBody>
    </xdr:sp>
    <xdr:clientData/>
  </xdr:twoCellAnchor>
  <xdr:twoCellAnchor>
    <xdr:from>
      <xdr:col>9</xdr:col>
      <xdr:colOff>133351</xdr:colOff>
      <xdr:row>14</xdr:row>
      <xdr:rowOff>9963</xdr:rowOff>
    </xdr:from>
    <xdr:to>
      <xdr:col>9</xdr:col>
      <xdr:colOff>140971</xdr:colOff>
      <xdr:row>14</xdr:row>
      <xdr:rowOff>115155</xdr:rowOff>
    </xdr:to>
    <xdr:cxnSp macro="">
      <xdr:nvCxnSpPr>
        <xdr:cNvPr id="34" name="Straight Arrow Connector 33"/>
        <xdr:cNvCxnSpPr>
          <a:stCxn id="36" idx="2"/>
          <a:endCxn id="33" idx="0"/>
        </xdr:cNvCxnSpPr>
      </xdr:nvCxnSpPr>
      <xdr:spPr>
        <a:xfrm>
          <a:off x="7115176" y="2676963"/>
          <a:ext cx="7620" cy="105192"/>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140971</xdr:colOff>
      <xdr:row>19</xdr:row>
      <xdr:rowOff>115595</xdr:rowOff>
    </xdr:from>
    <xdr:to>
      <xdr:col>9</xdr:col>
      <xdr:colOff>140971</xdr:colOff>
      <xdr:row>20</xdr:row>
      <xdr:rowOff>19536</xdr:rowOff>
    </xdr:to>
    <xdr:cxnSp macro="">
      <xdr:nvCxnSpPr>
        <xdr:cNvPr id="35" name="Straight Arrow Connector 34"/>
        <xdr:cNvCxnSpPr>
          <a:stCxn id="33" idx="2"/>
          <a:endCxn id="37" idx="0"/>
        </xdr:cNvCxnSpPr>
      </xdr:nvCxnSpPr>
      <xdr:spPr>
        <a:xfrm>
          <a:off x="7122796" y="3735095"/>
          <a:ext cx="0" cy="94441"/>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213361</xdr:colOff>
      <xdr:row>11</xdr:row>
      <xdr:rowOff>150755</xdr:rowOff>
    </xdr:from>
    <xdr:to>
      <xdr:col>10</xdr:col>
      <xdr:colOff>53341</xdr:colOff>
      <xdr:row>14</xdr:row>
      <xdr:rowOff>9963</xdr:rowOff>
    </xdr:to>
    <xdr:sp macro="" textlink="">
      <xdr:nvSpPr>
        <xdr:cNvPr id="36" name="body0000000186"/>
        <xdr:cNvSpPr>
          <a:spLocks noChangeArrowheads="1"/>
        </xdr:cNvSpPr>
      </xdr:nvSpPr>
      <xdr:spPr bwMode="auto">
        <a:xfrm>
          <a:off x="6585586" y="2246255"/>
          <a:ext cx="1059180" cy="430708"/>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r>
            <a:rPr lang="en-US" altLang="zh-CN" sz="1000">
              <a:cs typeface="Arial" charset="0"/>
            </a:rPr>
            <a:t>Release Wave and create WTs/WOs</a:t>
          </a:r>
          <a:endParaRPr lang="en-US" sz="1000">
            <a:cs typeface="Arial" charset="0"/>
          </a:endParaRPr>
        </a:p>
      </xdr:txBody>
    </xdr:sp>
    <xdr:clientData/>
  </xdr:twoCellAnchor>
  <xdr:twoCellAnchor>
    <xdr:from>
      <xdr:col>8</xdr:col>
      <xdr:colOff>220981</xdr:colOff>
      <xdr:row>20</xdr:row>
      <xdr:rowOff>19536</xdr:rowOff>
    </xdr:from>
    <xdr:to>
      <xdr:col>10</xdr:col>
      <xdr:colOff>60961</xdr:colOff>
      <xdr:row>22</xdr:row>
      <xdr:rowOff>126216</xdr:rowOff>
    </xdr:to>
    <xdr:sp macro="" textlink="">
      <xdr:nvSpPr>
        <xdr:cNvPr id="37" name="body0000000186"/>
        <xdr:cNvSpPr>
          <a:spLocks noChangeArrowheads="1"/>
        </xdr:cNvSpPr>
      </xdr:nvSpPr>
      <xdr:spPr bwMode="auto">
        <a:xfrm>
          <a:off x="6593206" y="3829536"/>
          <a:ext cx="1059180" cy="487680"/>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r>
            <a:rPr lang="en-US" altLang="zh-CN" sz="1000">
              <a:cs typeface="Arial" charset="0"/>
            </a:rPr>
            <a:t>Perform repacking</a:t>
          </a:r>
        </a:p>
      </xdr:txBody>
    </xdr:sp>
    <xdr:clientData/>
  </xdr:twoCellAnchor>
  <xdr:twoCellAnchor>
    <xdr:from>
      <xdr:col>8</xdr:col>
      <xdr:colOff>220981</xdr:colOff>
      <xdr:row>23</xdr:row>
      <xdr:rowOff>47015</xdr:rowOff>
    </xdr:from>
    <xdr:to>
      <xdr:col>10</xdr:col>
      <xdr:colOff>60961</xdr:colOff>
      <xdr:row>25</xdr:row>
      <xdr:rowOff>153695</xdr:rowOff>
    </xdr:to>
    <xdr:sp macro="" textlink="">
      <xdr:nvSpPr>
        <xdr:cNvPr id="38" name="body0000000186"/>
        <xdr:cNvSpPr>
          <a:spLocks noChangeArrowheads="1"/>
        </xdr:cNvSpPr>
      </xdr:nvSpPr>
      <xdr:spPr bwMode="auto">
        <a:xfrm>
          <a:off x="6593206" y="4428515"/>
          <a:ext cx="1059180" cy="487680"/>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r>
            <a:rPr lang="en-US" altLang="zh-CN" sz="1000">
              <a:cs typeface="Arial" charset="0"/>
            </a:rPr>
            <a:t>Post Goods Issue manually or  automatically</a:t>
          </a:r>
        </a:p>
      </xdr:txBody>
    </xdr:sp>
    <xdr:clientData/>
  </xdr:twoCellAnchor>
  <xdr:twoCellAnchor>
    <xdr:from>
      <xdr:col>9</xdr:col>
      <xdr:colOff>140971</xdr:colOff>
      <xdr:row>22</xdr:row>
      <xdr:rowOff>126216</xdr:rowOff>
    </xdr:from>
    <xdr:to>
      <xdr:col>9</xdr:col>
      <xdr:colOff>140971</xdr:colOff>
      <xdr:row>23</xdr:row>
      <xdr:rowOff>47015</xdr:rowOff>
    </xdr:to>
    <xdr:cxnSp macro="">
      <xdr:nvCxnSpPr>
        <xdr:cNvPr id="39" name="Straight Arrow Connector 38"/>
        <xdr:cNvCxnSpPr>
          <a:stCxn id="37" idx="2"/>
          <a:endCxn id="38" idx="0"/>
        </xdr:cNvCxnSpPr>
      </xdr:nvCxnSpPr>
      <xdr:spPr>
        <a:xfrm>
          <a:off x="7122796" y="4317216"/>
          <a:ext cx="0" cy="111299"/>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125691</xdr:colOff>
      <xdr:row>5</xdr:row>
      <xdr:rowOff>16535</xdr:rowOff>
    </xdr:from>
    <xdr:to>
      <xdr:col>9</xdr:col>
      <xdr:colOff>125731</xdr:colOff>
      <xdr:row>5</xdr:row>
      <xdr:rowOff>123215</xdr:rowOff>
    </xdr:to>
    <xdr:cxnSp macro="">
      <xdr:nvCxnSpPr>
        <xdr:cNvPr id="40" name="Straight Arrow Connector 39"/>
        <xdr:cNvCxnSpPr>
          <a:stCxn id="8" idx="2"/>
          <a:endCxn id="29" idx="0"/>
        </xdr:cNvCxnSpPr>
      </xdr:nvCxnSpPr>
      <xdr:spPr>
        <a:xfrm>
          <a:off x="7107516" y="969035"/>
          <a:ext cx="40" cy="106680"/>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56979</xdr:colOff>
      <xdr:row>26</xdr:row>
      <xdr:rowOff>19164</xdr:rowOff>
    </xdr:from>
    <xdr:to>
      <xdr:col>11</xdr:col>
      <xdr:colOff>412175</xdr:colOff>
      <xdr:row>27</xdr:row>
      <xdr:rowOff>129835</xdr:rowOff>
    </xdr:to>
    <xdr:sp macro="" textlink="">
      <xdr:nvSpPr>
        <xdr:cNvPr id="41" name="body0000000186"/>
        <xdr:cNvSpPr>
          <a:spLocks noChangeArrowheads="1"/>
        </xdr:cNvSpPr>
      </xdr:nvSpPr>
      <xdr:spPr bwMode="auto">
        <a:xfrm>
          <a:off x="8258004" y="4972164"/>
          <a:ext cx="355196" cy="301171"/>
        </a:xfrm>
        <a:prstGeom prst="roundRect">
          <a:avLst>
            <a:gd name="adj" fmla="val 20000"/>
          </a:avLst>
        </a:prstGeom>
        <a:solidFill>
          <a:schemeClr val="tx2">
            <a:lumMod val="60000"/>
            <a:lumOff val="40000"/>
          </a:schemeClr>
        </a:solidFill>
        <a:ln w="9525">
          <a:solidFill>
            <a:schemeClr val="tx1"/>
          </a:solidFill>
          <a:round/>
          <a:headEnd/>
          <a:tailEnd/>
        </a:ln>
      </xdr:spPr>
      <xdr:txBody>
        <a:bodyPr wrap="square" lIns="0" tIns="0" rIns="0" bIns="0" anchor="ctr" anchorCtr="0"/>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eaLnBrk="0" hangingPunct="0">
            <a:buClrTx/>
            <a:buSzTx/>
            <a:buFontTx/>
            <a:buNone/>
          </a:pPr>
          <a:r>
            <a:rPr lang="en-US" sz="1400" b="1">
              <a:cs typeface="Arial" charset="0"/>
            </a:rPr>
            <a:t>*RF</a:t>
          </a:r>
        </a:p>
      </xdr:txBody>
    </xdr:sp>
    <xdr:clientData/>
  </xdr:twoCellAnchor>
  <xdr:twoCellAnchor>
    <xdr:from>
      <xdr:col>0</xdr:col>
      <xdr:colOff>1962653</xdr:colOff>
      <xdr:row>15</xdr:row>
      <xdr:rowOff>19030</xdr:rowOff>
    </xdr:from>
    <xdr:to>
      <xdr:col>3</xdr:col>
      <xdr:colOff>10026</xdr:colOff>
      <xdr:row>16</xdr:row>
      <xdr:rowOff>172935</xdr:rowOff>
    </xdr:to>
    <xdr:sp macro="" textlink="">
      <xdr:nvSpPr>
        <xdr:cNvPr id="42" name="body0000000212"/>
        <xdr:cNvSpPr>
          <a:spLocks noChangeArrowheads="1"/>
        </xdr:cNvSpPr>
      </xdr:nvSpPr>
      <xdr:spPr bwMode="auto">
        <a:xfrm>
          <a:off x="1962653" y="2876530"/>
          <a:ext cx="1371598" cy="344405"/>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Create outbound delivery (VL10D)</a:t>
          </a:r>
        </a:p>
      </xdr:txBody>
    </xdr:sp>
    <xdr:clientData/>
  </xdr:twoCellAnchor>
  <xdr:twoCellAnchor>
    <xdr:from>
      <xdr:col>1</xdr:col>
      <xdr:colOff>543427</xdr:colOff>
      <xdr:row>14</xdr:row>
      <xdr:rowOff>48607</xdr:rowOff>
    </xdr:from>
    <xdr:to>
      <xdr:col>1</xdr:col>
      <xdr:colOff>545098</xdr:colOff>
      <xdr:row>15</xdr:row>
      <xdr:rowOff>19030</xdr:rowOff>
    </xdr:to>
    <xdr:cxnSp macro="">
      <xdr:nvCxnSpPr>
        <xdr:cNvPr id="43" name="Straight Arrow Connector 42"/>
        <xdr:cNvCxnSpPr>
          <a:stCxn id="6" idx="2"/>
          <a:endCxn id="42" idx="0"/>
        </xdr:cNvCxnSpPr>
      </xdr:nvCxnSpPr>
      <xdr:spPr>
        <a:xfrm flipH="1">
          <a:off x="2648452" y="2715607"/>
          <a:ext cx="1671" cy="160923"/>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1958641</xdr:colOff>
      <xdr:row>17</xdr:row>
      <xdr:rowOff>163415</xdr:rowOff>
    </xdr:from>
    <xdr:to>
      <xdr:col>3</xdr:col>
      <xdr:colOff>10026</xdr:colOff>
      <xdr:row>20</xdr:row>
      <xdr:rowOff>40096</xdr:rowOff>
    </xdr:to>
    <xdr:sp macro="" textlink="">
      <xdr:nvSpPr>
        <xdr:cNvPr id="44" name="body0000000212"/>
        <xdr:cNvSpPr>
          <a:spLocks noChangeArrowheads="1"/>
        </xdr:cNvSpPr>
      </xdr:nvSpPr>
      <xdr:spPr bwMode="auto">
        <a:xfrm>
          <a:off x="1958641" y="3401915"/>
          <a:ext cx="1375610" cy="448181"/>
        </a:xfrm>
        <a:prstGeom prst="roundRect">
          <a:avLst>
            <a:gd name="adj" fmla="val 20000"/>
          </a:avLst>
        </a:prstGeom>
        <a:solidFill>
          <a:srgbClr val="FFFFFF"/>
        </a:solidFill>
        <a:ln w="9525">
          <a:solidFill>
            <a:srgbClr val="000000"/>
          </a:solidFill>
          <a:round/>
          <a:headEnd/>
          <a:tailEnd/>
        </a:ln>
      </xdr:spPr>
      <xdr:txBody>
        <a:bodyPr wrap="square" lIns="0" tIns="0" rIns="0" bIns="0" anchor="ctr"/>
        <a:lstStyle>
          <a:defPPr>
            <a:defRPr lang="en-US"/>
          </a:defPPr>
          <a:lvl1pPr marL="0" algn="l" defTabSz="914245" rtl="0" eaLnBrk="1" latinLnBrk="0" hangingPunct="1">
            <a:defRPr sz="1800" kern="1200">
              <a:solidFill>
                <a:schemeClr val="tx1"/>
              </a:solidFill>
              <a:latin typeface="+mn-lt"/>
              <a:ea typeface="+mn-ea"/>
              <a:cs typeface="+mn-cs"/>
            </a:defRPr>
          </a:lvl1pPr>
          <a:lvl2pPr marL="457123" algn="l" defTabSz="914245" rtl="0" eaLnBrk="1" latinLnBrk="0" hangingPunct="1">
            <a:defRPr sz="1800" kern="1200">
              <a:solidFill>
                <a:schemeClr val="tx1"/>
              </a:solidFill>
              <a:latin typeface="+mn-lt"/>
              <a:ea typeface="+mn-ea"/>
              <a:cs typeface="+mn-cs"/>
            </a:defRPr>
          </a:lvl2pPr>
          <a:lvl3pPr marL="914245" algn="l" defTabSz="914245" rtl="0" eaLnBrk="1" latinLnBrk="0" hangingPunct="1">
            <a:defRPr sz="1800" kern="1200">
              <a:solidFill>
                <a:schemeClr val="tx1"/>
              </a:solidFill>
              <a:latin typeface="+mn-lt"/>
              <a:ea typeface="+mn-ea"/>
              <a:cs typeface="+mn-cs"/>
            </a:defRPr>
          </a:lvl3pPr>
          <a:lvl4pPr marL="1371368" algn="l" defTabSz="914245" rtl="0" eaLnBrk="1" latinLnBrk="0" hangingPunct="1">
            <a:defRPr sz="1800" kern="1200">
              <a:solidFill>
                <a:schemeClr val="tx1"/>
              </a:solidFill>
              <a:latin typeface="+mn-lt"/>
              <a:ea typeface="+mn-ea"/>
              <a:cs typeface="+mn-cs"/>
            </a:defRPr>
          </a:lvl4pPr>
          <a:lvl5pPr marL="1828490" algn="l" defTabSz="914245" rtl="0" eaLnBrk="1" latinLnBrk="0" hangingPunct="1">
            <a:defRPr sz="1800" kern="1200">
              <a:solidFill>
                <a:schemeClr val="tx1"/>
              </a:solidFill>
              <a:latin typeface="+mn-lt"/>
              <a:ea typeface="+mn-ea"/>
              <a:cs typeface="+mn-cs"/>
            </a:defRPr>
          </a:lvl5pPr>
          <a:lvl6pPr marL="2285613" algn="l" defTabSz="914245" rtl="0" eaLnBrk="1" latinLnBrk="0" hangingPunct="1">
            <a:defRPr sz="1800" kern="1200">
              <a:solidFill>
                <a:schemeClr val="tx1"/>
              </a:solidFill>
              <a:latin typeface="+mn-lt"/>
              <a:ea typeface="+mn-ea"/>
              <a:cs typeface="+mn-cs"/>
            </a:defRPr>
          </a:lvl6pPr>
          <a:lvl7pPr marL="2742736" algn="l" defTabSz="914245" rtl="0" eaLnBrk="1" latinLnBrk="0" hangingPunct="1">
            <a:defRPr sz="1800" kern="1200">
              <a:solidFill>
                <a:schemeClr val="tx1"/>
              </a:solidFill>
              <a:latin typeface="+mn-lt"/>
              <a:ea typeface="+mn-ea"/>
              <a:cs typeface="+mn-cs"/>
            </a:defRPr>
          </a:lvl7pPr>
          <a:lvl8pPr marL="3199858" algn="l" defTabSz="914245" rtl="0" eaLnBrk="1" latinLnBrk="0" hangingPunct="1">
            <a:defRPr sz="1800" kern="1200">
              <a:solidFill>
                <a:schemeClr val="tx1"/>
              </a:solidFill>
              <a:latin typeface="+mn-lt"/>
              <a:ea typeface="+mn-ea"/>
              <a:cs typeface="+mn-cs"/>
            </a:defRPr>
          </a:lvl8pPr>
          <a:lvl9pPr marL="3656981" algn="l" defTabSz="914245" rtl="0" eaLnBrk="1" latinLnBrk="0" hangingPunct="1">
            <a:defRPr sz="1800" kern="1200">
              <a:solidFill>
                <a:schemeClr val="tx1"/>
              </a:solidFill>
              <a:latin typeface="+mn-lt"/>
              <a:ea typeface="+mn-ea"/>
              <a:cs typeface="+mn-cs"/>
            </a:defRPr>
          </a:lvl9pPr>
        </a:lstStyle>
        <a:p>
          <a:pPr algn="ctr">
            <a:lnSpc>
              <a:spcPts val="1100"/>
            </a:lnSpc>
            <a:spcBef>
              <a:spcPct val="50000"/>
            </a:spcBef>
            <a:buClr>
              <a:srgbClr val="F0AB00"/>
            </a:buClr>
            <a:defRPr/>
          </a:pPr>
          <a:r>
            <a:rPr lang="en-US" sz="1100" kern="0">
              <a:latin typeface="Arial" charset="0"/>
              <a:ea typeface="Arial Unicode MS" pitchFamily="34" charset="-128"/>
              <a:cs typeface="Arial Unicode MS" pitchFamily="34" charset="-128"/>
            </a:rPr>
            <a:t>Distribute outbound delivery to EWM (VL06D)</a:t>
          </a:r>
        </a:p>
      </xdr:txBody>
    </xdr:sp>
    <xdr:clientData/>
  </xdr:twoCellAnchor>
  <xdr:twoCellAnchor>
    <xdr:from>
      <xdr:col>1</xdr:col>
      <xdr:colOff>541421</xdr:colOff>
      <xdr:row>16</xdr:row>
      <xdr:rowOff>172935</xdr:rowOff>
    </xdr:from>
    <xdr:to>
      <xdr:col>1</xdr:col>
      <xdr:colOff>543427</xdr:colOff>
      <xdr:row>17</xdr:row>
      <xdr:rowOff>163415</xdr:rowOff>
    </xdr:to>
    <xdr:cxnSp macro="">
      <xdr:nvCxnSpPr>
        <xdr:cNvPr id="45" name="Straight Arrow Connector 44"/>
        <xdr:cNvCxnSpPr>
          <a:stCxn id="42" idx="2"/>
          <a:endCxn id="44" idx="0"/>
        </xdr:cNvCxnSpPr>
      </xdr:nvCxnSpPr>
      <xdr:spPr>
        <a:xfrm flipH="1">
          <a:off x="2646446" y="3220935"/>
          <a:ext cx="2006" cy="180980"/>
        </a:xfrm>
        <a:prstGeom prst="straightConnector1">
          <a:avLst/>
        </a:prstGeom>
        <a:ln w="635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5"/>
  <sheetViews>
    <sheetView tabSelected="1" zoomScale="90" zoomScaleNormal="90" workbookViewId="0">
      <pane xSplit="2" ySplit="2" topLeftCell="C3" activePane="bottomRight" state="frozen"/>
      <selection pane="topRight" activeCell="C1" sqref="C1"/>
      <selection pane="bottomLeft" activeCell="A3" sqref="A3"/>
      <selection pane="bottomRight" activeCell="A24" sqref="A24:XFD24"/>
    </sheetView>
  </sheetViews>
  <sheetFormatPr defaultColWidth="9.140625" defaultRowHeight="15" outlineLevelRow="3" outlineLevelCol="1" x14ac:dyDescent="0.25"/>
  <cols>
    <col min="1" max="1" width="13.85546875" style="35" customWidth="1"/>
    <col min="2" max="2" width="20" style="35" customWidth="1"/>
    <col min="3" max="3" width="31.42578125" style="35" bestFit="1" customWidth="1"/>
    <col min="4" max="4" width="26.42578125" style="35" bestFit="1" customWidth="1"/>
    <col min="5" max="5" width="20" style="35" customWidth="1" outlineLevel="1"/>
    <col min="6" max="6" width="3.42578125" style="35" bestFit="1" customWidth="1"/>
    <col min="7" max="7" width="3.85546875" style="35" bestFit="1" customWidth="1"/>
    <col min="8" max="8" width="3.42578125" style="35" bestFit="1" customWidth="1"/>
    <col min="9" max="9" width="4.140625" style="35" customWidth="1"/>
    <col min="10" max="12" width="7.28515625" style="35" bestFit="1" customWidth="1"/>
    <col min="13" max="13" width="4.7109375" style="35" bestFit="1" customWidth="1"/>
    <col min="14" max="14" width="3.42578125" style="35" bestFit="1" customWidth="1"/>
    <col min="15" max="16" width="3.5703125" style="35" bestFit="1" customWidth="1"/>
    <col min="17" max="18" width="4.7109375" style="35" bestFit="1" customWidth="1"/>
    <col min="19" max="19" width="4.5703125" style="35" bestFit="1" customWidth="1"/>
    <col min="20" max="20" width="3.42578125" style="35" bestFit="1" customWidth="1"/>
    <col min="21" max="21" width="3.5703125" style="35" bestFit="1" customWidth="1"/>
    <col min="22" max="22" width="4.7109375" style="35" bestFit="1" customWidth="1"/>
    <col min="23" max="23" width="4" style="35" bestFit="1" customWidth="1"/>
    <col min="24" max="24" width="3.42578125" style="35" bestFit="1" customWidth="1"/>
    <col min="25" max="25" width="4.140625" style="35" customWidth="1"/>
    <col min="26" max="29" width="4.7109375" style="35" bestFit="1" customWidth="1"/>
    <col min="30" max="30" width="3.5703125" style="35" bestFit="1" customWidth="1"/>
    <col min="31" max="31" width="4.28515625" style="35" bestFit="1" customWidth="1"/>
    <col min="32" max="33" width="3.85546875" style="35" bestFit="1" customWidth="1"/>
    <col min="34" max="35" width="3.42578125" style="35" bestFit="1" customWidth="1"/>
    <col min="36" max="36" width="4.42578125" style="35" bestFit="1" customWidth="1"/>
    <col min="37" max="37" width="3.140625" style="35" customWidth="1"/>
    <col min="38" max="38" width="2.7109375" style="35" customWidth="1"/>
    <col min="39" max="39" width="4.7109375" style="35" bestFit="1" customWidth="1"/>
    <col min="40" max="40" width="18.7109375" style="35" bestFit="1" customWidth="1"/>
    <col min="41" max="41" width="4.85546875" style="35" bestFit="1" customWidth="1"/>
    <col min="42" max="42" width="17.7109375" style="35" bestFit="1" customWidth="1"/>
    <col min="43" max="43" width="4.85546875" style="35" bestFit="1" customWidth="1"/>
    <col min="44" max="44" width="18.85546875" style="35" bestFit="1" customWidth="1"/>
    <col min="45" max="16384" width="9.140625" style="35"/>
  </cols>
  <sheetData>
    <row r="1" spans="1:36" ht="31.5" customHeight="1" x14ac:dyDescent="0.25">
      <c r="A1" s="407" t="s">
        <v>165</v>
      </c>
      <c r="B1" s="408"/>
      <c r="C1" s="161"/>
      <c r="D1" s="161"/>
      <c r="E1" s="161"/>
      <c r="F1" s="162" t="s">
        <v>166</v>
      </c>
      <c r="G1" s="162" t="s">
        <v>167</v>
      </c>
      <c r="H1" s="162" t="s">
        <v>168</v>
      </c>
      <c r="I1" s="162" t="s">
        <v>169</v>
      </c>
      <c r="J1" s="162" t="s">
        <v>170</v>
      </c>
      <c r="K1" s="162" t="s">
        <v>171</v>
      </c>
      <c r="L1" s="162" t="s">
        <v>172</v>
      </c>
      <c r="M1" s="162" t="s">
        <v>173</v>
      </c>
      <c r="N1" s="162" t="s">
        <v>174</v>
      </c>
      <c r="O1" s="162" t="s">
        <v>175</v>
      </c>
      <c r="P1" s="162" t="s">
        <v>176</v>
      </c>
      <c r="Q1" s="162" t="s">
        <v>177</v>
      </c>
      <c r="R1" s="162" t="s">
        <v>178</v>
      </c>
      <c r="S1" s="162" t="s">
        <v>179</v>
      </c>
      <c r="T1" s="162" t="s">
        <v>180</v>
      </c>
      <c r="U1" s="162" t="s">
        <v>181</v>
      </c>
      <c r="V1" s="162" t="s">
        <v>182</v>
      </c>
      <c r="W1" s="162" t="s">
        <v>183</v>
      </c>
      <c r="X1" s="162" t="s">
        <v>184</v>
      </c>
      <c r="Y1" s="162" t="s">
        <v>185</v>
      </c>
      <c r="Z1" s="162" t="s">
        <v>186</v>
      </c>
      <c r="AA1" s="162" t="s">
        <v>187</v>
      </c>
      <c r="AB1" s="162" t="s">
        <v>188</v>
      </c>
      <c r="AC1" s="162" t="s">
        <v>454</v>
      </c>
      <c r="AD1" s="162" t="s">
        <v>455</v>
      </c>
      <c r="AE1" s="162" t="s">
        <v>456</v>
      </c>
      <c r="AF1" s="162" t="s">
        <v>457</v>
      </c>
      <c r="AG1" s="162" t="s">
        <v>458</v>
      </c>
      <c r="AH1" s="162" t="s">
        <v>459</v>
      </c>
      <c r="AI1" s="162" t="s">
        <v>460</v>
      </c>
      <c r="AJ1" s="411" t="s">
        <v>103</v>
      </c>
    </row>
    <row r="2" spans="1:36" ht="31.5" customHeight="1" thickBot="1" x14ac:dyDescent="0.3">
      <c r="A2" s="409"/>
      <c r="B2" s="410"/>
      <c r="C2" s="163"/>
      <c r="D2" s="163"/>
      <c r="E2" s="163"/>
      <c r="F2" s="164">
        <v>42163</v>
      </c>
      <c r="G2" s="164">
        <v>42170</v>
      </c>
      <c r="H2" s="164">
        <v>42177</v>
      </c>
      <c r="I2" s="164">
        <v>42184</v>
      </c>
      <c r="J2" s="164">
        <v>42191</v>
      </c>
      <c r="K2" s="164">
        <v>42198</v>
      </c>
      <c r="L2" s="164">
        <v>42205</v>
      </c>
      <c r="M2" s="164">
        <v>42212</v>
      </c>
      <c r="N2" s="164">
        <v>42219</v>
      </c>
      <c r="O2" s="164">
        <v>42226</v>
      </c>
      <c r="P2" s="164">
        <v>42233</v>
      </c>
      <c r="Q2" s="164">
        <v>42240</v>
      </c>
      <c r="R2" s="164">
        <v>42247</v>
      </c>
      <c r="S2" s="164">
        <v>42254</v>
      </c>
      <c r="T2" s="164">
        <v>42261</v>
      </c>
      <c r="U2" s="164">
        <v>42268</v>
      </c>
      <c r="V2" s="164">
        <v>42275</v>
      </c>
      <c r="W2" s="164">
        <v>42282</v>
      </c>
      <c r="X2" s="164">
        <v>42289</v>
      </c>
      <c r="Y2" s="164">
        <v>42296</v>
      </c>
      <c r="Z2" s="164">
        <v>42303</v>
      </c>
      <c r="AA2" s="164">
        <v>42311</v>
      </c>
      <c r="AB2" s="164">
        <v>42318</v>
      </c>
      <c r="AC2" s="164">
        <v>42325</v>
      </c>
      <c r="AD2" s="164">
        <v>42332</v>
      </c>
      <c r="AE2" s="164">
        <v>42339</v>
      </c>
      <c r="AF2" s="164">
        <v>42346</v>
      </c>
      <c r="AG2" s="164">
        <v>42353</v>
      </c>
      <c r="AH2" s="164">
        <v>42360</v>
      </c>
      <c r="AI2" s="164">
        <v>42367</v>
      </c>
      <c r="AJ2" s="412"/>
    </row>
    <row r="3" spans="1:36" ht="18.75" customHeight="1" x14ac:dyDescent="0.25">
      <c r="A3" s="413" t="s">
        <v>428</v>
      </c>
      <c r="B3" s="414"/>
      <c r="C3" s="165"/>
      <c r="D3" s="165"/>
      <c r="E3" s="165"/>
      <c r="F3" s="166" t="s">
        <v>189</v>
      </c>
      <c r="G3" s="167"/>
      <c r="H3" s="167"/>
      <c r="I3" s="167"/>
      <c r="J3" s="167"/>
      <c r="K3" s="166" t="s">
        <v>190</v>
      </c>
      <c r="L3" s="166" t="s">
        <v>190</v>
      </c>
      <c r="M3" s="166" t="s">
        <v>190</v>
      </c>
      <c r="N3" s="167"/>
      <c r="O3" s="166" t="s">
        <v>191</v>
      </c>
      <c r="P3" s="166" t="s">
        <v>191</v>
      </c>
      <c r="Q3" s="166" t="s">
        <v>191</v>
      </c>
      <c r="R3" s="166" t="s">
        <v>191</v>
      </c>
      <c r="S3" s="167"/>
      <c r="T3" s="167"/>
      <c r="U3" s="166" t="s">
        <v>192</v>
      </c>
      <c r="V3" s="166" t="s">
        <v>192</v>
      </c>
      <c r="W3" s="166" t="s">
        <v>192</v>
      </c>
      <c r="X3" s="167"/>
      <c r="Y3" s="166" t="s">
        <v>193</v>
      </c>
      <c r="Z3" s="166" t="s">
        <v>194</v>
      </c>
      <c r="AA3" s="166" t="s">
        <v>194</v>
      </c>
      <c r="AB3" s="166" t="s">
        <v>194</v>
      </c>
      <c r="AC3" s="166" t="s">
        <v>194</v>
      </c>
      <c r="AD3" s="168" t="s">
        <v>195</v>
      </c>
      <c r="AE3" s="168" t="s">
        <v>196</v>
      </c>
      <c r="AF3" s="169" t="s">
        <v>197</v>
      </c>
      <c r="AG3" s="167"/>
      <c r="AH3" s="167"/>
      <c r="AI3" s="167"/>
      <c r="AJ3" s="170"/>
    </row>
    <row r="4" spans="1:36" ht="12.75" customHeight="1" outlineLevel="1" x14ac:dyDescent="0.25">
      <c r="A4" s="415" t="s">
        <v>198</v>
      </c>
      <c r="B4" s="416"/>
      <c r="C4" s="389"/>
      <c r="D4" s="389"/>
      <c r="E4" s="171"/>
      <c r="F4" s="172" t="s">
        <v>189</v>
      </c>
      <c r="G4" s="173"/>
      <c r="H4" s="173"/>
      <c r="I4" s="173"/>
      <c r="J4" s="173"/>
      <c r="K4" s="172" t="s">
        <v>190</v>
      </c>
      <c r="L4" s="172" t="s">
        <v>190</v>
      </c>
      <c r="M4" s="172" t="s">
        <v>190</v>
      </c>
      <c r="N4" s="173"/>
      <c r="O4" s="172" t="s">
        <v>191</v>
      </c>
      <c r="P4" s="172" t="s">
        <v>191</v>
      </c>
      <c r="Q4" s="173"/>
      <c r="R4" s="173"/>
      <c r="S4" s="173"/>
      <c r="T4" s="173"/>
      <c r="U4" s="173"/>
      <c r="V4" s="173"/>
      <c r="W4" s="173"/>
      <c r="X4" s="173"/>
      <c r="Y4" s="172" t="s">
        <v>193</v>
      </c>
      <c r="Z4" s="172" t="s">
        <v>194</v>
      </c>
      <c r="AA4" s="172" t="s">
        <v>194</v>
      </c>
      <c r="AB4" s="172" t="s">
        <v>194</v>
      </c>
      <c r="AC4" s="172" t="s">
        <v>194</v>
      </c>
      <c r="AD4" s="174" t="s">
        <v>195</v>
      </c>
      <c r="AE4" s="174" t="s">
        <v>196</v>
      </c>
      <c r="AF4" s="175" t="s">
        <v>197</v>
      </c>
      <c r="AG4" s="173"/>
      <c r="AH4" s="173"/>
      <c r="AI4" s="173"/>
      <c r="AJ4" s="176"/>
    </row>
    <row r="5" spans="1:36" ht="12.75" customHeight="1" outlineLevel="1" x14ac:dyDescent="0.25">
      <c r="A5" s="415" t="s">
        <v>199</v>
      </c>
      <c r="B5" s="416"/>
      <c r="C5" s="389"/>
      <c r="D5" s="389"/>
      <c r="E5" s="171"/>
      <c r="F5" s="172" t="s">
        <v>189</v>
      </c>
      <c r="G5" s="173"/>
      <c r="H5" s="173"/>
      <c r="I5" s="173"/>
      <c r="J5" s="173"/>
      <c r="K5" s="172" t="s">
        <v>190</v>
      </c>
      <c r="L5" s="172" t="s">
        <v>190</v>
      </c>
      <c r="M5" s="172" t="s">
        <v>190</v>
      </c>
      <c r="N5" s="173"/>
      <c r="O5" s="172" t="s">
        <v>191</v>
      </c>
      <c r="P5" s="172" t="s">
        <v>191</v>
      </c>
      <c r="Q5" s="173"/>
      <c r="R5" s="173"/>
      <c r="S5" s="173"/>
      <c r="T5" s="173"/>
      <c r="U5" s="173"/>
      <c r="V5" s="173"/>
      <c r="W5" s="173"/>
      <c r="X5" s="173"/>
      <c r="Y5" s="173"/>
      <c r="Z5" s="172" t="s">
        <v>194</v>
      </c>
      <c r="AA5" s="172" t="s">
        <v>194</v>
      </c>
      <c r="AB5" s="172" t="s">
        <v>194</v>
      </c>
      <c r="AC5" s="172" t="s">
        <v>194</v>
      </c>
      <c r="AD5" s="174" t="s">
        <v>195</v>
      </c>
      <c r="AE5" s="174" t="s">
        <v>196</v>
      </c>
      <c r="AF5" s="175" t="s">
        <v>197</v>
      </c>
      <c r="AG5" s="173"/>
      <c r="AH5" s="173"/>
      <c r="AI5" s="173"/>
      <c r="AJ5" s="176"/>
    </row>
    <row r="6" spans="1:36" ht="12.75" customHeight="1" outlineLevel="1" thickBot="1" x14ac:dyDescent="0.3">
      <c r="A6" s="417" t="s">
        <v>200</v>
      </c>
      <c r="B6" s="418"/>
      <c r="C6" s="390"/>
      <c r="D6" s="390"/>
      <c r="E6" s="177"/>
      <c r="F6" s="178" t="s">
        <v>189</v>
      </c>
      <c r="G6" s="179"/>
      <c r="H6" s="179"/>
      <c r="I6" s="179"/>
      <c r="J6" s="179"/>
      <c r="K6" s="179"/>
      <c r="L6" s="179"/>
      <c r="M6" s="179"/>
      <c r="N6" s="179"/>
      <c r="O6" s="179"/>
      <c r="P6" s="179"/>
      <c r="Q6" s="178" t="s">
        <v>191</v>
      </c>
      <c r="R6" s="178" t="s">
        <v>191</v>
      </c>
      <c r="S6" s="179"/>
      <c r="T6" s="179"/>
      <c r="U6" s="178" t="s">
        <v>192</v>
      </c>
      <c r="V6" s="178" t="s">
        <v>192</v>
      </c>
      <c r="W6" s="178" t="s">
        <v>192</v>
      </c>
      <c r="X6" s="179"/>
      <c r="Y6" s="178" t="s">
        <v>193</v>
      </c>
      <c r="Z6" s="178" t="s">
        <v>194</v>
      </c>
      <c r="AA6" s="178" t="s">
        <v>194</v>
      </c>
      <c r="AB6" s="178" t="s">
        <v>194</v>
      </c>
      <c r="AC6" s="178" t="s">
        <v>194</v>
      </c>
      <c r="AD6" s="180" t="s">
        <v>195</v>
      </c>
      <c r="AE6" s="180" t="s">
        <v>196</v>
      </c>
      <c r="AF6" s="181" t="s">
        <v>197</v>
      </c>
      <c r="AG6" s="179"/>
      <c r="AH6" s="179"/>
      <c r="AI6" s="179"/>
      <c r="AJ6" s="182"/>
    </row>
    <row r="7" spans="1:36" ht="13.5" customHeight="1" x14ac:dyDescent="0.25">
      <c r="A7" s="419" t="s">
        <v>201</v>
      </c>
      <c r="B7" s="420"/>
      <c r="C7" s="387"/>
      <c r="D7" s="387"/>
      <c r="E7" s="183"/>
      <c r="F7" s="184"/>
      <c r="G7" s="184"/>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70"/>
    </row>
    <row r="8" spans="1:36" ht="15.75" customHeight="1" x14ac:dyDescent="0.25">
      <c r="A8" s="405" t="s">
        <v>202</v>
      </c>
      <c r="B8" s="406"/>
      <c r="C8" s="391"/>
      <c r="D8" s="391"/>
      <c r="E8" s="185"/>
      <c r="F8" s="186"/>
      <c r="G8" s="186"/>
      <c r="H8" s="186"/>
      <c r="I8" s="186"/>
      <c r="J8" s="187" t="s">
        <v>203</v>
      </c>
      <c r="K8" s="187" t="s">
        <v>204</v>
      </c>
      <c r="L8" s="187" t="s">
        <v>204</v>
      </c>
      <c r="M8" s="187" t="s">
        <v>204</v>
      </c>
      <c r="N8" s="186"/>
      <c r="O8" s="186"/>
      <c r="P8" s="186"/>
      <c r="Q8" s="187" t="s">
        <v>204</v>
      </c>
      <c r="R8" s="187" t="s">
        <v>204</v>
      </c>
      <c r="S8" s="186"/>
      <c r="T8" s="186"/>
      <c r="U8" s="186"/>
      <c r="V8" s="187" t="s">
        <v>204</v>
      </c>
      <c r="W8" s="186"/>
      <c r="X8" s="186"/>
      <c r="Y8" s="187" t="s">
        <v>205</v>
      </c>
      <c r="Z8" s="186"/>
      <c r="AA8" s="187" t="s">
        <v>206</v>
      </c>
      <c r="AB8" s="186"/>
      <c r="AC8" s="186"/>
      <c r="AD8" s="186"/>
      <c r="AE8" s="186"/>
      <c r="AF8" s="187" t="s">
        <v>207</v>
      </c>
      <c r="AG8" s="187" t="s">
        <v>207</v>
      </c>
      <c r="AH8" s="186"/>
      <c r="AI8" s="186"/>
      <c r="AJ8" s="188"/>
    </row>
    <row r="9" spans="1:36" ht="12.75" customHeight="1" outlineLevel="2" x14ac:dyDescent="0.25">
      <c r="A9" s="415" t="s">
        <v>198</v>
      </c>
      <c r="B9" s="416"/>
      <c r="C9" s="389"/>
      <c r="D9" s="389"/>
      <c r="E9" s="171"/>
      <c r="F9" s="173"/>
      <c r="G9" s="173"/>
      <c r="H9" s="173"/>
      <c r="I9" s="173"/>
      <c r="J9" s="189" t="s">
        <v>203</v>
      </c>
      <c r="K9" s="189" t="s">
        <v>208</v>
      </c>
      <c r="L9" s="189" t="s">
        <v>208</v>
      </c>
      <c r="M9" s="173"/>
      <c r="N9" s="173"/>
      <c r="O9" s="173"/>
      <c r="P9" s="173"/>
      <c r="Q9" s="189" t="s">
        <v>209</v>
      </c>
      <c r="R9" s="173"/>
      <c r="S9" s="173"/>
      <c r="T9" s="173"/>
      <c r="U9" s="173"/>
      <c r="V9" s="189" t="s">
        <v>210</v>
      </c>
      <c r="W9" s="173"/>
      <c r="X9" s="173"/>
      <c r="Y9" s="189" t="s">
        <v>205</v>
      </c>
      <c r="Z9" s="173"/>
      <c r="AA9" s="189" t="s">
        <v>206</v>
      </c>
      <c r="AB9" s="173"/>
      <c r="AC9" s="173"/>
      <c r="AD9" s="173"/>
      <c r="AE9" s="173"/>
      <c r="AF9" s="189" t="s">
        <v>207</v>
      </c>
      <c r="AG9" s="189" t="s">
        <v>207</v>
      </c>
      <c r="AH9" s="173"/>
      <c r="AI9" s="173"/>
      <c r="AJ9" s="176"/>
    </row>
    <row r="10" spans="1:36" ht="12.75" customHeight="1" outlineLevel="2" x14ac:dyDescent="0.25">
      <c r="A10" s="415" t="s">
        <v>199</v>
      </c>
      <c r="B10" s="416"/>
      <c r="C10" s="389"/>
      <c r="D10" s="389"/>
      <c r="E10" s="171"/>
      <c r="F10" s="173"/>
      <c r="G10" s="173"/>
      <c r="H10" s="173"/>
      <c r="I10" s="173"/>
      <c r="J10" s="189" t="s">
        <v>203</v>
      </c>
      <c r="K10" s="173"/>
      <c r="L10" s="189" t="s">
        <v>208</v>
      </c>
      <c r="M10" s="189" t="s">
        <v>208</v>
      </c>
      <c r="N10" s="173"/>
      <c r="O10" s="173"/>
      <c r="P10" s="173"/>
      <c r="Q10" s="189" t="s">
        <v>209</v>
      </c>
      <c r="R10" s="173"/>
      <c r="S10" s="173"/>
      <c r="T10" s="173"/>
      <c r="U10" s="173"/>
      <c r="V10" s="189" t="s">
        <v>210</v>
      </c>
      <c r="W10" s="173"/>
      <c r="X10" s="173"/>
      <c r="Y10" s="173"/>
      <c r="Z10" s="173"/>
      <c r="AA10" s="189" t="s">
        <v>206</v>
      </c>
      <c r="AB10" s="173"/>
      <c r="AC10" s="173"/>
      <c r="AD10" s="173"/>
      <c r="AE10" s="173"/>
      <c r="AF10" s="189" t="s">
        <v>207</v>
      </c>
      <c r="AG10" s="173"/>
      <c r="AH10" s="173"/>
      <c r="AI10" s="173"/>
      <c r="AJ10" s="176"/>
    </row>
    <row r="11" spans="1:36" ht="12.75" customHeight="1" outlineLevel="2" thickBot="1" x14ac:dyDescent="0.3">
      <c r="A11" s="417" t="s">
        <v>200</v>
      </c>
      <c r="B11" s="418"/>
      <c r="C11" s="390"/>
      <c r="D11" s="390"/>
      <c r="E11" s="177"/>
      <c r="F11" s="179"/>
      <c r="G11" s="179"/>
      <c r="H11" s="179"/>
      <c r="I11" s="179"/>
      <c r="J11" s="179"/>
      <c r="K11" s="179"/>
      <c r="L11" s="179"/>
      <c r="M11" s="179"/>
      <c r="N11" s="179"/>
      <c r="O11" s="179"/>
      <c r="P11" s="190" t="s">
        <v>203</v>
      </c>
      <c r="Q11" s="190" t="s">
        <v>208</v>
      </c>
      <c r="R11" s="190" t="s">
        <v>208</v>
      </c>
      <c r="S11" s="179"/>
      <c r="T11" s="179"/>
      <c r="U11" s="179"/>
      <c r="V11" s="190" t="s">
        <v>209</v>
      </c>
      <c r="W11" s="179"/>
      <c r="X11" s="179"/>
      <c r="Y11" s="190" t="s">
        <v>205</v>
      </c>
      <c r="Z11" s="179"/>
      <c r="AA11" s="190" t="s">
        <v>206</v>
      </c>
      <c r="AB11" s="179"/>
      <c r="AC11" s="179"/>
      <c r="AD11" s="179"/>
      <c r="AE11" s="179"/>
      <c r="AF11" s="179"/>
      <c r="AG11" s="190" t="s">
        <v>207</v>
      </c>
      <c r="AH11" s="179"/>
      <c r="AI11" s="179"/>
      <c r="AJ11" s="182"/>
    </row>
    <row r="12" spans="1:36" ht="15.75" customHeight="1" x14ac:dyDescent="0.25">
      <c r="A12" s="405" t="s">
        <v>211</v>
      </c>
      <c r="B12" s="406"/>
      <c r="C12" s="391"/>
      <c r="D12" s="391"/>
      <c r="E12" s="185"/>
      <c r="F12" s="186"/>
      <c r="G12" s="186"/>
      <c r="H12" s="186"/>
      <c r="I12" s="186"/>
      <c r="J12" s="187" t="s">
        <v>203</v>
      </c>
      <c r="K12" s="187" t="s">
        <v>204</v>
      </c>
      <c r="L12" s="187" t="s">
        <v>204</v>
      </c>
      <c r="M12" s="187" t="s">
        <v>204</v>
      </c>
      <c r="N12" s="186"/>
      <c r="O12" s="186"/>
      <c r="P12" s="186"/>
      <c r="Q12" s="187" t="s">
        <v>204</v>
      </c>
      <c r="R12" s="187" t="s">
        <v>204</v>
      </c>
      <c r="S12" s="187" t="s">
        <v>212</v>
      </c>
      <c r="T12" s="186"/>
      <c r="U12" s="186"/>
      <c r="V12" s="187" t="s">
        <v>204</v>
      </c>
      <c r="W12" s="186"/>
      <c r="X12" s="186"/>
      <c r="Y12" s="186"/>
      <c r="Z12" s="186"/>
      <c r="AA12" s="186"/>
      <c r="AB12" s="187" t="s">
        <v>206</v>
      </c>
      <c r="AC12" s="186"/>
      <c r="AD12" s="186"/>
      <c r="AE12" s="186"/>
      <c r="AF12" s="187" t="s">
        <v>207</v>
      </c>
      <c r="AG12" s="187" t="s">
        <v>207</v>
      </c>
      <c r="AH12" s="186"/>
      <c r="AI12" s="186"/>
      <c r="AJ12" s="188"/>
    </row>
    <row r="13" spans="1:36" ht="12.75" customHeight="1" outlineLevel="2" x14ac:dyDescent="0.25">
      <c r="A13" s="415" t="s">
        <v>198</v>
      </c>
      <c r="B13" s="416"/>
      <c r="C13" s="389"/>
      <c r="D13" s="389"/>
      <c r="E13" s="171"/>
      <c r="F13" s="173"/>
      <c r="G13" s="173"/>
      <c r="H13" s="173"/>
      <c r="I13" s="173"/>
      <c r="J13" s="189" t="s">
        <v>203</v>
      </c>
      <c r="K13" s="189" t="s">
        <v>208</v>
      </c>
      <c r="L13" s="189" t="s">
        <v>208</v>
      </c>
      <c r="M13" s="173"/>
      <c r="N13" s="173"/>
      <c r="O13" s="173"/>
      <c r="P13" s="173"/>
      <c r="Q13" s="189" t="s">
        <v>209</v>
      </c>
      <c r="R13" s="173"/>
      <c r="S13" s="189" t="s">
        <v>212</v>
      </c>
      <c r="T13" s="173"/>
      <c r="U13" s="173"/>
      <c r="V13" s="189" t="s">
        <v>210</v>
      </c>
      <c r="W13" s="173"/>
      <c r="X13" s="173"/>
      <c r="Y13" s="173"/>
      <c r="Z13" s="173"/>
      <c r="AA13" s="173"/>
      <c r="AB13" s="189" t="s">
        <v>206</v>
      </c>
      <c r="AC13" s="173"/>
      <c r="AD13" s="173"/>
      <c r="AE13" s="173"/>
      <c r="AF13" s="189" t="s">
        <v>207</v>
      </c>
      <c r="AG13" s="189" t="s">
        <v>207</v>
      </c>
      <c r="AH13" s="173"/>
      <c r="AI13" s="173"/>
      <c r="AJ13" s="176"/>
    </row>
    <row r="14" spans="1:36" ht="12.75" customHeight="1" outlineLevel="2" x14ac:dyDescent="0.25">
      <c r="A14" s="415" t="s">
        <v>199</v>
      </c>
      <c r="B14" s="416"/>
      <c r="C14" s="389"/>
      <c r="D14" s="389"/>
      <c r="E14" s="171"/>
      <c r="F14" s="173"/>
      <c r="G14" s="173"/>
      <c r="H14" s="173"/>
      <c r="I14" s="173"/>
      <c r="J14" s="189" t="s">
        <v>203</v>
      </c>
      <c r="K14" s="173"/>
      <c r="L14" s="189" t="s">
        <v>208</v>
      </c>
      <c r="M14" s="189" t="s">
        <v>208</v>
      </c>
      <c r="N14" s="173"/>
      <c r="O14" s="173"/>
      <c r="P14" s="173"/>
      <c r="Q14" s="189" t="s">
        <v>209</v>
      </c>
      <c r="R14" s="173"/>
      <c r="S14" s="189" t="s">
        <v>212</v>
      </c>
      <c r="T14" s="173"/>
      <c r="U14" s="173"/>
      <c r="V14" s="189" t="s">
        <v>210</v>
      </c>
      <c r="W14" s="173"/>
      <c r="X14" s="173"/>
      <c r="Y14" s="173"/>
      <c r="Z14" s="173"/>
      <c r="AA14" s="173"/>
      <c r="AB14" s="189" t="s">
        <v>206</v>
      </c>
      <c r="AC14" s="173"/>
      <c r="AD14" s="173"/>
      <c r="AE14" s="173"/>
      <c r="AF14" s="189" t="s">
        <v>207</v>
      </c>
      <c r="AG14" s="173"/>
      <c r="AH14" s="173"/>
      <c r="AI14" s="173"/>
      <c r="AJ14" s="176"/>
    </row>
    <row r="15" spans="1:36" ht="12.75" customHeight="1" outlineLevel="2" thickBot="1" x14ac:dyDescent="0.3">
      <c r="A15" s="417" t="s">
        <v>200</v>
      </c>
      <c r="B15" s="418"/>
      <c r="C15" s="390"/>
      <c r="D15" s="390"/>
      <c r="E15" s="177"/>
      <c r="F15" s="179"/>
      <c r="G15" s="179"/>
      <c r="H15" s="179"/>
      <c r="I15" s="179"/>
      <c r="J15" s="179"/>
      <c r="K15" s="179"/>
      <c r="L15" s="179"/>
      <c r="M15" s="179"/>
      <c r="N15" s="179"/>
      <c r="O15" s="179"/>
      <c r="P15" s="190" t="s">
        <v>203</v>
      </c>
      <c r="Q15" s="190" t="s">
        <v>208</v>
      </c>
      <c r="R15" s="190" t="s">
        <v>208</v>
      </c>
      <c r="S15" s="179"/>
      <c r="T15" s="179"/>
      <c r="U15" s="179"/>
      <c r="V15" s="190" t="s">
        <v>209</v>
      </c>
      <c r="W15" s="179"/>
      <c r="X15" s="179"/>
      <c r="Y15" s="179"/>
      <c r="Z15" s="179"/>
      <c r="AA15" s="179"/>
      <c r="AB15" s="190" t="s">
        <v>206</v>
      </c>
      <c r="AC15" s="179"/>
      <c r="AD15" s="179"/>
      <c r="AE15" s="179"/>
      <c r="AF15" s="179"/>
      <c r="AG15" s="190" t="s">
        <v>207</v>
      </c>
      <c r="AH15" s="179"/>
      <c r="AI15" s="179"/>
      <c r="AJ15" s="182"/>
    </row>
    <row r="16" spans="1:36" ht="15.75" customHeight="1" x14ac:dyDescent="0.25">
      <c r="A16" s="405" t="s">
        <v>7</v>
      </c>
      <c r="B16" s="406"/>
      <c r="C16" s="391"/>
      <c r="D16" s="391"/>
      <c r="E16" s="185"/>
      <c r="F16" s="186"/>
      <c r="G16" s="186"/>
      <c r="H16" s="186"/>
      <c r="I16" s="186"/>
      <c r="J16" s="187" t="s">
        <v>203</v>
      </c>
      <c r="K16" s="187" t="s">
        <v>204</v>
      </c>
      <c r="L16" s="187" t="s">
        <v>204</v>
      </c>
      <c r="M16" s="187" t="s">
        <v>204</v>
      </c>
      <c r="N16" s="186"/>
      <c r="O16" s="186"/>
      <c r="P16" s="186"/>
      <c r="Q16" s="187" t="s">
        <v>204</v>
      </c>
      <c r="R16" s="187" t="s">
        <v>204</v>
      </c>
      <c r="S16" s="186"/>
      <c r="T16" s="187" t="s">
        <v>212</v>
      </c>
      <c r="U16" s="186"/>
      <c r="V16" s="187" t="s">
        <v>204</v>
      </c>
      <c r="W16" s="186"/>
      <c r="X16" s="186"/>
      <c r="Y16" s="186"/>
      <c r="Z16" s="186"/>
      <c r="AA16" s="186"/>
      <c r="AB16" s="186"/>
      <c r="AC16" s="187" t="s">
        <v>206</v>
      </c>
      <c r="AD16" s="186"/>
      <c r="AE16" s="186"/>
      <c r="AF16" s="187" t="s">
        <v>207</v>
      </c>
      <c r="AG16" s="187" t="s">
        <v>207</v>
      </c>
      <c r="AH16" s="186"/>
      <c r="AI16" s="186"/>
      <c r="AJ16" s="188"/>
    </row>
    <row r="17" spans="1:44" ht="12.75" customHeight="1" outlineLevel="2" x14ac:dyDescent="0.25">
      <c r="A17" s="415" t="s">
        <v>198</v>
      </c>
      <c r="B17" s="416"/>
      <c r="C17" s="389"/>
      <c r="D17" s="389"/>
      <c r="E17" s="171"/>
      <c r="F17" s="173"/>
      <c r="G17" s="173"/>
      <c r="H17" s="173"/>
      <c r="I17" s="173"/>
      <c r="J17" s="189" t="s">
        <v>203</v>
      </c>
      <c r="K17" s="189" t="s">
        <v>208</v>
      </c>
      <c r="L17" s="189" t="s">
        <v>208</v>
      </c>
      <c r="M17" s="173"/>
      <c r="N17" s="173"/>
      <c r="O17" s="173"/>
      <c r="P17" s="173"/>
      <c r="Q17" s="189" t="s">
        <v>209</v>
      </c>
      <c r="R17" s="173"/>
      <c r="S17" s="173"/>
      <c r="T17" s="189" t="s">
        <v>212</v>
      </c>
      <c r="U17" s="173"/>
      <c r="V17" s="189" t="s">
        <v>210</v>
      </c>
      <c r="W17" s="173"/>
      <c r="X17" s="173"/>
      <c r="Y17" s="173"/>
      <c r="Z17" s="173"/>
      <c r="AA17" s="173"/>
      <c r="AB17" s="173"/>
      <c r="AC17" s="189" t="s">
        <v>206</v>
      </c>
      <c r="AD17" s="173"/>
      <c r="AE17" s="173"/>
      <c r="AF17" s="189" t="s">
        <v>207</v>
      </c>
      <c r="AG17" s="189" t="s">
        <v>207</v>
      </c>
      <c r="AH17" s="173"/>
      <c r="AI17" s="173"/>
      <c r="AJ17" s="176"/>
    </row>
    <row r="18" spans="1:44" ht="12.75" customHeight="1" outlineLevel="2" x14ac:dyDescent="0.25">
      <c r="A18" s="415" t="s">
        <v>199</v>
      </c>
      <c r="B18" s="416"/>
      <c r="C18" s="389"/>
      <c r="D18" s="389"/>
      <c r="E18" s="171"/>
      <c r="F18" s="173"/>
      <c r="G18" s="173"/>
      <c r="H18" s="173"/>
      <c r="I18" s="173"/>
      <c r="J18" s="189" t="s">
        <v>203</v>
      </c>
      <c r="K18" s="173"/>
      <c r="L18" s="189" t="s">
        <v>208</v>
      </c>
      <c r="M18" s="189" t="s">
        <v>208</v>
      </c>
      <c r="N18" s="173"/>
      <c r="O18" s="173"/>
      <c r="P18" s="173"/>
      <c r="Q18" s="189" t="s">
        <v>209</v>
      </c>
      <c r="R18" s="173"/>
      <c r="S18" s="173"/>
      <c r="T18" s="173"/>
      <c r="U18" s="173"/>
      <c r="V18" s="189" t="s">
        <v>210</v>
      </c>
      <c r="W18" s="173"/>
      <c r="X18" s="173"/>
      <c r="Y18" s="173"/>
      <c r="Z18" s="173"/>
      <c r="AA18" s="173"/>
      <c r="AB18" s="173"/>
      <c r="AC18" s="189" t="s">
        <v>206</v>
      </c>
      <c r="AD18" s="173"/>
      <c r="AE18" s="173"/>
      <c r="AF18" s="189" t="s">
        <v>207</v>
      </c>
      <c r="AG18" s="173"/>
      <c r="AH18" s="173"/>
      <c r="AI18" s="173"/>
      <c r="AJ18" s="176"/>
    </row>
    <row r="19" spans="1:44" ht="12.75" customHeight="1" outlineLevel="2" thickBot="1" x14ac:dyDescent="0.3">
      <c r="A19" s="417" t="s">
        <v>200</v>
      </c>
      <c r="B19" s="418"/>
      <c r="C19" s="390"/>
      <c r="D19" s="390"/>
      <c r="E19" s="177"/>
      <c r="F19" s="179"/>
      <c r="G19" s="179"/>
      <c r="H19" s="179"/>
      <c r="I19" s="179"/>
      <c r="J19" s="179"/>
      <c r="K19" s="179"/>
      <c r="L19" s="179"/>
      <c r="M19" s="179"/>
      <c r="N19" s="179"/>
      <c r="O19" s="179"/>
      <c r="P19" s="190" t="s">
        <v>203</v>
      </c>
      <c r="Q19" s="190" t="s">
        <v>208</v>
      </c>
      <c r="R19" s="190" t="s">
        <v>208</v>
      </c>
      <c r="S19" s="179"/>
      <c r="T19" s="189" t="s">
        <v>212</v>
      </c>
      <c r="U19" s="179"/>
      <c r="V19" s="190" t="s">
        <v>209</v>
      </c>
      <c r="W19" s="179"/>
      <c r="X19" s="179"/>
      <c r="Y19" s="179"/>
      <c r="Z19" s="179"/>
      <c r="AA19" s="179"/>
      <c r="AB19" s="179"/>
      <c r="AC19" s="190" t="s">
        <v>206</v>
      </c>
      <c r="AD19" s="179"/>
      <c r="AE19" s="179"/>
      <c r="AF19" s="179"/>
      <c r="AG19" s="190" t="s">
        <v>207</v>
      </c>
      <c r="AH19" s="179"/>
      <c r="AI19" s="179"/>
      <c r="AJ19" s="182"/>
    </row>
    <row r="20" spans="1:44" ht="6.75" customHeight="1" thickBot="1" x14ac:dyDescent="0.3">
      <c r="A20" s="423"/>
      <c r="B20" s="424"/>
      <c r="C20" s="191"/>
      <c r="D20" s="191"/>
      <c r="E20" s="191"/>
      <c r="F20" s="192"/>
      <c r="G20" s="192"/>
      <c r="H20" s="192"/>
      <c r="I20" s="192"/>
      <c r="J20" s="192"/>
      <c r="K20" s="192"/>
      <c r="L20" s="192"/>
      <c r="M20" s="192"/>
      <c r="N20" s="192"/>
      <c r="O20" s="192"/>
      <c r="P20" s="192"/>
      <c r="Q20" s="192"/>
      <c r="R20" s="192"/>
      <c r="S20" s="192"/>
      <c r="T20" s="192"/>
      <c r="U20" s="192"/>
      <c r="V20" s="192"/>
      <c r="W20" s="192"/>
      <c r="X20" s="192"/>
      <c r="Y20" s="192"/>
      <c r="Z20" s="192"/>
      <c r="AA20" s="192"/>
      <c r="AB20" s="192"/>
      <c r="AC20" s="192"/>
      <c r="AD20" s="192"/>
      <c r="AE20" s="192"/>
      <c r="AF20" s="192"/>
      <c r="AG20" s="192"/>
      <c r="AH20" s="192"/>
      <c r="AI20" s="192"/>
      <c r="AJ20" s="192"/>
    </row>
    <row r="21" spans="1:44" ht="28.5" customHeight="1" outlineLevel="2" thickTop="1" thickBot="1" x14ac:dyDescent="0.3">
      <c r="A21" s="413" t="s">
        <v>213</v>
      </c>
      <c r="B21" s="420"/>
      <c r="C21" s="387" t="s">
        <v>430</v>
      </c>
      <c r="D21" s="393" t="s">
        <v>432</v>
      </c>
      <c r="E21" s="183" t="s">
        <v>431</v>
      </c>
      <c r="F21" s="193">
        <f t="shared" ref="F21:AI21" si="0">SUM(F22:F37)</f>
        <v>0</v>
      </c>
      <c r="G21" s="193">
        <f t="shared" si="0"/>
        <v>0</v>
      </c>
      <c r="H21" s="193">
        <f t="shared" si="0"/>
        <v>0</v>
      </c>
      <c r="I21" s="193">
        <f t="shared" si="0"/>
        <v>0</v>
      </c>
      <c r="J21" s="193">
        <f t="shared" si="0"/>
        <v>35</v>
      </c>
      <c r="K21" s="193">
        <f t="shared" si="0"/>
        <v>24</v>
      </c>
      <c r="L21" s="193">
        <f t="shared" si="0"/>
        <v>24</v>
      </c>
      <c r="M21" s="193">
        <f t="shared" si="0"/>
        <v>16</v>
      </c>
      <c r="N21" s="193">
        <f t="shared" si="0"/>
        <v>0</v>
      </c>
      <c r="O21" s="193">
        <f t="shared" si="0"/>
        <v>0</v>
      </c>
      <c r="P21" s="193">
        <f t="shared" si="0"/>
        <v>15</v>
      </c>
      <c r="Q21" s="193">
        <f t="shared" si="0"/>
        <v>36</v>
      </c>
      <c r="R21" s="193">
        <f t="shared" si="0"/>
        <v>12</v>
      </c>
      <c r="S21" s="193">
        <f t="shared" si="0"/>
        <v>24</v>
      </c>
      <c r="T21" s="193">
        <f t="shared" si="0"/>
        <v>20</v>
      </c>
      <c r="U21" s="193">
        <f t="shared" si="0"/>
        <v>0</v>
      </c>
      <c r="V21" s="193">
        <f t="shared" si="0"/>
        <v>38</v>
      </c>
      <c r="W21" s="193">
        <f t="shared" si="0"/>
        <v>0</v>
      </c>
      <c r="X21" s="193">
        <f t="shared" si="0"/>
        <v>0</v>
      </c>
      <c r="Y21" s="193">
        <f t="shared" si="0"/>
        <v>28</v>
      </c>
      <c r="Z21" s="193">
        <f t="shared" si="0"/>
        <v>0</v>
      </c>
      <c r="AA21" s="193">
        <f t="shared" si="0"/>
        <v>8</v>
      </c>
      <c r="AB21" s="193">
        <f t="shared" si="0"/>
        <v>8</v>
      </c>
      <c r="AC21" s="193">
        <f t="shared" si="0"/>
        <v>8</v>
      </c>
      <c r="AD21" s="193">
        <f t="shared" si="0"/>
        <v>0</v>
      </c>
      <c r="AE21" s="193">
        <f t="shared" si="0"/>
        <v>0</v>
      </c>
      <c r="AF21" s="193">
        <f t="shared" si="0"/>
        <v>66</v>
      </c>
      <c r="AG21" s="193">
        <f t="shared" si="0"/>
        <v>35</v>
      </c>
      <c r="AH21" s="193">
        <f t="shared" si="0"/>
        <v>0</v>
      </c>
      <c r="AI21" s="193">
        <f t="shared" si="0"/>
        <v>5</v>
      </c>
      <c r="AJ21" s="194">
        <f>SUM(F21:AI21)</f>
        <v>402</v>
      </c>
      <c r="AQ21" s="195"/>
      <c r="AR21" s="195"/>
    </row>
    <row r="22" spans="1:44" ht="10.5" customHeight="1" outlineLevel="3" thickTop="1" x14ac:dyDescent="0.25">
      <c r="A22" s="421" t="s">
        <v>452</v>
      </c>
      <c r="B22" s="422"/>
      <c r="C22" s="385" t="s">
        <v>453</v>
      </c>
      <c r="D22" s="385" t="s">
        <v>436</v>
      </c>
      <c r="E22" s="196" t="s">
        <v>214</v>
      </c>
      <c r="F22" s="173"/>
      <c r="G22" s="173"/>
      <c r="H22" s="173"/>
      <c r="I22" s="173"/>
      <c r="J22" s="197">
        <v>5</v>
      </c>
      <c r="K22" s="197">
        <v>4</v>
      </c>
      <c r="L22" s="197">
        <v>4</v>
      </c>
      <c r="M22" s="197">
        <v>4</v>
      </c>
      <c r="N22" s="173"/>
      <c r="O22" s="173"/>
      <c r="P22" s="197">
        <v>5</v>
      </c>
      <c r="Q22" s="197">
        <v>4</v>
      </c>
      <c r="R22" s="197">
        <v>4</v>
      </c>
      <c r="S22" s="197">
        <v>4</v>
      </c>
      <c r="T22" s="197">
        <v>4</v>
      </c>
      <c r="U22" s="173"/>
      <c r="V22" s="197">
        <v>4</v>
      </c>
      <c r="W22" s="173"/>
      <c r="X22" s="173"/>
      <c r="Y22" s="197">
        <v>4</v>
      </c>
      <c r="Z22" s="173"/>
      <c r="AA22" s="197">
        <v>4</v>
      </c>
      <c r="AB22" s="198">
        <v>4</v>
      </c>
      <c r="AC22" s="198">
        <v>4</v>
      </c>
      <c r="AD22" s="173"/>
      <c r="AE22" s="173"/>
      <c r="AF22" s="197">
        <v>7</v>
      </c>
      <c r="AG22" s="197">
        <v>5</v>
      </c>
      <c r="AH22" s="197">
        <v>0</v>
      </c>
      <c r="AI22" s="197">
        <v>5</v>
      </c>
      <c r="AJ22" s="199"/>
    </row>
    <row r="23" spans="1:44" ht="10.5" customHeight="1" outlineLevel="3" x14ac:dyDescent="0.25">
      <c r="A23" s="421" t="s">
        <v>159</v>
      </c>
      <c r="B23" s="422"/>
      <c r="C23" s="392" t="s">
        <v>439</v>
      </c>
      <c r="D23" s="392" t="s">
        <v>436</v>
      </c>
      <c r="E23" s="196" t="s">
        <v>215</v>
      </c>
      <c r="F23" s="173"/>
      <c r="G23" s="173"/>
      <c r="H23" s="173"/>
      <c r="I23" s="173"/>
      <c r="J23" s="197">
        <v>5</v>
      </c>
      <c r="K23" s="197">
        <v>4</v>
      </c>
      <c r="L23" s="198">
        <v>4</v>
      </c>
      <c r="M23" s="173"/>
      <c r="N23" s="173"/>
      <c r="O23" s="173"/>
      <c r="P23" s="173"/>
      <c r="Q23" s="198">
        <v>4</v>
      </c>
      <c r="R23" s="173"/>
      <c r="S23" s="198">
        <v>4</v>
      </c>
      <c r="T23" s="197">
        <v>4</v>
      </c>
      <c r="U23" s="173"/>
      <c r="V23" s="198">
        <v>4</v>
      </c>
      <c r="W23" s="173"/>
      <c r="X23" s="173"/>
      <c r="Y23" s="198">
        <v>4</v>
      </c>
      <c r="Z23" s="173"/>
      <c r="AA23" s="173"/>
      <c r="AB23" s="173"/>
      <c r="AC23" s="173"/>
      <c r="AD23" s="173"/>
      <c r="AE23" s="173"/>
      <c r="AF23" s="197">
        <v>7</v>
      </c>
      <c r="AG23" s="197">
        <v>5</v>
      </c>
      <c r="AH23" s="173"/>
      <c r="AI23" s="173"/>
      <c r="AJ23" s="199"/>
    </row>
    <row r="24" spans="1:44" ht="10.5" customHeight="1" outlineLevel="3" x14ac:dyDescent="0.25">
      <c r="A24" s="403"/>
      <c r="B24" s="404"/>
      <c r="C24" s="404"/>
      <c r="D24" s="404"/>
      <c r="E24" s="404"/>
      <c r="F24" s="173"/>
      <c r="G24" s="173"/>
      <c r="H24" s="173"/>
      <c r="I24" s="173"/>
      <c r="J24" s="197"/>
      <c r="K24" s="197"/>
      <c r="L24" s="198"/>
      <c r="M24" s="173"/>
      <c r="N24" s="173"/>
      <c r="O24" s="173"/>
      <c r="P24" s="173"/>
      <c r="Q24" s="198"/>
      <c r="R24" s="173"/>
      <c r="S24" s="198"/>
      <c r="T24" s="197"/>
      <c r="U24" s="173"/>
      <c r="V24" s="198"/>
      <c r="W24" s="173"/>
      <c r="X24" s="173"/>
      <c r="Y24" s="198"/>
      <c r="Z24" s="173"/>
      <c r="AA24" s="173"/>
      <c r="AB24" s="173"/>
      <c r="AC24" s="173"/>
      <c r="AD24" s="173"/>
      <c r="AE24" s="173"/>
      <c r="AF24" s="197"/>
      <c r="AG24" s="197"/>
      <c r="AH24" s="173"/>
      <c r="AI24" s="173"/>
      <c r="AJ24" s="199"/>
    </row>
    <row r="25" spans="1:44" ht="10.5" customHeight="1" outlineLevel="3" x14ac:dyDescent="0.25">
      <c r="A25" s="421" t="s">
        <v>159</v>
      </c>
      <c r="B25" s="422"/>
      <c r="C25" s="385" t="s">
        <v>439</v>
      </c>
      <c r="D25" s="392" t="s">
        <v>437</v>
      </c>
      <c r="E25" s="196" t="s">
        <v>216</v>
      </c>
      <c r="F25" s="173"/>
      <c r="G25" s="173"/>
      <c r="H25" s="173"/>
      <c r="I25" s="173"/>
      <c r="J25" s="173"/>
      <c r="K25" s="173"/>
      <c r="L25" s="173"/>
      <c r="M25" s="173"/>
      <c r="N25" s="173"/>
      <c r="O25" s="173"/>
      <c r="P25" s="173"/>
      <c r="Q25" s="173"/>
      <c r="R25" s="173"/>
      <c r="S25" s="173"/>
      <c r="T25" s="173"/>
      <c r="U25" s="173"/>
      <c r="V25" s="173"/>
      <c r="W25" s="173"/>
      <c r="X25" s="173"/>
      <c r="Y25" s="173"/>
      <c r="Z25" s="173"/>
      <c r="AA25" s="173"/>
      <c r="AB25" s="173"/>
      <c r="AC25" s="173"/>
      <c r="AD25" s="173"/>
      <c r="AE25" s="173"/>
      <c r="AF25" s="198">
        <v>7</v>
      </c>
      <c r="AG25" s="173"/>
      <c r="AH25" s="173"/>
      <c r="AI25" s="173"/>
      <c r="AJ25" s="199"/>
    </row>
    <row r="26" spans="1:44" ht="10.5" customHeight="1" outlineLevel="3" x14ac:dyDescent="0.25">
      <c r="A26" s="421" t="s">
        <v>159</v>
      </c>
      <c r="B26" s="422"/>
      <c r="C26" s="392" t="s">
        <v>439</v>
      </c>
      <c r="D26" s="392" t="s">
        <v>438</v>
      </c>
      <c r="E26" s="392"/>
      <c r="F26" s="173"/>
      <c r="G26" s="173"/>
      <c r="H26" s="173"/>
      <c r="I26" s="173"/>
      <c r="J26" s="173"/>
      <c r="K26" s="173"/>
      <c r="L26" s="173"/>
      <c r="M26" s="173"/>
      <c r="N26" s="173"/>
      <c r="O26" s="173"/>
      <c r="P26" s="173"/>
      <c r="Q26" s="173"/>
      <c r="R26" s="173"/>
      <c r="S26" s="173"/>
      <c r="T26" s="173"/>
      <c r="U26" s="173"/>
      <c r="V26" s="173"/>
      <c r="W26" s="173"/>
      <c r="X26" s="173"/>
      <c r="Y26" s="173"/>
      <c r="Z26" s="173"/>
      <c r="AA26" s="173"/>
      <c r="AB26" s="173"/>
      <c r="AC26" s="173"/>
      <c r="AD26" s="173"/>
      <c r="AE26" s="173"/>
      <c r="AF26" s="198">
        <v>7</v>
      </c>
      <c r="AG26" s="173"/>
      <c r="AH26" s="173"/>
      <c r="AI26" s="173"/>
      <c r="AJ26" s="199"/>
    </row>
    <row r="27" spans="1:44" ht="10.5" customHeight="1" outlineLevel="3" x14ac:dyDescent="0.25">
      <c r="A27" s="421" t="s">
        <v>160</v>
      </c>
      <c r="B27" s="422"/>
      <c r="C27" s="385" t="s">
        <v>440</v>
      </c>
      <c r="D27" s="392" t="s">
        <v>436</v>
      </c>
      <c r="E27" s="196"/>
      <c r="F27" s="173"/>
      <c r="G27" s="173"/>
      <c r="H27" s="173"/>
      <c r="I27" s="173"/>
      <c r="J27" s="197">
        <v>5</v>
      </c>
      <c r="K27" s="173"/>
      <c r="L27" s="198">
        <v>4</v>
      </c>
      <c r="M27" s="197">
        <v>4</v>
      </c>
      <c r="N27" s="173"/>
      <c r="O27" s="173"/>
      <c r="P27" s="173"/>
      <c r="Q27" s="197">
        <v>4</v>
      </c>
      <c r="R27" s="173"/>
      <c r="S27" s="198">
        <v>4</v>
      </c>
      <c r="T27" s="198">
        <v>4</v>
      </c>
      <c r="U27" s="173"/>
      <c r="V27" s="198">
        <v>4</v>
      </c>
      <c r="W27" s="173"/>
      <c r="X27" s="173"/>
      <c r="Y27" s="173"/>
      <c r="Z27" s="173"/>
      <c r="AA27" s="173"/>
      <c r="AB27" s="173"/>
      <c r="AC27" s="173"/>
      <c r="AD27" s="173"/>
      <c r="AE27" s="173"/>
      <c r="AF27" s="198">
        <v>5</v>
      </c>
      <c r="AG27" s="173"/>
      <c r="AH27" s="173"/>
      <c r="AI27" s="173"/>
      <c r="AJ27" s="199"/>
    </row>
    <row r="28" spans="1:44" ht="10.5" customHeight="1" outlineLevel="3" x14ac:dyDescent="0.25">
      <c r="A28" s="421" t="s">
        <v>441</v>
      </c>
      <c r="B28" s="422"/>
      <c r="C28" s="385" t="s">
        <v>442</v>
      </c>
      <c r="D28" s="392" t="s">
        <v>436</v>
      </c>
      <c r="E28" s="196"/>
      <c r="F28" s="173"/>
      <c r="G28" s="173"/>
      <c r="H28" s="173"/>
      <c r="I28" s="173"/>
      <c r="J28" s="198">
        <v>5</v>
      </c>
      <c r="K28" s="173"/>
      <c r="L28" s="197">
        <v>4</v>
      </c>
      <c r="M28" s="173"/>
      <c r="N28" s="173"/>
      <c r="O28" s="173"/>
      <c r="P28" s="173"/>
      <c r="Q28" s="197">
        <v>4</v>
      </c>
      <c r="R28" s="173"/>
      <c r="S28" s="198">
        <v>4</v>
      </c>
      <c r="T28" s="173"/>
      <c r="U28" s="173"/>
      <c r="V28" s="198">
        <v>4</v>
      </c>
      <c r="W28" s="173"/>
      <c r="X28" s="173"/>
      <c r="Y28" s="197">
        <v>4</v>
      </c>
      <c r="Z28" s="173"/>
      <c r="AA28" s="173"/>
      <c r="AB28" s="173"/>
      <c r="AC28" s="173"/>
      <c r="AD28" s="173"/>
      <c r="AE28" s="173"/>
      <c r="AF28" s="198">
        <v>7</v>
      </c>
      <c r="AG28" s="198">
        <v>5</v>
      </c>
      <c r="AH28" s="173"/>
      <c r="AI28" s="173"/>
      <c r="AJ28" s="199"/>
    </row>
    <row r="29" spans="1:44" ht="10.5" customHeight="1" outlineLevel="3" x14ac:dyDescent="0.25">
      <c r="A29" s="421" t="s">
        <v>217</v>
      </c>
      <c r="B29" s="422"/>
      <c r="C29" s="385" t="s">
        <v>443</v>
      </c>
      <c r="D29" s="392" t="s">
        <v>436</v>
      </c>
      <c r="E29" s="196"/>
      <c r="F29" s="173"/>
      <c r="G29" s="173"/>
      <c r="H29" s="173"/>
      <c r="I29" s="173"/>
      <c r="J29" s="173"/>
      <c r="K29" s="198">
        <v>4</v>
      </c>
      <c r="L29" s="198">
        <v>4</v>
      </c>
      <c r="M29" s="198">
        <v>4</v>
      </c>
      <c r="N29" s="173"/>
      <c r="O29" s="173"/>
      <c r="P29" s="173"/>
      <c r="Q29" s="198">
        <v>4</v>
      </c>
      <c r="R29" s="173"/>
      <c r="S29" s="198">
        <v>4</v>
      </c>
      <c r="T29" s="173"/>
      <c r="U29" s="173"/>
      <c r="V29" s="198">
        <v>4</v>
      </c>
      <c r="W29" s="173"/>
      <c r="X29" s="173"/>
      <c r="Y29" s="198">
        <v>4</v>
      </c>
      <c r="Z29" s="173"/>
      <c r="AA29" s="173"/>
      <c r="AB29" s="173"/>
      <c r="AC29" s="173"/>
      <c r="AD29" s="173"/>
      <c r="AE29" s="173"/>
      <c r="AF29" s="173"/>
      <c r="AG29" s="173"/>
      <c r="AH29" s="173"/>
      <c r="AI29" s="173"/>
      <c r="AJ29" s="199"/>
    </row>
    <row r="30" spans="1:44" ht="10.5" customHeight="1" outlineLevel="3" x14ac:dyDescent="0.25">
      <c r="A30" s="421" t="s">
        <v>444</v>
      </c>
      <c r="B30" s="422"/>
      <c r="C30" s="385" t="s">
        <v>445</v>
      </c>
      <c r="D30" s="392" t="s">
        <v>436</v>
      </c>
      <c r="E30" s="196"/>
      <c r="F30" s="173"/>
      <c r="G30" s="173"/>
      <c r="H30" s="173"/>
      <c r="I30" s="173"/>
      <c r="J30" s="197">
        <v>5</v>
      </c>
      <c r="K30" s="198">
        <v>4</v>
      </c>
      <c r="L30" s="173"/>
      <c r="M30" s="173"/>
      <c r="N30" s="173"/>
      <c r="O30" s="173"/>
      <c r="P30" s="173"/>
      <c r="Q30" s="198">
        <v>2</v>
      </c>
      <c r="R30" s="173"/>
      <c r="S30" s="173"/>
      <c r="T30" s="173"/>
      <c r="U30" s="173"/>
      <c r="V30" s="198">
        <v>4</v>
      </c>
      <c r="W30" s="173"/>
      <c r="X30" s="173"/>
      <c r="Y30" s="197">
        <v>4</v>
      </c>
      <c r="Z30" s="173"/>
      <c r="AA30" s="173"/>
      <c r="AB30" s="173"/>
      <c r="AC30" s="173"/>
      <c r="AD30" s="173"/>
      <c r="AE30" s="173"/>
      <c r="AF30" s="197">
        <v>7</v>
      </c>
      <c r="AG30" s="197">
        <v>5</v>
      </c>
      <c r="AH30" s="173"/>
      <c r="AI30" s="173"/>
      <c r="AJ30" s="199"/>
    </row>
    <row r="31" spans="1:44" ht="10.5" customHeight="1" outlineLevel="3" x14ac:dyDescent="0.25">
      <c r="A31" s="421" t="s">
        <v>444</v>
      </c>
      <c r="B31" s="422"/>
      <c r="C31" s="392" t="s">
        <v>445</v>
      </c>
      <c r="D31" s="392" t="s">
        <v>437</v>
      </c>
      <c r="E31" s="392"/>
      <c r="F31" s="173"/>
      <c r="G31" s="173"/>
      <c r="H31" s="173"/>
      <c r="I31" s="173"/>
      <c r="J31" s="173"/>
      <c r="K31" s="173"/>
      <c r="L31" s="173"/>
      <c r="M31" s="173"/>
      <c r="N31" s="173"/>
      <c r="O31" s="173"/>
      <c r="P31" s="173"/>
      <c r="Q31" s="173"/>
      <c r="R31" s="173"/>
      <c r="S31" s="173"/>
      <c r="T31" s="173"/>
      <c r="U31" s="173"/>
      <c r="V31" s="173"/>
      <c r="W31" s="173"/>
      <c r="X31" s="173"/>
      <c r="Y31" s="173"/>
      <c r="Z31" s="173"/>
      <c r="AA31" s="173"/>
      <c r="AB31" s="173"/>
      <c r="AC31" s="173"/>
      <c r="AD31" s="173"/>
      <c r="AE31" s="173"/>
      <c r="AF31" s="198">
        <v>7</v>
      </c>
      <c r="AG31" s="173"/>
      <c r="AH31" s="173"/>
      <c r="AI31" s="173"/>
      <c r="AJ31" s="199"/>
    </row>
    <row r="32" spans="1:44" ht="10.5" customHeight="1" outlineLevel="3" x14ac:dyDescent="0.25">
      <c r="A32" s="421" t="s">
        <v>444</v>
      </c>
      <c r="B32" s="422"/>
      <c r="C32" s="392" t="s">
        <v>445</v>
      </c>
      <c r="D32" s="392" t="s">
        <v>438</v>
      </c>
      <c r="E32" s="392"/>
      <c r="F32" s="173"/>
      <c r="G32" s="173"/>
      <c r="H32" s="173"/>
      <c r="I32" s="173"/>
      <c r="J32" s="173"/>
      <c r="K32" s="173"/>
      <c r="L32" s="173"/>
      <c r="M32" s="173"/>
      <c r="N32" s="173"/>
      <c r="O32" s="173"/>
      <c r="P32" s="173"/>
      <c r="Q32" s="173"/>
      <c r="R32" s="173"/>
      <c r="S32" s="173"/>
      <c r="T32" s="173"/>
      <c r="U32" s="173"/>
      <c r="V32" s="173"/>
      <c r="W32" s="173"/>
      <c r="X32" s="173"/>
      <c r="Y32" s="173"/>
      <c r="Z32" s="173"/>
      <c r="AA32" s="173"/>
      <c r="AB32" s="173"/>
      <c r="AC32" s="173"/>
      <c r="AD32" s="173"/>
      <c r="AE32" s="173"/>
      <c r="AF32" s="198">
        <v>7</v>
      </c>
      <c r="AG32" s="173"/>
      <c r="AH32" s="173"/>
      <c r="AI32" s="173"/>
      <c r="AJ32" s="199"/>
    </row>
    <row r="33" spans="1:42" ht="10.5" customHeight="1" outlineLevel="3" x14ac:dyDescent="0.25">
      <c r="A33" s="421" t="s">
        <v>218</v>
      </c>
      <c r="B33" s="422"/>
      <c r="C33" s="385" t="s">
        <v>446</v>
      </c>
      <c r="D33" s="392" t="s">
        <v>436</v>
      </c>
      <c r="E33" s="196"/>
      <c r="F33" s="173"/>
      <c r="G33" s="173"/>
      <c r="H33" s="173"/>
      <c r="I33" s="173"/>
      <c r="J33" s="197">
        <v>5</v>
      </c>
      <c r="K33" s="197">
        <v>4</v>
      </c>
      <c r="L33" s="198">
        <v>4</v>
      </c>
      <c r="M33" s="198">
        <v>4</v>
      </c>
      <c r="N33" s="173"/>
      <c r="O33" s="173"/>
      <c r="P33" s="173"/>
      <c r="Q33" s="198">
        <v>2</v>
      </c>
      <c r="R33" s="173"/>
      <c r="S33" s="173"/>
      <c r="T33" s="173"/>
      <c r="U33" s="173"/>
      <c r="V33" s="198">
        <v>4</v>
      </c>
      <c r="W33" s="173"/>
      <c r="X33" s="173"/>
      <c r="Y33" s="197">
        <v>4</v>
      </c>
      <c r="Z33" s="173"/>
      <c r="AA33" s="173"/>
      <c r="AB33" s="173"/>
      <c r="AC33" s="173"/>
      <c r="AD33" s="173"/>
      <c r="AE33" s="173"/>
      <c r="AF33" s="198">
        <v>5</v>
      </c>
      <c r="AG33" s="198">
        <v>5</v>
      </c>
      <c r="AH33" s="173"/>
      <c r="AI33" s="173"/>
      <c r="AJ33" s="199"/>
    </row>
    <row r="34" spans="1:42" ht="10.5" customHeight="1" outlineLevel="3" x14ac:dyDescent="0.25">
      <c r="A34" s="421" t="s">
        <v>219</v>
      </c>
      <c r="B34" s="422"/>
      <c r="C34" s="385" t="s">
        <v>447</v>
      </c>
      <c r="D34" s="392" t="s">
        <v>436</v>
      </c>
      <c r="E34" s="196"/>
      <c r="F34" s="173"/>
      <c r="G34" s="173"/>
      <c r="H34" s="173"/>
      <c r="I34" s="173"/>
      <c r="J34" s="173"/>
      <c r="K34" s="173"/>
      <c r="L34" s="173"/>
      <c r="M34" s="173"/>
      <c r="N34" s="173"/>
      <c r="O34" s="173"/>
      <c r="P34" s="197">
        <v>5</v>
      </c>
      <c r="Q34" s="198">
        <v>4</v>
      </c>
      <c r="R34" s="198">
        <v>4</v>
      </c>
      <c r="S34" s="173"/>
      <c r="T34" s="198">
        <v>4</v>
      </c>
      <c r="U34" s="173"/>
      <c r="V34" s="198">
        <v>4</v>
      </c>
      <c r="W34" s="173"/>
      <c r="X34" s="173"/>
      <c r="Y34" s="201"/>
      <c r="Z34" s="173"/>
      <c r="AA34" s="173"/>
      <c r="AB34" s="173"/>
      <c r="AC34" s="173"/>
      <c r="AD34" s="173"/>
      <c r="AE34" s="173"/>
      <c r="AF34" s="173"/>
      <c r="AG34" s="198">
        <v>5</v>
      </c>
      <c r="AH34" s="173"/>
      <c r="AI34" s="173"/>
      <c r="AJ34" s="199"/>
    </row>
    <row r="35" spans="1:42" ht="10.5" customHeight="1" outlineLevel="3" x14ac:dyDescent="0.25">
      <c r="A35" s="421" t="s">
        <v>220</v>
      </c>
      <c r="B35" s="422"/>
      <c r="C35" s="385" t="s">
        <v>448</v>
      </c>
      <c r="D35" s="392" t="s">
        <v>438</v>
      </c>
      <c r="E35" s="196"/>
      <c r="F35" s="173"/>
      <c r="G35" s="173"/>
      <c r="H35" s="173"/>
      <c r="I35" s="173"/>
      <c r="J35" s="173"/>
      <c r="K35" s="173"/>
      <c r="L35" s="173"/>
      <c r="M35" s="173"/>
      <c r="N35" s="173"/>
      <c r="O35" s="173"/>
      <c r="P35" s="197">
        <v>5</v>
      </c>
      <c r="Q35" s="197">
        <v>4</v>
      </c>
      <c r="R35" s="198">
        <v>4</v>
      </c>
      <c r="S35" s="173"/>
      <c r="T35" s="198">
        <v>4</v>
      </c>
      <c r="U35" s="173"/>
      <c r="V35" s="198">
        <v>4</v>
      </c>
      <c r="W35" s="173"/>
      <c r="X35" s="173"/>
      <c r="Y35" s="201"/>
      <c r="Z35" s="173"/>
      <c r="AA35" s="173"/>
      <c r="AB35" s="173"/>
      <c r="AC35" s="173"/>
      <c r="AD35" s="173"/>
      <c r="AE35" s="173"/>
      <c r="AF35" s="173"/>
      <c r="AG35" s="198">
        <v>5</v>
      </c>
      <c r="AH35" s="173"/>
      <c r="AI35" s="173"/>
      <c r="AJ35" s="199"/>
    </row>
    <row r="36" spans="1:42" ht="10.5" customHeight="1" outlineLevel="3" x14ac:dyDescent="0.25">
      <c r="A36" s="421" t="s">
        <v>221</v>
      </c>
      <c r="B36" s="422"/>
      <c r="C36" s="200" t="s">
        <v>449</v>
      </c>
      <c r="D36" s="392" t="s">
        <v>436</v>
      </c>
      <c r="E36" s="200"/>
      <c r="F36" s="201"/>
      <c r="G36" s="201"/>
      <c r="H36" s="201"/>
      <c r="I36" s="201"/>
      <c r="J36" s="201"/>
      <c r="K36" s="201"/>
      <c r="L36" s="201"/>
      <c r="M36" s="201"/>
      <c r="N36" s="201"/>
      <c r="O36" s="201"/>
      <c r="P36" s="201"/>
      <c r="Q36" s="201"/>
      <c r="R36" s="201"/>
      <c r="S36" s="201"/>
      <c r="T36" s="201"/>
      <c r="U36" s="201"/>
      <c r="V36" s="201"/>
      <c r="W36" s="201"/>
      <c r="X36" s="201"/>
      <c r="Y36" s="201"/>
      <c r="Z36" s="201"/>
      <c r="AA36" s="197">
        <v>4</v>
      </c>
      <c r="AB36" s="198">
        <v>4</v>
      </c>
      <c r="AC36" s="198">
        <v>4</v>
      </c>
      <c r="AD36" s="201"/>
      <c r="AE36" s="201"/>
      <c r="AF36" s="201"/>
      <c r="AG36" s="201"/>
      <c r="AH36" s="201"/>
      <c r="AI36" s="201"/>
      <c r="AJ36" s="199"/>
    </row>
    <row r="37" spans="1:42" ht="10.5" customHeight="1" outlineLevel="3" thickBot="1" x14ac:dyDescent="0.3">
      <c r="A37" s="427" t="s">
        <v>450</v>
      </c>
      <c r="B37" s="428"/>
      <c r="C37" s="386" t="s">
        <v>451</v>
      </c>
      <c r="D37" s="392" t="s">
        <v>436</v>
      </c>
      <c r="E37" s="202"/>
      <c r="F37" s="179"/>
      <c r="G37" s="179"/>
      <c r="H37" s="179"/>
      <c r="I37" s="179"/>
      <c r="J37" s="198">
        <v>5</v>
      </c>
      <c r="K37" s="198">
        <v>4</v>
      </c>
      <c r="L37" s="179"/>
      <c r="M37" s="179"/>
      <c r="N37" s="179"/>
      <c r="O37" s="179"/>
      <c r="P37" s="179"/>
      <c r="Q37" s="198">
        <v>4</v>
      </c>
      <c r="R37" s="179"/>
      <c r="S37" s="198">
        <v>4</v>
      </c>
      <c r="T37" s="179"/>
      <c r="U37" s="179"/>
      <c r="V37" s="198">
        <v>2</v>
      </c>
      <c r="W37" s="179"/>
      <c r="X37" s="179"/>
      <c r="Y37" s="198">
        <v>4</v>
      </c>
      <c r="Z37" s="179"/>
      <c r="AA37" s="179"/>
      <c r="AB37" s="179"/>
      <c r="AC37" s="179"/>
      <c r="AD37" s="179"/>
      <c r="AE37" s="179"/>
      <c r="AF37" s="179"/>
      <c r="AG37" s="179"/>
      <c r="AH37" s="179"/>
      <c r="AI37" s="179"/>
      <c r="AJ37" s="203"/>
    </row>
    <row r="38" spans="1:42" ht="12" customHeight="1" outlineLevel="3" x14ac:dyDescent="0.25">
      <c r="A38" s="429" t="s">
        <v>222</v>
      </c>
      <c r="B38" s="430"/>
      <c r="C38" s="204"/>
      <c r="D38" s="204"/>
      <c r="E38" s="204"/>
      <c r="F38" s="197"/>
      <c r="G38" s="197"/>
      <c r="H38" s="197"/>
      <c r="I38" s="197"/>
      <c r="J38" s="197">
        <f t="shared" ref="J38:AI38" si="1">ColorFunction($A$38,J22:J37,TRUE)</f>
        <v>25</v>
      </c>
      <c r="K38" s="197">
        <f>ColorFunction($A$38,K22:K37,TRUE)</f>
        <v>12</v>
      </c>
      <c r="L38" s="197">
        <f t="shared" si="1"/>
        <v>8</v>
      </c>
      <c r="M38" s="197">
        <f t="shared" si="1"/>
        <v>8</v>
      </c>
      <c r="N38" s="197">
        <f t="shared" si="1"/>
        <v>0</v>
      </c>
      <c r="O38" s="197">
        <f t="shared" si="1"/>
        <v>0</v>
      </c>
      <c r="P38" s="197">
        <f t="shared" si="1"/>
        <v>15</v>
      </c>
      <c r="Q38" s="197">
        <f t="shared" si="1"/>
        <v>16</v>
      </c>
      <c r="R38" s="197">
        <f t="shared" si="1"/>
        <v>4</v>
      </c>
      <c r="S38" s="197">
        <f t="shared" si="1"/>
        <v>4</v>
      </c>
      <c r="T38" s="197">
        <f t="shared" si="1"/>
        <v>8</v>
      </c>
      <c r="U38" s="197">
        <f t="shared" si="1"/>
        <v>0</v>
      </c>
      <c r="V38" s="197">
        <f t="shared" si="1"/>
        <v>4</v>
      </c>
      <c r="W38" s="197">
        <f t="shared" si="1"/>
        <v>0</v>
      </c>
      <c r="X38" s="197">
        <f t="shared" si="1"/>
        <v>0</v>
      </c>
      <c r="Y38" s="197">
        <f t="shared" si="1"/>
        <v>16</v>
      </c>
      <c r="Z38" s="197">
        <f t="shared" si="1"/>
        <v>0</v>
      </c>
      <c r="AA38" s="197">
        <f t="shared" si="1"/>
        <v>8</v>
      </c>
      <c r="AB38" s="197">
        <f t="shared" si="1"/>
        <v>0</v>
      </c>
      <c r="AC38" s="197">
        <f t="shared" si="1"/>
        <v>0</v>
      </c>
      <c r="AD38" s="197">
        <f t="shared" si="1"/>
        <v>0</v>
      </c>
      <c r="AE38" s="197">
        <f t="shared" si="1"/>
        <v>0</v>
      </c>
      <c r="AF38" s="197">
        <f t="shared" si="1"/>
        <v>21</v>
      </c>
      <c r="AG38" s="197">
        <f t="shared" si="1"/>
        <v>15</v>
      </c>
      <c r="AH38" s="197">
        <f t="shared" si="1"/>
        <v>0</v>
      </c>
      <c r="AI38" s="197">
        <f t="shared" si="1"/>
        <v>5</v>
      </c>
      <c r="AJ38" s="199">
        <f>SUM(F38:AI38)</f>
        <v>169</v>
      </c>
    </row>
    <row r="39" spans="1:42" ht="12" customHeight="1" outlineLevel="3" thickBot="1" x14ac:dyDescent="0.3">
      <c r="A39" s="431" t="s">
        <v>223</v>
      </c>
      <c r="B39" s="432"/>
      <c r="C39" s="205"/>
      <c r="D39" s="205"/>
      <c r="E39" s="205"/>
      <c r="F39" s="198"/>
      <c r="G39" s="198"/>
      <c r="H39" s="198"/>
      <c r="I39" s="198"/>
      <c r="J39" s="198">
        <f>ColorFunction($A$39,J22:J37,TRUE)</f>
        <v>10</v>
      </c>
      <c r="K39" s="198">
        <f t="shared" ref="K39:AI39" si="2">ColorFunction($A$39,K22:K37,TRUE)</f>
        <v>12</v>
      </c>
      <c r="L39" s="198">
        <f t="shared" si="2"/>
        <v>16</v>
      </c>
      <c r="M39" s="198">
        <f t="shared" si="2"/>
        <v>8</v>
      </c>
      <c r="N39" s="198">
        <f t="shared" si="2"/>
        <v>0</v>
      </c>
      <c r="O39" s="198">
        <f t="shared" si="2"/>
        <v>0</v>
      </c>
      <c r="P39" s="198">
        <f t="shared" si="2"/>
        <v>0</v>
      </c>
      <c r="Q39" s="198">
        <f t="shared" si="2"/>
        <v>20</v>
      </c>
      <c r="R39" s="198">
        <f t="shared" si="2"/>
        <v>8</v>
      </c>
      <c r="S39" s="198">
        <f t="shared" si="2"/>
        <v>20</v>
      </c>
      <c r="T39" s="198">
        <f t="shared" si="2"/>
        <v>12</v>
      </c>
      <c r="U39" s="198">
        <f t="shared" si="2"/>
        <v>0</v>
      </c>
      <c r="V39" s="198">
        <f t="shared" si="2"/>
        <v>34</v>
      </c>
      <c r="W39" s="198">
        <f t="shared" si="2"/>
        <v>0</v>
      </c>
      <c r="X39" s="198">
        <f t="shared" si="2"/>
        <v>0</v>
      </c>
      <c r="Y39" s="198">
        <f t="shared" si="2"/>
        <v>12</v>
      </c>
      <c r="Z39" s="198">
        <f t="shared" si="2"/>
        <v>0</v>
      </c>
      <c r="AA39" s="198">
        <f t="shared" si="2"/>
        <v>0</v>
      </c>
      <c r="AB39" s="198">
        <f t="shared" si="2"/>
        <v>8</v>
      </c>
      <c r="AC39" s="198">
        <f t="shared" si="2"/>
        <v>8</v>
      </c>
      <c r="AD39" s="198">
        <f t="shared" si="2"/>
        <v>0</v>
      </c>
      <c r="AE39" s="198">
        <f t="shared" si="2"/>
        <v>0</v>
      </c>
      <c r="AF39" s="198">
        <f t="shared" si="2"/>
        <v>45</v>
      </c>
      <c r="AG39" s="198">
        <f t="shared" si="2"/>
        <v>20</v>
      </c>
      <c r="AH39" s="198">
        <f t="shared" si="2"/>
        <v>0</v>
      </c>
      <c r="AI39" s="198">
        <f t="shared" si="2"/>
        <v>0</v>
      </c>
      <c r="AJ39" s="199">
        <f>SUM(F39:AI39)</f>
        <v>233</v>
      </c>
    </row>
    <row r="40" spans="1:42" ht="8.25" customHeight="1" outlineLevel="2" x14ac:dyDescent="0.25">
      <c r="A40" s="413"/>
      <c r="B40" s="414"/>
      <c r="C40" s="165"/>
      <c r="D40" s="165"/>
      <c r="E40" s="165"/>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7"/>
      <c r="AJ40" s="167"/>
    </row>
    <row r="41" spans="1:42" ht="12" customHeight="1" x14ac:dyDescent="0.25"/>
    <row r="42" spans="1:42" ht="3.95" customHeight="1" x14ac:dyDescent="0.25"/>
    <row r="43" spans="1:42" x14ac:dyDescent="0.25">
      <c r="A43" s="433" t="s">
        <v>224</v>
      </c>
      <c r="B43" s="433"/>
      <c r="C43" s="388"/>
      <c r="D43" s="388"/>
      <c r="E43" s="206"/>
      <c r="F43" s="189" t="s">
        <v>203</v>
      </c>
      <c r="G43" s="189" t="s">
        <v>204</v>
      </c>
      <c r="H43" s="189" t="s">
        <v>212</v>
      </c>
      <c r="I43" s="189" t="s">
        <v>206</v>
      </c>
      <c r="J43" s="189" t="s">
        <v>205</v>
      </c>
      <c r="K43" s="189" t="s">
        <v>207</v>
      </c>
      <c r="M43" s="172" t="s">
        <v>189</v>
      </c>
      <c r="N43" s="172" t="s">
        <v>190</v>
      </c>
      <c r="O43" s="172" t="s">
        <v>191</v>
      </c>
      <c r="P43" s="172" t="s">
        <v>192</v>
      </c>
      <c r="Q43" s="172" t="s">
        <v>194</v>
      </c>
      <c r="R43" s="172" t="s">
        <v>193</v>
      </c>
      <c r="S43" s="172" t="s">
        <v>225</v>
      </c>
      <c r="U43" s="174" t="s">
        <v>195</v>
      </c>
      <c r="V43" s="174" t="s">
        <v>196</v>
      </c>
      <c r="W43" s="174" t="s">
        <v>226</v>
      </c>
      <c r="X43" s="175" t="s">
        <v>197</v>
      </c>
      <c r="Y43" s="207" t="s">
        <v>227</v>
      </c>
    </row>
    <row r="44" spans="1:42" ht="3.95" customHeight="1" x14ac:dyDescent="0.25"/>
    <row r="45" spans="1:42" ht="15.75" thickBot="1" x14ac:dyDescent="0.3"/>
    <row r="46" spans="1:42" ht="12" customHeight="1" thickTop="1" thickBot="1" x14ac:dyDescent="0.3">
      <c r="AM46" s="425" t="s">
        <v>228</v>
      </c>
      <c r="AN46" s="426"/>
      <c r="AO46" s="208" t="s">
        <v>189</v>
      </c>
      <c r="AP46" s="209" t="s">
        <v>229</v>
      </c>
    </row>
    <row r="47" spans="1:42" ht="12" customHeight="1" thickTop="1" thickBot="1" x14ac:dyDescent="0.3">
      <c r="AM47" s="210" t="s">
        <v>203</v>
      </c>
      <c r="AN47" s="209" t="s">
        <v>230</v>
      </c>
      <c r="AO47" s="208" t="s">
        <v>231</v>
      </c>
      <c r="AP47" s="209" t="s">
        <v>232</v>
      </c>
    </row>
    <row r="48" spans="1:42" ht="12" customHeight="1" thickTop="1" thickBot="1" x14ac:dyDescent="0.3">
      <c r="AM48" s="210" t="s">
        <v>204</v>
      </c>
      <c r="AN48" s="209" t="s">
        <v>233</v>
      </c>
      <c r="AO48" s="208" t="s">
        <v>194</v>
      </c>
      <c r="AP48" s="209" t="s">
        <v>234</v>
      </c>
    </row>
    <row r="49" spans="39:42" ht="12" customHeight="1" thickTop="1" thickBot="1" x14ac:dyDescent="0.3">
      <c r="AM49" s="210" t="s">
        <v>212</v>
      </c>
      <c r="AN49" s="209" t="s">
        <v>235</v>
      </c>
      <c r="AO49" s="208" t="s">
        <v>193</v>
      </c>
      <c r="AP49" s="209" t="s">
        <v>236</v>
      </c>
    </row>
    <row r="50" spans="39:42" ht="12" customHeight="1" thickTop="1" thickBot="1" x14ac:dyDescent="0.3">
      <c r="AM50" s="210" t="s">
        <v>206</v>
      </c>
      <c r="AN50" s="209" t="s">
        <v>237</v>
      </c>
      <c r="AO50" s="208" t="s">
        <v>225</v>
      </c>
      <c r="AP50" s="209" t="s">
        <v>238</v>
      </c>
    </row>
    <row r="51" spans="39:42" ht="12" customHeight="1" thickTop="1" thickBot="1" x14ac:dyDescent="0.3">
      <c r="AM51" s="210" t="s">
        <v>205</v>
      </c>
      <c r="AN51" s="209" t="s">
        <v>239</v>
      </c>
      <c r="AO51" s="211" t="s">
        <v>195</v>
      </c>
      <c r="AP51" s="209" t="s">
        <v>240</v>
      </c>
    </row>
    <row r="52" spans="39:42" ht="12" customHeight="1" thickTop="1" thickBot="1" x14ac:dyDescent="0.3">
      <c r="AM52" s="210" t="s">
        <v>207</v>
      </c>
      <c r="AN52" s="209" t="s">
        <v>241</v>
      </c>
      <c r="AO52" s="211" t="s">
        <v>226</v>
      </c>
      <c r="AP52" s="209" t="s">
        <v>242</v>
      </c>
    </row>
    <row r="53" spans="39:42" ht="12" customHeight="1" thickTop="1" thickBot="1" x14ac:dyDescent="0.3">
      <c r="AO53" s="211" t="s">
        <v>196</v>
      </c>
      <c r="AP53" s="209" t="s">
        <v>243</v>
      </c>
    </row>
    <row r="54" spans="39:42" ht="12" customHeight="1" thickTop="1" thickBot="1" x14ac:dyDescent="0.3">
      <c r="AM54" s="212" t="s">
        <v>227</v>
      </c>
      <c r="AN54" s="209" t="s">
        <v>244</v>
      </c>
      <c r="AO54" s="213" t="s">
        <v>197</v>
      </c>
      <c r="AP54" s="209" t="s">
        <v>245</v>
      </c>
    </row>
    <row r="55" spans="39:42" ht="15.75" thickTop="1" x14ac:dyDescent="0.25"/>
  </sheetData>
  <mergeCells count="41">
    <mergeCell ref="A26:B26"/>
    <mergeCell ref="A31:B31"/>
    <mergeCell ref="A32:B32"/>
    <mergeCell ref="A33:B33"/>
    <mergeCell ref="A36:B36"/>
    <mergeCell ref="AM46:AN46"/>
    <mergeCell ref="A27:B27"/>
    <mergeCell ref="A28:B28"/>
    <mergeCell ref="A29:B29"/>
    <mergeCell ref="A30:B30"/>
    <mergeCell ref="A34:B34"/>
    <mergeCell ref="A35:B35"/>
    <mergeCell ref="A37:B37"/>
    <mergeCell ref="A38:B38"/>
    <mergeCell ref="A39:B39"/>
    <mergeCell ref="A40:B40"/>
    <mergeCell ref="A43:B43"/>
    <mergeCell ref="A25:B25"/>
    <mergeCell ref="A13:B13"/>
    <mergeCell ref="A14:B14"/>
    <mergeCell ref="A15:B15"/>
    <mergeCell ref="A16:B16"/>
    <mergeCell ref="A17:B17"/>
    <mergeCell ref="A18:B18"/>
    <mergeCell ref="A19:B19"/>
    <mergeCell ref="A20:B20"/>
    <mergeCell ref="A21:B21"/>
    <mergeCell ref="A22:B22"/>
    <mergeCell ref="A23:B23"/>
    <mergeCell ref="A12:B12"/>
    <mergeCell ref="A1:B2"/>
    <mergeCell ref="AJ1:AJ2"/>
    <mergeCell ref="A3:B3"/>
    <mergeCell ref="A4:B4"/>
    <mergeCell ref="A5:B5"/>
    <mergeCell ref="A6:B6"/>
    <mergeCell ref="A7:B7"/>
    <mergeCell ref="A8:B8"/>
    <mergeCell ref="A9:B9"/>
    <mergeCell ref="A10:B10"/>
    <mergeCell ref="A11:B11"/>
  </mergeCells>
  <dataValidations count="1">
    <dataValidation type="list" allowBlank="1" showInputMessage="1" showErrorMessage="1" sqref="D22:D37">
      <formula1>listServiceTeamName</formula1>
    </dataValidation>
  </dataValidations>
  <pageMargins left="0.7" right="0.7" top="0.75" bottom="0.75" header="0.3" footer="0.3"/>
  <pageSetup orientation="portrait" horizont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R1000"/>
  <sheetViews>
    <sheetView workbookViewId="0">
      <selection activeCell="C11" sqref="C11"/>
    </sheetView>
  </sheetViews>
  <sheetFormatPr defaultRowHeight="15" x14ac:dyDescent="0.25"/>
  <cols>
    <col min="2" max="2" width="20.7109375" bestFit="1" customWidth="1"/>
    <col min="3" max="3" width="30.28515625" bestFit="1" customWidth="1"/>
  </cols>
  <sheetData>
    <row r="1" spans="2:18" ht="15.75" thickBot="1" x14ac:dyDescent="0.3"/>
    <row r="2" spans="2:18" ht="15.75" thickBot="1" x14ac:dyDescent="0.3">
      <c r="B2" s="399" t="s">
        <v>433</v>
      </c>
      <c r="C2" s="400"/>
      <c r="D2" s="400"/>
      <c r="E2" s="400"/>
      <c r="F2" s="400"/>
      <c r="G2" s="400"/>
      <c r="H2" s="400"/>
      <c r="I2" s="400"/>
      <c r="J2" s="400"/>
      <c r="K2" s="400"/>
      <c r="L2" s="400"/>
      <c r="M2" s="400"/>
      <c r="N2" s="400"/>
      <c r="O2" s="400"/>
      <c r="P2" s="400"/>
      <c r="Q2" s="400"/>
      <c r="R2" s="401"/>
    </row>
    <row r="3" spans="2:18" x14ac:dyDescent="0.25">
      <c r="B3" s="394"/>
      <c r="C3" s="230"/>
      <c r="D3" s="230"/>
      <c r="E3" s="230"/>
      <c r="F3" s="230"/>
      <c r="G3" s="230"/>
      <c r="H3" s="230"/>
      <c r="I3" s="230"/>
      <c r="J3" s="230"/>
      <c r="K3" s="230"/>
      <c r="L3" s="230"/>
      <c r="M3" s="230"/>
      <c r="N3" s="230"/>
      <c r="O3" s="230"/>
      <c r="P3" s="230"/>
      <c r="Q3" s="230"/>
      <c r="R3" s="395"/>
    </row>
    <row r="4" spans="2:18" x14ac:dyDescent="0.25">
      <c r="B4" s="394" t="s">
        <v>435</v>
      </c>
      <c r="C4" s="230" t="s">
        <v>434</v>
      </c>
      <c r="D4" s="230"/>
      <c r="E4" s="230"/>
      <c r="F4" s="230"/>
      <c r="G4" s="230"/>
      <c r="H4" s="230"/>
      <c r="I4" s="230"/>
      <c r="J4" s="230"/>
      <c r="K4" s="230"/>
      <c r="L4" s="230"/>
      <c r="M4" s="230"/>
      <c r="N4" s="230"/>
      <c r="O4" s="230"/>
      <c r="P4" s="230"/>
      <c r="Q4" s="230"/>
      <c r="R4" s="395"/>
    </row>
    <row r="5" spans="2:18" x14ac:dyDescent="0.25">
      <c r="B5" s="394">
        <v>4183128</v>
      </c>
      <c r="C5" s="230" t="s">
        <v>436</v>
      </c>
      <c r="D5" s="230"/>
      <c r="E5" s="230"/>
      <c r="F5" s="230"/>
      <c r="G5" s="230"/>
      <c r="H5" s="230"/>
      <c r="I5" s="230"/>
      <c r="J5" s="230"/>
      <c r="K5" s="230"/>
      <c r="L5" s="230"/>
      <c r="M5" s="230"/>
      <c r="N5" s="230"/>
      <c r="O5" s="230"/>
      <c r="P5" s="230"/>
      <c r="Q5" s="230"/>
      <c r="R5" s="395"/>
    </row>
    <row r="6" spans="2:18" x14ac:dyDescent="0.25">
      <c r="B6" s="394">
        <v>12816165</v>
      </c>
      <c r="C6" s="230" t="s">
        <v>437</v>
      </c>
      <c r="D6" s="230"/>
      <c r="E6" s="230"/>
      <c r="F6" s="230"/>
      <c r="G6" s="230"/>
      <c r="H6" s="230"/>
      <c r="I6" s="230"/>
      <c r="J6" s="230"/>
      <c r="K6" s="230"/>
      <c r="L6" s="230"/>
      <c r="M6" s="230"/>
      <c r="N6" s="230"/>
      <c r="O6" s="230"/>
      <c r="P6" s="230"/>
      <c r="Q6" s="230"/>
      <c r="R6" s="395"/>
    </row>
    <row r="7" spans="2:18" x14ac:dyDescent="0.25">
      <c r="B7" s="394">
        <v>4258806</v>
      </c>
      <c r="C7" s="402" t="s">
        <v>438</v>
      </c>
      <c r="D7" s="230"/>
      <c r="E7" s="230"/>
      <c r="F7" s="230"/>
      <c r="G7" s="230"/>
      <c r="H7" s="230"/>
      <c r="I7" s="230"/>
      <c r="J7" s="230"/>
      <c r="K7" s="230"/>
      <c r="L7" s="230"/>
      <c r="M7" s="230"/>
      <c r="N7" s="230"/>
      <c r="O7" s="230"/>
      <c r="P7" s="230"/>
      <c r="Q7" s="230"/>
      <c r="R7" s="395"/>
    </row>
    <row r="8" spans="2:18" x14ac:dyDescent="0.25">
      <c r="B8" s="394"/>
      <c r="C8" s="230"/>
      <c r="D8" s="230"/>
      <c r="E8" s="230"/>
      <c r="F8" s="230"/>
      <c r="G8" s="230"/>
      <c r="H8" s="230"/>
      <c r="I8" s="230"/>
      <c r="J8" s="230"/>
      <c r="K8" s="230"/>
      <c r="L8" s="230"/>
      <c r="M8" s="230"/>
      <c r="N8" s="230"/>
      <c r="O8" s="230"/>
      <c r="P8" s="230"/>
      <c r="Q8" s="230"/>
      <c r="R8" s="395"/>
    </row>
    <row r="9" spans="2:18" x14ac:dyDescent="0.25">
      <c r="B9" s="394"/>
      <c r="C9" s="230"/>
      <c r="D9" s="230"/>
      <c r="E9" s="230"/>
      <c r="F9" s="230"/>
      <c r="G9" s="230"/>
      <c r="H9" s="230"/>
      <c r="I9" s="230"/>
      <c r="J9" s="230"/>
      <c r="K9" s="230"/>
      <c r="L9" s="230"/>
      <c r="M9" s="230"/>
      <c r="N9" s="230"/>
      <c r="O9" s="230"/>
      <c r="P9" s="230"/>
      <c r="Q9" s="230"/>
      <c r="R9" s="395"/>
    </row>
    <row r="10" spans="2:18" x14ac:dyDescent="0.25">
      <c r="B10" s="394"/>
      <c r="C10" s="230"/>
      <c r="D10" s="230"/>
      <c r="E10" s="230"/>
      <c r="F10" s="230"/>
      <c r="G10" s="230"/>
      <c r="H10" s="230"/>
      <c r="I10" s="230"/>
      <c r="J10" s="230"/>
      <c r="K10" s="230"/>
      <c r="L10" s="230"/>
      <c r="M10" s="230"/>
      <c r="N10" s="230"/>
      <c r="O10" s="230"/>
      <c r="P10" s="230"/>
      <c r="Q10" s="230"/>
      <c r="R10" s="395"/>
    </row>
    <row r="11" spans="2:18" x14ac:dyDescent="0.25">
      <c r="B11" s="394"/>
      <c r="C11" s="230"/>
      <c r="D11" s="230"/>
      <c r="E11" s="230"/>
      <c r="F11" s="230"/>
      <c r="G11" s="230"/>
      <c r="H11" s="230"/>
      <c r="I11" s="230"/>
      <c r="J11" s="230"/>
      <c r="K11" s="230"/>
      <c r="L11" s="230"/>
      <c r="M11" s="230"/>
      <c r="N11" s="230"/>
      <c r="O11" s="230"/>
      <c r="P11" s="230"/>
      <c r="Q11" s="230"/>
      <c r="R11" s="395"/>
    </row>
    <row r="12" spans="2:18" x14ac:dyDescent="0.25">
      <c r="B12" s="394"/>
      <c r="C12" s="230"/>
      <c r="D12" s="230"/>
      <c r="E12" s="230"/>
      <c r="F12" s="230"/>
      <c r="G12" s="230"/>
      <c r="H12" s="230"/>
      <c r="I12" s="230"/>
      <c r="J12" s="230"/>
      <c r="K12" s="230"/>
      <c r="L12" s="230"/>
      <c r="M12" s="230"/>
      <c r="N12" s="230"/>
      <c r="O12" s="230"/>
      <c r="P12" s="230"/>
      <c r="Q12" s="230"/>
      <c r="R12" s="395"/>
    </row>
    <row r="13" spans="2:18" x14ac:dyDescent="0.25">
      <c r="B13" s="394"/>
      <c r="C13" s="230"/>
      <c r="D13" s="230"/>
      <c r="E13" s="230"/>
      <c r="F13" s="230"/>
      <c r="G13" s="230"/>
      <c r="H13" s="230"/>
      <c r="I13" s="230"/>
      <c r="J13" s="230"/>
      <c r="K13" s="230"/>
      <c r="L13" s="230"/>
      <c r="M13" s="230"/>
      <c r="N13" s="230"/>
      <c r="O13" s="230"/>
      <c r="P13" s="230"/>
      <c r="Q13" s="230"/>
      <c r="R13" s="395"/>
    </row>
    <row r="14" spans="2:18" x14ac:dyDescent="0.25">
      <c r="B14" s="394"/>
      <c r="C14" s="230"/>
      <c r="D14" s="230"/>
      <c r="E14" s="230"/>
      <c r="F14" s="230"/>
      <c r="G14" s="230"/>
      <c r="H14" s="230"/>
      <c r="I14" s="230"/>
      <c r="J14" s="230"/>
      <c r="K14" s="230"/>
      <c r="L14" s="230"/>
      <c r="M14" s="230"/>
      <c r="N14" s="230"/>
      <c r="O14" s="230"/>
      <c r="P14" s="230"/>
      <c r="Q14" s="230"/>
      <c r="R14" s="395"/>
    </row>
    <row r="15" spans="2:18" x14ac:dyDescent="0.25">
      <c r="B15" s="394"/>
      <c r="C15" s="230"/>
      <c r="D15" s="230"/>
      <c r="E15" s="230"/>
      <c r="F15" s="230"/>
      <c r="G15" s="230"/>
      <c r="H15" s="230"/>
      <c r="I15" s="230"/>
      <c r="J15" s="230"/>
      <c r="K15" s="230"/>
      <c r="L15" s="230"/>
      <c r="M15" s="230"/>
      <c r="N15" s="230"/>
      <c r="O15" s="230"/>
      <c r="P15" s="230"/>
      <c r="Q15" s="230"/>
      <c r="R15" s="395"/>
    </row>
    <row r="16" spans="2:18" x14ac:dyDescent="0.25">
      <c r="B16" s="394"/>
      <c r="C16" s="230"/>
      <c r="D16" s="230"/>
      <c r="E16" s="230"/>
      <c r="F16" s="230"/>
      <c r="G16" s="230"/>
      <c r="H16" s="230"/>
      <c r="I16" s="230"/>
      <c r="J16" s="230"/>
      <c r="K16" s="230"/>
      <c r="L16" s="230"/>
      <c r="M16" s="230"/>
      <c r="N16" s="230"/>
      <c r="O16" s="230"/>
      <c r="P16" s="230"/>
      <c r="Q16" s="230"/>
      <c r="R16" s="395"/>
    </row>
    <row r="17" spans="2:18" x14ac:dyDescent="0.25">
      <c r="B17" s="394"/>
      <c r="C17" s="230"/>
      <c r="D17" s="230"/>
      <c r="E17" s="230"/>
      <c r="F17" s="230"/>
      <c r="G17" s="230"/>
      <c r="H17" s="230"/>
      <c r="I17" s="230"/>
      <c r="J17" s="230"/>
      <c r="K17" s="230"/>
      <c r="L17" s="230"/>
      <c r="M17" s="230"/>
      <c r="N17" s="230"/>
      <c r="O17" s="230"/>
      <c r="P17" s="230"/>
      <c r="Q17" s="230"/>
      <c r="R17" s="395"/>
    </row>
    <row r="18" spans="2:18" x14ac:dyDescent="0.25">
      <c r="B18" s="394"/>
      <c r="C18" s="230"/>
      <c r="D18" s="230"/>
      <c r="E18" s="230"/>
      <c r="F18" s="230"/>
      <c r="G18" s="230"/>
      <c r="H18" s="230"/>
      <c r="I18" s="230"/>
      <c r="J18" s="230"/>
      <c r="K18" s="230"/>
      <c r="L18" s="230"/>
      <c r="M18" s="230"/>
      <c r="N18" s="230"/>
      <c r="O18" s="230"/>
      <c r="P18" s="230"/>
      <c r="Q18" s="230"/>
      <c r="R18" s="395"/>
    </row>
    <row r="19" spans="2:18" x14ac:dyDescent="0.25">
      <c r="B19" s="394"/>
      <c r="C19" s="230"/>
      <c r="D19" s="230"/>
      <c r="E19" s="230"/>
      <c r="F19" s="230"/>
      <c r="G19" s="230"/>
      <c r="H19" s="230"/>
      <c r="I19" s="230"/>
      <c r="J19" s="230"/>
      <c r="K19" s="230"/>
      <c r="L19" s="230"/>
      <c r="M19" s="230"/>
      <c r="N19" s="230"/>
      <c r="O19" s="230"/>
      <c r="P19" s="230"/>
      <c r="Q19" s="230"/>
      <c r="R19" s="395"/>
    </row>
    <row r="20" spans="2:18" x14ac:dyDescent="0.25">
      <c r="B20" s="394"/>
      <c r="C20" s="230"/>
      <c r="D20" s="230"/>
      <c r="E20" s="230"/>
      <c r="F20" s="230"/>
      <c r="G20" s="230"/>
      <c r="H20" s="230"/>
      <c r="I20" s="230"/>
      <c r="J20" s="230"/>
      <c r="K20" s="230"/>
      <c r="L20" s="230"/>
      <c r="M20" s="230"/>
      <c r="N20" s="230"/>
      <c r="O20" s="230"/>
      <c r="P20" s="230"/>
      <c r="Q20" s="230"/>
      <c r="R20" s="395"/>
    </row>
    <row r="21" spans="2:18" x14ac:dyDescent="0.25">
      <c r="B21" s="394"/>
      <c r="C21" s="230"/>
      <c r="D21" s="230"/>
      <c r="E21" s="230"/>
      <c r="F21" s="230"/>
      <c r="G21" s="230"/>
      <c r="H21" s="230"/>
      <c r="I21" s="230"/>
      <c r="J21" s="230"/>
      <c r="K21" s="230"/>
      <c r="L21" s="230"/>
      <c r="M21" s="230"/>
      <c r="N21" s="230"/>
      <c r="O21" s="230"/>
      <c r="P21" s="230"/>
      <c r="Q21" s="230"/>
      <c r="R21" s="395"/>
    </row>
    <row r="22" spans="2:18" x14ac:dyDescent="0.25">
      <c r="B22" s="394"/>
      <c r="C22" s="230"/>
      <c r="D22" s="230"/>
      <c r="E22" s="230"/>
      <c r="F22" s="230"/>
      <c r="G22" s="230"/>
      <c r="H22" s="230"/>
      <c r="I22" s="230"/>
      <c r="J22" s="230"/>
      <c r="K22" s="230"/>
      <c r="L22" s="230"/>
      <c r="M22" s="230"/>
      <c r="N22" s="230"/>
      <c r="O22" s="230"/>
      <c r="P22" s="230"/>
      <c r="Q22" s="230"/>
      <c r="R22" s="395"/>
    </row>
    <row r="23" spans="2:18" x14ac:dyDescent="0.25">
      <c r="B23" s="394"/>
      <c r="C23" s="230"/>
      <c r="D23" s="230"/>
      <c r="E23" s="230"/>
      <c r="F23" s="230"/>
      <c r="G23" s="230"/>
      <c r="H23" s="230"/>
      <c r="I23" s="230"/>
      <c r="J23" s="230"/>
      <c r="K23" s="230"/>
      <c r="L23" s="230"/>
      <c r="M23" s="230"/>
      <c r="N23" s="230"/>
      <c r="O23" s="230"/>
      <c r="P23" s="230"/>
      <c r="Q23" s="230"/>
      <c r="R23" s="395"/>
    </row>
    <row r="24" spans="2:18" x14ac:dyDescent="0.25">
      <c r="B24" s="394"/>
      <c r="C24" s="230"/>
      <c r="D24" s="230"/>
      <c r="E24" s="230"/>
      <c r="F24" s="230"/>
      <c r="G24" s="230"/>
      <c r="H24" s="230"/>
      <c r="I24" s="230"/>
      <c r="J24" s="230"/>
      <c r="K24" s="230"/>
      <c r="L24" s="230"/>
      <c r="M24" s="230"/>
      <c r="N24" s="230"/>
      <c r="O24" s="230"/>
      <c r="P24" s="230"/>
      <c r="Q24" s="230"/>
      <c r="R24" s="395"/>
    </row>
    <row r="25" spans="2:18" x14ac:dyDescent="0.25">
      <c r="B25" s="394"/>
      <c r="C25" s="230"/>
      <c r="D25" s="230"/>
      <c r="E25" s="230"/>
      <c r="F25" s="230"/>
      <c r="G25" s="230"/>
      <c r="H25" s="230"/>
      <c r="I25" s="230"/>
      <c r="J25" s="230"/>
      <c r="K25" s="230"/>
      <c r="L25" s="230"/>
      <c r="M25" s="230"/>
      <c r="N25" s="230"/>
      <c r="O25" s="230"/>
      <c r="P25" s="230"/>
      <c r="Q25" s="230"/>
      <c r="R25" s="395"/>
    </row>
    <row r="26" spans="2:18" x14ac:dyDescent="0.25">
      <c r="B26" s="394"/>
      <c r="C26" s="230"/>
      <c r="D26" s="230"/>
      <c r="E26" s="230"/>
      <c r="F26" s="230"/>
      <c r="G26" s="230"/>
      <c r="H26" s="230"/>
      <c r="I26" s="230"/>
      <c r="J26" s="230"/>
      <c r="K26" s="230"/>
      <c r="L26" s="230"/>
      <c r="M26" s="230"/>
      <c r="N26" s="230"/>
      <c r="O26" s="230"/>
      <c r="P26" s="230"/>
      <c r="Q26" s="230"/>
      <c r="R26" s="395"/>
    </row>
    <row r="27" spans="2:18" x14ac:dyDescent="0.25">
      <c r="B27" s="394"/>
      <c r="C27" s="230"/>
      <c r="D27" s="230"/>
      <c r="E27" s="230"/>
      <c r="F27" s="230"/>
      <c r="G27" s="230"/>
      <c r="H27" s="230"/>
      <c r="I27" s="230"/>
      <c r="J27" s="230"/>
      <c r="K27" s="230"/>
      <c r="L27" s="230"/>
      <c r="M27" s="230"/>
      <c r="N27" s="230"/>
      <c r="O27" s="230"/>
      <c r="P27" s="230"/>
      <c r="Q27" s="230"/>
      <c r="R27" s="395"/>
    </row>
    <row r="28" spans="2:18" x14ac:dyDescent="0.25">
      <c r="B28" s="394"/>
      <c r="C28" s="230"/>
      <c r="D28" s="230"/>
      <c r="E28" s="230"/>
      <c r="F28" s="230"/>
      <c r="G28" s="230"/>
      <c r="H28" s="230"/>
      <c r="I28" s="230"/>
      <c r="J28" s="230"/>
      <c r="K28" s="230"/>
      <c r="L28" s="230"/>
      <c r="M28" s="230"/>
      <c r="N28" s="230"/>
      <c r="O28" s="230"/>
      <c r="P28" s="230"/>
      <c r="Q28" s="230"/>
      <c r="R28" s="395"/>
    </row>
    <row r="29" spans="2:18" x14ac:dyDescent="0.25">
      <c r="B29" s="394"/>
      <c r="C29" s="230"/>
      <c r="D29" s="230"/>
      <c r="E29" s="230"/>
      <c r="F29" s="230"/>
      <c r="G29" s="230"/>
      <c r="H29" s="230"/>
      <c r="I29" s="230"/>
      <c r="J29" s="230"/>
      <c r="K29" s="230"/>
      <c r="L29" s="230"/>
      <c r="M29" s="230"/>
      <c r="N29" s="230"/>
      <c r="O29" s="230"/>
      <c r="P29" s="230"/>
      <c r="Q29" s="230"/>
      <c r="R29" s="395"/>
    </row>
    <row r="30" spans="2:18" x14ac:dyDescent="0.25">
      <c r="B30" s="394"/>
      <c r="C30" s="230"/>
      <c r="D30" s="230"/>
      <c r="E30" s="230"/>
      <c r="F30" s="230"/>
      <c r="G30" s="230"/>
      <c r="H30" s="230"/>
      <c r="I30" s="230"/>
      <c r="J30" s="230"/>
      <c r="K30" s="230"/>
      <c r="L30" s="230"/>
      <c r="M30" s="230"/>
      <c r="N30" s="230"/>
      <c r="O30" s="230"/>
      <c r="P30" s="230"/>
      <c r="Q30" s="230"/>
      <c r="R30" s="395"/>
    </row>
    <row r="31" spans="2:18" x14ac:dyDescent="0.25">
      <c r="B31" s="394"/>
      <c r="C31" s="230"/>
      <c r="D31" s="230"/>
      <c r="E31" s="230"/>
      <c r="F31" s="230"/>
      <c r="G31" s="230"/>
      <c r="H31" s="230"/>
      <c r="I31" s="230"/>
      <c r="J31" s="230"/>
      <c r="K31" s="230"/>
      <c r="L31" s="230"/>
      <c r="M31" s="230"/>
      <c r="N31" s="230"/>
      <c r="O31" s="230"/>
      <c r="P31" s="230"/>
      <c r="Q31" s="230"/>
      <c r="R31" s="395"/>
    </row>
    <row r="32" spans="2:18" x14ac:dyDescent="0.25">
      <c r="B32" s="394"/>
      <c r="C32" s="230"/>
      <c r="D32" s="230"/>
      <c r="E32" s="230"/>
      <c r="F32" s="230"/>
      <c r="G32" s="230"/>
      <c r="H32" s="230"/>
      <c r="I32" s="230"/>
      <c r="J32" s="230"/>
      <c r="K32" s="230"/>
      <c r="L32" s="230"/>
      <c r="M32" s="230"/>
      <c r="N32" s="230"/>
      <c r="O32" s="230"/>
      <c r="P32" s="230"/>
      <c r="Q32" s="230"/>
      <c r="R32" s="395"/>
    </row>
    <row r="33" spans="2:18" x14ac:dyDescent="0.25">
      <c r="B33" s="394"/>
      <c r="C33" s="230"/>
      <c r="D33" s="230"/>
      <c r="E33" s="230"/>
      <c r="F33" s="230"/>
      <c r="G33" s="230"/>
      <c r="H33" s="230"/>
      <c r="I33" s="230"/>
      <c r="J33" s="230"/>
      <c r="K33" s="230"/>
      <c r="L33" s="230"/>
      <c r="M33" s="230"/>
      <c r="N33" s="230"/>
      <c r="O33" s="230"/>
      <c r="P33" s="230"/>
      <c r="Q33" s="230"/>
      <c r="R33" s="395"/>
    </row>
    <row r="34" spans="2:18" x14ac:dyDescent="0.25">
      <c r="B34" s="394"/>
      <c r="C34" s="230"/>
      <c r="D34" s="230"/>
      <c r="E34" s="230"/>
      <c r="F34" s="230"/>
      <c r="G34" s="230"/>
      <c r="H34" s="230"/>
      <c r="I34" s="230"/>
      <c r="J34" s="230"/>
      <c r="K34" s="230"/>
      <c r="L34" s="230"/>
      <c r="M34" s="230"/>
      <c r="N34" s="230"/>
      <c r="O34" s="230"/>
      <c r="P34" s="230"/>
      <c r="Q34" s="230"/>
      <c r="R34" s="395"/>
    </row>
    <row r="35" spans="2:18" x14ac:dyDescent="0.25">
      <c r="B35" s="394"/>
      <c r="C35" s="230"/>
      <c r="D35" s="230"/>
      <c r="E35" s="230"/>
      <c r="F35" s="230"/>
      <c r="G35" s="230"/>
      <c r="H35" s="230"/>
      <c r="I35" s="230"/>
      <c r="J35" s="230"/>
      <c r="K35" s="230"/>
      <c r="L35" s="230"/>
      <c r="M35" s="230"/>
      <c r="N35" s="230"/>
      <c r="O35" s="230"/>
      <c r="P35" s="230"/>
      <c r="Q35" s="230"/>
      <c r="R35" s="395"/>
    </row>
    <row r="36" spans="2:18" x14ac:dyDescent="0.25">
      <c r="B36" s="394"/>
      <c r="C36" s="230"/>
      <c r="D36" s="230"/>
      <c r="E36" s="230"/>
      <c r="F36" s="230"/>
      <c r="G36" s="230"/>
      <c r="H36" s="230"/>
      <c r="I36" s="230"/>
      <c r="J36" s="230"/>
      <c r="K36" s="230"/>
      <c r="L36" s="230"/>
      <c r="M36" s="230"/>
      <c r="N36" s="230"/>
      <c r="O36" s="230"/>
      <c r="P36" s="230"/>
      <c r="Q36" s="230"/>
      <c r="R36" s="395"/>
    </row>
    <row r="37" spans="2:18" x14ac:dyDescent="0.25">
      <c r="B37" s="394"/>
      <c r="C37" s="230"/>
      <c r="D37" s="230"/>
      <c r="E37" s="230"/>
      <c r="F37" s="230"/>
      <c r="G37" s="230"/>
      <c r="H37" s="230"/>
      <c r="I37" s="230"/>
      <c r="J37" s="230"/>
      <c r="K37" s="230"/>
      <c r="L37" s="230"/>
      <c r="M37" s="230"/>
      <c r="N37" s="230"/>
      <c r="O37" s="230"/>
      <c r="P37" s="230"/>
      <c r="Q37" s="230"/>
      <c r="R37" s="395"/>
    </row>
    <row r="38" spans="2:18" x14ac:dyDescent="0.25">
      <c r="B38" s="394"/>
      <c r="C38" s="230"/>
      <c r="D38" s="230"/>
      <c r="E38" s="230"/>
      <c r="F38" s="230"/>
      <c r="G38" s="230"/>
      <c r="H38" s="230"/>
      <c r="I38" s="230"/>
      <c r="J38" s="230"/>
      <c r="K38" s="230"/>
      <c r="L38" s="230"/>
      <c r="M38" s="230"/>
      <c r="N38" s="230"/>
      <c r="O38" s="230"/>
      <c r="P38" s="230"/>
      <c r="Q38" s="230"/>
      <c r="R38" s="395"/>
    </row>
    <row r="39" spans="2:18" x14ac:dyDescent="0.25">
      <c r="B39" s="394"/>
      <c r="C39" s="230"/>
      <c r="D39" s="230"/>
      <c r="E39" s="230"/>
      <c r="F39" s="230"/>
      <c r="G39" s="230"/>
      <c r="H39" s="230"/>
      <c r="I39" s="230"/>
      <c r="J39" s="230"/>
      <c r="K39" s="230"/>
      <c r="L39" s="230"/>
      <c r="M39" s="230"/>
      <c r="N39" s="230"/>
      <c r="O39" s="230"/>
      <c r="P39" s="230"/>
      <c r="Q39" s="230"/>
      <c r="R39" s="395"/>
    </row>
    <row r="40" spans="2:18" x14ac:dyDescent="0.25">
      <c r="B40" s="394"/>
      <c r="C40" s="230"/>
      <c r="D40" s="230"/>
      <c r="E40" s="230"/>
      <c r="F40" s="230"/>
      <c r="G40" s="230"/>
      <c r="H40" s="230"/>
      <c r="I40" s="230"/>
      <c r="J40" s="230"/>
      <c r="K40" s="230"/>
      <c r="L40" s="230"/>
      <c r="M40" s="230"/>
      <c r="N40" s="230"/>
      <c r="O40" s="230"/>
      <c r="P40" s="230"/>
      <c r="Q40" s="230"/>
      <c r="R40" s="395"/>
    </row>
    <row r="41" spans="2:18" x14ac:dyDescent="0.25">
      <c r="B41" s="394"/>
      <c r="C41" s="230"/>
      <c r="D41" s="230"/>
      <c r="E41" s="230"/>
      <c r="F41" s="230"/>
      <c r="G41" s="230"/>
      <c r="H41" s="230"/>
      <c r="I41" s="230"/>
      <c r="J41" s="230"/>
      <c r="K41" s="230"/>
      <c r="L41" s="230"/>
      <c r="M41" s="230"/>
      <c r="N41" s="230"/>
      <c r="O41" s="230"/>
      <c r="P41" s="230"/>
      <c r="Q41" s="230"/>
      <c r="R41" s="395"/>
    </row>
    <row r="42" spans="2:18" x14ac:dyDescent="0.25">
      <c r="B42" s="394"/>
      <c r="C42" s="230"/>
      <c r="D42" s="230"/>
      <c r="E42" s="230"/>
      <c r="F42" s="230"/>
      <c r="G42" s="230"/>
      <c r="H42" s="230"/>
      <c r="I42" s="230"/>
      <c r="J42" s="230"/>
      <c r="K42" s="230"/>
      <c r="L42" s="230"/>
      <c r="M42" s="230"/>
      <c r="N42" s="230"/>
      <c r="O42" s="230"/>
      <c r="P42" s="230"/>
      <c r="Q42" s="230"/>
      <c r="R42" s="395"/>
    </row>
    <row r="43" spans="2:18" x14ac:dyDescent="0.25">
      <c r="B43" s="394"/>
      <c r="C43" s="230"/>
      <c r="D43" s="230"/>
      <c r="E43" s="230"/>
      <c r="F43" s="230"/>
      <c r="G43" s="230"/>
      <c r="H43" s="230"/>
      <c r="I43" s="230"/>
      <c r="J43" s="230"/>
      <c r="K43" s="230"/>
      <c r="L43" s="230"/>
      <c r="M43" s="230"/>
      <c r="N43" s="230"/>
      <c r="O43" s="230"/>
      <c r="P43" s="230"/>
      <c r="Q43" s="230"/>
      <c r="R43" s="395"/>
    </row>
    <row r="44" spans="2:18" x14ac:dyDescent="0.25">
      <c r="B44" s="394"/>
      <c r="C44" s="230"/>
      <c r="D44" s="230"/>
      <c r="E44" s="230"/>
      <c r="F44" s="230"/>
      <c r="G44" s="230"/>
      <c r="H44" s="230"/>
      <c r="I44" s="230"/>
      <c r="J44" s="230"/>
      <c r="K44" s="230"/>
      <c r="L44" s="230"/>
      <c r="M44" s="230"/>
      <c r="N44" s="230"/>
      <c r="O44" s="230"/>
      <c r="P44" s="230"/>
      <c r="Q44" s="230"/>
      <c r="R44" s="395"/>
    </row>
    <row r="45" spans="2:18" x14ac:dyDescent="0.25">
      <c r="B45" s="394"/>
      <c r="C45" s="230"/>
      <c r="D45" s="230"/>
      <c r="E45" s="230"/>
      <c r="F45" s="230"/>
      <c r="G45" s="230"/>
      <c r="H45" s="230"/>
      <c r="I45" s="230"/>
      <c r="J45" s="230"/>
      <c r="K45" s="230"/>
      <c r="L45" s="230"/>
      <c r="M45" s="230"/>
      <c r="N45" s="230"/>
      <c r="O45" s="230"/>
      <c r="P45" s="230"/>
      <c r="Q45" s="230"/>
      <c r="R45" s="395"/>
    </row>
    <row r="46" spans="2:18" x14ac:dyDescent="0.25">
      <c r="B46" s="394"/>
      <c r="C46" s="230"/>
      <c r="D46" s="230"/>
      <c r="E46" s="230"/>
      <c r="F46" s="230"/>
      <c r="G46" s="230"/>
      <c r="H46" s="230"/>
      <c r="I46" s="230"/>
      <c r="J46" s="230"/>
      <c r="K46" s="230"/>
      <c r="L46" s="230"/>
      <c r="M46" s="230"/>
      <c r="N46" s="230"/>
      <c r="O46" s="230"/>
      <c r="P46" s="230"/>
      <c r="Q46" s="230"/>
      <c r="R46" s="395"/>
    </row>
    <row r="47" spans="2:18" x14ac:dyDescent="0.25">
      <c r="B47" s="394"/>
      <c r="C47" s="230"/>
      <c r="D47" s="230"/>
      <c r="E47" s="230"/>
      <c r="F47" s="230"/>
      <c r="G47" s="230"/>
      <c r="H47" s="230"/>
      <c r="I47" s="230"/>
      <c r="J47" s="230"/>
      <c r="K47" s="230"/>
      <c r="L47" s="230"/>
      <c r="M47" s="230"/>
      <c r="N47" s="230"/>
      <c r="O47" s="230"/>
      <c r="P47" s="230"/>
      <c r="Q47" s="230"/>
      <c r="R47" s="395"/>
    </row>
    <row r="48" spans="2:18" x14ac:dyDescent="0.25">
      <c r="B48" s="394"/>
      <c r="C48" s="230"/>
      <c r="D48" s="230"/>
      <c r="E48" s="230"/>
      <c r="F48" s="230"/>
      <c r="G48" s="230"/>
      <c r="H48" s="230"/>
      <c r="I48" s="230"/>
      <c r="J48" s="230"/>
      <c r="K48" s="230"/>
      <c r="L48" s="230"/>
      <c r="M48" s="230"/>
      <c r="N48" s="230"/>
      <c r="O48" s="230"/>
      <c r="P48" s="230"/>
      <c r="Q48" s="230"/>
      <c r="R48" s="395"/>
    </row>
    <row r="49" spans="2:18" x14ac:dyDescent="0.25">
      <c r="B49" s="394"/>
      <c r="C49" s="230"/>
      <c r="D49" s="230"/>
      <c r="E49" s="230"/>
      <c r="F49" s="230"/>
      <c r="G49" s="230"/>
      <c r="H49" s="230"/>
      <c r="I49" s="230"/>
      <c r="J49" s="230"/>
      <c r="K49" s="230"/>
      <c r="L49" s="230"/>
      <c r="M49" s="230"/>
      <c r="N49" s="230"/>
      <c r="O49" s="230"/>
      <c r="P49" s="230"/>
      <c r="Q49" s="230"/>
      <c r="R49" s="395"/>
    </row>
    <row r="50" spans="2:18" x14ac:dyDescent="0.25">
      <c r="B50" s="394"/>
      <c r="C50" s="230"/>
      <c r="D50" s="230"/>
      <c r="E50" s="230"/>
      <c r="F50" s="230"/>
      <c r="G50" s="230"/>
      <c r="H50" s="230"/>
      <c r="I50" s="230"/>
      <c r="J50" s="230"/>
      <c r="K50" s="230"/>
      <c r="L50" s="230"/>
      <c r="M50" s="230"/>
      <c r="N50" s="230"/>
      <c r="O50" s="230"/>
      <c r="P50" s="230"/>
      <c r="Q50" s="230"/>
      <c r="R50" s="395"/>
    </row>
    <row r="51" spans="2:18" x14ac:dyDescent="0.25">
      <c r="B51" s="394"/>
      <c r="C51" s="230"/>
      <c r="D51" s="230"/>
      <c r="E51" s="230"/>
      <c r="F51" s="230"/>
      <c r="G51" s="230"/>
      <c r="H51" s="230"/>
      <c r="I51" s="230"/>
      <c r="J51" s="230"/>
      <c r="K51" s="230"/>
      <c r="L51" s="230"/>
      <c r="M51" s="230"/>
      <c r="N51" s="230"/>
      <c r="O51" s="230"/>
      <c r="P51" s="230"/>
      <c r="Q51" s="230"/>
      <c r="R51" s="395"/>
    </row>
    <row r="52" spans="2:18" x14ac:dyDescent="0.25">
      <c r="B52" s="394"/>
      <c r="C52" s="230"/>
      <c r="D52" s="230"/>
      <c r="E52" s="230"/>
      <c r="F52" s="230"/>
      <c r="G52" s="230"/>
      <c r="H52" s="230"/>
      <c r="I52" s="230"/>
      <c r="J52" s="230"/>
      <c r="K52" s="230"/>
      <c r="L52" s="230"/>
      <c r="M52" s="230"/>
      <c r="N52" s="230"/>
      <c r="O52" s="230"/>
      <c r="P52" s="230"/>
      <c r="Q52" s="230"/>
      <c r="R52" s="395"/>
    </row>
    <row r="53" spans="2:18" x14ac:dyDescent="0.25">
      <c r="B53" s="394"/>
      <c r="C53" s="230"/>
      <c r="D53" s="230"/>
      <c r="E53" s="230"/>
      <c r="F53" s="230"/>
      <c r="G53" s="230"/>
      <c r="H53" s="230"/>
      <c r="I53" s="230"/>
      <c r="J53" s="230"/>
      <c r="K53" s="230"/>
      <c r="L53" s="230"/>
      <c r="M53" s="230"/>
      <c r="N53" s="230"/>
      <c r="O53" s="230"/>
      <c r="P53" s="230"/>
      <c r="Q53" s="230"/>
      <c r="R53" s="395"/>
    </row>
    <row r="54" spans="2:18" x14ac:dyDescent="0.25">
      <c r="B54" s="394"/>
      <c r="C54" s="230"/>
      <c r="D54" s="230"/>
      <c r="E54" s="230"/>
      <c r="F54" s="230"/>
      <c r="G54" s="230"/>
      <c r="H54" s="230"/>
      <c r="I54" s="230"/>
      <c r="J54" s="230"/>
      <c r="K54" s="230"/>
      <c r="L54" s="230"/>
      <c r="M54" s="230"/>
      <c r="N54" s="230"/>
      <c r="O54" s="230"/>
      <c r="P54" s="230"/>
      <c r="Q54" s="230"/>
      <c r="R54" s="395"/>
    </row>
    <row r="55" spans="2:18" x14ac:dyDescent="0.25">
      <c r="B55" s="394"/>
      <c r="C55" s="230"/>
      <c r="D55" s="230"/>
      <c r="E55" s="230"/>
      <c r="F55" s="230"/>
      <c r="G55" s="230"/>
      <c r="H55" s="230"/>
      <c r="I55" s="230"/>
      <c r="J55" s="230"/>
      <c r="K55" s="230"/>
      <c r="L55" s="230"/>
      <c r="M55" s="230"/>
      <c r="N55" s="230"/>
      <c r="O55" s="230"/>
      <c r="P55" s="230"/>
      <c r="Q55" s="230"/>
      <c r="R55" s="395"/>
    </row>
    <row r="56" spans="2:18" x14ac:dyDescent="0.25">
      <c r="B56" s="394"/>
      <c r="C56" s="230"/>
      <c r="D56" s="230"/>
      <c r="E56" s="230"/>
      <c r="F56" s="230"/>
      <c r="G56" s="230"/>
      <c r="H56" s="230"/>
      <c r="I56" s="230"/>
      <c r="J56" s="230"/>
      <c r="K56" s="230"/>
      <c r="L56" s="230"/>
      <c r="M56" s="230"/>
      <c r="N56" s="230"/>
      <c r="O56" s="230"/>
      <c r="P56" s="230"/>
      <c r="Q56" s="230"/>
      <c r="R56" s="395"/>
    </row>
    <row r="57" spans="2:18" x14ac:dyDescent="0.25">
      <c r="B57" s="394"/>
      <c r="C57" s="230"/>
      <c r="D57" s="230"/>
      <c r="E57" s="230"/>
      <c r="F57" s="230"/>
      <c r="G57" s="230"/>
      <c r="H57" s="230"/>
      <c r="I57" s="230"/>
      <c r="J57" s="230"/>
      <c r="K57" s="230"/>
      <c r="L57" s="230"/>
      <c r="M57" s="230"/>
      <c r="N57" s="230"/>
      <c r="O57" s="230"/>
      <c r="P57" s="230"/>
      <c r="Q57" s="230"/>
      <c r="R57" s="395"/>
    </row>
    <row r="58" spans="2:18" x14ac:dyDescent="0.25">
      <c r="B58" s="394"/>
      <c r="C58" s="230"/>
      <c r="D58" s="230"/>
      <c r="E58" s="230"/>
      <c r="F58" s="230"/>
      <c r="G58" s="230"/>
      <c r="H58" s="230"/>
      <c r="I58" s="230"/>
      <c r="J58" s="230"/>
      <c r="K58" s="230"/>
      <c r="L58" s="230"/>
      <c r="M58" s="230"/>
      <c r="N58" s="230"/>
      <c r="O58" s="230"/>
      <c r="P58" s="230"/>
      <c r="Q58" s="230"/>
      <c r="R58" s="395"/>
    </row>
    <row r="59" spans="2:18" x14ac:dyDescent="0.25">
      <c r="B59" s="394"/>
      <c r="C59" s="230"/>
      <c r="D59" s="230"/>
      <c r="E59" s="230"/>
      <c r="F59" s="230"/>
      <c r="G59" s="230"/>
      <c r="H59" s="230"/>
      <c r="I59" s="230"/>
      <c r="J59" s="230"/>
      <c r="K59" s="230"/>
      <c r="L59" s="230"/>
      <c r="M59" s="230"/>
      <c r="N59" s="230"/>
      <c r="O59" s="230"/>
      <c r="P59" s="230"/>
      <c r="Q59" s="230"/>
      <c r="R59" s="395"/>
    </row>
    <row r="60" spans="2:18" x14ac:dyDescent="0.25">
      <c r="B60" s="394"/>
      <c r="C60" s="230"/>
      <c r="D60" s="230"/>
      <c r="E60" s="230"/>
      <c r="F60" s="230"/>
      <c r="G60" s="230"/>
      <c r="H60" s="230"/>
      <c r="I60" s="230"/>
      <c r="J60" s="230"/>
      <c r="K60" s="230"/>
      <c r="L60" s="230"/>
      <c r="M60" s="230"/>
      <c r="N60" s="230"/>
      <c r="O60" s="230"/>
      <c r="P60" s="230"/>
      <c r="Q60" s="230"/>
      <c r="R60" s="395"/>
    </row>
    <row r="61" spans="2:18" x14ac:dyDescent="0.25">
      <c r="B61" s="394"/>
      <c r="C61" s="230"/>
      <c r="D61" s="230"/>
      <c r="E61" s="230"/>
      <c r="F61" s="230"/>
      <c r="G61" s="230"/>
      <c r="H61" s="230"/>
      <c r="I61" s="230"/>
      <c r="J61" s="230"/>
      <c r="K61" s="230"/>
      <c r="L61" s="230"/>
      <c r="M61" s="230"/>
      <c r="N61" s="230"/>
      <c r="O61" s="230"/>
      <c r="P61" s="230"/>
      <c r="Q61" s="230"/>
      <c r="R61" s="395"/>
    </row>
    <row r="62" spans="2:18" x14ac:dyDescent="0.25">
      <c r="B62" s="394"/>
      <c r="C62" s="230"/>
      <c r="D62" s="230"/>
      <c r="E62" s="230"/>
      <c r="F62" s="230"/>
      <c r="G62" s="230"/>
      <c r="H62" s="230"/>
      <c r="I62" s="230"/>
      <c r="J62" s="230"/>
      <c r="K62" s="230"/>
      <c r="L62" s="230"/>
      <c r="M62" s="230"/>
      <c r="N62" s="230"/>
      <c r="O62" s="230"/>
      <c r="P62" s="230"/>
      <c r="Q62" s="230"/>
      <c r="R62" s="395"/>
    </row>
    <row r="63" spans="2:18" x14ac:dyDescent="0.25">
      <c r="B63" s="394"/>
      <c r="C63" s="230"/>
      <c r="D63" s="230"/>
      <c r="E63" s="230"/>
      <c r="F63" s="230"/>
      <c r="G63" s="230"/>
      <c r="H63" s="230"/>
      <c r="I63" s="230"/>
      <c r="J63" s="230"/>
      <c r="K63" s="230"/>
      <c r="L63" s="230"/>
      <c r="M63" s="230"/>
      <c r="N63" s="230"/>
      <c r="O63" s="230"/>
      <c r="P63" s="230"/>
      <c r="Q63" s="230"/>
      <c r="R63" s="395"/>
    </row>
    <row r="64" spans="2:18" x14ac:dyDescent="0.25">
      <c r="B64" s="394"/>
      <c r="C64" s="230"/>
      <c r="D64" s="230"/>
      <c r="E64" s="230"/>
      <c r="F64" s="230"/>
      <c r="G64" s="230"/>
      <c r="H64" s="230"/>
      <c r="I64" s="230"/>
      <c r="J64" s="230"/>
      <c r="K64" s="230"/>
      <c r="L64" s="230"/>
      <c r="M64" s="230"/>
      <c r="N64" s="230"/>
      <c r="O64" s="230"/>
      <c r="P64" s="230"/>
      <c r="Q64" s="230"/>
      <c r="R64" s="395"/>
    </row>
    <row r="65" spans="2:18" x14ac:dyDescent="0.25">
      <c r="B65" s="394"/>
      <c r="C65" s="230"/>
      <c r="D65" s="230"/>
      <c r="E65" s="230"/>
      <c r="F65" s="230"/>
      <c r="G65" s="230"/>
      <c r="H65" s="230"/>
      <c r="I65" s="230"/>
      <c r="J65" s="230"/>
      <c r="K65" s="230"/>
      <c r="L65" s="230"/>
      <c r="M65" s="230"/>
      <c r="N65" s="230"/>
      <c r="O65" s="230"/>
      <c r="P65" s="230"/>
      <c r="Q65" s="230"/>
      <c r="R65" s="395"/>
    </row>
    <row r="66" spans="2:18" x14ac:dyDescent="0.25">
      <c r="B66" s="394"/>
      <c r="C66" s="230"/>
      <c r="D66" s="230"/>
      <c r="E66" s="230"/>
      <c r="F66" s="230"/>
      <c r="G66" s="230"/>
      <c r="H66" s="230"/>
      <c r="I66" s="230"/>
      <c r="J66" s="230"/>
      <c r="K66" s="230"/>
      <c r="L66" s="230"/>
      <c r="M66" s="230"/>
      <c r="N66" s="230"/>
      <c r="O66" s="230"/>
      <c r="P66" s="230"/>
      <c r="Q66" s="230"/>
      <c r="R66" s="395"/>
    </row>
    <row r="67" spans="2:18" x14ac:dyDescent="0.25">
      <c r="B67" s="394"/>
      <c r="C67" s="230"/>
      <c r="D67" s="230"/>
      <c r="E67" s="230"/>
      <c r="F67" s="230"/>
      <c r="G67" s="230"/>
      <c r="H67" s="230"/>
      <c r="I67" s="230"/>
      <c r="J67" s="230"/>
      <c r="K67" s="230"/>
      <c r="L67" s="230"/>
      <c r="M67" s="230"/>
      <c r="N67" s="230"/>
      <c r="O67" s="230"/>
      <c r="P67" s="230"/>
      <c r="Q67" s="230"/>
      <c r="R67" s="395"/>
    </row>
    <row r="68" spans="2:18" x14ac:dyDescent="0.25">
      <c r="B68" s="394"/>
      <c r="C68" s="230"/>
      <c r="D68" s="230"/>
      <c r="E68" s="230"/>
      <c r="F68" s="230"/>
      <c r="G68" s="230"/>
      <c r="H68" s="230"/>
      <c r="I68" s="230"/>
      <c r="J68" s="230"/>
      <c r="K68" s="230"/>
      <c r="L68" s="230"/>
      <c r="M68" s="230"/>
      <c r="N68" s="230"/>
      <c r="O68" s="230"/>
      <c r="P68" s="230"/>
      <c r="Q68" s="230"/>
      <c r="R68" s="395"/>
    </row>
    <row r="69" spans="2:18" x14ac:dyDescent="0.25">
      <c r="B69" s="394"/>
      <c r="C69" s="230"/>
      <c r="D69" s="230"/>
      <c r="E69" s="230"/>
      <c r="F69" s="230"/>
      <c r="G69" s="230"/>
      <c r="H69" s="230"/>
      <c r="I69" s="230"/>
      <c r="J69" s="230"/>
      <c r="K69" s="230"/>
      <c r="L69" s="230"/>
      <c r="M69" s="230"/>
      <c r="N69" s="230"/>
      <c r="O69" s="230"/>
      <c r="P69" s="230"/>
      <c r="Q69" s="230"/>
      <c r="R69" s="395"/>
    </row>
    <row r="70" spans="2:18" x14ac:dyDescent="0.25">
      <c r="B70" s="394"/>
      <c r="C70" s="230"/>
      <c r="D70" s="230"/>
      <c r="E70" s="230"/>
      <c r="F70" s="230"/>
      <c r="G70" s="230"/>
      <c r="H70" s="230"/>
      <c r="I70" s="230"/>
      <c r="J70" s="230"/>
      <c r="K70" s="230"/>
      <c r="L70" s="230"/>
      <c r="M70" s="230"/>
      <c r="N70" s="230"/>
      <c r="O70" s="230"/>
      <c r="P70" s="230"/>
      <c r="Q70" s="230"/>
      <c r="R70" s="395"/>
    </row>
    <row r="71" spans="2:18" x14ac:dyDescent="0.25">
      <c r="B71" s="394"/>
      <c r="C71" s="230"/>
      <c r="D71" s="230"/>
      <c r="E71" s="230"/>
      <c r="F71" s="230"/>
      <c r="G71" s="230"/>
      <c r="H71" s="230"/>
      <c r="I71" s="230"/>
      <c r="J71" s="230"/>
      <c r="K71" s="230"/>
      <c r="L71" s="230"/>
      <c r="M71" s="230"/>
      <c r="N71" s="230"/>
      <c r="O71" s="230"/>
      <c r="P71" s="230"/>
      <c r="Q71" s="230"/>
      <c r="R71" s="395"/>
    </row>
    <row r="72" spans="2:18" x14ac:dyDescent="0.25">
      <c r="B72" s="394"/>
      <c r="C72" s="230"/>
      <c r="D72" s="230"/>
      <c r="E72" s="230"/>
      <c r="F72" s="230"/>
      <c r="G72" s="230"/>
      <c r="H72" s="230"/>
      <c r="I72" s="230"/>
      <c r="J72" s="230"/>
      <c r="K72" s="230"/>
      <c r="L72" s="230"/>
      <c r="M72" s="230"/>
      <c r="N72" s="230"/>
      <c r="O72" s="230"/>
      <c r="P72" s="230"/>
      <c r="Q72" s="230"/>
      <c r="R72" s="395"/>
    </row>
    <row r="73" spans="2:18" x14ac:dyDescent="0.25">
      <c r="B73" s="394"/>
      <c r="C73" s="230"/>
      <c r="D73" s="230"/>
      <c r="E73" s="230"/>
      <c r="F73" s="230"/>
      <c r="G73" s="230"/>
      <c r="H73" s="230"/>
      <c r="I73" s="230"/>
      <c r="J73" s="230"/>
      <c r="K73" s="230"/>
      <c r="L73" s="230"/>
      <c r="M73" s="230"/>
      <c r="N73" s="230"/>
      <c r="O73" s="230"/>
      <c r="P73" s="230"/>
      <c r="Q73" s="230"/>
      <c r="R73" s="395"/>
    </row>
    <row r="74" spans="2:18" x14ac:dyDescent="0.25">
      <c r="B74" s="394"/>
      <c r="C74" s="230"/>
      <c r="D74" s="230"/>
      <c r="E74" s="230"/>
      <c r="F74" s="230"/>
      <c r="G74" s="230"/>
      <c r="H74" s="230"/>
      <c r="I74" s="230"/>
      <c r="J74" s="230"/>
      <c r="K74" s="230"/>
      <c r="L74" s="230"/>
      <c r="M74" s="230"/>
      <c r="N74" s="230"/>
      <c r="O74" s="230"/>
      <c r="P74" s="230"/>
      <c r="Q74" s="230"/>
      <c r="R74" s="395"/>
    </row>
    <row r="75" spans="2:18" x14ac:dyDescent="0.25">
      <c r="B75" s="394"/>
      <c r="C75" s="230"/>
      <c r="D75" s="230"/>
      <c r="E75" s="230"/>
      <c r="F75" s="230"/>
      <c r="G75" s="230"/>
      <c r="H75" s="230"/>
      <c r="I75" s="230"/>
      <c r="J75" s="230"/>
      <c r="K75" s="230"/>
      <c r="L75" s="230"/>
      <c r="M75" s="230"/>
      <c r="N75" s="230"/>
      <c r="O75" s="230"/>
      <c r="P75" s="230"/>
      <c r="Q75" s="230"/>
      <c r="R75" s="395"/>
    </row>
    <row r="76" spans="2:18" x14ac:dyDescent="0.25">
      <c r="B76" s="394"/>
      <c r="C76" s="230"/>
      <c r="D76" s="230"/>
      <c r="E76" s="230"/>
      <c r="F76" s="230"/>
      <c r="G76" s="230"/>
      <c r="H76" s="230"/>
      <c r="I76" s="230"/>
      <c r="J76" s="230"/>
      <c r="K76" s="230"/>
      <c r="L76" s="230"/>
      <c r="M76" s="230"/>
      <c r="N76" s="230"/>
      <c r="O76" s="230"/>
      <c r="P76" s="230"/>
      <c r="Q76" s="230"/>
      <c r="R76" s="395"/>
    </row>
    <row r="77" spans="2:18" x14ac:dyDescent="0.25">
      <c r="B77" s="394"/>
      <c r="C77" s="230"/>
      <c r="D77" s="230"/>
      <c r="E77" s="230"/>
      <c r="F77" s="230"/>
      <c r="G77" s="230"/>
      <c r="H77" s="230"/>
      <c r="I77" s="230"/>
      <c r="J77" s="230"/>
      <c r="K77" s="230"/>
      <c r="L77" s="230"/>
      <c r="M77" s="230"/>
      <c r="N77" s="230"/>
      <c r="O77" s="230"/>
      <c r="P77" s="230"/>
      <c r="Q77" s="230"/>
      <c r="R77" s="395"/>
    </row>
    <row r="78" spans="2:18" x14ac:dyDescent="0.25">
      <c r="B78" s="394"/>
      <c r="C78" s="230"/>
      <c r="D78" s="230"/>
      <c r="E78" s="230"/>
      <c r="F78" s="230"/>
      <c r="G78" s="230"/>
      <c r="H78" s="230"/>
      <c r="I78" s="230"/>
      <c r="J78" s="230"/>
      <c r="K78" s="230"/>
      <c r="L78" s="230"/>
      <c r="M78" s="230"/>
      <c r="N78" s="230"/>
      <c r="O78" s="230"/>
      <c r="P78" s="230"/>
      <c r="Q78" s="230"/>
      <c r="R78" s="395"/>
    </row>
    <row r="79" spans="2:18" x14ac:dyDescent="0.25">
      <c r="B79" s="394"/>
      <c r="C79" s="230"/>
      <c r="D79" s="230"/>
      <c r="E79" s="230"/>
      <c r="F79" s="230"/>
      <c r="G79" s="230"/>
      <c r="H79" s="230"/>
      <c r="I79" s="230"/>
      <c r="J79" s="230"/>
      <c r="K79" s="230"/>
      <c r="L79" s="230"/>
      <c r="M79" s="230"/>
      <c r="N79" s="230"/>
      <c r="O79" s="230"/>
      <c r="P79" s="230"/>
      <c r="Q79" s="230"/>
      <c r="R79" s="395"/>
    </row>
    <row r="80" spans="2:18" x14ac:dyDescent="0.25">
      <c r="B80" s="394"/>
      <c r="C80" s="230"/>
      <c r="D80" s="230"/>
      <c r="E80" s="230"/>
      <c r="F80" s="230"/>
      <c r="G80" s="230"/>
      <c r="H80" s="230"/>
      <c r="I80" s="230"/>
      <c r="J80" s="230"/>
      <c r="K80" s="230"/>
      <c r="L80" s="230"/>
      <c r="M80" s="230"/>
      <c r="N80" s="230"/>
      <c r="O80" s="230"/>
      <c r="P80" s="230"/>
      <c r="Q80" s="230"/>
      <c r="R80" s="395"/>
    </row>
    <row r="81" spans="2:18" x14ac:dyDescent="0.25">
      <c r="B81" s="394"/>
      <c r="C81" s="230"/>
      <c r="D81" s="230"/>
      <c r="E81" s="230"/>
      <c r="F81" s="230"/>
      <c r="G81" s="230"/>
      <c r="H81" s="230"/>
      <c r="I81" s="230"/>
      <c r="J81" s="230"/>
      <c r="K81" s="230"/>
      <c r="L81" s="230"/>
      <c r="M81" s="230"/>
      <c r="N81" s="230"/>
      <c r="O81" s="230"/>
      <c r="P81" s="230"/>
      <c r="Q81" s="230"/>
      <c r="R81" s="395"/>
    </row>
    <row r="82" spans="2:18" x14ac:dyDescent="0.25">
      <c r="B82" s="394"/>
      <c r="C82" s="230"/>
      <c r="D82" s="230"/>
      <c r="E82" s="230"/>
      <c r="F82" s="230"/>
      <c r="G82" s="230"/>
      <c r="H82" s="230"/>
      <c r="I82" s="230"/>
      <c r="J82" s="230"/>
      <c r="K82" s="230"/>
      <c r="L82" s="230"/>
      <c r="M82" s="230"/>
      <c r="N82" s="230"/>
      <c r="O82" s="230"/>
      <c r="P82" s="230"/>
      <c r="Q82" s="230"/>
      <c r="R82" s="395"/>
    </row>
    <row r="83" spans="2:18" x14ac:dyDescent="0.25">
      <c r="B83" s="394"/>
      <c r="C83" s="230"/>
      <c r="D83" s="230"/>
      <c r="E83" s="230"/>
      <c r="F83" s="230"/>
      <c r="G83" s="230"/>
      <c r="H83" s="230"/>
      <c r="I83" s="230"/>
      <c r="J83" s="230"/>
      <c r="K83" s="230"/>
      <c r="L83" s="230"/>
      <c r="M83" s="230"/>
      <c r="N83" s="230"/>
      <c r="O83" s="230"/>
      <c r="P83" s="230"/>
      <c r="Q83" s="230"/>
      <c r="R83" s="395"/>
    </row>
    <row r="84" spans="2:18" x14ac:dyDescent="0.25">
      <c r="B84" s="394"/>
      <c r="C84" s="230"/>
      <c r="D84" s="230"/>
      <c r="E84" s="230"/>
      <c r="F84" s="230"/>
      <c r="G84" s="230"/>
      <c r="H84" s="230"/>
      <c r="I84" s="230"/>
      <c r="J84" s="230"/>
      <c r="K84" s="230"/>
      <c r="L84" s="230"/>
      <c r="M84" s="230"/>
      <c r="N84" s="230"/>
      <c r="O84" s="230"/>
      <c r="P84" s="230"/>
      <c r="Q84" s="230"/>
      <c r="R84" s="395"/>
    </row>
    <row r="85" spans="2:18" x14ac:dyDescent="0.25">
      <c r="B85" s="394"/>
      <c r="C85" s="230"/>
      <c r="D85" s="230"/>
      <c r="E85" s="230"/>
      <c r="F85" s="230"/>
      <c r="G85" s="230"/>
      <c r="H85" s="230"/>
      <c r="I85" s="230"/>
      <c r="J85" s="230"/>
      <c r="K85" s="230"/>
      <c r="L85" s="230"/>
      <c r="M85" s="230"/>
      <c r="N85" s="230"/>
      <c r="O85" s="230"/>
      <c r="P85" s="230"/>
      <c r="Q85" s="230"/>
      <c r="R85" s="395"/>
    </row>
    <row r="86" spans="2:18" x14ac:dyDescent="0.25">
      <c r="B86" s="394"/>
      <c r="C86" s="230"/>
      <c r="D86" s="230"/>
      <c r="E86" s="230"/>
      <c r="F86" s="230"/>
      <c r="G86" s="230"/>
      <c r="H86" s="230"/>
      <c r="I86" s="230"/>
      <c r="J86" s="230"/>
      <c r="K86" s="230"/>
      <c r="L86" s="230"/>
      <c r="M86" s="230"/>
      <c r="N86" s="230"/>
      <c r="O86" s="230"/>
      <c r="P86" s="230"/>
      <c r="Q86" s="230"/>
      <c r="R86" s="395"/>
    </row>
    <row r="87" spans="2:18" x14ac:dyDescent="0.25">
      <c r="B87" s="394"/>
      <c r="C87" s="230"/>
      <c r="D87" s="230"/>
      <c r="E87" s="230"/>
      <c r="F87" s="230"/>
      <c r="G87" s="230"/>
      <c r="H87" s="230"/>
      <c r="I87" s="230"/>
      <c r="J87" s="230"/>
      <c r="K87" s="230"/>
      <c r="L87" s="230"/>
      <c r="M87" s="230"/>
      <c r="N87" s="230"/>
      <c r="O87" s="230"/>
      <c r="P87" s="230"/>
      <c r="Q87" s="230"/>
      <c r="R87" s="395"/>
    </row>
    <row r="88" spans="2:18" x14ac:dyDescent="0.25">
      <c r="B88" s="394"/>
      <c r="C88" s="230"/>
      <c r="D88" s="230"/>
      <c r="E88" s="230"/>
      <c r="F88" s="230"/>
      <c r="G88" s="230"/>
      <c r="H88" s="230"/>
      <c r="I88" s="230"/>
      <c r="J88" s="230"/>
      <c r="K88" s="230"/>
      <c r="L88" s="230"/>
      <c r="M88" s="230"/>
      <c r="N88" s="230"/>
      <c r="O88" s="230"/>
      <c r="P88" s="230"/>
      <c r="Q88" s="230"/>
      <c r="R88" s="395"/>
    </row>
    <row r="89" spans="2:18" x14ac:dyDescent="0.25">
      <c r="B89" s="394"/>
      <c r="C89" s="230"/>
      <c r="D89" s="230"/>
      <c r="E89" s="230"/>
      <c r="F89" s="230"/>
      <c r="G89" s="230"/>
      <c r="H89" s="230"/>
      <c r="I89" s="230"/>
      <c r="J89" s="230"/>
      <c r="K89" s="230"/>
      <c r="L89" s="230"/>
      <c r="M89" s="230"/>
      <c r="N89" s="230"/>
      <c r="O89" s="230"/>
      <c r="P89" s="230"/>
      <c r="Q89" s="230"/>
      <c r="R89" s="395"/>
    </row>
    <row r="90" spans="2:18" x14ac:dyDescent="0.25">
      <c r="B90" s="394"/>
      <c r="C90" s="230"/>
      <c r="D90" s="230"/>
      <c r="E90" s="230"/>
      <c r="F90" s="230"/>
      <c r="G90" s="230"/>
      <c r="H90" s="230"/>
      <c r="I90" s="230"/>
      <c r="J90" s="230"/>
      <c r="K90" s="230"/>
      <c r="L90" s="230"/>
      <c r="M90" s="230"/>
      <c r="N90" s="230"/>
      <c r="O90" s="230"/>
      <c r="P90" s="230"/>
      <c r="Q90" s="230"/>
      <c r="R90" s="395"/>
    </row>
    <row r="91" spans="2:18" x14ac:dyDescent="0.25">
      <c r="B91" s="394"/>
      <c r="C91" s="230"/>
      <c r="D91" s="230"/>
      <c r="E91" s="230"/>
      <c r="F91" s="230"/>
      <c r="G91" s="230"/>
      <c r="H91" s="230"/>
      <c r="I91" s="230"/>
      <c r="J91" s="230"/>
      <c r="K91" s="230"/>
      <c r="L91" s="230"/>
      <c r="M91" s="230"/>
      <c r="N91" s="230"/>
      <c r="O91" s="230"/>
      <c r="P91" s="230"/>
      <c r="Q91" s="230"/>
      <c r="R91" s="395"/>
    </row>
    <row r="92" spans="2:18" x14ac:dyDescent="0.25">
      <c r="B92" s="394"/>
      <c r="C92" s="230"/>
      <c r="D92" s="230"/>
      <c r="E92" s="230"/>
      <c r="F92" s="230"/>
      <c r="G92" s="230"/>
      <c r="H92" s="230"/>
      <c r="I92" s="230"/>
      <c r="J92" s="230"/>
      <c r="K92" s="230"/>
      <c r="L92" s="230"/>
      <c r="M92" s="230"/>
      <c r="N92" s="230"/>
      <c r="O92" s="230"/>
      <c r="P92" s="230"/>
      <c r="Q92" s="230"/>
      <c r="R92" s="395"/>
    </row>
    <row r="93" spans="2:18" x14ac:dyDescent="0.25">
      <c r="B93" s="394"/>
      <c r="C93" s="230"/>
      <c r="D93" s="230"/>
      <c r="E93" s="230"/>
      <c r="F93" s="230"/>
      <c r="G93" s="230"/>
      <c r="H93" s="230"/>
      <c r="I93" s="230"/>
      <c r="J93" s="230"/>
      <c r="K93" s="230"/>
      <c r="L93" s="230"/>
      <c r="M93" s="230"/>
      <c r="N93" s="230"/>
      <c r="O93" s="230"/>
      <c r="P93" s="230"/>
      <c r="Q93" s="230"/>
      <c r="R93" s="395"/>
    </row>
    <row r="94" spans="2:18" x14ac:dyDescent="0.25">
      <c r="B94" s="394"/>
      <c r="C94" s="230"/>
      <c r="D94" s="230"/>
      <c r="E94" s="230"/>
      <c r="F94" s="230"/>
      <c r="G94" s="230"/>
      <c r="H94" s="230"/>
      <c r="I94" s="230"/>
      <c r="J94" s="230"/>
      <c r="K94" s="230"/>
      <c r="L94" s="230"/>
      <c r="M94" s="230"/>
      <c r="N94" s="230"/>
      <c r="O94" s="230"/>
      <c r="P94" s="230"/>
      <c r="Q94" s="230"/>
      <c r="R94" s="395"/>
    </row>
    <row r="95" spans="2:18" x14ac:dyDescent="0.25">
      <c r="B95" s="394"/>
      <c r="C95" s="230"/>
      <c r="D95" s="230"/>
      <c r="E95" s="230"/>
      <c r="F95" s="230"/>
      <c r="G95" s="230"/>
      <c r="H95" s="230"/>
      <c r="I95" s="230"/>
      <c r="J95" s="230"/>
      <c r="K95" s="230"/>
      <c r="L95" s="230"/>
      <c r="M95" s="230"/>
      <c r="N95" s="230"/>
      <c r="O95" s="230"/>
      <c r="P95" s="230"/>
      <c r="Q95" s="230"/>
      <c r="R95" s="395"/>
    </row>
    <row r="96" spans="2:18" x14ac:dyDescent="0.25">
      <c r="B96" s="394"/>
      <c r="C96" s="230"/>
      <c r="D96" s="230"/>
      <c r="E96" s="230"/>
      <c r="F96" s="230"/>
      <c r="G96" s="230"/>
      <c r="H96" s="230"/>
      <c r="I96" s="230"/>
      <c r="J96" s="230"/>
      <c r="K96" s="230"/>
      <c r="L96" s="230"/>
      <c r="M96" s="230"/>
      <c r="N96" s="230"/>
      <c r="O96" s="230"/>
      <c r="P96" s="230"/>
      <c r="Q96" s="230"/>
      <c r="R96" s="395"/>
    </row>
    <row r="97" spans="2:18" x14ac:dyDescent="0.25">
      <c r="B97" s="394"/>
      <c r="C97" s="230"/>
      <c r="D97" s="230"/>
      <c r="E97" s="230"/>
      <c r="F97" s="230"/>
      <c r="G97" s="230"/>
      <c r="H97" s="230"/>
      <c r="I97" s="230"/>
      <c r="J97" s="230"/>
      <c r="K97" s="230"/>
      <c r="L97" s="230"/>
      <c r="M97" s="230"/>
      <c r="N97" s="230"/>
      <c r="O97" s="230"/>
      <c r="P97" s="230"/>
      <c r="Q97" s="230"/>
      <c r="R97" s="395"/>
    </row>
    <row r="98" spans="2:18" x14ac:dyDescent="0.25">
      <c r="B98" s="394"/>
      <c r="C98" s="230"/>
      <c r="D98" s="230"/>
      <c r="E98" s="230"/>
      <c r="F98" s="230"/>
      <c r="G98" s="230"/>
      <c r="H98" s="230"/>
      <c r="I98" s="230"/>
      <c r="J98" s="230"/>
      <c r="K98" s="230"/>
      <c r="L98" s="230"/>
      <c r="M98" s="230"/>
      <c r="N98" s="230"/>
      <c r="O98" s="230"/>
      <c r="P98" s="230"/>
      <c r="Q98" s="230"/>
      <c r="R98" s="395"/>
    </row>
    <row r="99" spans="2:18" x14ac:dyDescent="0.25">
      <c r="B99" s="394"/>
      <c r="C99" s="230"/>
      <c r="D99" s="230"/>
      <c r="E99" s="230"/>
      <c r="F99" s="230"/>
      <c r="G99" s="230"/>
      <c r="H99" s="230"/>
      <c r="I99" s="230"/>
      <c r="J99" s="230"/>
      <c r="K99" s="230"/>
      <c r="L99" s="230"/>
      <c r="M99" s="230"/>
      <c r="N99" s="230"/>
      <c r="O99" s="230"/>
      <c r="P99" s="230"/>
      <c r="Q99" s="230"/>
      <c r="R99" s="395"/>
    </row>
    <row r="100" spans="2:18" x14ac:dyDescent="0.25">
      <c r="B100" s="394"/>
      <c r="C100" s="230"/>
      <c r="D100" s="230"/>
      <c r="E100" s="230"/>
      <c r="F100" s="230"/>
      <c r="G100" s="230"/>
      <c r="H100" s="230"/>
      <c r="I100" s="230"/>
      <c r="J100" s="230"/>
      <c r="K100" s="230"/>
      <c r="L100" s="230"/>
      <c r="M100" s="230"/>
      <c r="N100" s="230"/>
      <c r="O100" s="230"/>
      <c r="P100" s="230"/>
      <c r="Q100" s="230"/>
      <c r="R100" s="395"/>
    </row>
    <row r="101" spans="2:18" x14ac:dyDescent="0.25">
      <c r="B101" s="394"/>
      <c r="C101" s="230"/>
      <c r="D101" s="230"/>
      <c r="E101" s="230"/>
      <c r="F101" s="230"/>
      <c r="G101" s="230"/>
      <c r="H101" s="230"/>
      <c r="I101" s="230"/>
      <c r="J101" s="230"/>
      <c r="K101" s="230"/>
      <c r="L101" s="230"/>
      <c r="M101" s="230"/>
      <c r="N101" s="230"/>
      <c r="O101" s="230"/>
      <c r="P101" s="230"/>
      <c r="Q101" s="230"/>
      <c r="R101" s="395"/>
    </row>
    <row r="102" spans="2:18" x14ac:dyDescent="0.25">
      <c r="B102" s="394"/>
      <c r="C102" s="230"/>
      <c r="D102" s="230"/>
      <c r="E102" s="230"/>
      <c r="F102" s="230"/>
      <c r="G102" s="230"/>
      <c r="H102" s="230"/>
      <c r="I102" s="230"/>
      <c r="J102" s="230"/>
      <c r="K102" s="230"/>
      <c r="L102" s="230"/>
      <c r="M102" s="230"/>
      <c r="N102" s="230"/>
      <c r="O102" s="230"/>
      <c r="P102" s="230"/>
      <c r="Q102" s="230"/>
      <c r="R102" s="395"/>
    </row>
    <row r="103" spans="2:18" x14ac:dyDescent="0.25">
      <c r="B103" s="394"/>
      <c r="C103" s="230"/>
      <c r="D103" s="230"/>
      <c r="E103" s="230"/>
      <c r="F103" s="230"/>
      <c r="G103" s="230"/>
      <c r="H103" s="230"/>
      <c r="I103" s="230"/>
      <c r="J103" s="230"/>
      <c r="K103" s="230"/>
      <c r="L103" s="230"/>
      <c r="M103" s="230"/>
      <c r="N103" s="230"/>
      <c r="O103" s="230"/>
      <c r="P103" s="230"/>
      <c r="Q103" s="230"/>
      <c r="R103" s="395"/>
    </row>
    <row r="104" spans="2:18" x14ac:dyDescent="0.25">
      <c r="B104" s="394"/>
      <c r="C104" s="230"/>
      <c r="D104" s="230"/>
      <c r="E104" s="230"/>
      <c r="F104" s="230"/>
      <c r="G104" s="230"/>
      <c r="H104" s="230"/>
      <c r="I104" s="230"/>
      <c r="J104" s="230"/>
      <c r="K104" s="230"/>
      <c r="L104" s="230"/>
      <c r="M104" s="230"/>
      <c r="N104" s="230"/>
      <c r="O104" s="230"/>
      <c r="P104" s="230"/>
      <c r="Q104" s="230"/>
      <c r="R104" s="395"/>
    </row>
    <row r="105" spans="2:18" x14ac:dyDescent="0.25">
      <c r="B105" s="394"/>
      <c r="C105" s="230"/>
      <c r="D105" s="230"/>
      <c r="E105" s="230"/>
      <c r="F105" s="230"/>
      <c r="G105" s="230"/>
      <c r="H105" s="230"/>
      <c r="I105" s="230"/>
      <c r="J105" s="230"/>
      <c r="K105" s="230"/>
      <c r="L105" s="230"/>
      <c r="M105" s="230"/>
      <c r="N105" s="230"/>
      <c r="O105" s="230"/>
      <c r="P105" s="230"/>
      <c r="Q105" s="230"/>
      <c r="R105" s="395"/>
    </row>
    <row r="106" spans="2:18" x14ac:dyDescent="0.25">
      <c r="B106" s="394"/>
      <c r="C106" s="230"/>
      <c r="D106" s="230"/>
      <c r="E106" s="230"/>
      <c r="F106" s="230"/>
      <c r="G106" s="230"/>
      <c r="H106" s="230"/>
      <c r="I106" s="230"/>
      <c r="J106" s="230"/>
      <c r="K106" s="230"/>
      <c r="L106" s="230"/>
      <c r="M106" s="230"/>
      <c r="N106" s="230"/>
      <c r="O106" s="230"/>
      <c r="P106" s="230"/>
      <c r="Q106" s="230"/>
      <c r="R106" s="395"/>
    </row>
    <row r="107" spans="2:18" x14ac:dyDescent="0.25">
      <c r="B107" s="394"/>
      <c r="C107" s="230"/>
      <c r="D107" s="230"/>
      <c r="E107" s="230"/>
      <c r="F107" s="230"/>
      <c r="G107" s="230"/>
      <c r="H107" s="230"/>
      <c r="I107" s="230"/>
      <c r="J107" s="230"/>
      <c r="K107" s="230"/>
      <c r="L107" s="230"/>
      <c r="M107" s="230"/>
      <c r="N107" s="230"/>
      <c r="O107" s="230"/>
      <c r="P107" s="230"/>
      <c r="Q107" s="230"/>
      <c r="R107" s="395"/>
    </row>
    <row r="108" spans="2:18" x14ac:dyDescent="0.25">
      <c r="B108" s="394"/>
      <c r="C108" s="230"/>
      <c r="D108" s="230"/>
      <c r="E108" s="230"/>
      <c r="F108" s="230"/>
      <c r="G108" s="230"/>
      <c r="H108" s="230"/>
      <c r="I108" s="230"/>
      <c r="J108" s="230"/>
      <c r="K108" s="230"/>
      <c r="L108" s="230"/>
      <c r="M108" s="230"/>
      <c r="N108" s="230"/>
      <c r="O108" s="230"/>
      <c r="P108" s="230"/>
      <c r="Q108" s="230"/>
      <c r="R108" s="395"/>
    </row>
    <row r="109" spans="2:18" x14ac:dyDescent="0.25">
      <c r="B109" s="394"/>
      <c r="C109" s="230"/>
      <c r="D109" s="230"/>
      <c r="E109" s="230"/>
      <c r="F109" s="230"/>
      <c r="G109" s="230"/>
      <c r="H109" s="230"/>
      <c r="I109" s="230"/>
      <c r="J109" s="230"/>
      <c r="K109" s="230"/>
      <c r="L109" s="230"/>
      <c r="M109" s="230"/>
      <c r="N109" s="230"/>
      <c r="O109" s="230"/>
      <c r="P109" s="230"/>
      <c r="Q109" s="230"/>
      <c r="R109" s="395"/>
    </row>
    <row r="110" spans="2:18" x14ac:dyDescent="0.25">
      <c r="B110" s="394"/>
      <c r="C110" s="230"/>
      <c r="D110" s="230"/>
      <c r="E110" s="230"/>
      <c r="F110" s="230"/>
      <c r="G110" s="230"/>
      <c r="H110" s="230"/>
      <c r="I110" s="230"/>
      <c r="J110" s="230"/>
      <c r="K110" s="230"/>
      <c r="L110" s="230"/>
      <c r="M110" s="230"/>
      <c r="N110" s="230"/>
      <c r="O110" s="230"/>
      <c r="P110" s="230"/>
      <c r="Q110" s="230"/>
      <c r="R110" s="395"/>
    </row>
    <row r="111" spans="2:18" x14ac:dyDescent="0.25">
      <c r="B111" s="394"/>
      <c r="C111" s="230"/>
      <c r="D111" s="230"/>
      <c r="E111" s="230"/>
      <c r="F111" s="230"/>
      <c r="G111" s="230"/>
      <c r="H111" s="230"/>
      <c r="I111" s="230"/>
      <c r="J111" s="230"/>
      <c r="K111" s="230"/>
      <c r="L111" s="230"/>
      <c r="M111" s="230"/>
      <c r="N111" s="230"/>
      <c r="O111" s="230"/>
      <c r="P111" s="230"/>
      <c r="Q111" s="230"/>
      <c r="R111" s="395"/>
    </row>
    <row r="112" spans="2:18" x14ac:dyDescent="0.25">
      <c r="B112" s="394"/>
      <c r="C112" s="230"/>
      <c r="D112" s="230"/>
      <c r="E112" s="230"/>
      <c r="F112" s="230"/>
      <c r="G112" s="230"/>
      <c r="H112" s="230"/>
      <c r="I112" s="230"/>
      <c r="J112" s="230"/>
      <c r="K112" s="230"/>
      <c r="L112" s="230"/>
      <c r="M112" s="230"/>
      <c r="N112" s="230"/>
      <c r="O112" s="230"/>
      <c r="P112" s="230"/>
      <c r="Q112" s="230"/>
      <c r="R112" s="395"/>
    </row>
    <row r="113" spans="2:18" x14ac:dyDescent="0.25">
      <c r="B113" s="394"/>
      <c r="C113" s="230"/>
      <c r="D113" s="230"/>
      <c r="E113" s="230"/>
      <c r="F113" s="230"/>
      <c r="G113" s="230"/>
      <c r="H113" s="230"/>
      <c r="I113" s="230"/>
      <c r="J113" s="230"/>
      <c r="K113" s="230"/>
      <c r="L113" s="230"/>
      <c r="M113" s="230"/>
      <c r="N113" s="230"/>
      <c r="O113" s="230"/>
      <c r="P113" s="230"/>
      <c r="Q113" s="230"/>
      <c r="R113" s="395"/>
    </row>
    <row r="114" spans="2:18" x14ac:dyDescent="0.25">
      <c r="B114" s="394"/>
      <c r="C114" s="230"/>
      <c r="D114" s="230"/>
      <c r="E114" s="230"/>
      <c r="F114" s="230"/>
      <c r="G114" s="230"/>
      <c r="H114" s="230"/>
      <c r="I114" s="230"/>
      <c r="J114" s="230"/>
      <c r="K114" s="230"/>
      <c r="L114" s="230"/>
      <c r="M114" s="230"/>
      <c r="N114" s="230"/>
      <c r="O114" s="230"/>
      <c r="P114" s="230"/>
      <c r="Q114" s="230"/>
      <c r="R114" s="395"/>
    </row>
    <row r="115" spans="2:18" x14ac:dyDescent="0.25">
      <c r="B115" s="394"/>
      <c r="C115" s="230"/>
      <c r="D115" s="230"/>
      <c r="E115" s="230"/>
      <c r="F115" s="230"/>
      <c r="G115" s="230"/>
      <c r="H115" s="230"/>
      <c r="I115" s="230"/>
      <c r="J115" s="230"/>
      <c r="K115" s="230"/>
      <c r="L115" s="230"/>
      <c r="M115" s="230"/>
      <c r="N115" s="230"/>
      <c r="O115" s="230"/>
      <c r="P115" s="230"/>
      <c r="Q115" s="230"/>
      <c r="R115" s="395"/>
    </row>
    <row r="116" spans="2:18" x14ac:dyDescent="0.25">
      <c r="B116" s="394"/>
      <c r="C116" s="230"/>
      <c r="D116" s="230"/>
      <c r="E116" s="230"/>
      <c r="F116" s="230"/>
      <c r="G116" s="230"/>
      <c r="H116" s="230"/>
      <c r="I116" s="230"/>
      <c r="J116" s="230"/>
      <c r="K116" s="230"/>
      <c r="L116" s="230"/>
      <c r="M116" s="230"/>
      <c r="N116" s="230"/>
      <c r="O116" s="230"/>
      <c r="P116" s="230"/>
      <c r="Q116" s="230"/>
      <c r="R116" s="395"/>
    </row>
    <row r="117" spans="2:18" x14ac:dyDescent="0.25">
      <c r="B117" s="394"/>
      <c r="C117" s="230"/>
      <c r="D117" s="230"/>
      <c r="E117" s="230"/>
      <c r="F117" s="230"/>
      <c r="G117" s="230"/>
      <c r="H117" s="230"/>
      <c r="I117" s="230"/>
      <c r="J117" s="230"/>
      <c r="K117" s="230"/>
      <c r="L117" s="230"/>
      <c r="M117" s="230"/>
      <c r="N117" s="230"/>
      <c r="O117" s="230"/>
      <c r="P117" s="230"/>
      <c r="Q117" s="230"/>
      <c r="R117" s="395"/>
    </row>
    <row r="118" spans="2:18" x14ac:dyDescent="0.25">
      <c r="B118" s="394"/>
      <c r="C118" s="230"/>
      <c r="D118" s="230"/>
      <c r="E118" s="230"/>
      <c r="F118" s="230"/>
      <c r="G118" s="230"/>
      <c r="H118" s="230"/>
      <c r="I118" s="230"/>
      <c r="J118" s="230"/>
      <c r="K118" s="230"/>
      <c r="L118" s="230"/>
      <c r="M118" s="230"/>
      <c r="N118" s="230"/>
      <c r="O118" s="230"/>
      <c r="P118" s="230"/>
      <c r="Q118" s="230"/>
      <c r="R118" s="395"/>
    </row>
    <row r="119" spans="2:18" x14ac:dyDescent="0.25">
      <c r="B119" s="394"/>
      <c r="C119" s="230"/>
      <c r="D119" s="230"/>
      <c r="E119" s="230"/>
      <c r="F119" s="230"/>
      <c r="G119" s="230"/>
      <c r="H119" s="230"/>
      <c r="I119" s="230"/>
      <c r="J119" s="230"/>
      <c r="K119" s="230"/>
      <c r="L119" s="230"/>
      <c r="M119" s="230"/>
      <c r="N119" s="230"/>
      <c r="O119" s="230"/>
      <c r="P119" s="230"/>
      <c r="Q119" s="230"/>
      <c r="R119" s="395"/>
    </row>
    <row r="120" spans="2:18" x14ac:dyDescent="0.25">
      <c r="B120" s="394"/>
      <c r="C120" s="230"/>
      <c r="D120" s="230"/>
      <c r="E120" s="230"/>
      <c r="F120" s="230"/>
      <c r="G120" s="230"/>
      <c r="H120" s="230"/>
      <c r="I120" s="230"/>
      <c r="J120" s="230"/>
      <c r="K120" s="230"/>
      <c r="L120" s="230"/>
      <c r="M120" s="230"/>
      <c r="N120" s="230"/>
      <c r="O120" s="230"/>
      <c r="P120" s="230"/>
      <c r="Q120" s="230"/>
      <c r="R120" s="395"/>
    </row>
    <row r="121" spans="2:18" x14ac:dyDescent="0.25">
      <c r="B121" s="394"/>
      <c r="C121" s="230"/>
      <c r="D121" s="230"/>
      <c r="E121" s="230"/>
      <c r="F121" s="230"/>
      <c r="G121" s="230"/>
      <c r="H121" s="230"/>
      <c r="I121" s="230"/>
      <c r="J121" s="230"/>
      <c r="K121" s="230"/>
      <c r="L121" s="230"/>
      <c r="M121" s="230"/>
      <c r="N121" s="230"/>
      <c r="O121" s="230"/>
      <c r="P121" s="230"/>
      <c r="Q121" s="230"/>
      <c r="R121" s="395"/>
    </row>
    <row r="122" spans="2:18" x14ac:dyDescent="0.25">
      <c r="B122" s="394"/>
      <c r="C122" s="230"/>
      <c r="D122" s="230"/>
      <c r="E122" s="230"/>
      <c r="F122" s="230"/>
      <c r="G122" s="230"/>
      <c r="H122" s="230"/>
      <c r="I122" s="230"/>
      <c r="J122" s="230"/>
      <c r="K122" s="230"/>
      <c r="L122" s="230"/>
      <c r="M122" s="230"/>
      <c r="N122" s="230"/>
      <c r="O122" s="230"/>
      <c r="P122" s="230"/>
      <c r="Q122" s="230"/>
      <c r="R122" s="395"/>
    </row>
    <row r="123" spans="2:18" x14ac:dyDescent="0.25">
      <c r="B123" s="394"/>
      <c r="C123" s="230"/>
      <c r="D123" s="230"/>
      <c r="E123" s="230"/>
      <c r="F123" s="230"/>
      <c r="G123" s="230"/>
      <c r="H123" s="230"/>
      <c r="I123" s="230"/>
      <c r="J123" s="230"/>
      <c r="K123" s="230"/>
      <c r="L123" s="230"/>
      <c r="M123" s="230"/>
      <c r="N123" s="230"/>
      <c r="O123" s="230"/>
      <c r="P123" s="230"/>
      <c r="Q123" s="230"/>
      <c r="R123" s="395"/>
    </row>
    <row r="124" spans="2:18" x14ac:dyDescent="0.25">
      <c r="B124" s="394"/>
      <c r="C124" s="230"/>
      <c r="D124" s="230"/>
      <c r="E124" s="230"/>
      <c r="F124" s="230"/>
      <c r="G124" s="230"/>
      <c r="H124" s="230"/>
      <c r="I124" s="230"/>
      <c r="J124" s="230"/>
      <c r="K124" s="230"/>
      <c r="L124" s="230"/>
      <c r="M124" s="230"/>
      <c r="N124" s="230"/>
      <c r="O124" s="230"/>
      <c r="P124" s="230"/>
      <c r="Q124" s="230"/>
      <c r="R124" s="395"/>
    </row>
    <row r="125" spans="2:18" x14ac:dyDescent="0.25">
      <c r="B125" s="394"/>
      <c r="C125" s="230"/>
      <c r="D125" s="230"/>
      <c r="E125" s="230"/>
      <c r="F125" s="230"/>
      <c r="G125" s="230"/>
      <c r="H125" s="230"/>
      <c r="I125" s="230"/>
      <c r="J125" s="230"/>
      <c r="K125" s="230"/>
      <c r="L125" s="230"/>
      <c r="M125" s="230"/>
      <c r="N125" s="230"/>
      <c r="O125" s="230"/>
      <c r="P125" s="230"/>
      <c r="Q125" s="230"/>
      <c r="R125" s="395"/>
    </row>
    <row r="126" spans="2:18" x14ac:dyDescent="0.25">
      <c r="B126" s="394"/>
      <c r="C126" s="230"/>
      <c r="D126" s="230"/>
      <c r="E126" s="230"/>
      <c r="F126" s="230"/>
      <c r="G126" s="230"/>
      <c r="H126" s="230"/>
      <c r="I126" s="230"/>
      <c r="J126" s="230"/>
      <c r="K126" s="230"/>
      <c r="L126" s="230"/>
      <c r="M126" s="230"/>
      <c r="N126" s="230"/>
      <c r="O126" s="230"/>
      <c r="P126" s="230"/>
      <c r="Q126" s="230"/>
      <c r="R126" s="395"/>
    </row>
    <row r="127" spans="2:18" x14ac:dyDescent="0.25">
      <c r="B127" s="394"/>
      <c r="C127" s="230"/>
      <c r="D127" s="230"/>
      <c r="E127" s="230"/>
      <c r="F127" s="230"/>
      <c r="G127" s="230"/>
      <c r="H127" s="230"/>
      <c r="I127" s="230"/>
      <c r="J127" s="230"/>
      <c r="K127" s="230"/>
      <c r="L127" s="230"/>
      <c r="M127" s="230"/>
      <c r="N127" s="230"/>
      <c r="O127" s="230"/>
      <c r="P127" s="230"/>
      <c r="Q127" s="230"/>
      <c r="R127" s="395"/>
    </row>
    <row r="128" spans="2:18" x14ac:dyDescent="0.25">
      <c r="B128" s="394"/>
      <c r="C128" s="230"/>
      <c r="D128" s="230"/>
      <c r="E128" s="230"/>
      <c r="F128" s="230"/>
      <c r="G128" s="230"/>
      <c r="H128" s="230"/>
      <c r="I128" s="230"/>
      <c r="J128" s="230"/>
      <c r="K128" s="230"/>
      <c r="L128" s="230"/>
      <c r="M128" s="230"/>
      <c r="N128" s="230"/>
      <c r="O128" s="230"/>
      <c r="P128" s="230"/>
      <c r="Q128" s="230"/>
      <c r="R128" s="395"/>
    </row>
    <row r="129" spans="2:18" x14ac:dyDescent="0.25">
      <c r="B129" s="394"/>
      <c r="C129" s="230"/>
      <c r="D129" s="230"/>
      <c r="E129" s="230"/>
      <c r="F129" s="230"/>
      <c r="G129" s="230"/>
      <c r="H129" s="230"/>
      <c r="I129" s="230"/>
      <c r="J129" s="230"/>
      <c r="K129" s="230"/>
      <c r="L129" s="230"/>
      <c r="M129" s="230"/>
      <c r="N129" s="230"/>
      <c r="O129" s="230"/>
      <c r="P129" s="230"/>
      <c r="Q129" s="230"/>
      <c r="R129" s="395"/>
    </row>
    <row r="130" spans="2:18" x14ac:dyDescent="0.25">
      <c r="B130" s="394"/>
      <c r="C130" s="230"/>
      <c r="D130" s="230"/>
      <c r="E130" s="230"/>
      <c r="F130" s="230"/>
      <c r="G130" s="230"/>
      <c r="H130" s="230"/>
      <c r="I130" s="230"/>
      <c r="J130" s="230"/>
      <c r="K130" s="230"/>
      <c r="L130" s="230"/>
      <c r="M130" s="230"/>
      <c r="N130" s="230"/>
      <c r="O130" s="230"/>
      <c r="P130" s="230"/>
      <c r="Q130" s="230"/>
      <c r="R130" s="395"/>
    </row>
    <row r="131" spans="2:18" x14ac:dyDescent="0.25">
      <c r="B131" s="394"/>
      <c r="C131" s="230"/>
      <c r="D131" s="230"/>
      <c r="E131" s="230"/>
      <c r="F131" s="230"/>
      <c r="G131" s="230"/>
      <c r="H131" s="230"/>
      <c r="I131" s="230"/>
      <c r="J131" s="230"/>
      <c r="K131" s="230"/>
      <c r="L131" s="230"/>
      <c r="M131" s="230"/>
      <c r="N131" s="230"/>
      <c r="O131" s="230"/>
      <c r="P131" s="230"/>
      <c r="Q131" s="230"/>
      <c r="R131" s="395"/>
    </row>
    <row r="132" spans="2:18" x14ac:dyDescent="0.25">
      <c r="B132" s="394"/>
      <c r="C132" s="230"/>
      <c r="D132" s="230"/>
      <c r="E132" s="230"/>
      <c r="F132" s="230"/>
      <c r="G132" s="230"/>
      <c r="H132" s="230"/>
      <c r="I132" s="230"/>
      <c r="J132" s="230"/>
      <c r="K132" s="230"/>
      <c r="L132" s="230"/>
      <c r="M132" s="230"/>
      <c r="N132" s="230"/>
      <c r="O132" s="230"/>
      <c r="P132" s="230"/>
      <c r="Q132" s="230"/>
      <c r="R132" s="395"/>
    </row>
    <row r="133" spans="2:18" x14ac:dyDescent="0.25">
      <c r="B133" s="394"/>
      <c r="C133" s="230"/>
      <c r="D133" s="230"/>
      <c r="E133" s="230"/>
      <c r="F133" s="230"/>
      <c r="G133" s="230"/>
      <c r="H133" s="230"/>
      <c r="I133" s="230"/>
      <c r="J133" s="230"/>
      <c r="K133" s="230"/>
      <c r="L133" s="230"/>
      <c r="M133" s="230"/>
      <c r="N133" s="230"/>
      <c r="O133" s="230"/>
      <c r="P133" s="230"/>
      <c r="Q133" s="230"/>
      <c r="R133" s="395"/>
    </row>
    <row r="134" spans="2:18" x14ac:dyDescent="0.25">
      <c r="B134" s="394"/>
      <c r="C134" s="230"/>
      <c r="D134" s="230"/>
      <c r="E134" s="230"/>
      <c r="F134" s="230"/>
      <c r="G134" s="230"/>
      <c r="H134" s="230"/>
      <c r="I134" s="230"/>
      <c r="J134" s="230"/>
      <c r="K134" s="230"/>
      <c r="L134" s="230"/>
      <c r="M134" s="230"/>
      <c r="N134" s="230"/>
      <c r="O134" s="230"/>
      <c r="P134" s="230"/>
      <c r="Q134" s="230"/>
      <c r="R134" s="395"/>
    </row>
    <row r="135" spans="2:18" x14ac:dyDescent="0.25">
      <c r="B135" s="394"/>
      <c r="C135" s="230"/>
      <c r="D135" s="230"/>
      <c r="E135" s="230"/>
      <c r="F135" s="230"/>
      <c r="G135" s="230"/>
      <c r="H135" s="230"/>
      <c r="I135" s="230"/>
      <c r="J135" s="230"/>
      <c r="K135" s="230"/>
      <c r="L135" s="230"/>
      <c r="M135" s="230"/>
      <c r="N135" s="230"/>
      <c r="O135" s="230"/>
      <c r="P135" s="230"/>
      <c r="Q135" s="230"/>
      <c r="R135" s="395"/>
    </row>
    <row r="136" spans="2:18" x14ac:dyDescent="0.25">
      <c r="B136" s="394"/>
      <c r="C136" s="230"/>
      <c r="D136" s="230"/>
      <c r="E136" s="230"/>
      <c r="F136" s="230"/>
      <c r="G136" s="230"/>
      <c r="H136" s="230"/>
      <c r="I136" s="230"/>
      <c r="J136" s="230"/>
      <c r="K136" s="230"/>
      <c r="L136" s="230"/>
      <c r="M136" s="230"/>
      <c r="N136" s="230"/>
      <c r="O136" s="230"/>
      <c r="P136" s="230"/>
      <c r="Q136" s="230"/>
      <c r="R136" s="395"/>
    </row>
    <row r="137" spans="2:18" x14ac:dyDescent="0.25">
      <c r="B137" s="394"/>
      <c r="C137" s="230"/>
      <c r="D137" s="230"/>
      <c r="E137" s="230"/>
      <c r="F137" s="230"/>
      <c r="G137" s="230"/>
      <c r="H137" s="230"/>
      <c r="I137" s="230"/>
      <c r="J137" s="230"/>
      <c r="K137" s="230"/>
      <c r="L137" s="230"/>
      <c r="M137" s="230"/>
      <c r="N137" s="230"/>
      <c r="O137" s="230"/>
      <c r="P137" s="230"/>
      <c r="Q137" s="230"/>
      <c r="R137" s="395"/>
    </row>
    <row r="138" spans="2:18" x14ac:dyDescent="0.25">
      <c r="B138" s="394"/>
      <c r="C138" s="230"/>
      <c r="D138" s="230"/>
      <c r="E138" s="230"/>
      <c r="F138" s="230"/>
      <c r="G138" s="230"/>
      <c r="H138" s="230"/>
      <c r="I138" s="230"/>
      <c r="J138" s="230"/>
      <c r="K138" s="230"/>
      <c r="L138" s="230"/>
      <c r="M138" s="230"/>
      <c r="N138" s="230"/>
      <c r="O138" s="230"/>
      <c r="P138" s="230"/>
      <c r="Q138" s="230"/>
      <c r="R138" s="395"/>
    </row>
    <row r="139" spans="2:18" x14ac:dyDescent="0.25">
      <c r="B139" s="394"/>
      <c r="C139" s="230"/>
      <c r="D139" s="230"/>
      <c r="E139" s="230"/>
      <c r="F139" s="230"/>
      <c r="G139" s="230"/>
      <c r="H139" s="230"/>
      <c r="I139" s="230"/>
      <c r="J139" s="230"/>
      <c r="K139" s="230"/>
      <c r="L139" s="230"/>
      <c r="M139" s="230"/>
      <c r="N139" s="230"/>
      <c r="O139" s="230"/>
      <c r="P139" s="230"/>
      <c r="Q139" s="230"/>
      <c r="R139" s="395"/>
    </row>
    <row r="140" spans="2:18" x14ac:dyDescent="0.25">
      <c r="B140" s="394"/>
      <c r="C140" s="230"/>
      <c r="D140" s="230"/>
      <c r="E140" s="230"/>
      <c r="F140" s="230"/>
      <c r="G140" s="230"/>
      <c r="H140" s="230"/>
      <c r="I140" s="230"/>
      <c r="J140" s="230"/>
      <c r="K140" s="230"/>
      <c r="L140" s="230"/>
      <c r="M140" s="230"/>
      <c r="N140" s="230"/>
      <c r="O140" s="230"/>
      <c r="P140" s="230"/>
      <c r="Q140" s="230"/>
      <c r="R140" s="395"/>
    </row>
    <row r="141" spans="2:18" x14ac:dyDescent="0.25">
      <c r="B141" s="394"/>
      <c r="C141" s="230"/>
      <c r="D141" s="230"/>
      <c r="E141" s="230"/>
      <c r="F141" s="230"/>
      <c r="G141" s="230"/>
      <c r="H141" s="230"/>
      <c r="I141" s="230"/>
      <c r="J141" s="230"/>
      <c r="K141" s="230"/>
      <c r="L141" s="230"/>
      <c r="M141" s="230"/>
      <c r="N141" s="230"/>
      <c r="O141" s="230"/>
      <c r="P141" s="230"/>
      <c r="Q141" s="230"/>
      <c r="R141" s="395"/>
    </row>
    <row r="142" spans="2:18" x14ac:dyDescent="0.25">
      <c r="B142" s="394"/>
      <c r="C142" s="230"/>
      <c r="D142" s="230"/>
      <c r="E142" s="230"/>
      <c r="F142" s="230"/>
      <c r="G142" s="230"/>
      <c r="H142" s="230"/>
      <c r="I142" s="230"/>
      <c r="J142" s="230"/>
      <c r="K142" s="230"/>
      <c r="L142" s="230"/>
      <c r="M142" s="230"/>
      <c r="N142" s="230"/>
      <c r="O142" s="230"/>
      <c r="P142" s="230"/>
      <c r="Q142" s="230"/>
      <c r="R142" s="395"/>
    </row>
    <row r="143" spans="2:18" x14ac:dyDescent="0.25">
      <c r="B143" s="394"/>
      <c r="C143" s="230"/>
      <c r="D143" s="230"/>
      <c r="E143" s="230"/>
      <c r="F143" s="230"/>
      <c r="G143" s="230"/>
      <c r="H143" s="230"/>
      <c r="I143" s="230"/>
      <c r="J143" s="230"/>
      <c r="K143" s="230"/>
      <c r="L143" s="230"/>
      <c r="M143" s="230"/>
      <c r="N143" s="230"/>
      <c r="O143" s="230"/>
      <c r="P143" s="230"/>
      <c r="Q143" s="230"/>
      <c r="R143" s="395"/>
    </row>
    <row r="144" spans="2:18" x14ac:dyDescent="0.25">
      <c r="B144" s="394"/>
      <c r="C144" s="230"/>
      <c r="D144" s="230"/>
      <c r="E144" s="230"/>
      <c r="F144" s="230"/>
      <c r="G144" s="230"/>
      <c r="H144" s="230"/>
      <c r="I144" s="230"/>
      <c r="J144" s="230"/>
      <c r="K144" s="230"/>
      <c r="L144" s="230"/>
      <c r="M144" s="230"/>
      <c r="N144" s="230"/>
      <c r="O144" s="230"/>
      <c r="P144" s="230"/>
      <c r="Q144" s="230"/>
      <c r="R144" s="395"/>
    </row>
    <row r="145" spans="2:18" x14ac:dyDescent="0.25">
      <c r="B145" s="394"/>
      <c r="C145" s="230"/>
      <c r="D145" s="230"/>
      <c r="E145" s="230"/>
      <c r="F145" s="230"/>
      <c r="G145" s="230"/>
      <c r="H145" s="230"/>
      <c r="I145" s="230"/>
      <c r="J145" s="230"/>
      <c r="K145" s="230"/>
      <c r="L145" s="230"/>
      <c r="M145" s="230"/>
      <c r="N145" s="230"/>
      <c r="O145" s="230"/>
      <c r="P145" s="230"/>
      <c r="Q145" s="230"/>
      <c r="R145" s="395"/>
    </row>
    <row r="146" spans="2:18" x14ac:dyDescent="0.25">
      <c r="B146" s="394"/>
      <c r="C146" s="230"/>
      <c r="D146" s="230"/>
      <c r="E146" s="230"/>
      <c r="F146" s="230"/>
      <c r="G146" s="230"/>
      <c r="H146" s="230"/>
      <c r="I146" s="230"/>
      <c r="J146" s="230"/>
      <c r="K146" s="230"/>
      <c r="L146" s="230"/>
      <c r="M146" s="230"/>
      <c r="N146" s="230"/>
      <c r="O146" s="230"/>
      <c r="P146" s="230"/>
      <c r="Q146" s="230"/>
      <c r="R146" s="395"/>
    </row>
    <row r="147" spans="2:18" x14ac:dyDescent="0.25">
      <c r="B147" s="394"/>
      <c r="C147" s="230"/>
      <c r="D147" s="230"/>
      <c r="E147" s="230"/>
      <c r="F147" s="230"/>
      <c r="G147" s="230"/>
      <c r="H147" s="230"/>
      <c r="I147" s="230"/>
      <c r="J147" s="230"/>
      <c r="K147" s="230"/>
      <c r="L147" s="230"/>
      <c r="M147" s="230"/>
      <c r="N147" s="230"/>
      <c r="O147" s="230"/>
      <c r="P147" s="230"/>
      <c r="Q147" s="230"/>
      <c r="R147" s="395"/>
    </row>
    <row r="148" spans="2:18" x14ac:dyDescent="0.25">
      <c r="B148" s="394"/>
      <c r="C148" s="230"/>
      <c r="D148" s="230"/>
      <c r="E148" s="230"/>
      <c r="F148" s="230"/>
      <c r="G148" s="230"/>
      <c r="H148" s="230"/>
      <c r="I148" s="230"/>
      <c r="J148" s="230"/>
      <c r="K148" s="230"/>
      <c r="L148" s="230"/>
      <c r="M148" s="230"/>
      <c r="N148" s="230"/>
      <c r="O148" s="230"/>
      <c r="P148" s="230"/>
      <c r="Q148" s="230"/>
      <c r="R148" s="395"/>
    </row>
    <row r="149" spans="2:18" x14ac:dyDescent="0.25">
      <c r="B149" s="394"/>
      <c r="C149" s="230"/>
      <c r="D149" s="230"/>
      <c r="E149" s="230"/>
      <c r="F149" s="230"/>
      <c r="G149" s="230"/>
      <c r="H149" s="230"/>
      <c r="I149" s="230"/>
      <c r="J149" s="230"/>
      <c r="K149" s="230"/>
      <c r="L149" s="230"/>
      <c r="M149" s="230"/>
      <c r="N149" s="230"/>
      <c r="O149" s="230"/>
      <c r="P149" s="230"/>
      <c r="Q149" s="230"/>
      <c r="R149" s="395"/>
    </row>
    <row r="150" spans="2:18" x14ac:dyDescent="0.25">
      <c r="B150" s="394"/>
      <c r="C150" s="230"/>
      <c r="D150" s="230"/>
      <c r="E150" s="230"/>
      <c r="F150" s="230"/>
      <c r="G150" s="230"/>
      <c r="H150" s="230"/>
      <c r="I150" s="230"/>
      <c r="J150" s="230"/>
      <c r="K150" s="230"/>
      <c r="L150" s="230"/>
      <c r="M150" s="230"/>
      <c r="N150" s="230"/>
      <c r="O150" s="230"/>
      <c r="P150" s="230"/>
      <c r="Q150" s="230"/>
      <c r="R150" s="395"/>
    </row>
    <row r="151" spans="2:18" x14ac:dyDescent="0.25">
      <c r="B151" s="394"/>
      <c r="C151" s="230"/>
      <c r="D151" s="230"/>
      <c r="E151" s="230"/>
      <c r="F151" s="230"/>
      <c r="G151" s="230"/>
      <c r="H151" s="230"/>
      <c r="I151" s="230"/>
      <c r="J151" s="230"/>
      <c r="K151" s="230"/>
      <c r="L151" s="230"/>
      <c r="M151" s="230"/>
      <c r="N151" s="230"/>
      <c r="O151" s="230"/>
      <c r="P151" s="230"/>
      <c r="Q151" s="230"/>
      <c r="R151" s="395"/>
    </row>
    <row r="152" spans="2:18" x14ac:dyDescent="0.25">
      <c r="B152" s="394"/>
      <c r="C152" s="230"/>
      <c r="D152" s="230"/>
      <c r="E152" s="230"/>
      <c r="F152" s="230"/>
      <c r="G152" s="230"/>
      <c r="H152" s="230"/>
      <c r="I152" s="230"/>
      <c r="J152" s="230"/>
      <c r="K152" s="230"/>
      <c r="L152" s="230"/>
      <c r="M152" s="230"/>
      <c r="N152" s="230"/>
      <c r="O152" s="230"/>
      <c r="P152" s="230"/>
      <c r="Q152" s="230"/>
      <c r="R152" s="395"/>
    </row>
    <row r="153" spans="2:18" x14ac:dyDescent="0.25">
      <c r="B153" s="394"/>
      <c r="C153" s="230"/>
      <c r="D153" s="230"/>
      <c r="E153" s="230"/>
      <c r="F153" s="230"/>
      <c r="G153" s="230"/>
      <c r="H153" s="230"/>
      <c r="I153" s="230"/>
      <c r="J153" s="230"/>
      <c r="K153" s="230"/>
      <c r="L153" s="230"/>
      <c r="M153" s="230"/>
      <c r="N153" s="230"/>
      <c r="O153" s="230"/>
      <c r="P153" s="230"/>
      <c r="Q153" s="230"/>
      <c r="R153" s="395"/>
    </row>
    <row r="154" spans="2:18" x14ac:dyDescent="0.25">
      <c r="B154" s="394"/>
      <c r="C154" s="230"/>
      <c r="D154" s="230"/>
      <c r="E154" s="230"/>
      <c r="F154" s="230"/>
      <c r="G154" s="230"/>
      <c r="H154" s="230"/>
      <c r="I154" s="230"/>
      <c r="J154" s="230"/>
      <c r="K154" s="230"/>
      <c r="L154" s="230"/>
      <c r="M154" s="230"/>
      <c r="N154" s="230"/>
      <c r="O154" s="230"/>
      <c r="P154" s="230"/>
      <c r="Q154" s="230"/>
      <c r="R154" s="395"/>
    </row>
    <row r="155" spans="2:18" x14ac:dyDescent="0.25">
      <c r="B155" s="394"/>
      <c r="C155" s="230"/>
      <c r="D155" s="230"/>
      <c r="E155" s="230"/>
      <c r="F155" s="230"/>
      <c r="G155" s="230"/>
      <c r="H155" s="230"/>
      <c r="I155" s="230"/>
      <c r="J155" s="230"/>
      <c r="K155" s="230"/>
      <c r="L155" s="230"/>
      <c r="M155" s="230"/>
      <c r="N155" s="230"/>
      <c r="O155" s="230"/>
      <c r="P155" s="230"/>
      <c r="Q155" s="230"/>
      <c r="R155" s="395"/>
    </row>
    <row r="156" spans="2:18" x14ac:dyDescent="0.25">
      <c r="B156" s="394"/>
      <c r="C156" s="230"/>
      <c r="D156" s="230"/>
      <c r="E156" s="230"/>
      <c r="F156" s="230"/>
      <c r="G156" s="230"/>
      <c r="H156" s="230"/>
      <c r="I156" s="230"/>
      <c r="J156" s="230"/>
      <c r="K156" s="230"/>
      <c r="L156" s="230"/>
      <c r="M156" s="230"/>
      <c r="N156" s="230"/>
      <c r="O156" s="230"/>
      <c r="P156" s="230"/>
      <c r="Q156" s="230"/>
      <c r="R156" s="395"/>
    </row>
    <row r="157" spans="2:18" x14ac:dyDescent="0.25">
      <c r="B157" s="394"/>
      <c r="C157" s="230"/>
      <c r="D157" s="230"/>
      <c r="E157" s="230"/>
      <c r="F157" s="230"/>
      <c r="G157" s="230"/>
      <c r="H157" s="230"/>
      <c r="I157" s="230"/>
      <c r="J157" s="230"/>
      <c r="K157" s="230"/>
      <c r="L157" s="230"/>
      <c r="M157" s="230"/>
      <c r="N157" s="230"/>
      <c r="O157" s="230"/>
      <c r="P157" s="230"/>
      <c r="Q157" s="230"/>
      <c r="R157" s="395"/>
    </row>
    <row r="158" spans="2:18" x14ac:dyDescent="0.25">
      <c r="B158" s="394"/>
      <c r="C158" s="230"/>
      <c r="D158" s="230"/>
      <c r="E158" s="230"/>
      <c r="F158" s="230"/>
      <c r="G158" s="230"/>
      <c r="H158" s="230"/>
      <c r="I158" s="230"/>
      <c r="J158" s="230"/>
      <c r="K158" s="230"/>
      <c r="L158" s="230"/>
      <c r="M158" s="230"/>
      <c r="N158" s="230"/>
      <c r="O158" s="230"/>
      <c r="P158" s="230"/>
      <c r="Q158" s="230"/>
      <c r="R158" s="395"/>
    </row>
    <row r="159" spans="2:18" x14ac:dyDescent="0.25">
      <c r="B159" s="394"/>
      <c r="C159" s="230"/>
      <c r="D159" s="230"/>
      <c r="E159" s="230"/>
      <c r="F159" s="230"/>
      <c r="G159" s="230"/>
      <c r="H159" s="230"/>
      <c r="I159" s="230"/>
      <c r="J159" s="230"/>
      <c r="K159" s="230"/>
      <c r="L159" s="230"/>
      <c r="M159" s="230"/>
      <c r="N159" s="230"/>
      <c r="O159" s="230"/>
      <c r="P159" s="230"/>
      <c r="Q159" s="230"/>
      <c r="R159" s="395"/>
    </row>
    <row r="160" spans="2:18" x14ac:dyDescent="0.25">
      <c r="B160" s="394"/>
      <c r="C160" s="230"/>
      <c r="D160" s="230"/>
      <c r="E160" s="230"/>
      <c r="F160" s="230"/>
      <c r="G160" s="230"/>
      <c r="H160" s="230"/>
      <c r="I160" s="230"/>
      <c r="J160" s="230"/>
      <c r="K160" s="230"/>
      <c r="L160" s="230"/>
      <c r="M160" s="230"/>
      <c r="N160" s="230"/>
      <c r="O160" s="230"/>
      <c r="P160" s="230"/>
      <c r="Q160" s="230"/>
      <c r="R160" s="395"/>
    </row>
    <row r="161" spans="2:18" x14ac:dyDescent="0.25">
      <c r="B161" s="394"/>
      <c r="C161" s="230"/>
      <c r="D161" s="230"/>
      <c r="E161" s="230"/>
      <c r="F161" s="230"/>
      <c r="G161" s="230"/>
      <c r="H161" s="230"/>
      <c r="I161" s="230"/>
      <c r="J161" s="230"/>
      <c r="K161" s="230"/>
      <c r="L161" s="230"/>
      <c r="M161" s="230"/>
      <c r="N161" s="230"/>
      <c r="O161" s="230"/>
      <c r="P161" s="230"/>
      <c r="Q161" s="230"/>
      <c r="R161" s="395"/>
    </row>
    <row r="162" spans="2:18" x14ac:dyDescent="0.25">
      <c r="B162" s="394"/>
      <c r="C162" s="230"/>
      <c r="D162" s="230"/>
      <c r="E162" s="230"/>
      <c r="F162" s="230"/>
      <c r="G162" s="230"/>
      <c r="H162" s="230"/>
      <c r="I162" s="230"/>
      <c r="J162" s="230"/>
      <c r="K162" s="230"/>
      <c r="L162" s="230"/>
      <c r="M162" s="230"/>
      <c r="N162" s="230"/>
      <c r="O162" s="230"/>
      <c r="P162" s="230"/>
      <c r="Q162" s="230"/>
      <c r="R162" s="395"/>
    </row>
    <row r="163" spans="2:18" x14ac:dyDescent="0.25">
      <c r="B163" s="394"/>
      <c r="C163" s="230"/>
      <c r="D163" s="230"/>
      <c r="E163" s="230"/>
      <c r="F163" s="230"/>
      <c r="G163" s="230"/>
      <c r="H163" s="230"/>
      <c r="I163" s="230"/>
      <c r="J163" s="230"/>
      <c r="K163" s="230"/>
      <c r="L163" s="230"/>
      <c r="M163" s="230"/>
      <c r="N163" s="230"/>
      <c r="O163" s="230"/>
      <c r="P163" s="230"/>
      <c r="Q163" s="230"/>
      <c r="R163" s="395"/>
    </row>
    <row r="164" spans="2:18" x14ac:dyDescent="0.25">
      <c r="B164" s="394"/>
      <c r="C164" s="230"/>
      <c r="D164" s="230"/>
      <c r="E164" s="230"/>
      <c r="F164" s="230"/>
      <c r="G164" s="230"/>
      <c r="H164" s="230"/>
      <c r="I164" s="230"/>
      <c r="J164" s="230"/>
      <c r="K164" s="230"/>
      <c r="L164" s="230"/>
      <c r="M164" s="230"/>
      <c r="N164" s="230"/>
      <c r="O164" s="230"/>
      <c r="P164" s="230"/>
      <c r="Q164" s="230"/>
      <c r="R164" s="395"/>
    </row>
    <row r="165" spans="2:18" x14ac:dyDescent="0.25">
      <c r="B165" s="394"/>
      <c r="C165" s="230"/>
      <c r="D165" s="230"/>
      <c r="E165" s="230"/>
      <c r="F165" s="230"/>
      <c r="G165" s="230"/>
      <c r="H165" s="230"/>
      <c r="I165" s="230"/>
      <c r="J165" s="230"/>
      <c r="K165" s="230"/>
      <c r="L165" s="230"/>
      <c r="M165" s="230"/>
      <c r="N165" s="230"/>
      <c r="O165" s="230"/>
      <c r="P165" s="230"/>
      <c r="Q165" s="230"/>
      <c r="R165" s="395"/>
    </row>
    <row r="166" spans="2:18" x14ac:dyDescent="0.25">
      <c r="B166" s="394"/>
      <c r="C166" s="230"/>
      <c r="D166" s="230"/>
      <c r="E166" s="230"/>
      <c r="F166" s="230"/>
      <c r="G166" s="230"/>
      <c r="H166" s="230"/>
      <c r="I166" s="230"/>
      <c r="J166" s="230"/>
      <c r="K166" s="230"/>
      <c r="L166" s="230"/>
      <c r="M166" s="230"/>
      <c r="N166" s="230"/>
      <c r="O166" s="230"/>
      <c r="P166" s="230"/>
      <c r="Q166" s="230"/>
      <c r="R166" s="395"/>
    </row>
    <row r="167" spans="2:18" x14ac:dyDescent="0.25">
      <c r="B167" s="394"/>
      <c r="C167" s="230"/>
      <c r="D167" s="230"/>
      <c r="E167" s="230"/>
      <c r="F167" s="230"/>
      <c r="G167" s="230"/>
      <c r="H167" s="230"/>
      <c r="I167" s="230"/>
      <c r="J167" s="230"/>
      <c r="K167" s="230"/>
      <c r="L167" s="230"/>
      <c r="M167" s="230"/>
      <c r="N167" s="230"/>
      <c r="O167" s="230"/>
      <c r="P167" s="230"/>
      <c r="Q167" s="230"/>
      <c r="R167" s="395"/>
    </row>
    <row r="168" spans="2:18" x14ac:dyDescent="0.25">
      <c r="B168" s="394"/>
      <c r="C168" s="230"/>
      <c r="D168" s="230"/>
      <c r="E168" s="230"/>
      <c r="F168" s="230"/>
      <c r="G168" s="230"/>
      <c r="H168" s="230"/>
      <c r="I168" s="230"/>
      <c r="J168" s="230"/>
      <c r="K168" s="230"/>
      <c r="L168" s="230"/>
      <c r="M168" s="230"/>
      <c r="N168" s="230"/>
      <c r="O168" s="230"/>
      <c r="P168" s="230"/>
      <c r="Q168" s="230"/>
      <c r="R168" s="395"/>
    </row>
    <row r="169" spans="2:18" x14ac:dyDescent="0.25">
      <c r="B169" s="394"/>
      <c r="C169" s="230"/>
      <c r="D169" s="230"/>
      <c r="E169" s="230"/>
      <c r="F169" s="230"/>
      <c r="G169" s="230"/>
      <c r="H169" s="230"/>
      <c r="I169" s="230"/>
      <c r="J169" s="230"/>
      <c r="K169" s="230"/>
      <c r="L169" s="230"/>
      <c r="M169" s="230"/>
      <c r="N169" s="230"/>
      <c r="O169" s="230"/>
      <c r="P169" s="230"/>
      <c r="Q169" s="230"/>
      <c r="R169" s="395"/>
    </row>
    <row r="170" spans="2:18" x14ac:dyDescent="0.25">
      <c r="B170" s="394"/>
      <c r="C170" s="230"/>
      <c r="D170" s="230"/>
      <c r="E170" s="230"/>
      <c r="F170" s="230"/>
      <c r="G170" s="230"/>
      <c r="H170" s="230"/>
      <c r="I170" s="230"/>
      <c r="J170" s="230"/>
      <c r="K170" s="230"/>
      <c r="L170" s="230"/>
      <c r="M170" s="230"/>
      <c r="N170" s="230"/>
      <c r="O170" s="230"/>
      <c r="P170" s="230"/>
      <c r="Q170" s="230"/>
      <c r="R170" s="395"/>
    </row>
    <row r="171" spans="2:18" x14ac:dyDescent="0.25">
      <c r="B171" s="394"/>
      <c r="C171" s="230"/>
      <c r="D171" s="230"/>
      <c r="E171" s="230"/>
      <c r="F171" s="230"/>
      <c r="G171" s="230"/>
      <c r="H171" s="230"/>
      <c r="I171" s="230"/>
      <c r="J171" s="230"/>
      <c r="K171" s="230"/>
      <c r="L171" s="230"/>
      <c r="M171" s="230"/>
      <c r="N171" s="230"/>
      <c r="O171" s="230"/>
      <c r="P171" s="230"/>
      <c r="Q171" s="230"/>
      <c r="R171" s="395"/>
    </row>
    <row r="172" spans="2:18" x14ac:dyDescent="0.25">
      <c r="B172" s="394"/>
      <c r="C172" s="230"/>
      <c r="D172" s="230"/>
      <c r="E172" s="230"/>
      <c r="F172" s="230"/>
      <c r="G172" s="230"/>
      <c r="H172" s="230"/>
      <c r="I172" s="230"/>
      <c r="J172" s="230"/>
      <c r="K172" s="230"/>
      <c r="L172" s="230"/>
      <c r="M172" s="230"/>
      <c r="N172" s="230"/>
      <c r="O172" s="230"/>
      <c r="P172" s="230"/>
      <c r="Q172" s="230"/>
      <c r="R172" s="395"/>
    </row>
    <row r="173" spans="2:18" x14ac:dyDescent="0.25">
      <c r="B173" s="394"/>
      <c r="C173" s="230"/>
      <c r="D173" s="230"/>
      <c r="E173" s="230"/>
      <c r="F173" s="230"/>
      <c r="G173" s="230"/>
      <c r="H173" s="230"/>
      <c r="I173" s="230"/>
      <c r="J173" s="230"/>
      <c r="K173" s="230"/>
      <c r="L173" s="230"/>
      <c r="M173" s="230"/>
      <c r="N173" s="230"/>
      <c r="O173" s="230"/>
      <c r="P173" s="230"/>
      <c r="Q173" s="230"/>
      <c r="R173" s="395"/>
    </row>
    <row r="174" spans="2:18" x14ac:dyDescent="0.25">
      <c r="B174" s="394"/>
      <c r="C174" s="230"/>
      <c r="D174" s="230"/>
      <c r="E174" s="230"/>
      <c r="F174" s="230"/>
      <c r="G174" s="230"/>
      <c r="H174" s="230"/>
      <c r="I174" s="230"/>
      <c r="J174" s="230"/>
      <c r="K174" s="230"/>
      <c r="L174" s="230"/>
      <c r="M174" s="230"/>
      <c r="N174" s="230"/>
      <c r="O174" s="230"/>
      <c r="P174" s="230"/>
      <c r="Q174" s="230"/>
      <c r="R174" s="395"/>
    </row>
    <row r="175" spans="2:18" x14ac:dyDescent="0.25">
      <c r="B175" s="394"/>
      <c r="C175" s="230"/>
      <c r="D175" s="230"/>
      <c r="E175" s="230"/>
      <c r="F175" s="230"/>
      <c r="G175" s="230"/>
      <c r="H175" s="230"/>
      <c r="I175" s="230"/>
      <c r="J175" s="230"/>
      <c r="K175" s="230"/>
      <c r="L175" s="230"/>
      <c r="M175" s="230"/>
      <c r="N175" s="230"/>
      <c r="O175" s="230"/>
      <c r="P175" s="230"/>
      <c r="Q175" s="230"/>
      <c r="R175" s="395"/>
    </row>
    <row r="176" spans="2:18" x14ac:dyDescent="0.25">
      <c r="B176" s="394"/>
      <c r="C176" s="230"/>
      <c r="D176" s="230"/>
      <c r="E176" s="230"/>
      <c r="F176" s="230"/>
      <c r="G176" s="230"/>
      <c r="H176" s="230"/>
      <c r="I176" s="230"/>
      <c r="J176" s="230"/>
      <c r="K176" s="230"/>
      <c r="L176" s="230"/>
      <c r="M176" s="230"/>
      <c r="N176" s="230"/>
      <c r="O176" s="230"/>
      <c r="P176" s="230"/>
      <c r="Q176" s="230"/>
      <c r="R176" s="395"/>
    </row>
    <row r="177" spans="2:18" x14ac:dyDescent="0.25">
      <c r="B177" s="394"/>
      <c r="C177" s="230"/>
      <c r="D177" s="230"/>
      <c r="E177" s="230"/>
      <c r="F177" s="230"/>
      <c r="G177" s="230"/>
      <c r="H177" s="230"/>
      <c r="I177" s="230"/>
      <c r="J177" s="230"/>
      <c r="K177" s="230"/>
      <c r="L177" s="230"/>
      <c r="M177" s="230"/>
      <c r="N177" s="230"/>
      <c r="O177" s="230"/>
      <c r="P177" s="230"/>
      <c r="Q177" s="230"/>
      <c r="R177" s="395"/>
    </row>
    <row r="178" spans="2:18" x14ac:dyDescent="0.25">
      <c r="B178" s="394"/>
      <c r="C178" s="230"/>
      <c r="D178" s="230"/>
      <c r="E178" s="230"/>
      <c r="F178" s="230"/>
      <c r="G178" s="230"/>
      <c r="H178" s="230"/>
      <c r="I178" s="230"/>
      <c r="J178" s="230"/>
      <c r="K178" s="230"/>
      <c r="L178" s="230"/>
      <c r="M178" s="230"/>
      <c r="N178" s="230"/>
      <c r="O178" s="230"/>
      <c r="P178" s="230"/>
      <c r="Q178" s="230"/>
      <c r="R178" s="395"/>
    </row>
    <row r="179" spans="2:18" x14ac:dyDescent="0.25">
      <c r="B179" s="394"/>
      <c r="C179" s="230"/>
      <c r="D179" s="230"/>
      <c r="E179" s="230"/>
      <c r="F179" s="230"/>
      <c r="G179" s="230"/>
      <c r="H179" s="230"/>
      <c r="I179" s="230"/>
      <c r="J179" s="230"/>
      <c r="K179" s="230"/>
      <c r="L179" s="230"/>
      <c r="M179" s="230"/>
      <c r="N179" s="230"/>
      <c r="O179" s="230"/>
      <c r="P179" s="230"/>
      <c r="Q179" s="230"/>
      <c r="R179" s="395"/>
    </row>
    <row r="180" spans="2:18" x14ac:dyDescent="0.25">
      <c r="B180" s="394"/>
      <c r="C180" s="230"/>
      <c r="D180" s="230"/>
      <c r="E180" s="230"/>
      <c r="F180" s="230"/>
      <c r="G180" s="230"/>
      <c r="H180" s="230"/>
      <c r="I180" s="230"/>
      <c r="J180" s="230"/>
      <c r="K180" s="230"/>
      <c r="L180" s="230"/>
      <c r="M180" s="230"/>
      <c r="N180" s="230"/>
      <c r="O180" s="230"/>
      <c r="P180" s="230"/>
      <c r="Q180" s="230"/>
      <c r="R180" s="395"/>
    </row>
    <row r="181" spans="2:18" x14ac:dyDescent="0.25">
      <c r="B181" s="394"/>
      <c r="C181" s="230"/>
      <c r="D181" s="230"/>
      <c r="E181" s="230"/>
      <c r="F181" s="230"/>
      <c r="G181" s="230"/>
      <c r="H181" s="230"/>
      <c r="I181" s="230"/>
      <c r="J181" s="230"/>
      <c r="K181" s="230"/>
      <c r="L181" s="230"/>
      <c r="M181" s="230"/>
      <c r="N181" s="230"/>
      <c r="O181" s="230"/>
      <c r="P181" s="230"/>
      <c r="Q181" s="230"/>
      <c r="R181" s="395"/>
    </row>
    <row r="182" spans="2:18" x14ac:dyDescent="0.25">
      <c r="B182" s="394"/>
      <c r="C182" s="230"/>
      <c r="D182" s="230"/>
      <c r="E182" s="230"/>
      <c r="F182" s="230"/>
      <c r="G182" s="230"/>
      <c r="H182" s="230"/>
      <c r="I182" s="230"/>
      <c r="J182" s="230"/>
      <c r="K182" s="230"/>
      <c r="L182" s="230"/>
      <c r="M182" s="230"/>
      <c r="N182" s="230"/>
      <c r="O182" s="230"/>
      <c r="P182" s="230"/>
      <c r="Q182" s="230"/>
      <c r="R182" s="395"/>
    </row>
    <row r="183" spans="2:18" x14ac:dyDescent="0.25">
      <c r="B183" s="394"/>
      <c r="C183" s="230"/>
      <c r="D183" s="230"/>
      <c r="E183" s="230"/>
      <c r="F183" s="230"/>
      <c r="G183" s="230"/>
      <c r="H183" s="230"/>
      <c r="I183" s="230"/>
      <c r="J183" s="230"/>
      <c r="K183" s="230"/>
      <c r="L183" s="230"/>
      <c r="M183" s="230"/>
      <c r="N183" s="230"/>
      <c r="O183" s="230"/>
      <c r="P183" s="230"/>
      <c r="Q183" s="230"/>
      <c r="R183" s="395"/>
    </row>
    <row r="184" spans="2:18" x14ac:dyDescent="0.25">
      <c r="B184" s="394"/>
      <c r="C184" s="230"/>
      <c r="D184" s="230"/>
      <c r="E184" s="230"/>
      <c r="F184" s="230"/>
      <c r="G184" s="230"/>
      <c r="H184" s="230"/>
      <c r="I184" s="230"/>
      <c r="J184" s="230"/>
      <c r="K184" s="230"/>
      <c r="L184" s="230"/>
      <c r="M184" s="230"/>
      <c r="N184" s="230"/>
      <c r="O184" s="230"/>
      <c r="P184" s="230"/>
      <c r="Q184" s="230"/>
      <c r="R184" s="395"/>
    </row>
    <row r="185" spans="2:18" x14ac:dyDescent="0.25">
      <c r="B185" s="394"/>
      <c r="C185" s="230"/>
      <c r="D185" s="230"/>
      <c r="E185" s="230"/>
      <c r="F185" s="230"/>
      <c r="G185" s="230"/>
      <c r="H185" s="230"/>
      <c r="I185" s="230"/>
      <c r="J185" s="230"/>
      <c r="K185" s="230"/>
      <c r="L185" s="230"/>
      <c r="M185" s="230"/>
      <c r="N185" s="230"/>
      <c r="O185" s="230"/>
      <c r="P185" s="230"/>
      <c r="Q185" s="230"/>
      <c r="R185" s="395"/>
    </row>
    <row r="186" spans="2:18" x14ac:dyDescent="0.25">
      <c r="B186" s="394"/>
      <c r="C186" s="230"/>
      <c r="D186" s="230"/>
      <c r="E186" s="230"/>
      <c r="F186" s="230"/>
      <c r="G186" s="230"/>
      <c r="H186" s="230"/>
      <c r="I186" s="230"/>
      <c r="J186" s="230"/>
      <c r="K186" s="230"/>
      <c r="L186" s="230"/>
      <c r="M186" s="230"/>
      <c r="N186" s="230"/>
      <c r="O186" s="230"/>
      <c r="P186" s="230"/>
      <c r="Q186" s="230"/>
      <c r="R186" s="395"/>
    </row>
    <row r="187" spans="2:18" x14ac:dyDescent="0.25">
      <c r="B187" s="394"/>
      <c r="C187" s="230"/>
      <c r="D187" s="230"/>
      <c r="E187" s="230"/>
      <c r="F187" s="230"/>
      <c r="G187" s="230"/>
      <c r="H187" s="230"/>
      <c r="I187" s="230"/>
      <c r="J187" s="230"/>
      <c r="K187" s="230"/>
      <c r="L187" s="230"/>
      <c r="M187" s="230"/>
      <c r="N187" s="230"/>
      <c r="O187" s="230"/>
      <c r="P187" s="230"/>
      <c r="Q187" s="230"/>
      <c r="R187" s="395"/>
    </row>
    <row r="188" spans="2:18" x14ac:dyDescent="0.25">
      <c r="B188" s="394"/>
      <c r="C188" s="230"/>
      <c r="D188" s="230"/>
      <c r="E188" s="230"/>
      <c r="F188" s="230"/>
      <c r="G188" s="230"/>
      <c r="H188" s="230"/>
      <c r="I188" s="230"/>
      <c r="J188" s="230"/>
      <c r="K188" s="230"/>
      <c r="L188" s="230"/>
      <c r="M188" s="230"/>
      <c r="N188" s="230"/>
      <c r="O188" s="230"/>
      <c r="P188" s="230"/>
      <c r="Q188" s="230"/>
      <c r="R188" s="395"/>
    </row>
    <row r="189" spans="2:18" x14ac:dyDescent="0.25">
      <c r="B189" s="394"/>
      <c r="C189" s="230"/>
      <c r="D189" s="230"/>
      <c r="E189" s="230"/>
      <c r="F189" s="230"/>
      <c r="G189" s="230"/>
      <c r="H189" s="230"/>
      <c r="I189" s="230"/>
      <c r="J189" s="230"/>
      <c r="K189" s="230"/>
      <c r="L189" s="230"/>
      <c r="M189" s="230"/>
      <c r="N189" s="230"/>
      <c r="O189" s="230"/>
      <c r="P189" s="230"/>
      <c r="Q189" s="230"/>
      <c r="R189" s="395"/>
    </row>
    <row r="190" spans="2:18" x14ac:dyDescent="0.25">
      <c r="B190" s="394"/>
      <c r="C190" s="230"/>
      <c r="D190" s="230"/>
      <c r="E190" s="230"/>
      <c r="F190" s="230"/>
      <c r="G190" s="230"/>
      <c r="H190" s="230"/>
      <c r="I190" s="230"/>
      <c r="J190" s="230"/>
      <c r="K190" s="230"/>
      <c r="L190" s="230"/>
      <c r="M190" s="230"/>
      <c r="N190" s="230"/>
      <c r="O190" s="230"/>
      <c r="P190" s="230"/>
      <c r="Q190" s="230"/>
      <c r="R190" s="395"/>
    </row>
    <row r="191" spans="2:18" x14ac:dyDescent="0.25">
      <c r="B191" s="394"/>
      <c r="C191" s="230"/>
      <c r="D191" s="230"/>
      <c r="E191" s="230"/>
      <c r="F191" s="230"/>
      <c r="G191" s="230"/>
      <c r="H191" s="230"/>
      <c r="I191" s="230"/>
      <c r="J191" s="230"/>
      <c r="K191" s="230"/>
      <c r="L191" s="230"/>
      <c r="M191" s="230"/>
      <c r="N191" s="230"/>
      <c r="O191" s="230"/>
      <c r="P191" s="230"/>
      <c r="Q191" s="230"/>
      <c r="R191" s="395"/>
    </row>
    <row r="192" spans="2:18" x14ac:dyDescent="0.25">
      <c r="B192" s="394"/>
      <c r="C192" s="230"/>
      <c r="D192" s="230"/>
      <c r="E192" s="230"/>
      <c r="F192" s="230"/>
      <c r="G192" s="230"/>
      <c r="H192" s="230"/>
      <c r="I192" s="230"/>
      <c r="J192" s="230"/>
      <c r="K192" s="230"/>
      <c r="L192" s="230"/>
      <c r="M192" s="230"/>
      <c r="N192" s="230"/>
      <c r="O192" s="230"/>
      <c r="P192" s="230"/>
      <c r="Q192" s="230"/>
      <c r="R192" s="395"/>
    </row>
    <row r="193" spans="2:18" x14ac:dyDescent="0.25">
      <c r="B193" s="394"/>
      <c r="C193" s="230"/>
      <c r="D193" s="230"/>
      <c r="E193" s="230"/>
      <c r="F193" s="230"/>
      <c r="G193" s="230"/>
      <c r="H193" s="230"/>
      <c r="I193" s="230"/>
      <c r="J193" s="230"/>
      <c r="K193" s="230"/>
      <c r="L193" s="230"/>
      <c r="M193" s="230"/>
      <c r="N193" s="230"/>
      <c r="O193" s="230"/>
      <c r="P193" s="230"/>
      <c r="Q193" s="230"/>
      <c r="R193" s="395"/>
    </row>
    <row r="194" spans="2:18" x14ac:dyDescent="0.25">
      <c r="B194" s="394"/>
      <c r="C194" s="230"/>
      <c r="D194" s="230"/>
      <c r="E194" s="230"/>
      <c r="F194" s="230"/>
      <c r="G194" s="230"/>
      <c r="H194" s="230"/>
      <c r="I194" s="230"/>
      <c r="J194" s="230"/>
      <c r="K194" s="230"/>
      <c r="L194" s="230"/>
      <c r="M194" s="230"/>
      <c r="N194" s="230"/>
      <c r="O194" s="230"/>
      <c r="P194" s="230"/>
      <c r="Q194" s="230"/>
      <c r="R194" s="395"/>
    </row>
    <row r="195" spans="2:18" x14ac:dyDescent="0.25">
      <c r="B195" s="394"/>
      <c r="C195" s="230"/>
      <c r="D195" s="230"/>
      <c r="E195" s="230"/>
      <c r="F195" s="230"/>
      <c r="G195" s="230"/>
      <c r="H195" s="230"/>
      <c r="I195" s="230"/>
      <c r="J195" s="230"/>
      <c r="K195" s="230"/>
      <c r="L195" s="230"/>
      <c r="M195" s="230"/>
      <c r="N195" s="230"/>
      <c r="O195" s="230"/>
      <c r="P195" s="230"/>
      <c r="Q195" s="230"/>
      <c r="R195" s="395"/>
    </row>
    <row r="196" spans="2:18" x14ac:dyDescent="0.25">
      <c r="B196" s="394"/>
      <c r="C196" s="230"/>
      <c r="D196" s="230"/>
      <c r="E196" s="230"/>
      <c r="F196" s="230"/>
      <c r="G196" s="230"/>
      <c r="H196" s="230"/>
      <c r="I196" s="230"/>
      <c r="J196" s="230"/>
      <c r="K196" s="230"/>
      <c r="L196" s="230"/>
      <c r="M196" s="230"/>
      <c r="N196" s="230"/>
      <c r="O196" s="230"/>
      <c r="P196" s="230"/>
      <c r="Q196" s="230"/>
      <c r="R196" s="395"/>
    </row>
    <row r="197" spans="2:18" x14ac:dyDescent="0.25">
      <c r="B197" s="394"/>
      <c r="C197" s="230"/>
      <c r="D197" s="230"/>
      <c r="E197" s="230"/>
      <c r="F197" s="230"/>
      <c r="G197" s="230"/>
      <c r="H197" s="230"/>
      <c r="I197" s="230"/>
      <c r="J197" s="230"/>
      <c r="K197" s="230"/>
      <c r="L197" s="230"/>
      <c r="M197" s="230"/>
      <c r="N197" s="230"/>
      <c r="O197" s="230"/>
      <c r="P197" s="230"/>
      <c r="Q197" s="230"/>
      <c r="R197" s="395"/>
    </row>
    <row r="198" spans="2:18" x14ac:dyDescent="0.25">
      <c r="B198" s="394"/>
      <c r="C198" s="230"/>
      <c r="D198" s="230"/>
      <c r="E198" s="230"/>
      <c r="F198" s="230"/>
      <c r="G198" s="230"/>
      <c r="H198" s="230"/>
      <c r="I198" s="230"/>
      <c r="J198" s="230"/>
      <c r="K198" s="230"/>
      <c r="L198" s="230"/>
      <c r="M198" s="230"/>
      <c r="N198" s="230"/>
      <c r="O198" s="230"/>
      <c r="P198" s="230"/>
      <c r="Q198" s="230"/>
      <c r="R198" s="395"/>
    </row>
    <row r="199" spans="2:18" x14ac:dyDescent="0.25">
      <c r="B199" s="394"/>
      <c r="C199" s="230"/>
      <c r="D199" s="230"/>
      <c r="E199" s="230"/>
      <c r="F199" s="230"/>
      <c r="G199" s="230"/>
      <c r="H199" s="230"/>
      <c r="I199" s="230"/>
      <c r="J199" s="230"/>
      <c r="K199" s="230"/>
      <c r="L199" s="230"/>
      <c r="M199" s="230"/>
      <c r="N199" s="230"/>
      <c r="O199" s="230"/>
      <c r="P199" s="230"/>
      <c r="Q199" s="230"/>
      <c r="R199" s="395"/>
    </row>
    <row r="200" spans="2:18" x14ac:dyDescent="0.25">
      <c r="B200" s="394"/>
      <c r="C200" s="230"/>
      <c r="D200" s="230"/>
      <c r="E200" s="230"/>
      <c r="F200" s="230"/>
      <c r="G200" s="230"/>
      <c r="H200" s="230"/>
      <c r="I200" s="230"/>
      <c r="J200" s="230"/>
      <c r="K200" s="230"/>
      <c r="L200" s="230"/>
      <c r="M200" s="230"/>
      <c r="N200" s="230"/>
      <c r="O200" s="230"/>
      <c r="P200" s="230"/>
      <c r="Q200" s="230"/>
      <c r="R200" s="395"/>
    </row>
    <row r="201" spans="2:18" x14ac:dyDescent="0.25">
      <c r="B201" s="394"/>
      <c r="C201" s="230"/>
      <c r="D201" s="230"/>
      <c r="E201" s="230"/>
      <c r="F201" s="230"/>
      <c r="G201" s="230"/>
      <c r="H201" s="230"/>
      <c r="I201" s="230"/>
      <c r="J201" s="230"/>
      <c r="K201" s="230"/>
      <c r="L201" s="230"/>
      <c r="M201" s="230"/>
      <c r="N201" s="230"/>
      <c r="O201" s="230"/>
      <c r="P201" s="230"/>
      <c r="Q201" s="230"/>
      <c r="R201" s="395"/>
    </row>
    <row r="202" spans="2:18" x14ac:dyDescent="0.25">
      <c r="B202" s="394"/>
      <c r="C202" s="230"/>
      <c r="D202" s="230"/>
      <c r="E202" s="230"/>
      <c r="F202" s="230"/>
      <c r="G202" s="230"/>
      <c r="H202" s="230"/>
      <c r="I202" s="230"/>
      <c r="J202" s="230"/>
      <c r="K202" s="230"/>
      <c r="L202" s="230"/>
      <c r="M202" s="230"/>
      <c r="N202" s="230"/>
      <c r="O202" s="230"/>
      <c r="P202" s="230"/>
      <c r="Q202" s="230"/>
      <c r="R202" s="395"/>
    </row>
    <row r="203" spans="2:18" x14ac:dyDescent="0.25">
      <c r="B203" s="394"/>
      <c r="C203" s="230"/>
      <c r="D203" s="230"/>
      <c r="E203" s="230"/>
      <c r="F203" s="230"/>
      <c r="G203" s="230"/>
      <c r="H203" s="230"/>
      <c r="I203" s="230"/>
      <c r="J203" s="230"/>
      <c r="K203" s="230"/>
      <c r="L203" s="230"/>
      <c r="M203" s="230"/>
      <c r="N203" s="230"/>
      <c r="O203" s="230"/>
      <c r="P203" s="230"/>
      <c r="Q203" s="230"/>
      <c r="R203" s="395"/>
    </row>
    <row r="204" spans="2:18" x14ac:dyDescent="0.25">
      <c r="B204" s="394"/>
      <c r="C204" s="230"/>
      <c r="D204" s="230"/>
      <c r="E204" s="230"/>
      <c r="F204" s="230"/>
      <c r="G204" s="230"/>
      <c r="H204" s="230"/>
      <c r="I204" s="230"/>
      <c r="J204" s="230"/>
      <c r="K204" s="230"/>
      <c r="L204" s="230"/>
      <c r="M204" s="230"/>
      <c r="N204" s="230"/>
      <c r="O204" s="230"/>
      <c r="P204" s="230"/>
      <c r="Q204" s="230"/>
      <c r="R204" s="395"/>
    </row>
    <row r="205" spans="2:18" x14ac:dyDescent="0.25">
      <c r="B205" s="394"/>
      <c r="C205" s="230"/>
      <c r="D205" s="230"/>
      <c r="E205" s="230"/>
      <c r="F205" s="230"/>
      <c r="G205" s="230"/>
      <c r="H205" s="230"/>
      <c r="I205" s="230"/>
      <c r="J205" s="230"/>
      <c r="K205" s="230"/>
      <c r="L205" s="230"/>
      <c r="M205" s="230"/>
      <c r="N205" s="230"/>
      <c r="O205" s="230"/>
      <c r="P205" s="230"/>
      <c r="Q205" s="230"/>
      <c r="R205" s="395"/>
    </row>
    <row r="206" spans="2:18" x14ac:dyDescent="0.25">
      <c r="B206" s="394"/>
      <c r="C206" s="230"/>
      <c r="D206" s="230"/>
      <c r="E206" s="230"/>
      <c r="F206" s="230"/>
      <c r="G206" s="230"/>
      <c r="H206" s="230"/>
      <c r="I206" s="230"/>
      <c r="J206" s="230"/>
      <c r="K206" s="230"/>
      <c r="L206" s="230"/>
      <c r="M206" s="230"/>
      <c r="N206" s="230"/>
      <c r="O206" s="230"/>
      <c r="P206" s="230"/>
      <c r="Q206" s="230"/>
      <c r="R206" s="395"/>
    </row>
    <row r="207" spans="2:18" x14ac:dyDescent="0.25">
      <c r="B207" s="394"/>
      <c r="C207" s="230"/>
      <c r="D207" s="230"/>
      <c r="E207" s="230"/>
      <c r="F207" s="230"/>
      <c r="G207" s="230"/>
      <c r="H207" s="230"/>
      <c r="I207" s="230"/>
      <c r="J207" s="230"/>
      <c r="K207" s="230"/>
      <c r="L207" s="230"/>
      <c r="M207" s="230"/>
      <c r="N207" s="230"/>
      <c r="O207" s="230"/>
      <c r="P207" s="230"/>
      <c r="Q207" s="230"/>
      <c r="R207" s="395"/>
    </row>
    <row r="208" spans="2:18" x14ac:dyDescent="0.25">
      <c r="B208" s="394"/>
      <c r="C208" s="230"/>
      <c r="D208" s="230"/>
      <c r="E208" s="230"/>
      <c r="F208" s="230"/>
      <c r="G208" s="230"/>
      <c r="H208" s="230"/>
      <c r="I208" s="230"/>
      <c r="J208" s="230"/>
      <c r="K208" s="230"/>
      <c r="L208" s="230"/>
      <c r="M208" s="230"/>
      <c r="N208" s="230"/>
      <c r="O208" s="230"/>
      <c r="P208" s="230"/>
      <c r="Q208" s="230"/>
      <c r="R208" s="395"/>
    </row>
    <row r="209" spans="2:18" x14ac:dyDescent="0.25">
      <c r="B209" s="394"/>
      <c r="C209" s="230"/>
      <c r="D209" s="230"/>
      <c r="E209" s="230"/>
      <c r="F209" s="230"/>
      <c r="G209" s="230"/>
      <c r="H209" s="230"/>
      <c r="I209" s="230"/>
      <c r="J209" s="230"/>
      <c r="K209" s="230"/>
      <c r="L209" s="230"/>
      <c r="M209" s="230"/>
      <c r="N209" s="230"/>
      <c r="O209" s="230"/>
      <c r="P209" s="230"/>
      <c r="Q209" s="230"/>
      <c r="R209" s="395"/>
    </row>
    <row r="210" spans="2:18" x14ac:dyDescent="0.25">
      <c r="B210" s="394"/>
      <c r="C210" s="230"/>
      <c r="D210" s="230"/>
      <c r="E210" s="230"/>
      <c r="F210" s="230"/>
      <c r="G210" s="230"/>
      <c r="H210" s="230"/>
      <c r="I210" s="230"/>
      <c r="J210" s="230"/>
      <c r="K210" s="230"/>
      <c r="L210" s="230"/>
      <c r="M210" s="230"/>
      <c r="N210" s="230"/>
      <c r="O210" s="230"/>
      <c r="P210" s="230"/>
      <c r="Q210" s="230"/>
      <c r="R210" s="395"/>
    </row>
    <row r="211" spans="2:18" x14ac:dyDescent="0.25">
      <c r="B211" s="394"/>
      <c r="C211" s="230"/>
      <c r="D211" s="230"/>
      <c r="E211" s="230"/>
      <c r="F211" s="230"/>
      <c r="G211" s="230"/>
      <c r="H211" s="230"/>
      <c r="I211" s="230"/>
      <c r="J211" s="230"/>
      <c r="K211" s="230"/>
      <c r="L211" s="230"/>
      <c r="M211" s="230"/>
      <c r="N211" s="230"/>
      <c r="O211" s="230"/>
      <c r="P211" s="230"/>
      <c r="Q211" s="230"/>
      <c r="R211" s="395"/>
    </row>
    <row r="212" spans="2:18" x14ac:dyDescent="0.25">
      <c r="B212" s="394"/>
      <c r="C212" s="230"/>
      <c r="D212" s="230"/>
      <c r="E212" s="230"/>
      <c r="F212" s="230"/>
      <c r="G212" s="230"/>
      <c r="H212" s="230"/>
      <c r="I212" s="230"/>
      <c r="J212" s="230"/>
      <c r="K212" s="230"/>
      <c r="L212" s="230"/>
      <c r="M212" s="230"/>
      <c r="N212" s="230"/>
      <c r="O212" s="230"/>
      <c r="P212" s="230"/>
      <c r="Q212" s="230"/>
      <c r="R212" s="395"/>
    </row>
    <row r="213" spans="2:18" x14ac:dyDescent="0.25">
      <c r="B213" s="394"/>
      <c r="C213" s="230"/>
      <c r="D213" s="230"/>
      <c r="E213" s="230"/>
      <c r="F213" s="230"/>
      <c r="G213" s="230"/>
      <c r="H213" s="230"/>
      <c r="I213" s="230"/>
      <c r="J213" s="230"/>
      <c r="K213" s="230"/>
      <c r="L213" s="230"/>
      <c r="M213" s="230"/>
      <c r="N213" s="230"/>
      <c r="O213" s="230"/>
      <c r="P213" s="230"/>
      <c r="Q213" s="230"/>
      <c r="R213" s="395"/>
    </row>
    <row r="214" spans="2:18" x14ac:dyDescent="0.25">
      <c r="B214" s="394"/>
      <c r="C214" s="230"/>
      <c r="D214" s="230"/>
      <c r="E214" s="230"/>
      <c r="F214" s="230"/>
      <c r="G214" s="230"/>
      <c r="H214" s="230"/>
      <c r="I214" s="230"/>
      <c r="J214" s="230"/>
      <c r="K214" s="230"/>
      <c r="L214" s="230"/>
      <c r="M214" s="230"/>
      <c r="N214" s="230"/>
      <c r="O214" s="230"/>
      <c r="P214" s="230"/>
      <c r="Q214" s="230"/>
      <c r="R214" s="395"/>
    </row>
    <row r="215" spans="2:18" x14ac:dyDescent="0.25">
      <c r="B215" s="394"/>
      <c r="C215" s="230"/>
      <c r="D215" s="230"/>
      <c r="E215" s="230"/>
      <c r="F215" s="230"/>
      <c r="G215" s="230"/>
      <c r="H215" s="230"/>
      <c r="I215" s="230"/>
      <c r="J215" s="230"/>
      <c r="K215" s="230"/>
      <c r="L215" s="230"/>
      <c r="M215" s="230"/>
      <c r="N215" s="230"/>
      <c r="O215" s="230"/>
      <c r="P215" s="230"/>
      <c r="Q215" s="230"/>
      <c r="R215" s="395"/>
    </row>
    <row r="216" spans="2:18" x14ac:dyDescent="0.25">
      <c r="B216" s="394"/>
      <c r="C216" s="230"/>
      <c r="D216" s="230"/>
      <c r="E216" s="230"/>
      <c r="F216" s="230"/>
      <c r="G216" s="230"/>
      <c r="H216" s="230"/>
      <c r="I216" s="230"/>
      <c r="J216" s="230"/>
      <c r="K216" s="230"/>
      <c r="L216" s="230"/>
      <c r="M216" s="230"/>
      <c r="N216" s="230"/>
      <c r="O216" s="230"/>
      <c r="P216" s="230"/>
      <c r="Q216" s="230"/>
      <c r="R216" s="395"/>
    </row>
    <row r="217" spans="2:18" x14ac:dyDescent="0.25">
      <c r="B217" s="394"/>
      <c r="C217" s="230"/>
      <c r="D217" s="230"/>
      <c r="E217" s="230"/>
      <c r="F217" s="230"/>
      <c r="G217" s="230"/>
      <c r="H217" s="230"/>
      <c r="I217" s="230"/>
      <c r="J217" s="230"/>
      <c r="K217" s="230"/>
      <c r="L217" s="230"/>
      <c r="M217" s="230"/>
      <c r="N217" s="230"/>
      <c r="O217" s="230"/>
      <c r="P217" s="230"/>
      <c r="Q217" s="230"/>
      <c r="R217" s="395"/>
    </row>
    <row r="218" spans="2:18" x14ac:dyDescent="0.25">
      <c r="B218" s="394"/>
      <c r="C218" s="230"/>
      <c r="D218" s="230"/>
      <c r="E218" s="230"/>
      <c r="F218" s="230"/>
      <c r="G218" s="230"/>
      <c r="H218" s="230"/>
      <c r="I218" s="230"/>
      <c r="J218" s="230"/>
      <c r="K218" s="230"/>
      <c r="L218" s="230"/>
      <c r="M218" s="230"/>
      <c r="N218" s="230"/>
      <c r="O218" s="230"/>
      <c r="P218" s="230"/>
      <c r="Q218" s="230"/>
      <c r="R218" s="395"/>
    </row>
    <row r="219" spans="2:18" x14ac:dyDescent="0.25">
      <c r="B219" s="394"/>
      <c r="C219" s="230"/>
      <c r="D219" s="230"/>
      <c r="E219" s="230"/>
      <c r="F219" s="230"/>
      <c r="G219" s="230"/>
      <c r="H219" s="230"/>
      <c r="I219" s="230"/>
      <c r="J219" s="230"/>
      <c r="K219" s="230"/>
      <c r="L219" s="230"/>
      <c r="M219" s="230"/>
      <c r="N219" s="230"/>
      <c r="O219" s="230"/>
      <c r="P219" s="230"/>
      <c r="Q219" s="230"/>
      <c r="R219" s="395"/>
    </row>
    <row r="220" spans="2:18" x14ac:dyDescent="0.25">
      <c r="B220" s="394"/>
      <c r="C220" s="230"/>
      <c r="D220" s="230"/>
      <c r="E220" s="230"/>
      <c r="F220" s="230"/>
      <c r="G220" s="230"/>
      <c r="H220" s="230"/>
      <c r="I220" s="230"/>
      <c r="J220" s="230"/>
      <c r="K220" s="230"/>
      <c r="L220" s="230"/>
      <c r="M220" s="230"/>
      <c r="N220" s="230"/>
      <c r="O220" s="230"/>
      <c r="P220" s="230"/>
      <c r="Q220" s="230"/>
      <c r="R220" s="395"/>
    </row>
    <row r="221" spans="2:18" x14ac:dyDescent="0.25">
      <c r="B221" s="394"/>
      <c r="C221" s="230"/>
      <c r="D221" s="230"/>
      <c r="E221" s="230"/>
      <c r="F221" s="230"/>
      <c r="G221" s="230"/>
      <c r="H221" s="230"/>
      <c r="I221" s="230"/>
      <c r="J221" s="230"/>
      <c r="K221" s="230"/>
      <c r="L221" s="230"/>
      <c r="M221" s="230"/>
      <c r="N221" s="230"/>
      <c r="O221" s="230"/>
      <c r="P221" s="230"/>
      <c r="Q221" s="230"/>
      <c r="R221" s="395"/>
    </row>
    <row r="222" spans="2:18" x14ac:dyDescent="0.25">
      <c r="B222" s="394"/>
      <c r="C222" s="230"/>
      <c r="D222" s="230"/>
      <c r="E222" s="230"/>
      <c r="F222" s="230"/>
      <c r="G222" s="230"/>
      <c r="H222" s="230"/>
      <c r="I222" s="230"/>
      <c r="J222" s="230"/>
      <c r="K222" s="230"/>
      <c r="L222" s="230"/>
      <c r="M222" s="230"/>
      <c r="N222" s="230"/>
      <c r="O222" s="230"/>
      <c r="P222" s="230"/>
      <c r="Q222" s="230"/>
      <c r="R222" s="395"/>
    </row>
    <row r="223" spans="2:18" x14ac:dyDescent="0.25">
      <c r="B223" s="394"/>
      <c r="C223" s="230"/>
      <c r="D223" s="230"/>
      <c r="E223" s="230"/>
      <c r="F223" s="230"/>
      <c r="G223" s="230"/>
      <c r="H223" s="230"/>
      <c r="I223" s="230"/>
      <c r="J223" s="230"/>
      <c r="K223" s="230"/>
      <c r="L223" s="230"/>
      <c r="M223" s="230"/>
      <c r="N223" s="230"/>
      <c r="O223" s="230"/>
      <c r="P223" s="230"/>
      <c r="Q223" s="230"/>
      <c r="R223" s="395"/>
    </row>
    <row r="224" spans="2:18" x14ac:dyDescent="0.25">
      <c r="B224" s="394"/>
      <c r="C224" s="230"/>
      <c r="D224" s="230"/>
      <c r="E224" s="230"/>
      <c r="F224" s="230"/>
      <c r="G224" s="230"/>
      <c r="H224" s="230"/>
      <c r="I224" s="230"/>
      <c r="J224" s="230"/>
      <c r="K224" s="230"/>
      <c r="L224" s="230"/>
      <c r="M224" s="230"/>
      <c r="N224" s="230"/>
      <c r="O224" s="230"/>
      <c r="P224" s="230"/>
      <c r="Q224" s="230"/>
      <c r="R224" s="395"/>
    </row>
    <row r="225" spans="2:18" x14ac:dyDescent="0.25">
      <c r="B225" s="394"/>
      <c r="C225" s="230"/>
      <c r="D225" s="230"/>
      <c r="E225" s="230"/>
      <c r="F225" s="230"/>
      <c r="G225" s="230"/>
      <c r="H225" s="230"/>
      <c r="I225" s="230"/>
      <c r="J225" s="230"/>
      <c r="K225" s="230"/>
      <c r="L225" s="230"/>
      <c r="M225" s="230"/>
      <c r="N225" s="230"/>
      <c r="O225" s="230"/>
      <c r="P225" s="230"/>
      <c r="Q225" s="230"/>
      <c r="R225" s="395"/>
    </row>
    <row r="226" spans="2:18" x14ac:dyDescent="0.25">
      <c r="B226" s="394"/>
      <c r="C226" s="230"/>
      <c r="D226" s="230"/>
      <c r="E226" s="230"/>
      <c r="F226" s="230"/>
      <c r="G226" s="230"/>
      <c r="H226" s="230"/>
      <c r="I226" s="230"/>
      <c r="J226" s="230"/>
      <c r="K226" s="230"/>
      <c r="L226" s="230"/>
      <c r="M226" s="230"/>
      <c r="N226" s="230"/>
      <c r="O226" s="230"/>
      <c r="P226" s="230"/>
      <c r="Q226" s="230"/>
      <c r="R226" s="395"/>
    </row>
    <row r="227" spans="2:18" x14ac:dyDescent="0.25">
      <c r="B227" s="394"/>
      <c r="C227" s="230"/>
      <c r="D227" s="230"/>
      <c r="E227" s="230"/>
      <c r="F227" s="230"/>
      <c r="G227" s="230"/>
      <c r="H227" s="230"/>
      <c r="I227" s="230"/>
      <c r="J227" s="230"/>
      <c r="K227" s="230"/>
      <c r="L227" s="230"/>
      <c r="M227" s="230"/>
      <c r="N227" s="230"/>
      <c r="O227" s="230"/>
      <c r="P227" s="230"/>
      <c r="Q227" s="230"/>
      <c r="R227" s="395"/>
    </row>
    <row r="228" spans="2:18" x14ac:dyDescent="0.25">
      <c r="B228" s="394"/>
      <c r="C228" s="230"/>
      <c r="D228" s="230"/>
      <c r="E228" s="230"/>
      <c r="F228" s="230"/>
      <c r="G228" s="230"/>
      <c r="H228" s="230"/>
      <c r="I228" s="230"/>
      <c r="J228" s="230"/>
      <c r="K228" s="230"/>
      <c r="L228" s="230"/>
      <c r="M228" s="230"/>
      <c r="N228" s="230"/>
      <c r="O228" s="230"/>
      <c r="P228" s="230"/>
      <c r="Q228" s="230"/>
      <c r="R228" s="395"/>
    </row>
    <row r="229" spans="2:18" x14ac:dyDescent="0.25">
      <c r="B229" s="394"/>
      <c r="C229" s="230"/>
      <c r="D229" s="230"/>
      <c r="E229" s="230"/>
      <c r="F229" s="230"/>
      <c r="G229" s="230"/>
      <c r="H229" s="230"/>
      <c r="I229" s="230"/>
      <c r="J229" s="230"/>
      <c r="K229" s="230"/>
      <c r="L229" s="230"/>
      <c r="M229" s="230"/>
      <c r="N229" s="230"/>
      <c r="O229" s="230"/>
      <c r="P229" s="230"/>
      <c r="Q229" s="230"/>
      <c r="R229" s="395"/>
    </row>
    <row r="230" spans="2:18" x14ac:dyDescent="0.25">
      <c r="B230" s="394"/>
      <c r="C230" s="230"/>
      <c r="D230" s="230"/>
      <c r="E230" s="230"/>
      <c r="F230" s="230"/>
      <c r="G230" s="230"/>
      <c r="H230" s="230"/>
      <c r="I230" s="230"/>
      <c r="J230" s="230"/>
      <c r="K230" s="230"/>
      <c r="L230" s="230"/>
      <c r="M230" s="230"/>
      <c r="N230" s="230"/>
      <c r="O230" s="230"/>
      <c r="P230" s="230"/>
      <c r="Q230" s="230"/>
      <c r="R230" s="395"/>
    </row>
    <row r="231" spans="2:18" x14ac:dyDescent="0.25">
      <c r="B231" s="394"/>
      <c r="C231" s="230"/>
      <c r="D231" s="230"/>
      <c r="E231" s="230"/>
      <c r="F231" s="230"/>
      <c r="G231" s="230"/>
      <c r="H231" s="230"/>
      <c r="I231" s="230"/>
      <c r="J231" s="230"/>
      <c r="K231" s="230"/>
      <c r="L231" s="230"/>
      <c r="M231" s="230"/>
      <c r="N231" s="230"/>
      <c r="O231" s="230"/>
      <c r="P231" s="230"/>
      <c r="Q231" s="230"/>
      <c r="R231" s="395"/>
    </row>
    <row r="232" spans="2:18" x14ac:dyDescent="0.25">
      <c r="B232" s="394"/>
      <c r="C232" s="230"/>
      <c r="D232" s="230"/>
      <c r="E232" s="230"/>
      <c r="F232" s="230"/>
      <c r="G232" s="230"/>
      <c r="H232" s="230"/>
      <c r="I232" s="230"/>
      <c r="J232" s="230"/>
      <c r="K232" s="230"/>
      <c r="L232" s="230"/>
      <c r="M232" s="230"/>
      <c r="N232" s="230"/>
      <c r="O232" s="230"/>
      <c r="P232" s="230"/>
      <c r="Q232" s="230"/>
      <c r="R232" s="395"/>
    </row>
    <row r="233" spans="2:18" x14ac:dyDescent="0.25">
      <c r="B233" s="394"/>
      <c r="C233" s="230"/>
      <c r="D233" s="230"/>
      <c r="E233" s="230"/>
      <c r="F233" s="230"/>
      <c r="G233" s="230"/>
      <c r="H233" s="230"/>
      <c r="I233" s="230"/>
      <c r="J233" s="230"/>
      <c r="K233" s="230"/>
      <c r="L233" s="230"/>
      <c r="M233" s="230"/>
      <c r="N233" s="230"/>
      <c r="O233" s="230"/>
      <c r="P233" s="230"/>
      <c r="Q233" s="230"/>
      <c r="R233" s="395"/>
    </row>
    <row r="234" spans="2:18" x14ac:dyDescent="0.25">
      <c r="B234" s="394"/>
      <c r="C234" s="230"/>
      <c r="D234" s="230"/>
      <c r="E234" s="230"/>
      <c r="F234" s="230"/>
      <c r="G234" s="230"/>
      <c r="H234" s="230"/>
      <c r="I234" s="230"/>
      <c r="J234" s="230"/>
      <c r="K234" s="230"/>
      <c r="L234" s="230"/>
      <c r="M234" s="230"/>
      <c r="N234" s="230"/>
      <c r="O234" s="230"/>
      <c r="P234" s="230"/>
      <c r="Q234" s="230"/>
      <c r="R234" s="395"/>
    </row>
    <row r="235" spans="2:18" x14ac:dyDescent="0.25">
      <c r="B235" s="394"/>
      <c r="C235" s="230"/>
      <c r="D235" s="230"/>
      <c r="E235" s="230"/>
      <c r="F235" s="230"/>
      <c r="G235" s="230"/>
      <c r="H235" s="230"/>
      <c r="I235" s="230"/>
      <c r="J235" s="230"/>
      <c r="K235" s="230"/>
      <c r="L235" s="230"/>
      <c r="M235" s="230"/>
      <c r="N235" s="230"/>
      <c r="O235" s="230"/>
      <c r="P235" s="230"/>
      <c r="Q235" s="230"/>
      <c r="R235" s="395"/>
    </row>
    <row r="236" spans="2:18" x14ac:dyDescent="0.25">
      <c r="B236" s="394"/>
      <c r="C236" s="230"/>
      <c r="D236" s="230"/>
      <c r="E236" s="230"/>
      <c r="F236" s="230"/>
      <c r="G236" s="230"/>
      <c r="H236" s="230"/>
      <c r="I236" s="230"/>
      <c r="J236" s="230"/>
      <c r="K236" s="230"/>
      <c r="L236" s="230"/>
      <c r="M236" s="230"/>
      <c r="N236" s="230"/>
      <c r="O236" s="230"/>
      <c r="P236" s="230"/>
      <c r="Q236" s="230"/>
      <c r="R236" s="395"/>
    </row>
    <row r="237" spans="2:18" x14ac:dyDescent="0.25">
      <c r="B237" s="394"/>
      <c r="C237" s="230"/>
      <c r="D237" s="230"/>
      <c r="E237" s="230"/>
      <c r="F237" s="230"/>
      <c r="G237" s="230"/>
      <c r="H237" s="230"/>
      <c r="I237" s="230"/>
      <c r="J237" s="230"/>
      <c r="K237" s="230"/>
      <c r="L237" s="230"/>
      <c r="M237" s="230"/>
      <c r="N237" s="230"/>
      <c r="O237" s="230"/>
      <c r="P237" s="230"/>
      <c r="Q237" s="230"/>
      <c r="R237" s="395"/>
    </row>
    <row r="238" spans="2:18" x14ac:dyDescent="0.25">
      <c r="B238" s="394"/>
      <c r="C238" s="230"/>
      <c r="D238" s="230"/>
      <c r="E238" s="230"/>
      <c r="F238" s="230"/>
      <c r="G238" s="230"/>
      <c r="H238" s="230"/>
      <c r="I238" s="230"/>
      <c r="J238" s="230"/>
      <c r="K238" s="230"/>
      <c r="L238" s="230"/>
      <c r="M238" s="230"/>
      <c r="N238" s="230"/>
      <c r="O238" s="230"/>
      <c r="P238" s="230"/>
      <c r="Q238" s="230"/>
      <c r="R238" s="395"/>
    </row>
    <row r="239" spans="2:18" x14ac:dyDescent="0.25">
      <c r="B239" s="394"/>
      <c r="C239" s="230"/>
      <c r="D239" s="230"/>
      <c r="E239" s="230"/>
      <c r="F239" s="230"/>
      <c r="G239" s="230"/>
      <c r="H239" s="230"/>
      <c r="I239" s="230"/>
      <c r="J239" s="230"/>
      <c r="K239" s="230"/>
      <c r="L239" s="230"/>
      <c r="M239" s="230"/>
      <c r="N239" s="230"/>
      <c r="O239" s="230"/>
      <c r="P239" s="230"/>
      <c r="Q239" s="230"/>
      <c r="R239" s="395"/>
    </row>
    <row r="240" spans="2:18" x14ac:dyDescent="0.25">
      <c r="B240" s="394"/>
      <c r="C240" s="230"/>
      <c r="D240" s="230"/>
      <c r="E240" s="230"/>
      <c r="F240" s="230"/>
      <c r="G240" s="230"/>
      <c r="H240" s="230"/>
      <c r="I240" s="230"/>
      <c r="J240" s="230"/>
      <c r="K240" s="230"/>
      <c r="L240" s="230"/>
      <c r="M240" s="230"/>
      <c r="N240" s="230"/>
      <c r="O240" s="230"/>
      <c r="P240" s="230"/>
      <c r="Q240" s="230"/>
      <c r="R240" s="395"/>
    </row>
    <row r="241" spans="2:18" x14ac:dyDescent="0.25">
      <c r="B241" s="394"/>
      <c r="C241" s="230"/>
      <c r="D241" s="230"/>
      <c r="E241" s="230"/>
      <c r="F241" s="230"/>
      <c r="G241" s="230"/>
      <c r="H241" s="230"/>
      <c r="I241" s="230"/>
      <c r="J241" s="230"/>
      <c r="K241" s="230"/>
      <c r="L241" s="230"/>
      <c r="M241" s="230"/>
      <c r="N241" s="230"/>
      <c r="O241" s="230"/>
      <c r="P241" s="230"/>
      <c r="Q241" s="230"/>
      <c r="R241" s="395"/>
    </row>
    <row r="242" spans="2:18" x14ac:dyDescent="0.25">
      <c r="B242" s="394"/>
      <c r="C242" s="230"/>
      <c r="D242" s="230"/>
      <c r="E242" s="230"/>
      <c r="F242" s="230"/>
      <c r="G242" s="230"/>
      <c r="H242" s="230"/>
      <c r="I242" s="230"/>
      <c r="J242" s="230"/>
      <c r="K242" s="230"/>
      <c r="L242" s="230"/>
      <c r="M242" s="230"/>
      <c r="N242" s="230"/>
      <c r="O242" s="230"/>
      <c r="P242" s="230"/>
      <c r="Q242" s="230"/>
      <c r="R242" s="395"/>
    </row>
    <row r="243" spans="2:18" x14ac:dyDescent="0.25">
      <c r="B243" s="394"/>
      <c r="C243" s="230"/>
      <c r="D243" s="230"/>
      <c r="E243" s="230"/>
      <c r="F243" s="230"/>
      <c r="G243" s="230"/>
      <c r="H243" s="230"/>
      <c r="I243" s="230"/>
      <c r="J243" s="230"/>
      <c r="K243" s="230"/>
      <c r="L243" s="230"/>
      <c r="M243" s="230"/>
      <c r="N243" s="230"/>
      <c r="O243" s="230"/>
      <c r="P243" s="230"/>
      <c r="Q243" s="230"/>
      <c r="R243" s="395"/>
    </row>
    <row r="244" spans="2:18" x14ac:dyDescent="0.25">
      <c r="B244" s="394"/>
      <c r="C244" s="230"/>
      <c r="D244" s="230"/>
      <c r="E244" s="230"/>
      <c r="F244" s="230"/>
      <c r="G244" s="230"/>
      <c r="H244" s="230"/>
      <c r="I244" s="230"/>
      <c r="J244" s="230"/>
      <c r="K244" s="230"/>
      <c r="L244" s="230"/>
      <c r="M244" s="230"/>
      <c r="N244" s="230"/>
      <c r="O244" s="230"/>
      <c r="P244" s="230"/>
      <c r="Q244" s="230"/>
      <c r="R244" s="395"/>
    </row>
    <row r="245" spans="2:18" x14ac:dyDescent="0.25">
      <c r="B245" s="394"/>
      <c r="C245" s="230"/>
      <c r="D245" s="230"/>
      <c r="E245" s="230"/>
      <c r="F245" s="230"/>
      <c r="G245" s="230"/>
      <c r="H245" s="230"/>
      <c r="I245" s="230"/>
      <c r="J245" s="230"/>
      <c r="K245" s="230"/>
      <c r="L245" s="230"/>
      <c r="M245" s="230"/>
      <c r="N245" s="230"/>
      <c r="O245" s="230"/>
      <c r="P245" s="230"/>
      <c r="Q245" s="230"/>
      <c r="R245" s="395"/>
    </row>
    <row r="246" spans="2:18" x14ac:dyDescent="0.25">
      <c r="B246" s="394"/>
      <c r="C246" s="230"/>
      <c r="D246" s="230"/>
      <c r="E246" s="230"/>
      <c r="F246" s="230"/>
      <c r="G246" s="230"/>
      <c r="H246" s="230"/>
      <c r="I246" s="230"/>
      <c r="J246" s="230"/>
      <c r="K246" s="230"/>
      <c r="L246" s="230"/>
      <c r="M246" s="230"/>
      <c r="N246" s="230"/>
      <c r="O246" s="230"/>
      <c r="P246" s="230"/>
      <c r="Q246" s="230"/>
      <c r="R246" s="395"/>
    </row>
    <row r="247" spans="2:18" x14ac:dyDescent="0.25">
      <c r="B247" s="394"/>
      <c r="C247" s="230"/>
      <c r="D247" s="230"/>
      <c r="E247" s="230"/>
      <c r="F247" s="230"/>
      <c r="G247" s="230"/>
      <c r="H247" s="230"/>
      <c r="I247" s="230"/>
      <c r="J247" s="230"/>
      <c r="K247" s="230"/>
      <c r="L247" s="230"/>
      <c r="M247" s="230"/>
      <c r="N247" s="230"/>
      <c r="O247" s="230"/>
      <c r="P247" s="230"/>
      <c r="Q247" s="230"/>
      <c r="R247" s="395"/>
    </row>
    <row r="248" spans="2:18" x14ac:dyDescent="0.25">
      <c r="B248" s="394"/>
      <c r="C248" s="230"/>
      <c r="D248" s="230"/>
      <c r="E248" s="230"/>
      <c r="F248" s="230"/>
      <c r="G248" s="230"/>
      <c r="H248" s="230"/>
      <c r="I248" s="230"/>
      <c r="J248" s="230"/>
      <c r="K248" s="230"/>
      <c r="L248" s="230"/>
      <c r="M248" s="230"/>
      <c r="N248" s="230"/>
      <c r="O248" s="230"/>
      <c r="P248" s="230"/>
      <c r="Q248" s="230"/>
      <c r="R248" s="395"/>
    </row>
    <row r="249" spans="2:18" x14ac:dyDescent="0.25">
      <c r="B249" s="394"/>
      <c r="C249" s="230"/>
      <c r="D249" s="230"/>
      <c r="E249" s="230"/>
      <c r="F249" s="230"/>
      <c r="G249" s="230"/>
      <c r="H249" s="230"/>
      <c r="I249" s="230"/>
      <c r="J249" s="230"/>
      <c r="K249" s="230"/>
      <c r="L249" s="230"/>
      <c r="M249" s="230"/>
      <c r="N249" s="230"/>
      <c r="O249" s="230"/>
      <c r="P249" s="230"/>
      <c r="Q249" s="230"/>
      <c r="R249" s="395"/>
    </row>
    <row r="250" spans="2:18" x14ac:dyDescent="0.25">
      <c r="B250" s="394"/>
      <c r="C250" s="230"/>
      <c r="D250" s="230"/>
      <c r="E250" s="230"/>
      <c r="F250" s="230"/>
      <c r="G250" s="230"/>
      <c r="H250" s="230"/>
      <c r="I250" s="230"/>
      <c r="J250" s="230"/>
      <c r="K250" s="230"/>
      <c r="L250" s="230"/>
      <c r="M250" s="230"/>
      <c r="N250" s="230"/>
      <c r="O250" s="230"/>
      <c r="P250" s="230"/>
      <c r="Q250" s="230"/>
      <c r="R250" s="395"/>
    </row>
    <row r="251" spans="2:18" x14ac:dyDescent="0.25">
      <c r="B251" s="394"/>
      <c r="C251" s="230"/>
      <c r="D251" s="230"/>
      <c r="E251" s="230"/>
      <c r="F251" s="230"/>
      <c r="G251" s="230"/>
      <c r="H251" s="230"/>
      <c r="I251" s="230"/>
      <c r="J251" s="230"/>
      <c r="K251" s="230"/>
      <c r="L251" s="230"/>
      <c r="M251" s="230"/>
      <c r="N251" s="230"/>
      <c r="O251" s="230"/>
      <c r="P251" s="230"/>
      <c r="Q251" s="230"/>
      <c r="R251" s="395"/>
    </row>
    <row r="252" spans="2:18" x14ac:dyDescent="0.25">
      <c r="B252" s="394"/>
      <c r="C252" s="230"/>
      <c r="D252" s="230"/>
      <c r="E252" s="230"/>
      <c r="F252" s="230"/>
      <c r="G252" s="230"/>
      <c r="H252" s="230"/>
      <c r="I252" s="230"/>
      <c r="J252" s="230"/>
      <c r="K252" s="230"/>
      <c r="L252" s="230"/>
      <c r="M252" s="230"/>
      <c r="N252" s="230"/>
      <c r="O252" s="230"/>
      <c r="P252" s="230"/>
      <c r="Q252" s="230"/>
      <c r="R252" s="395"/>
    </row>
    <row r="253" spans="2:18" x14ac:dyDescent="0.25">
      <c r="B253" s="394"/>
      <c r="C253" s="230"/>
      <c r="D253" s="230"/>
      <c r="E253" s="230"/>
      <c r="F253" s="230"/>
      <c r="G253" s="230"/>
      <c r="H253" s="230"/>
      <c r="I253" s="230"/>
      <c r="J253" s="230"/>
      <c r="K253" s="230"/>
      <c r="L253" s="230"/>
      <c r="M253" s="230"/>
      <c r="N253" s="230"/>
      <c r="O253" s="230"/>
      <c r="P253" s="230"/>
      <c r="Q253" s="230"/>
      <c r="R253" s="395"/>
    </row>
    <row r="254" spans="2:18" x14ac:dyDescent="0.25">
      <c r="B254" s="394"/>
      <c r="C254" s="230"/>
      <c r="D254" s="230"/>
      <c r="E254" s="230"/>
      <c r="F254" s="230"/>
      <c r="G254" s="230"/>
      <c r="H254" s="230"/>
      <c r="I254" s="230"/>
      <c r="J254" s="230"/>
      <c r="K254" s="230"/>
      <c r="L254" s="230"/>
      <c r="M254" s="230"/>
      <c r="N254" s="230"/>
      <c r="O254" s="230"/>
      <c r="P254" s="230"/>
      <c r="Q254" s="230"/>
      <c r="R254" s="395"/>
    </row>
    <row r="255" spans="2:18" x14ac:dyDescent="0.25">
      <c r="B255" s="394"/>
      <c r="C255" s="230"/>
      <c r="D255" s="230"/>
      <c r="E255" s="230"/>
      <c r="F255" s="230"/>
      <c r="G255" s="230"/>
      <c r="H255" s="230"/>
      <c r="I255" s="230"/>
      <c r="J255" s="230"/>
      <c r="K255" s="230"/>
      <c r="L255" s="230"/>
      <c r="M255" s="230"/>
      <c r="N255" s="230"/>
      <c r="O255" s="230"/>
      <c r="P255" s="230"/>
      <c r="Q255" s="230"/>
      <c r="R255" s="395"/>
    </row>
    <row r="256" spans="2:18" x14ac:dyDescent="0.25">
      <c r="B256" s="394"/>
      <c r="C256" s="230"/>
      <c r="D256" s="230"/>
      <c r="E256" s="230"/>
      <c r="F256" s="230"/>
      <c r="G256" s="230"/>
      <c r="H256" s="230"/>
      <c r="I256" s="230"/>
      <c r="J256" s="230"/>
      <c r="K256" s="230"/>
      <c r="L256" s="230"/>
      <c r="M256" s="230"/>
      <c r="N256" s="230"/>
      <c r="O256" s="230"/>
      <c r="P256" s="230"/>
      <c r="Q256" s="230"/>
      <c r="R256" s="395"/>
    </row>
    <row r="257" spans="2:18" x14ac:dyDescent="0.25">
      <c r="B257" s="394"/>
      <c r="C257" s="230"/>
      <c r="D257" s="230"/>
      <c r="E257" s="230"/>
      <c r="F257" s="230"/>
      <c r="G257" s="230"/>
      <c r="H257" s="230"/>
      <c r="I257" s="230"/>
      <c r="J257" s="230"/>
      <c r="K257" s="230"/>
      <c r="L257" s="230"/>
      <c r="M257" s="230"/>
      <c r="N257" s="230"/>
      <c r="O257" s="230"/>
      <c r="P257" s="230"/>
      <c r="Q257" s="230"/>
      <c r="R257" s="395"/>
    </row>
    <row r="258" spans="2:18" x14ac:dyDescent="0.25">
      <c r="B258" s="394"/>
      <c r="C258" s="230"/>
      <c r="D258" s="230"/>
      <c r="E258" s="230"/>
      <c r="F258" s="230"/>
      <c r="G258" s="230"/>
      <c r="H258" s="230"/>
      <c r="I258" s="230"/>
      <c r="J258" s="230"/>
      <c r="K258" s="230"/>
      <c r="L258" s="230"/>
      <c r="M258" s="230"/>
      <c r="N258" s="230"/>
      <c r="O258" s="230"/>
      <c r="P258" s="230"/>
      <c r="Q258" s="230"/>
      <c r="R258" s="395"/>
    </row>
    <row r="259" spans="2:18" x14ac:dyDescent="0.25">
      <c r="B259" s="394"/>
      <c r="C259" s="230"/>
      <c r="D259" s="230"/>
      <c r="E259" s="230"/>
      <c r="F259" s="230"/>
      <c r="G259" s="230"/>
      <c r="H259" s="230"/>
      <c r="I259" s="230"/>
      <c r="J259" s="230"/>
      <c r="K259" s="230"/>
      <c r="L259" s="230"/>
      <c r="M259" s="230"/>
      <c r="N259" s="230"/>
      <c r="O259" s="230"/>
      <c r="P259" s="230"/>
      <c r="Q259" s="230"/>
      <c r="R259" s="395"/>
    </row>
    <row r="260" spans="2:18" x14ac:dyDescent="0.25">
      <c r="B260" s="394"/>
      <c r="C260" s="230"/>
      <c r="D260" s="230"/>
      <c r="E260" s="230"/>
      <c r="F260" s="230"/>
      <c r="G260" s="230"/>
      <c r="H260" s="230"/>
      <c r="I260" s="230"/>
      <c r="J260" s="230"/>
      <c r="K260" s="230"/>
      <c r="L260" s="230"/>
      <c r="M260" s="230"/>
      <c r="N260" s="230"/>
      <c r="O260" s="230"/>
      <c r="P260" s="230"/>
      <c r="Q260" s="230"/>
      <c r="R260" s="395"/>
    </row>
    <row r="261" spans="2:18" x14ac:dyDescent="0.25">
      <c r="B261" s="394"/>
      <c r="C261" s="230"/>
      <c r="D261" s="230"/>
      <c r="E261" s="230"/>
      <c r="F261" s="230"/>
      <c r="G261" s="230"/>
      <c r="H261" s="230"/>
      <c r="I261" s="230"/>
      <c r="J261" s="230"/>
      <c r="K261" s="230"/>
      <c r="L261" s="230"/>
      <c r="M261" s="230"/>
      <c r="N261" s="230"/>
      <c r="O261" s="230"/>
      <c r="P261" s="230"/>
      <c r="Q261" s="230"/>
      <c r="R261" s="395"/>
    </row>
    <row r="262" spans="2:18" x14ac:dyDescent="0.25">
      <c r="B262" s="394"/>
      <c r="C262" s="230"/>
      <c r="D262" s="230"/>
      <c r="E262" s="230"/>
      <c r="F262" s="230"/>
      <c r="G262" s="230"/>
      <c r="H262" s="230"/>
      <c r="I262" s="230"/>
      <c r="J262" s="230"/>
      <c r="K262" s="230"/>
      <c r="L262" s="230"/>
      <c r="M262" s="230"/>
      <c r="N262" s="230"/>
      <c r="O262" s="230"/>
      <c r="P262" s="230"/>
      <c r="Q262" s="230"/>
      <c r="R262" s="395"/>
    </row>
    <row r="263" spans="2:18" x14ac:dyDescent="0.25">
      <c r="B263" s="394"/>
      <c r="C263" s="230"/>
      <c r="D263" s="230"/>
      <c r="E263" s="230"/>
      <c r="F263" s="230"/>
      <c r="G263" s="230"/>
      <c r="H263" s="230"/>
      <c r="I263" s="230"/>
      <c r="J263" s="230"/>
      <c r="K263" s="230"/>
      <c r="L263" s="230"/>
      <c r="M263" s="230"/>
      <c r="N263" s="230"/>
      <c r="O263" s="230"/>
      <c r="P263" s="230"/>
      <c r="Q263" s="230"/>
      <c r="R263" s="395"/>
    </row>
    <row r="264" spans="2:18" x14ac:dyDescent="0.25">
      <c r="B264" s="394"/>
      <c r="C264" s="230"/>
      <c r="D264" s="230"/>
      <c r="E264" s="230"/>
      <c r="F264" s="230"/>
      <c r="G264" s="230"/>
      <c r="H264" s="230"/>
      <c r="I264" s="230"/>
      <c r="J264" s="230"/>
      <c r="K264" s="230"/>
      <c r="L264" s="230"/>
      <c r="M264" s="230"/>
      <c r="N264" s="230"/>
      <c r="O264" s="230"/>
      <c r="P264" s="230"/>
      <c r="Q264" s="230"/>
      <c r="R264" s="395"/>
    </row>
    <row r="265" spans="2:18" x14ac:dyDescent="0.25">
      <c r="B265" s="394"/>
      <c r="C265" s="230"/>
      <c r="D265" s="230"/>
      <c r="E265" s="230"/>
      <c r="F265" s="230"/>
      <c r="G265" s="230"/>
      <c r="H265" s="230"/>
      <c r="I265" s="230"/>
      <c r="J265" s="230"/>
      <c r="K265" s="230"/>
      <c r="L265" s="230"/>
      <c r="M265" s="230"/>
      <c r="N265" s="230"/>
      <c r="O265" s="230"/>
      <c r="P265" s="230"/>
      <c r="Q265" s="230"/>
      <c r="R265" s="395"/>
    </row>
    <row r="266" spans="2:18" x14ac:dyDescent="0.25">
      <c r="B266" s="394"/>
      <c r="C266" s="230"/>
      <c r="D266" s="230"/>
      <c r="E266" s="230"/>
      <c r="F266" s="230"/>
      <c r="G266" s="230"/>
      <c r="H266" s="230"/>
      <c r="I266" s="230"/>
      <c r="J266" s="230"/>
      <c r="K266" s="230"/>
      <c r="L266" s="230"/>
      <c r="M266" s="230"/>
      <c r="N266" s="230"/>
      <c r="O266" s="230"/>
      <c r="P266" s="230"/>
      <c r="Q266" s="230"/>
      <c r="R266" s="395"/>
    </row>
    <row r="267" spans="2:18" x14ac:dyDescent="0.25">
      <c r="B267" s="394"/>
      <c r="C267" s="230"/>
      <c r="D267" s="230"/>
      <c r="E267" s="230"/>
      <c r="F267" s="230"/>
      <c r="G267" s="230"/>
      <c r="H267" s="230"/>
      <c r="I267" s="230"/>
      <c r="J267" s="230"/>
      <c r="K267" s="230"/>
      <c r="L267" s="230"/>
      <c r="M267" s="230"/>
      <c r="N267" s="230"/>
      <c r="O267" s="230"/>
      <c r="P267" s="230"/>
      <c r="Q267" s="230"/>
      <c r="R267" s="395"/>
    </row>
    <row r="268" spans="2:18" x14ac:dyDescent="0.25">
      <c r="B268" s="394"/>
      <c r="C268" s="230"/>
      <c r="D268" s="230"/>
      <c r="E268" s="230"/>
      <c r="F268" s="230"/>
      <c r="G268" s="230"/>
      <c r="H268" s="230"/>
      <c r="I268" s="230"/>
      <c r="J268" s="230"/>
      <c r="K268" s="230"/>
      <c r="L268" s="230"/>
      <c r="M268" s="230"/>
      <c r="N268" s="230"/>
      <c r="O268" s="230"/>
      <c r="P268" s="230"/>
      <c r="Q268" s="230"/>
      <c r="R268" s="395"/>
    </row>
    <row r="269" spans="2:18" x14ac:dyDescent="0.25">
      <c r="B269" s="394"/>
      <c r="C269" s="230"/>
      <c r="D269" s="230"/>
      <c r="E269" s="230"/>
      <c r="F269" s="230"/>
      <c r="G269" s="230"/>
      <c r="H269" s="230"/>
      <c r="I269" s="230"/>
      <c r="J269" s="230"/>
      <c r="K269" s="230"/>
      <c r="L269" s="230"/>
      <c r="M269" s="230"/>
      <c r="N269" s="230"/>
      <c r="O269" s="230"/>
      <c r="P269" s="230"/>
      <c r="Q269" s="230"/>
      <c r="R269" s="395"/>
    </row>
    <row r="270" spans="2:18" x14ac:dyDescent="0.25">
      <c r="B270" s="394"/>
      <c r="C270" s="230"/>
      <c r="D270" s="230"/>
      <c r="E270" s="230"/>
      <c r="F270" s="230"/>
      <c r="G270" s="230"/>
      <c r="H270" s="230"/>
      <c r="I270" s="230"/>
      <c r="J270" s="230"/>
      <c r="K270" s="230"/>
      <c r="L270" s="230"/>
      <c r="M270" s="230"/>
      <c r="N270" s="230"/>
      <c r="O270" s="230"/>
      <c r="P270" s="230"/>
      <c r="Q270" s="230"/>
      <c r="R270" s="395"/>
    </row>
    <row r="271" spans="2:18" x14ac:dyDescent="0.25">
      <c r="B271" s="394"/>
      <c r="C271" s="230"/>
      <c r="D271" s="230"/>
      <c r="E271" s="230"/>
      <c r="F271" s="230"/>
      <c r="G271" s="230"/>
      <c r="H271" s="230"/>
      <c r="I271" s="230"/>
      <c r="J271" s="230"/>
      <c r="K271" s="230"/>
      <c r="L271" s="230"/>
      <c r="M271" s="230"/>
      <c r="N271" s="230"/>
      <c r="O271" s="230"/>
      <c r="P271" s="230"/>
      <c r="Q271" s="230"/>
      <c r="R271" s="395"/>
    </row>
    <row r="272" spans="2:18" x14ac:dyDescent="0.25">
      <c r="B272" s="394"/>
      <c r="C272" s="230"/>
      <c r="D272" s="230"/>
      <c r="E272" s="230"/>
      <c r="F272" s="230"/>
      <c r="G272" s="230"/>
      <c r="H272" s="230"/>
      <c r="I272" s="230"/>
      <c r="J272" s="230"/>
      <c r="K272" s="230"/>
      <c r="L272" s="230"/>
      <c r="M272" s="230"/>
      <c r="N272" s="230"/>
      <c r="O272" s="230"/>
      <c r="P272" s="230"/>
      <c r="Q272" s="230"/>
      <c r="R272" s="395"/>
    </row>
    <row r="273" spans="2:18" x14ac:dyDescent="0.25">
      <c r="B273" s="394"/>
      <c r="C273" s="230"/>
      <c r="D273" s="230"/>
      <c r="E273" s="230"/>
      <c r="F273" s="230"/>
      <c r="G273" s="230"/>
      <c r="H273" s="230"/>
      <c r="I273" s="230"/>
      <c r="J273" s="230"/>
      <c r="K273" s="230"/>
      <c r="L273" s="230"/>
      <c r="M273" s="230"/>
      <c r="N273" s="230"/>
      <c r="O273" s="230"/>
      <c r="P273" s="230"/>
      <c r="Q273" s="230"/>
      <c r="R273" s="395"/>
    </row>
    <row r="274" spans="2:18" x14ac:dyDescent="0.25">
      <c r="B274" s="394"/>
      <c r="C274" s="230"/>
      <c r="D274" s="230"/>
      <c r="E274" s="230"/>
      <c r="F274" s="230"/>
      <c r="G274" s="230"/>
      <c r="H274" s="230"/>
      <c r="I274" s="230"/>
      <c r="J274" s="230"/>
      <c r="K274" s="230"/>
      <c r="L274" s="230"/>
      <c r="M274" s="230"/>
      <c r="N274" s="230"/>
      <c r="O274" s="230"/>
      <c r="P274" s="230"/>
      <c r="Q274" s="230"/>
      <c r="R274" s="395"/>
    </row>
    <row r="275" spans="2:18" x14ac:dyDescent="0.25">
      <c r="B275" s="394"/>
      <c r="C275" s="230"/>
      <c r="D275" s="230"/>
      <c r="E275" s="230"/>
      <c r="F275" s="230"/>
      <c r="G275" s="230"/>
      <c r="H275" s="230"/>
      <c r="I275" s="230"/>
      <c r="J275" s="230"/>
      <c r="K275" s="230"/>
      <c r="L275" s="230"/>
      <c r="M275" s="230"/>
      <c r="N275" s="230"/>
      <c r="O275" s="230"/>
      <c r="P275" s="230"/>
      <c r="Q275" s="230"/>
      <c r="R275" s="395"/>
    </row>
    <row r="276" spans="2:18" x14ac:dyDescent="0.25">
      <c r="B276" s="394"/>
      <c r="C276" s="230"/>
      <c r="D276" s="230"/>
      <c r="E276" s="230"/>
      <c r="F276" s="230"/>
      <c r="G276" s="230"/>
      <c r="H276" s="230"/>
      <c r="I276" s="230"/>
      <c r="J276" s="230"/>
      <c r="K276" s="230"/>
      <c r="L276" s="230"/>
      <c r="M276" s="230"/>
      <c r="N276" s="230"/>
      <c r="O276" s="230"/>
      <c r="P276" s="230"/>
      <c r="Q276" s="230"/>
      <c r="R276" s="395"/>
    </row>
    <row r="277" spans="2:18" x14ac:dyDescent="0.25">
      <c r="B277" s="394"/>
      <c r="C277" s="230"/>
      <c r="D277" s="230"/>
      <c r="E277" s="230"/>
      <c r="F277" s="230"/>
      <c r="G277" s="230"/>
      <c r="H277" s="230"/>
      <c r="I277" s="230"/>
      <c r="J277" s="230"/>
      <c r="K277" s="230"/>
      <c r="L277" s="230"/>
      <c r="M277" s="230"/>
      <c r="N277" s="230"/>
      <c r="O277" s="230"/>
      <c r="P277" s="230"/>
      <c r="Q277" s="230"/>
      <c r="R277" s="395"/>
    </row>
    <row r="278" spans="2:18" x14ac:dyDescent="0.25">
      <c r="B278" s="394"/>
      <c r="C278" s="230"/>
      <c r="D278" s="230"/>
      <c r="E278" s="230"/>
      <c r="F278" s="230"/>
      <c r="G278" s="230"/>
      <c r="H278" s="230"/>
      <c r="I278" s="230"/>
      <c r="J278" s="230"/>
      <c r="K278" s="230"/>
      <c r="L278" s="230"/>
      <c r="M278" s="230"/>
      <c r="N278" s="230"/>
      <c r="O278" s="230"/>
      <c r="P278" s="230"/>
      <c r="Q278" s="230"/>
      <c r="R278" s="395"/>
    </row>
    <row r="279" spans="2:18" x14ac:dyDescent="0.25">
      <c r="B279" s="394"/>
      <c r="C279" s="230"/>
      <c r="D279" s="230"/>
      <c r="E279" s="230"/>
      <c r="F279" s="230"/>
      <c r="G279" s="230"/>
      <c r="H279" s="230"/>
      <c r="I279" s="230"/>
      <c r="J279" s="230"/>
      <c r="K279" s="230"/>
      <c r="L279" s="230"/>
      <c r="M279" s="230"/>
      <c r="N279" s="230"/>
      <c r="O279" s="230"/>
      <c r="P279" s="230"/>
      <c r="Q279" s="230"/>
      <c r="R279" s="395"/>
    </row>
    <row r="280" spans="2:18" x14ac:dyDescent="0.25">
      <c r="B280" s="394"/>
      <c r="C280" s="230"/>
      <c r="D280" s="230"/>
      <c r="E280" s="230"/>
      <c r="F280" s="230"/>
      <c r="G280" s="230"/>
      <c r="H280" s="230"/>
      <c r="I280" s="230"/>
      <c r="J280" s="230"/>
      <c r="K280" s="230"/>
      <c r="L280" s="230"/>
      <c r="M280" s="230"/>
      <c r="N280" s="230"/>
      <c r="O280" s="230"/>
      <c r="P280" s="230"/>
      <c r="Q280" s="230"/>
      <c r="R280" s="395"/>
    </row>
    <row r="281" spans="2:18" x14ac:dyDescent="0.25">
      <c r="B281" s="394"/>
      <c r="C281" s="230"/>
      <c r="D281" s="230"/>
      <c r="E281" s="230"/>
      <c r="F281" s="230"/>
      <c r="G281" s="230"/>
      <c r="H281" s="230"/>
      <c r="I281" s="230"/>
      <c r="J281" s="230"/>
      <c r="K281" s="230"/>
      <c r="L281" s="230"/>
      <c r="M281" s="230"/>
      <c r="N281" s="230"/>
      <c r="O281" s="230"/>
      <c r="P281" s="230"/>
      <c r="Q281" s="230"/>
      <c r="R281" s="395"/>
    </row>
    <row r="282" spans="2:18" x14ac:dyDescent="0.25">
      <c r="B282" s="394"/>
      <c r="C282" s="230"/>
      <c r="D282" s="230"/>
      <c r="E282" s="230"/>
      <c r="F282" s="230"/>
      <c r="G282" s="230"/>
      <c r="H282" s="230"/>
      <c r="I282" s="230"/>
      <c r="J282" s="230"/>
      <c r="K282" s="230"/>
      <c r="L282" s="230"/>
      <c r="M282" s="230"/>
      <c r="N282" s="230"/>
      <c r="O282" s="230"/>
      <c r="P282" s="230"/>
      <c r="Q282" s="230"/>
      <c r="R282" s="395"/>
    </row>
    <row r="283" spans="2:18" x14ac:dyDescent="0.25">
      <c r="B283" s="394"/>
      <c r="C283" s="230"/>
      <c r="D283" s="230"/>
      <c r="E283" s="230"/>
      <c r="F283" s="230"/>
      <c r="G283" s="230"/>
      <c r="H283" s="230"/>
      <c r="I283" s="230"/>
      <c r="J283" s="230"/>
      <c r="K283" s="230"/>
      <c r="L283" s="230"/>
      <c r="M283" s="230"/>
      <c r="N283" s="230"/>
      <c r="O283" s="230"/>
      <c r="P283" s="230"/>
      <c r="Q283" s="230"/>
      <c r="R283" s="395"/>
    </row>
    <row r="284" spans="2:18" x14ac:dyDescent="0.25">
      <c r="B284" s="394"/>
      <c r="C284" s="230"/>
      <c r="D284" s="230"/>
      <c r="E284" s="230"/>
      <c r="F284" s="230"/>
      <c r="G284" s="230"/>
      <c r="H284" s="230"/>
      <c r="I284" s="230"/>
      <c r="J284" s="230"/>
      <c r="K284" s="230"/>
      <c r="L284" s="230"/>
      <c r="M284" s="230"/>
      <c r="N284" s="230"/>
      <c r="O284" s="230"/>
      <c r="P284" s="230"/>
      <c r="Q284" s="230"/>
      <c r="R284" s="395"/>
    </row>
    <row r="285" spans="2:18" x14ac:dyDescent="0.25">
      <c r="B285" s="394"/>
      <c r="C285" s="230"/>
      <c r="D285" s="230"/>
      <c r="E285" s="230"/>
      <c r="F285" s="230"/>
      <c r="G285" s="230"/>
      <c r="H285" s="230"/>
      <c r="I285" s="230"/>
      <c r="J285" s="230"/>
      <c r="K285" s="230"/>
      <c r="L285" s="230"/>
      <c r="M285" s="230"/>
      <c r="N285" s="230"/>
      <c r="O285" s="230"/>
      <c r="P285" s="230"/>
      <c r="Q285" s="230"/>
      <c r="R285" s="395"/>
    </row>
    <row r="286" spans="2:18" x14ac:dyDescent="0.25">
      <c r="B286" s="394"/>
      <c r="C286" s="230"/>
      <c r="D286" s="230"/>
      <c r="E286" s="230"/>
      <c r="F286" s="230"/>
      <c r="G286" s="230"/>
      <c r="H286" s="230"/>
      <c r="I286" s="230"/>
      <c r="J286" s="230"/>
      <c r="K286" s="230"/>
      <c r="L286" s="230"/>
      <c r="M286" s="230"/>
      <c r="N286" s="230"/>
      <c r="O286" s="230"/>
      <c r="P286" s="230"/>
      <c r="Q286" s="230"/>
      <c r="R286" s="395"/>
    </row>
    <row r="287" spans="2:18" x14ac:dyDescent="0.25">
      <c r="B287" s="394"/>
      <c r="C287" s="230"/>
      <c r="D287" s="230"/>
      <c r="E287" s="230"/>
      <c r="F287" s="230"/>
      <c r="G287" s="230"/>
      <c r="H287" s="230"/>
      <c r="I287" s="230"/>
      <c r="J287" s="230"/>
      <c r="K287" s="230"/>
      <c r="L287" s="230"/>
      <c r="M287" s="230"/>
      <c r="N287" s="230"/>
      <c r="O287" s="230"/>
      <c r="P287" s="230"/>
      <c r="Q287" s="230"/>
      <c r="R287" s="395"/>
    </row>
    <row r="288" spans="2:18" x14ac:dyDescent="0.25">
      <c r="B288" s="394"/>
      <c r="C288" s="230"/>
      <c r="D288" s="230"/>
      <c r="E288" s="230"/>
      <c r="F288" s="230"/>
      <c r="G288" s="230"/>
      <c r="H288" s="230"/>
      <c r="I288" s="230"/>
      <c r="J288" s="230"/>
      <c r="K288" s="230"/>
      <c r="L288" s="230"/>
      <c r="M288" s="230"/>
      <c r="N288" s="230"/>
      <c r="O288" s="230"/>
      <c r="P288" s="230"/>
      <c r="Q288" s="230"/>
      <c r="R288" s="395"/>
    </row>
    <row r="289" spans="2:18" x14ac:dyDescent="0.25">
      <c r="B289" s="394"/>
      <c r="C289" s="230"/>
      <c r="D289" s="230"/>
      <c r="E289" s="230"/>
      <c r="F289" s="230"/>
      <c r="G289" s="230"/>
      <c r="H289" s="230"/>
      <c r="I289" s="230"/>
      <c r="J289" s="230"/>
      <c r="K289" s="230"/>
      <c r="L289" s="230"/>
      <c r="M289" s="230"/>
      <c r="N289" s="230"/>
      <c r="O289" s="230"/>
      <c r="P289" s="230"/>
      <c r="Q289" s="230"/>
      <c r="R289" s="395"/>
    </row>
    <row r="290" spans="2:18" x14ac:dyDescent="0.25">
      <c r="B290" s="394"/>
      <c r="C290" s="230"/>
      <c r="D290" s="230"/>
      <c r="E290" s="230"/>
      <c r="F290" s="230"/>
      <c r="G290" s="230"/>
      <c r="H290" s="230"/>
      <c r="I290" s="230"/>
      <c r="J290" s="230"/>
      <c r="K290" s="230"/>
      <c r="L290" s="230"/>
      <c r="M290" s="230"/>
      <c r="N290" s="230"/>
      <c r="O290" s="230"/>
      <c r="P290" s="230"/>
      <c r="Q290" s="230"/>
      <c r="R290" s="395"/>
    </row>
    <row r="291" spans="2:18" x14ac:dyDescent="0.25">
      <c r="B291" s="394"/>
      <c r="C291" s="230"/>
      <c r="D291" s="230"/>
      <c r="E291" s="230"/>
      <c r="F291" s="230"/>
      <c r="G291" s="230"/>
      <c r="H291" s="230"/>
      <c r="I291" s="230"/>
      <c r="J291" s="230"/>
      <c r="K291" s="230"/>
      <c r="L291" s="230"/>
      <c r="M291" s="230"/>
      <c r="N291" s="230"/>
      <c r="O291" s="230"/>
      <c r="P291" s="230"/>
      <c r="Q291" s="230"/>
      <c r="R291" s="395"/>
    </row>
    <row r="292" spans="2:18" x14ac:dyDescent="0.25">
      <c r="B292" s="394"/>
      <c r="C292" s="230"/>
      <c r="D292" s="230"/>
      <c r="E292" s="230"/>
      <c r="F292" s="230"/>
      <c r="G292" s="230"/>
      <c r="H292" s="230"/>
      <c r="I292" s="230"/>
      <c r="J292" s="230"/>
      <c r="K292" s="230"/>
      <c r="L292" s="230"/>
      <c r="M292" s="230"/>
      <c r="N292" s="230"/>
      <c r="O292" s="230"/>
      <c r="P292" s="230"/>
      <c r="Q292" s="230"/>
      <c r="R292" s="395"/>
    </row>
    <row r="293" spans="2:18" x14ac:dyDescent="0.25">
      <c r="B293" s="394"/>
      <c r="C293" s="230"/>
      <c r="D293" s="230"/>
      <c r="E293" s="230"/>
      <c r="F293" s="230"/>
      <c r="G293" s="230"/>
      <c r="H293" s="230"/>
      <c r="I293" s="230"/>
      <c r="J293" s="230"/>
      <c r="K293" s="230"/>
      <c r="L293" s="230"/>
      <c r="M293" s="230"/>
      <c r="N293" s="230"/>
      <c r="O293" s="230"/>
      <c r="P293" s="230"/>
      <c r="Q293" s="230"/>
      <c r="R293" s="395"/>
    </row>
    <row r="294" spans="2:18" x14ac:dyDescent="0.25">
      <c r="B294" s="394"/>
      <c r="C294" s="230"/>
      <c r="D294" s="230"/>
      <c r="E294" s="230"/>
      <c r="F294" s="230"/>
      <c r="G294" s="230"/>
      <c r="H294" s="230"/>
      <c r="I294" s="230"/>
      <c r="J294" s="230"/>
      <c r="K294" s="230"/>
      <c r="L294" s="230"/>
      <c r="M294" s="230"/>
      <c r="N294" s="230"/>
      <c r="O294" s="230"/>
      <c r="P294" s="230"/>
      <c r="Q294" s="230"/>
      <c r="R294" s="395"/>
    </row>
    <row r="295" spans="2:18" x14ac:dyDescent="0.25">
      <c r="B295" s="394"/>
      <c r="C295" s="230"/>
      <c r="D295" s="230"/>
      <c r="E295" s="230"/>
      <c r="F295" s="230"/>
      <c r="G295" s="230"/>
      <c r="H295" s="230"/>
      <c r="I295" s="230"/>
      <c r="J295" s="230"/>
      <c r="K295" s="230"/>
      <c r="L295" s="230"/>
      <c r="M295" s="230"/>
      <c r="N295" s="230"/>
      <c r="O295" s="230"/>
      <c r="P295" s="230"/>
      <c r="Q295" s="230"/>
      <c r="R295" s="395"/>
    </row>
    <row r="296" spans="2:18" x14ac:dyDescent="0.25">
      <c r="B296" s="394"/>
      <c r="C296" s="230"/>
      <c r="D296" s="230"/>
      <c r="E296" s="230"/>
      <c r="F296" s="230"/>
      <c r="G296" s="230"/>
      <c r="H296" s="230"/>
      <c r="I296" s="230"/>
      <c r="J296" s="230"/>
      <c r="K296" s="230"/>
      <c r="L296" s="230"/>
      <c r="M296" s="230"/>
      <c r="N296" s="230"/>
      <c r="O296" s="230"/>
      <c r="P296" s="230"/>
      <c r="Q296" s="230"/>
      <c r="R296" s="395"/>
    </row>
    <row r="297" spans="2:18" x14ac:dyDescent="0.25">
      <c r="B297" s="394"/>
      <c r="C297" s="230"/>
      <c r="D297" s="230"/>
      <c r="E297" s="230"/>
      <c r="F297" s="230"/>
      <c r="G297" s="230"/>
      <c r="H297" s="230"/>
      <c r="I297" s="230"/>
      <c r="J297" s="230"/>
      <c r="K297" s="230"/>
      <c r="L297" s="230"/>
      <c r="M297" s="230"/>
      <c r="N297" s="230"/>
      <c r="O297" s="230"/>
      <c r="P297" s="230"/>
      <c r="Q297" s="230"/>
      <c r="R297" s="395"/>
    </row>
    <row r="298" spans="2:18" x14ac:dyDescent="0.25">
      <c r="B298" s="394"/>
      <c r="C298" s="230"/>
      <c r="D298" s="230"/>
      <c r="E298" s="230"/>
      <c r="F298" s="230"/>
      <c r="G298" s="230"/>
      <c r="H298" s="230"/>
      <c r="I298" s="230"/>
      <c r="J298" s="230"/>
      <c r="K298" s="230"/>
      <c r="L298" s="230"/>
      <c r="M298" s="230"/>
      <c r="N298" s="230"/>
      <c r="O298" s="230"/>
      <c r="P298" s="230"/>
      <c r="Q298" s="230"/>
      <c r="R298" s="395"/>
    </row>
    <row r="299" spans="2:18" x14ac:dyDescent="0.25">
      <c r="B299" s="394"/>
      <c r="C299" s="230"/>
      <c r="D299" s="230"/>
      <c r="E299" s="230"/>
      <c r="F299" s="230"/>
      <c r="G299" s="230"/>
      <c r="H299" s="230"/>
      <c r="I299" s="230"/>
      <c r="J299" s="230"/>
      <c r="K299" s="230"/>
      <c r="L299" s="230"/>
      <c r="M299" s="230"/>
      <c r="N299" s="230"/>
      <c r="O299" s="230"/>
      <c r="P299" s="230"/>
      <c r="Q299" s="230"/>
      <c r="R299" s="395"/>
    </row>
    <row r="300" spans="2:18" x14ac:dyDescent="0.25">
      <c r="B300" s="394"/>
      <c r="C300" s="230"/>
      <c r="D300" s="230"/>
      <c r="E300" s="230"/>
      <c r="F300" s="230"/>
      <c r="G300" s="230"/>
      <c r="H300" s="230"/>
      <c r="I300" s="230"/>
      <c r="J300" s="230"/>
      <c r="K300" s="230"/>
      <c r="L300" s="230"/>
      <c r="M300" s="230"/>
      <c r="N300" s="230"/>
      <c r="O300" s="230"/>
      <c r="P300" s="230"/>
      <c r="Q300" s="230"/>
      <c r="R300" s="395"/>
    </row>
    <row r="301" spans="2:18" x14ac:dyDescent="0.25">
      <c r="B301" s="394"/>
      <c r="C301" s="230"/>
      <c r="D301" s="230"/>
      <c r="E301" s="230"/>
      <c r="F301" s="230"/>
      <c r="G301" s="230"/>
      <c r="H301" s="230"/>
      <c r="I301" s="230"/>
      <c r="J301" s="230"/>
      <c r="K301" s="230"/>
      <c r="L301" s="230"/>
      <c r="M301" s="230"/>
      <c r="N301" s="230"/>
      <c r="O301" s="230"/>
      <c r="P301" s="230"/>
      <c r="Q301" s="230"/>
      <c r="R301" s="395"/>
    </row>
    <row r="302" spans="2:18" x14ac:dyDescent="0.25">
      <c r="B302" s="394"/>
      <c r="C302" s="230"/>
      <c r="D302" s="230"/>
      <c r="E302" s="230"/>
      <c r="F302" s="230"/>
      <c r="G302" s="230"/>
      <c r="H302" s="230"/>
      <c r="I302" s="230"/>
      <c r="J302" s="230"/>
      <c r="K302" s="230"/>
      <c r="L302" s="230"/>
      <c r="M302" s="230"/>
      <c r="N302" s="230"/>
      <c r="O302" s="230"/>
      <c r="P302" s="230"/>
      <c r="Q302" s="230"/>
      <c r="R302" s="395"/>
    </row>
    <row r="303" spans="2:18" x14ac:dyDescent="0.25">
      <c r="B303" s="394"/>
      <c r="C303" s="230"/>
      <c r="D303" s="230"/>
      <c r="E303" s="230"/>
      <c r="F303" s="230"/>
      <c r="G303" s="230"/>
      <c r="H303" s="230"/>
      <c r="I303" s="230"/>
      <c r="J303" s="230"/>
      <c r="K303" s="230"/>
      <c r="L303" s="230"/>
      <c r="M303" s="230"/>
      <c r="N303" s="230"/>
      <c r="O303" s="230"/>
      <c r="P303" s="230"/>
      <c r="Q303" s="230"/>
      <c r="R303" s="395"/>
    </row>
    <row r="304" spans="2:18" x14ac:dyDescent="0.25">
      <c r="B304" s="394"/>
      <c r="C304" s="230"/>
      <c r="D304" s="230"/>
      <c r="E304" s="230"/>
      <c r="F304" s="230"/>
      <c r="G304" s="230"/>
      <c r="H304" s="230"/>
      <c r="I304" s="230"/>
      <c r="J304" s="230"/>
      <c r="K304" s="230"/>
      <c r="L304" s="230"/>
      <c r="M304" s="230"/>
      <c r="N304" s="230"/>
      <c r="O304" s="230"/>
      <c r="P304" s="230"/>
      <c r="Q304" s="230"/>
      <c r="R304" s="395"/>
    </row>
    <row r="305" spans="2:18" x14ac:dyDescent="0.25">
      <c r="B305" s="394"/>
      <c r="C305" s="230"/>
      <c r="D305" s="230"/>
      <c r="E305" s="230"/>
      <c r="F305" s="230"/>
      <c r="G305" s="230"/>
      <c r="H305" s="230"/>
      <c r="I305" s="230"/>
      <c r="J305" s="230"/>
      <c r="K305" s="230"/>
      <c r="L305" s="230"/>
      <c r="M305" s="230"/>
      <c r="N305" s="230"/>
      <c r="O305" s="230"/>
      <c r="P305" s="230"/>
      <c r="Q305" s="230"/>
      <c r="R305" s="395"/>
    </row>
    <row r="306" spans="2:18" x14ac:dyDescent="0.25">
      <c r="B306" s="394"/>
      <c r="C306" s="230"/>
      <c r="D306" s="230"/>
      <c r="E306" s="230"/>
      <c r="F306" s="230"/>
      <c r="G306" s="230"/>
      <c r="H306" s="230"/>
      <c r="I306" s="230"/>
      <c r="J306" s="230"/>
      <c r="K306" s="230"/>
      <c r="L306" s="230"/>
      <c r="M306" s="230"/>
      <c r="N306" s="230"/>
      <c r="O306" s="230"/>
      <c r="P306" s="230"/>
      <c r="Q306" s="230"/>
      <c r="R306" s="395"/>
    </row>
    <row r="307" spans="2:18" x14ac:dyDescent="0.25">
      <c r="B307" s="394"/>
      <c r="C307" s="230"/>
      <c r="D307" s="230"/>
      <c r="E307" s="230"/>
      <c r="F307" s="230"/>
      <c r="G307" s="230"/>
      <c r="H307" s="230"/>
      <c r="I307" s="230"/>
      <c r="J307" s="230"/>
      <c r="K307" s="230"/>
      <c r="L307" s="230"/>
      <c r="M307" s="230"/>
      <c r="N307" s="230"/>
      <c r="O307" s="230"/>
      <c r="P307" s="230"/>
      <c r="Q307" s="230"/>
      <c r="R307" s="395"/>
    </row>
    <row r="308" spans="2:18" x14ac:dyDescent="0.25">
      <c r="B308" s="394"/>
      <c r="C308" s="230"/>
      <c r="D308" s="230"/>
      <c r="E308" s="230"/>
      <c r="F308" s="230"/>
      <c r="G308" s="230"/>
      <c r="H308" s="230"/>
      <c r="I308" s="230"/>
      <c r="J308" s="230"/>
      <c r="K308" s="230"/>
      <c r="L308" s="230"/>
      <c r="M308" s="230"/>
      <c r="N308" s="230"/>
      <c r="O308" s="230"/>
      <c r="P308" s="230"/>
      <c r="Q308" s="230"/>
      <c r="R308" s="395"/>
    </row>
    <row r="309" spans="2:18" x14ac:dyDescent="0.25">
      <c r="B309" s="394"/>
      <c r="C309" s="230"/>
      <c r="D309" s="230"/>
      <c r="E309" s="230"/>
      <c r="F309" s="230"/>
      <c r="G309" s="230"/>
      <c r="H309" s="230"/>
      <c r="I309" s="230"/>
      <c r="J309" s="230"/>
      <c r="K309" s="230"/>
      <c r="L309" s="230"/>
      <c r="M309" s="230"/>
      <c r="N309" s="230"/>
      <c r="O309" s="230"/>
      <c r="P309" s="230"/>
      <c r="Q309" s="230"/>
      <c r="R309" s="395"/>
    </row>
    <row r="310" spans="2:18" x14ac:dyDescent="0.25">
      <c r="B310" s="394"/>
      <c r="C310" s="230"/>
      <c r="D310" s="230"/>
      <c r="E310" s="230"/>
      <c r="F310" s="230"/>
      <c r="G310" s="230"/>
      <c r="H310" s="230"/>
      <c r="I310" s="230"/>
      <c r="J310" s="230"/>
      <c r="K310" s="230"/>
      <c r="L310" s="230"/>
      <c r="M310" s="230"/>
      <c r="N310" s="230"/>
      <c r="O310" s="230"/>
      <c r="P310" s="230"/>
      <c r="Q310" s="230"/>
      <c r="R310" s="395"/>
    </row>
    <row r="311" spans="2:18" x14ac:dyDescent="0.25">
      <c r="B311" s="394"/>
      <c r="C311" s="230"/>
      <c r="D311" s="230"/>
      <c r="E311" s="230"/>
      <c r="F311" s="230"/>
      <c r="G311" s="230"/>
      <c r="H311" s="230"/>
      <c r="I311" s="230"/>
      <c r="J311" s="230"/>
      <c r="K311" s="230"/>
      <c r="L311" s="230"/>
      <c r="M311" s="230"/>
      <c r="N311" s="230"/>
      <c r="O311" s="230"/>
      <c r="P311" s="230"/>
      <c r="Q311" s="230"/>
      <c r="R311" s="395"/>
    </row>
    <row r="312" spans="2:18" x14ac:dyDescent="0.25">
      <c r="B312" s="394"/>
      <c r="C312" s="230"/>
      <c r="D312" s="230"/>
      <c r="E312" s="230"/>
      <c r="F312" s="230"/>
      <c r="G312" s="230"/>
      <c r="H312" s="230"/>
      <c r="I312" s="230"/>
      <c r="J312" s="230"/>
      <c r="K312" s="230"/>
      <c r="L312" s="230"/>
      <c r="M312" s="230"/>
      <c r="N312" s="230"/>
      <c r="O312" s="230"/>
      <c r="P312" s="230"/>
      <c r="Q312" s="230"/>
      <c r="R312" s="395"/>
    </row>
    <row r="313" spans="2:18" x14ac:dyDescent="0.25">
      <c r="B313" s="394"/>
      <c r="C313" s="230"/>
      <c r="D313" s="230"/>
      <c r="E313" s="230"/>
      <c r="F313" s="230"/>
      <c r="G313" s="230"/>
      <c r="H313" s="230"/>
      <c r="I313" s="230"/>
      <c r="J313" s="230"/>
      <c r="K313" s="230"/>
      <c r="L313" s="230"/>
      <c r="M313" s="230"/>
      <c r="N313" s="230"/>
      <c r="O313" s="230"/>
      <c r="P313" s="230"/>
      <c r="Q313" s="230"/>
      <c r="R313" s="395"/>
    </row>
    <row r="314" spans="2:18" x14ac:dyDescent="0.25">
      <c r="B314" s="394"/>
      <c r="C314" s="230"/>
      <c r="D314" s="230"/>
      <c r="E314" s="230"/>
      <c r="F314" s="230"/>
      <c r="G314" s="230"/>
      <c r="H314" s="230"/>
      <c r="I314" s="230"/>
      <c r="J314" s="230"/>
      <c r="K314" s="230"/>
      <c r="L314" s="230"/>
      <c r="M314" s="230"/>
      <c r="N314" s="230"/>
      <c r="O314" s="230"/>
      <c r="P314" s="230"/>
      <c r="Q314" s="230"/>
      <c r="R314" s="395"/>
    </row>
    <row r="315" spans="2:18" x14ac:dyDescent="0.25">
      <c r="B315" s="394"/>
      <c r="C315" s="230"/>
      <c r="D315" s="230"/>
      <c r="E315" s="230"/>
      <c r="F315" s="230"/>
      <c r="G315" s="230"/>
      <c r="H315" s="230"/>
      <c r="I315" s="230"/>
      <c r="J315" s="230"/>
      <c r="K315" s="230"/>
      <c r="L315" s="230"/>
      <c r="M315" s="230"/>
      <c r="N315" s="230"/>
      <c r="O315" s="230"/>
      <c r="P315" s="230"/>
      <c r="Q315" s="230"/>
      <c r="R315" s="395"/>
    </row>
    <row r="316" spans="2:18" x14ac:dyDescent="0.25">
      <c r="B316" s="394"/>
      <c r="C316" s="230"/>
      <c r="D316" s="230"/>
      <c r="E316" s="230"/>
      <c r="F316" s="230"/>
      <c r="G316" s="230"/>
      <c r="H316" s="230"/>
      <c r="I316" s="230"/>
      <c r="J316" s="230"/>
      <c r="K316" s="230"/>
      <c r="L316" s="230"/>
      <c r="M316" s="230"/>
      <c r="N316" s="230"/>
      <c r="O316" s="230"/>
      <c r="P316" s="230"/>
      <c r="Q316" s="230"/>
      <c r="R316" s="395"/>
    </row>
    <row r="317" spans="2:18" x14ac:dyDescent="0.25">
      <c r="B317" s="394"/>
      <c r="C317" s="230"/>
      <c r="D317" s="230"/>
      <c r="E317" s="230"/>
      <c r="F317" s="230"/>
      <c r="G317" s="230"/>
      <c r="H317" s="230"/>
      <c r="I317" s="230"/>
      <c r="J317" s="230"/>
      <c r="K317" s="230"/>
      <c r="L317" s="230"/>
      <c r="M317" s="230"/>
      <c r="N317" s="230"/>
      <c r="O317" s="230"/>
      <c r="P317" s="230"/>
      <c r="Q317" s="230"/>
      <c r="R317" s="395"/>
    </row>
    <row r="318" spans="2:18" x14ac:dyDescent="0.25">
      <c r="B318" s="394"/>
      <c r="C318" s="230"/>
      <c r="D318" s="230"/>
      <c r="E318" s="230"/>
      <c r="F318" s="230"/>
      <c r="G318" s="230"/>
      <c r="H318" s="230"/>
      <c r="I318" s="230"/>
      <c r="J318" s="230"/>
      <c r="K318" s="230"/>
      <c r="L318" s="230"/>
      <c r="M318" s="230"/>
      <c r="N318" s="230"/>
      <c r="O318" s="230"/>
      <c r="P318" s="230"/>
      <c r="Q318" s="230"/>
      <c r="R318" s="395"/>
    </row>
    <row r="319" spans="2:18" x14ac:dyDescent="0.25">
      <c r="B319" s="394"/>
      <c r="C319" s="230"/>
      <c r="D319" s="230"/>
      <c r="E319" s="230"/>
      <c r="F319" s="230"/>
      <c r="G319" s="230"/>
      <c r="H319" s="230"/>
      <c r="I319" s="230"/>
      <c r="J319" s="230"/>
      <c r="K319" s="230"/>
      <c r="L319" s="230"/>
      <c r="M319" s="230"/>
      <c r="N319" s="230"/>
      <c r="O319" s="230"/>
      <c r="P319" s="230"/>
      <c r="Q319" s="230"/>
      <c r="R319" s="395"/>
    </row>
    <row r="320" spans="2:18" x14ac:dyDescent="0.25">
      <c r="B320" s="394"/>
      <c r="C320" s="230"/>
      <c r="D320" s="230"/>
      <c r="E320" s="230"/>
      <c r="F320" s="230"/>
      <c r="G320" s="230"/>
      <c r="H320" s="230"/>
      <c r="I320" s="230"/>
      <c r="J320" s="230"/>
      <c r="K320" s="230"/>
      <c r="L320" s="230"/>
      <c r="M320" s="230"/>
      <c r="N320" s="230"/>
      <c r="O320" s="230"/>
      <c r="P320" s="230"/>
      <c r="Q320" s="230"/>
      <c r="R320" s="395"/>
    </row>
    <row r="321" spans="2:18" x14ac:dyDescent="0.25">
      <c r="B321" s="394"/>
      <c r="C321" s="230"/>
      <c r="D321" s="230"/>
      <c r="E321" s="230"/>
      <c r="F321" s="230"/>
      <c r="G321" s="230"/>
      <c r="H321" s="230"/>
      <c r="I321" s="230"/>
      <c r="J321" s="230"/>
      <c r="K321" s="230"/>
      <c r="L321" s="230"/>
      <c r="M321" s="230"/>
      <c r="N321" s="230"/>
      <c r="O321" s="230"/>
      <c r="P321" s="230"/>
      <c r="Q321" s="230"/>
      <c r="R321" s="395"/>
    </row>
    <row r="322" spans="2:18" x14ac:dyDescent="0.25">
      <c r="B322" s="394"/>
      <c r="C322" s="230"/>
      <c r="D322" s="230"/>
      <c r="E322" s="230"/>
      <c r="F322" s="230"/>
      <c r="G322" s="230"/>
      <c r="H322" s="230"/>
      <c r="I322" s="230"/>
      <c r="J322" s="230"/>
      <c r="K322" s="230"/>
      <c r="L322" s="230"/>
      <c r="M322" s="230"/>
      <c r="N322" s="230"/>
      <c r="O322" s="230"/>
      <c r="P322" s="230"/>
      <c r="Q322" s="230"/>
      <c r="R322" s="395"/>
    </row>
    <row r="323" spans="2:18" x14ac:dyDescent="0.25">
      <c r="B323" s="394"/>
      <c r="C323" s="230"/>
      <c r="D323" s="230"/>
      <c r="E323" s="230"/>
      <c r="F323" s="230"/>
      <c r="G323" s="230"/>
      <c r="H323" s="230"/>
      <c r="I323" s="230"/>
      <c r="J323" s="230"/>
      <c r="K323" s="230"/>
      <c r="L323" s="230"/>
      <c r="M323" s="230"/>
      <c r="N323" s="230"/>
      <c r="O323" s="230"/>
      <c r="P323" s="230"/>
      <c r="Q323" s="230"/>
      <c r="R323" s="395"/>
    </row>
    <row r="324" spans="2:18" x14ac:dyDescent="0.25">
      <c r="B324" s="394"/>
      <c r="C324" s="230"/>
      <c r="D324" s="230"/>
      <c r="E324" s="230"/>
      <c r="F324" s="230"/>
      <c r="G324" s="230"/>
      <c r="H324" s="230"/>
      <c r="I324" s="230"/>
      <c r="J324" s="230"/>
      <c r="K324" s="230"/>
      <c r="L324" s="230"/>
      <c r="M324" s="230"/>
      <c r="N324" s="230"/>
      <c r="O324" s="230"/>
      <c r="P324" s="230"/>
      <c r="Q324" s="230"/>
      <c r="R324" s="395"/>
    </row>
    <row r="325" spans="2:18" x14ac:dyDescent="0.25">
      <c r="B325" s="394"/>
      <c r="C325" s="230"/>
      <c r="D325" s="230"/>
      <c r="E325" s="230"/>
      <c r="F325" s="230"/>
      <c r="G325" s="230"/>
      <c r="H325" s="230"/>
      <c r="I325" s="230"/>
      <c r="J325" s="230"/>
      <c r="K325" s="230"/>
      <c r="L325" s="230"/>
      <c r="M325" s="230"/>
      <c r="N325" s="230"/>
      <c r="O325" s="230"/>
      <c r="P325" s="230"/>
      <c r="Q325" s="230"/>
      <c r="R325" s="395"/>
    </row>
    <row r="326" spans="2:18" x14ac:dyDescent="0.25">
      <c r="B326" s="394"/>
      <c r="C326" s="230"/>
      <c r="D326" s="230"/>
      <c r="E326" s="230"/>
      <c r="F326" s="230"/>
      <c r="G326" s="230"/>
      <c r="H326" s="230"/>
      <c r="I326" s="230"/>
      <c r="J326" s="230"/>
      <c r="K326" s="230"/>
      <c r="L326" s="230"/>
      <c r="M326" s="230"/>
      <c r="N326" s="230"/>
      <c r="O326" s="230"/>
      <c r="P326" s="230"/>
      <c r="Q326" s="230"/>
      <c r="R326" s="395"/>
    </row>
    <row r="327" spans="2:18" x14ac:dyDescent="0.25">
      <c r="B327" s="394"/>
      <c r="C327" s="230"/>
      <c r="D327" s="230"/>
      <c r="E327" s="230"/>
      <c r="F327" s="230"/>
      <c r="G327" s="230"/>
      <c r="H327" s="230"/>
      <c r="I327" s="230"/>
      <c r="J327" s="230"/>
      <c r="K327" s="230"/>
      <c r="L327" s="230"/>
      <c r="M327" s="230"/>
      <c r="N327" s="230"/>
      <c r="O327" s="230"/>
      <c r="P327" s="230"/>
      <c r="Q327" s="230"/>
      <c r="R327" s="395"/>
    </row>
    <row r="328" spans="2:18" x14ac:dyDescent="0.25">
      <c r="B328" s="394"/>
      <c r="C328" s="230"/>
      <c r="D328" s="230"/>
      <c r="E328" s="230"/>
      <c r="F328" s="230"/>
      <c r="G328" s="230"/>
      <c r="H328" s="230"/>
      <c r="I328" s="230"/>
      <c r="J328" s="230"/>
      <c r="K328" s="230"/>
      <c r="L328" s="230"/>
      <c r="M328" s="230"/>
      <c r="N328" s="230"/>
      <c r="O328" s="230"/>
      <c r="P328" s="230"/>
      <c r="Q328" s="230"/>
      <c r="R328" s="395"/>
    </row>
    <row r="329" spans="2:18" x14ac:dyDescent="0.25">
      <c r="B329" s="394"/>
      <c r="C329" s="230"/>
      <c r="D329" s="230"/>
      <c r="E329" s="230"/>
      <c r="F329" s="230"/>
      <c r="G329" s="230"/>
      <c r="H329" s="230"/>
      <c r="I329" s="230"/>
      <c r="J329" s="230"/>
      <c r="K329" s="230"/>
      <c r="L329" s="230"/>
      <c r="M329" s="230"/>
      <c r="N329" s="230"/>
      <c r="O329" s="230"/>
      <c r="P329" s="230"/>
      <c r="Q329" s="230"/>
      <c r="R329" s="395"/>
    </row>
    <row r="330" spans="2:18" x14ac:dyDescent="0.25">
      <c r="B330" s="394"/>
      <c r="C330" s="230"/>
      <c r="D330" s="230"/>
      <c r="E330" s="230"/>
      <c r="F330" s="230"/>
      <c r="G330" s="230"/>
      <c r="H330" s="230"/>
      <c r="I330" s="230"/>
      <c r="J330" s="230"/>
      <c r="K330" s="230"/>
      <c r="L330" s="230"/>
      <c r="M330" s="230"/>
      <c r="N330" s="230"/>
      <c r="O330" s="230"/>
      <c r="P330" s="230"/>
      <c r="Q330" s="230"/>
      <c r="R330" s="395"/>
    </row>
    <row r="331" spans="2:18" x14ac:dyDescent="0.25">
      <c r="B331" s="394"/>
      <c r="C331" s="230"/>
      <c r="D331" s="230"/>
      <c r="E331" s="230"/>
      <c r="F331" s="230"/>
      <c r="G331" s="230"/>
      <c r="H331" s="230"/>
      <c r="I331" s="230"/>
      <c r="J331" s="230"/>
      <c r="K331" s="230"/>
      <c r="L331" s="230"/>
      <c r="M331" s="230"/>
      <c r="N331" s="230"/>
      <c r="O331" s="230"/>
      <c r="P331" s="230"/>
      <c r="Q331" s="230"/>
      <c r="R331" s="395"/>
    </row>
    <row r="332" spans="2:18" x14ac:dyDescent="0.25">
      <c r="B332" s="394"/>
      <c r="C332" s="230"/>
      <c r="D332" s="230"/>
      <c r="E332" s="230"/>
      <c r="F332" s="230"/>
      <c r="G332" s="230"/>
      <c r="H332" s="230"/>
      <c r="I332" s="230"/>
      <c r="J332" s="230"/>
      <c r="K332" s="230"/>
      <c r="L332" s="230"/>
      <c r="M332" s="230"/>
      <c r="N332" s="230"/>
      <c r="O332" s="230"/>
      <c r="P332" s="230"/>
      <c r="Q332" s="230"/>
      <c r="R332" s="395"/>
    </row>
    <row r="333" spans="2:18" x14ac:dyDescent="0.25">
      <c r="B333" s="394"/>
      <c r="C333" s="230"/>
      <c r="D333" s="230"/>
      <c r="E333" s="230"/>
      <c r="F333" s="230"/>
      <c r="G333" s="230"/>
      <c r="H333" s="230"/>
      <c r="I333" s="230"/>
      <c r="J333" s="230"/>
      <c r="K333" s="230"/>
      <c r="L333" s="230"/>
      <c r="M333" s="230"/>
      <c r="N333" s="230"/>
      <c r="O333" s="230"/>
      <c r="P333" s="230"/>
      <c r="Q333" s="230"/>
      <c r="R333" s="395"/>
    </row>
    <row r="334" spans="2:18" x14ac:dyDescent="0.25">
      <c r="B334" s="394"/>
      <c r="C334" s="230"/>
      <c r="D334" s="230"/>
      <c r="E334" s="230"/>
      <c r="F334" s="230"/>
      <c r="G334" s="230"/>
      <c r="H334" s="230"/>
      <c r="I334" s="230"/>
      <c r="J334" s="230"/>
      <c r="K334" s="230"/>
      <c r="L334" s="230"/>
      <c r="M334" s="230"/>
      <c r="N334" s="230"/>
      <c r="O334" s="230"/>
      <c r="P334" s="230"/>
      <c r="Q334" s="230"/>
      <c r="R334" s="395"/>
    </row>
    <row r="335" spans="2:18" x14ac:dyDescent="0.25">
      <c r="B335" s="394"/>
      <c r="C335" s="230"/>
      <c r="D335" s="230"/>
      <c r="E335" s="230"/>
      <c r="F335" s="230"/>
      <c r="G335" s="230"/>
      <c r="H335" s="230"/>
      <c r="I335" s="230"/>
      <c r="J335" s="230"/>
      <c r="K335" s="230"/>
      <c r="L335" s="230"/>
      <c r="M335" s="230"/>
      <c r="N335" s="230"/>
      <c r="O335" s="230"/>
      <c r="P335" s="230"/>
      <c r="Q335" s="230"/>
      <c r="R335" s="395"/>
    </row>
    <row r="336" spans="2:18" x14ac:dyDescent="0.25">
      <c r="B336" s="394"/>
      <c r="C336" s="230"/>
      <c r="D336" s="230"/>
      <c r="E336" s="230"/>
      <c r="F336" s="230"/>
      <c r="G336" s="230"/>
      <c r="H336" s="230"/>
      <c r="I336" s="230"/>
      <c r="J336" s="230"/>
      <c r="K336" s="230"/>
      <c r="L336" s="230"/>
      <c r="M336" s="230"/>
      <c r="N336" s="230"/>
      <c r="O336" s="230"/>
      <c r="P336" s="230"/>
      <c r="Q336" s="230"/>
      <c r="R336" s="395"/>
    </row>
    <row r="337" spans="2:18" x14ac:dyDescent="0.25">
      <c r="B337" s="394"/>
      <c r="C337" s="230"/>
      <c r="D337" s="230"/>
      <c r="E337" s="230"/>
      <c r="F337" s="230"/>
      <c r="G337" s="230"/>
      <c r="H337" s="230"/>
      <c r="I337" s="230"/>
      <c r="J337" s="230"/>
      <c r="K337" s="230"/>
      <c r="L337" s="230"/>
      <c r="M337" s="230"/>
      <c r="N337" s="230"/>
      <c r="O337" s="230"/>
      <c r="P337" s="230"/>
      <c r="Q337" s="230"/>
      <c r="R337" s="395"/>
    </row>
    <row r="338" spans="2:18" x14ac:dyDescent="0.25">
      <c r="B338" s="394"/>
      <c r="C338" s="230"/>
      <c r="D338" s="230"/>
      <c r="E338" s="230"/>
      <c r="F338" s="230"/>
      <c r="G338" s="230"/>
      <c r="H338" s="230"/>
      <c r="I338" s="230"/>
      <c r="J338" s="230"/>
      <c r="K338" s="230"/>
      <c r="L338" s="230"/>
      <c r="M338" s="230"/>
      <c r="N338" s="230"/>
      <c r="O338" s="230"/>
      <c r="P338" s="230"/>
      <c r="Q338" s="230"/>
      <c r="R338" s="395"/>
    </row>
    <row r="339" spans="2:18" x14ac:dyDescent="0.25">
      <c r="B339" s="394"/>
      <c r="C339" s="230"/>
      <c r="D339" s="230"/>
      <c r="E339" s="230"/>
      <c r="F339" s="230"/>
      <c r="G339" s="230"/>
      <c r="H339" s="230"/>
      <c r="I339" s="230"/>
      <c r="J339" s="230"/>
      <c r="K339" s="230"/>
      <c r="L339" s="230"/>
      <c r="M339" s="230"/>
      <c r="N339" s="230"/>
      <c r="O339" s="230"/>
      <c r="P339" s="230"/>
      <c r="Q339" s="230"/>
      <c r="R339" s="395"/>
    </row>
    <row r="340" spans="2:18" x14ac:dyDescent="0.25">
      <c r="B340" s="394"/>
      <c r="C340" s="230"/>
      <c r="D340" s="230"/>
      <c r="E340" s="230"/>
      <c r="F340" s="230"/>
      <c r="G340" s="230"/>
      <c r="H340" s="230"/>
      <c r="I340" s="230"/>
      <c r="J340" s="230"/>
      <c r="K340" s="230"/>
      <c r="L340" s="230"/>
      <c r="M340" s="230"/>
      <c r="N340" s="230"/>
      <c r="O340" s="230"/>
      <c r="P340" s="230"/>
      <c r="Q340" s="230"/>
      <c r="R340" s="395"/>
    </row>
    <row r="341" spans="2:18" x14ac:dyDescent="0.25">
      <c r="B341" s="394"/>
      <c r="C341" s="230"/>
      <c r="D341" s="230"/>
      <c r="E341" s="230"/>
      <c r="F341" s="230"/>
      <c r="G341" s="230"/>
      <c r="H341" s="230"/>
      <c r="I341" s="230"/>
      <c r="J341" s="230"/>
      <c r="K341" s="230"/>
      <c r="L341" s="230"/>
      <c r="M341" s="230"/>
      <c r="N341" s="230"/>
      <c r="O341" s="230"/>
      <c r="P341" s="230"/>
      <c r="Q341" s="230"/>
      <c r="R341" s="395"/>
    </row>
    <row r="342" spans="2:18" x14ac:dyDescent="0.25">
      <c r="B342" s="394"/>
      <c r="C342" s="230"/>
      <c r="D342" s="230"/>
      <c r="E342" s="230"/>
      <c r="F342" s="230"/>
      <c r="G342" s="230"/>
      <c r="H342" s="230"/>
      <c r="I342" s="230"/>
      <c r="J342" s="230"/>
      <c r="K342" s="230"/>
      <c r="L342" s="230"/>
      <c r="M342" s="230"/>
      <c r="N342" s="230"/>
      <c r="O342" s="230"/>
      <c r="P342" s="230"/>
      <c r="Q342" s="230"/>
      <c r="R342" s="395"/>
    </row>
    <row r="343" spans="2:18" x14ac:dyDescent="0.25">
      <c r="B343" s="394"/>
      <c r="C343" s="230"/>
      <c r="D343" s="230"/>
      <c r="E343" s="230"/>
      <c r="F343" s="230"/>
      <c r="G343" s="230"/>
      <c r="H343" s="230"/>
      <c r="I343" s="230"/>
      <c r="J343" s="230"/>
      <c r="K343" s="230"/>
      <c r="L343" s="230"/>
      <c r="M343" s="230"/>
      <c r="N343" s="230"/>
      <c r="O343" s="230"/>
      <c r="P343" s="230"/>
      <c r="Q343" s="230"/>
      <c r="R343" s="395"/>
    </row>
    <row r="344" spans="2:18" x14ac:dyDescent="0.25">
      <c r="B344" s="394"/>
      <c r="C344" s="230"/>
      <c r="D344" s="230"/>
      <c r="E344" s="230"/>
      <c r="F344" s="230"/>
      <c r="G344" s="230"/>
      <c r="H344" s="230"/>
      <c r="I344" s="230"/>
      <c r="J344" s="230"/>
      <c r="K344" s="230"/>
      <c r="L344" s="230"/>
      <c r="M344" s="230"/>
      <c r="N344" s="230"/>
      <c r="O344" s="230"/>
      <c r="P344" s="230"/>
      <c r="Q344" s="230"/>
      <c r="R344" s="395"/>
    </row>
    <row r="345" spans="2:18" x14ac:dyDescent="0.25">
      <c r="B345" s="394"/>
      <c r="C345" s="230"/>
      <c r="D345" s="230"/>
      <c r="E345" s="230"/>
      <c r="F345" s="230"/>
      <c r="G345" s="230"/>
      <c r="H345" s="230"/>
      <c r="I345" s="230"/>
      <c r="J345" s="230"/>
      <c r="K345" s="230"/>
      <c r="L345" s="230"/>
      <c r="M345" s="230"/>
      <c r="N345" s="230"/>
      <c r="O345" s="230"/>
      <c r="P345" s="230"/>
      <c r="Q345" s="230"/>
      <c r="R345" s="395"/>
    </row>
    <row r="346" spans="2:18" x14ac:dyDescent="0.25">
      <c r="B346" s="394"/>
      <c r="C346" s="230"/>
      <c r="D346" s="230"/>
      <c r="E346" s="230"/>
      <c r="F346" s="230"/>
      <c r="G346" s="230"/>
      <c r="H346" s="230"/>
      <c r="I346" s="230"/>
      <c r="J346" s="230"/>
      <c r="K346" s="230"/>
      <c r="L346" s="230"/>
      <c r="M346" s="230"/>
      <c r="N346" s="230"/>
      <c r="O346" s="230"/>
      <c r="P346" s="230"/>
      <c r="Q346" s="230"/>
      <c r="R346" s="395"/>
    </row>
    <row r="347" spans="2:18" x14ac:dyDescent="0.25">
      <c r="B347" s="394"/>
      <c r="C347" s="230"/>
      <c r="D347" s="230"/>
      <c r="E347" s="230"/>
      <c r="F347" s="230"/>
      <c r="G347" s="230"/>
      <c r="H347" s="230"/>
      <c r="I347" s="230"/>
      <c r="J347" s="230"/>
      <c r="K347" s="230"/>
      <c r="L347" s="230"/>
      <c r="M347" s="230"/>
      <c r="N347" s="230"/>
      <c r="O347" s="230"/>
      <c r="P347" s="230"/>
      <c r="Q347" s="230"/>
      <c r="R347" s="395"/>
    </row>
    <row r="348" spans="2:18" x14ac:dyDescent="0.25">
      <c r="B348" s="394"/>
      <c r="C348" s="230"/>
      <c r="D348" s="230"/>
      <c r="E348" s="230"/>
      <c r="F348" s="230"/>
      <c r="G348" s="230"/>
      <c r="H348" s="230"/>
      <c r="I348" s="230"/>
      <c r="J348" s="230"/>
      <c r="K348" s="230"/>
      <c r="L348" s="230"/>
      <c r="M348" s="230"/>
      <c r="N348" s="230"/>
      <c r="O348" s="230"/>
      <c r="P348" s="230"/>
      <c r="Q348" s="230"/>
      <c r="R348" s="395"/>
    </row>
    <row r="349" spans="2:18" x14ac:dyDescent="0.25">
      <c r="B349" s="394"/>
      <c r="C349" s="230"/>
      <c r="D349" s="230"/>
      <c r="E349" s="230"/>
      <c r="F349" s="230"/>
      <c r="G349" s="230"/>
      <c r="H349" s="230"/>
      <c r="I349" s="230"/>
      <c r="J349" s="230"/>
      <c r="K349" s="230"/>
      <c r="L349" s="230"/>
      <c r="M349" s="230"/>
      <c r="N349" s="230"/>
      <c r="O349" s="230"/>
      <c r="P349" s="230"/>
      <c r="Q349" s="230"/>
      <c r="R349" s="395"/>
    </row>
    <row r="350" spans="2:18" x14ac:dyDescent="0.25">
      <c r="B350" s="394"/>
      <c r="C350" s="230"/>
      <c r="D350" s="230"/>
      <c r="E350" s="230"/>
      <c r="F350" s="230"/>
      <c r="G350" s="230"/>
      <c r="H350" s="230"/>
      <c r="I350" s="230"/>
      <c r="J350" s="230"/>
      <c r="K350" s="230"/>
      <c r="L350" s="230"/>
      <c r="M350" s="230"/>
      <c r="N350" s="230"/>
      <c r="O350" s="230"/>
      <c r="P350" s="230"/>
      <c r="Q350" s="230"/>
      <c r="R350" s="395"/>
    </row>
    <row r="351" spans="2:18" x14ac:dyDescent="0.25">
      <c r="B351" s="394"/>
      <c r="C351" s="230"/>
      <c r="D351" s="230"/>
      <c r="E351" s="230"/>
      <c r="F351" s="230"/>
      <c r="G351" s="230"/>
      <c r="H351" s="230"/>
      <c r="I351" s="230"/>
      <c r="J351" s="230"/>
      <c r="K351" s="230"/>
      <c r="L351" s="230"/>
      <c r="M351" s="230"/>
      <c r="N351" s="230"/>
      <c r="O351" s="230"/>
      <c r="P351" s="230"/>
      <c r="Q351" s="230"/>
      <c r="R351" s="395"/>
    </row>
    <row r="352" spans="2:18" x14ac:dyDescent="0.25">
      <c r="B352" s="394"/>
      <c r="C352" s="230"/>
      <c r="D352" s="230"/>
      <c r="E352" s="230"/>
      <c r="F352" s="230"/>
      <c r="G352" s="230"/>
      <c r="H352" s="230"/>
      <c r="I352" s="230"/>
      <c r="J352" s="230"/>
      <c r="K352" s="230"/>
      <c r="L352" s="230"/>
      <c r="M352" s="230"/>
      <c r="N352" s="230"/>
      <c r="O352" s="230"/>
      <c r="P352" s="230"/>
      <c r="Q352" s="230"/>
      <c r="R352" s="395"/>
    </row>
    <row r="353" spans="2:18" x14ac:dyDescent="0.25">
      <c r="B353" s="394"/>
      <c r="C353" s="230"/>
      <c r="D353" s="230"/>
      <c r="E353" s="230"/>
      <c r="F353" s="230"/>
      <c r="G353" s="230"/>
      <c r="H353" s="230"/>
      <c r="I353" s="230"/>
      <c r="J353" s="230"/>
      <c r="K353" s="230"/>
      <c r="L353" s="230"/>
      <c r="M353" s="230"/>
      <c r="N353" s="230"/>
      <c r="O353" s="230"/>
      <c r="P353" s="230"/>
      <c r="Q353" s="230"/>
      <c r="R353" s="395"/>
    </row>
    <row r="354" spans="2:18" x14ac:dyDescent="0.25">
      <c r="B354" s="394"/>
      <c r="C354" s="230"/>
      <c r="D354" s="230"/>
      <c r="E354" s="230"/>
      <c r="F354" s="230"/>
      <c r="G354" s="230"/>
      <c r="H354" s="230"/>
      <c r="I354" s="230"/>
      <c r="J354" s="230"/>
      <c r="K354" s="230"/>
      <c r="L354" s="230"/>
      <c r="M354" s="230"/>
      <c r="N354" s="230"/>
      <c r="O354" s="230"/>
      <c r="P354" s="230"/>
      <c r="Q354" s="230"/>
      <c r="R354" s="395"/>
    </row>
    <row r="355" spans="2:18" x14ac:dyDescent="0.25">
      <c r="B355" s="394"/>
      <c r="C355" s="230"/>
      <c r="D355" s="230"/>
      <c r="E355" s="230"/>
      <c r="F355" s="230"/>
      <c r="G355" s="230"/>
      <c r="H355" s="230"/>
      <c r="I355" s="230"/>
      <c r="J355" s="230"/>
      <c r="K355" s="230"/>
      <c r="L355" s="230"/>
      <c r="M355" s="230"/>
      <c r="N355" s="230"/>
      <c r="O355" s="230"/>
      <c r="P355" s="230"/>
      <c r="Q355" s="230"/>
      <c r="R355" s="395"/>
    </row>
    <row r="356" spans="2:18" x14ac:dyDescent="0.25">
      <c r="B356" s="394"/>
      <c r="C356" s="230"/>
      <c r="D356" s="230"/>
      <c r="E356" s="230"/>
      <c r="F356" s="230"/>
      <c r="G356" s="230"/>
      <c r="H356" s="230"/>
      <c r="I356" s="230"/>
      <c r="J356" s="230"/>
      <c r="K356" s="230"/>
      <c r="L356" s="230"/>
      <c r="M356" s="230"/>
      <c r="N356" s="230"/>
      <c r="O356" s="230"/>
      <c r="P356" s="230"/>
      <c r="Q356" s="230"/>
      <c r="R356" s="395"/>
    </row>
    <row r="357" spans="2:18" x14ac:dyDescent="0.25">
      <c r="B357" s="394"/>
      <c r="C357" s="230"/>
      <c r="D357" s="230"/>
      <c r="E357" s="230"/>
      <c r="F357" s="230"/>
      <c r="G357" s="230"/>
      <c r="H357" s="230"/>
      <c r="I357" s="230"/>
      <c r="J357" s="230"/>
      <c r="K357" s="230"/>
      <c r="L357" s="230"/>
      <c r="M357" s="230"/>
      <c r="N357" s="230"/>
      <c r="O357" s="230"/>
      <c r="P357" s="230"/>
      <c r="Q357" s="230"/>
      <c r="R357" s="395"/>
    </row>
    <row r="358" spans="2:18" x14ac:dyDescent="0.25">
      <c r="B358" s="394"/>
      <c r="C358" s="230"/>
      <c r="D358" s="230"/>
      <c r="E358" s="230"/>
      <c r="F358" s="230"/>
      <c r="G358" s="230"/>
      <c r="H358" s="230"/>
      <c r="I358" s="230"/>
      <c r="J358" s="230"/>
      <c r="K358" s="230"/>
      <c r="L358" s="230"/>
      <c r="M358" s="230"/>
      <c r="N358" s="230"/>
      <c r="O358" s="230"/>
      <c r="P358" s="230"/>
      <c r="Q358" s="230"/>
      <c r="R358" s="395"/>
    </row>
    <row r="359" spans="2:18" x14ac:dyDescent="0.25">
      <c r="B359" s="394"/>
      <c r="C359" s="230"/>
      <c r="D359" s="230"/>
      <c r="E359" s="230"/>
      <c r="F359" s="230"/>
      <c r="G359" s="230"/>
      <c r="H359" s="230"/>
      <c r="I359" s="230"/>
      <c r="J359" s="230"/>
      <c r="K359" s="230"/>
      <c r="L359" s="230"/>
      <c r="M359" s="230"/>
      <c r="N359" s="230"/>
      <c r="O359" s="230"/>
      <c r="P359" s="230"/>
      <c r="Q359" s="230"/>
      <c r="R359" s="395"/>
    </row>
    <row r="360" spans="2:18" x14ac:dyDescent="0.25">
      <c r="B360" s="394"/>
      <c r="C360" s="230"/>
      <c r="D360" s="230"/>
      <c r="E360" s="230"/>
      <c r="F360" s="230"/>
      <c r="G360" s="230"/>
      <c r="H360" s="230"/>
      <c r="I360" s="230"/>
      <c r="J360" s="230"/>
      <c r="K360" s="230"/>
      <c r="L360" s="230"/>
      <c r="M360" s="230"/>
      <c r="N360" s="230"/>
      <c r="O360" s="230"/>
      <c r="P360" s="230"/>
      <c r="Q360" s="230"/>
      <c r="R360" s="395"/>
    </row>
    <row r="361" spans="2:18" x14ac:dyDescent="0.25">
      <c r="B361" s="394"/>
      <c r="C361" s="230"/>
      <c r="D361" s="230"/>
      <c r="E361" s="230"/>
      <c r="F361" s="230"/>
      <c r="G361" s="230"/>
      <c r="H361" s="230"/>
      <c r="I361" s="230"/>
      <c r="J361" s="230"/>
      <c r="K361" s="230"/>
      <c r="L361" s="230"/>
      <c r="M361" s="230"/>
      <c r="N361" s="230"/>
      <c r="O361" s="230"/>
      <c r="P361" s="230"/>
      <c r="Q361" s="230"/>
      <c r="R361" s="395"/>
    </row>
    <row r="362" spans="2:18" x14ac:dyDescent="0.25">
      <c r="B362" s="394"/>
      <c r="C362" s="230"/>
      <c r="D362" s="230"/>
      <c r="E362" s="230"/>
      <c r="F362" s="230"/>
      <c r="G362" s="230"/>
      <c r="H362" s="230"/>
      <c r="I362" s="230"/>
      <c r="J362" s="230"/>
      <c r="K362" s="230"/>
      <c r="L362" s="230"/>
      <c r="M362" s="230"/>
      <c r="N362" s="230"/>
      <c r="O362" s="230"/>
      <c r="P362" s="230"/>
      <c r="Q362" s="230"/>
      <c r="R362" s="395"/>
    </row>
    <row r="363" spans="2:18" x14ac:dyDescent="0.25">
      <c r="B363" s="394"/>
      <c r="C363" s="230"/>
      <c r="D363" s="230"/>
      <c r="E363" s="230"/>
      <c r="F363" s="230"/>
      <c r="G363" s="230"/>
      <c r="H363" s="230"/>
      <c r="I363" s="230"/>
      <c r="J363" s="230"/>
      <c r="K363" s="230"/>
      <c r="L363" s="230"/>
      <c r="M363" s="230"/>
      <c r="N363" s="230"/>
      <c r="O363" s="230"/>
      <c r="P363" s="230"/>
      <c r="Q363" s="230"/>
      <c r="R363" s="395"/>
    </row>
    <row r="364" spans="2:18" x14ac:dyDescent="0.25">
      <c r="B364" s="394"/>
      <c r="C364" s="230"/>
      <c r="D364" s="230"/>
      <c r="E364" s="230"/>
      <c r="F364" s="230"/>
      <c r="G364" s="230"/>
      <c r="H364" s="230"/>
      <c r="I364" s="230"/>
      <c r="J364" s="230"/>
      <c r="K364" s="230"/>
      <c r="L364" s="230"/>
      <c r="M364" s="230"/>
      <c r="N364" s="230"/>
      <c r="O364" s="230"/>
      <c r="P364" s="230"/>
      <c r="Q364" s="230"/>
      <c r="R364" s="395"/>
    </row>
    <row r="365" spans="2:18" x14ac:dyDescent="0.25">
      <c r="B365" s="394"/>
      <c r="C365" s="230"/>
      <c r="D365" s="230"/>
      <c r="E365" s="230"/>
      <c r="F365" s="230"/>
      <c r="G365" s="230"/>
      <c r="H365" s="230"/>
      <c r="I365" s="230"/>
      <c r="J365" s="230"/>
      <c r="K365" s="230"/>
      <c r="L365" s="230"/>
      <c r="M365" s="230"/>
      <c r="N365" s="230"/>
      <c r="O365" s="230"/>
      <c r="P365" s="230"/>
      <c r="Q365" s="230"/>
      <c r="R365" s="395"/>
    </row>
    <row r="366" spans="2:18" x14ac:dyDescent="0.25">
      <c r="B366" s="394"/>
      <c r="C366" s="230"/>
      <c r="D366" s="230"/>
      <c r="E366" s="230"/>
      <c r="F366" s="230"/>
      <c r="G366" s="230"/>
      <c r="H366" s="230"/>
      <c r="I366" s="230"/>
      <c r="J366" s="230"/>
      <c r="K366" s="230"/>
      <c r="L366" s="230"/>
      <c r="M366" s="230"/>
      <c r="N366" s="230"/>
      <c r="O366" s="230"/>
      <c r="P366" s="230"/>
      <c r="Q366" s="230"/>
      <c r="R366" s="395"/>
    </row>
    <row r="367" spans="2:18" x14ac:dyDescent="0.25">
      <c r="B367" s="394"/>
      <c r="C367" s="230"/>
      <c r="D367" s="230"/>
      <c r="E367" s="230"/>
      <c r="F367" s="230"/>
      <c r="G367" s="230"/>
      <c r="H367" s="230"/>
      <c r="I367" s="230"/>
      <c r="J367" s="230"/>
      <c r="K367" s="230"/>
      <c r="L367" s="230"/>
      <c r="M367" s="230"/>
      <c r="N367" s="230"/>
      <c r="O367" s="230"/>
      <c r="P367" s="230"/>
      <c r="Q367" s="230"/>
      <c r="R367" s="395"/>
    </row>
    <row r="368" spans="2:18" x14ac:dyDescent="0.25">
      <c r="B368" s="394"/>
      <c r="C368" s="230"/>
      <c r="D368" s="230"/>
      <c r="E368" s="230"/>
      <c r="F368" s="230"/>
      <c r="G368" s="230"/>
      <c r="H368" s="230"/>
      <c r="I368" s="230"/>
      <c r="J368" s="230"/>
      <c r="K368" s="230"/>
      <c r="L368" s="230"/>
      <c r="M368" s="230"/>
      <c r="N368" s="230"/>
      <c r="O368" s="230"/>
      <c r="P368" s="230"/>
      <c r="Q368" s="230"/>
      <c r="R368" s="395"/>
    </row>
    <row r="369" spans="2:18" x14ac:dyDescent="0.25">
      <c r="B369" s="394"/>
      <c r="C369" s="230"/>
      <c r="D369" s="230"/>
      <c r="E369" s="230"/>
      <c r="F369" s="230"/>
      <c r="G369" s="230"/>
      <c r="H369" s="230"/>
      <c r="I369" s="230"/>
      <c r="J369" s="230"/>
      <c r="K369" s="230"/>
      <c r="L369" s="230"/>
      <c r="M369" s="230"/>
      <c r="N369" s="230"/>
      <c r="O369" s="230"/>
      <c r="P369" s="230"/>
      <c r="Q369" s="230"/>
      <c r="R369" s="395"/>
    </row>
    <row r="370" spans="2:18" x14ac:dyDescent="0.25">
      <c r="B370" s="394"/>
      <c r="C370" s="230"/>
      <c r="D370" s="230"/>
      <c r="E370" s="230"/>
      <c r="F370" s="230"/>
      <c r="G370" s="230"/>
      <c r="H370" s="230"/>
      <c r="I370" s="230"/>
      <c r="J370" s="230"/>
      <c r="K370" s="230"/>
      <c r="L370" s="230"/>
      <c r="M370" s="230"/>
      <c r="N370" s="230"/>
      <c r="O370" s="230"/>
      <c r="P370" s="230"/>
      <c r="Q370" s="230"/>
      <c r="R370" s="395"/>
    </row>
    <row r="371" spans="2:18" x14ac:dyDescent="0.25">
      <c r="B371" s="394"/>
      <c r="C371" s="230"/>
      <c r="D371" s="230"/>
      <c r="E371" s="230"/>
      <c r="F371" s="230"/>
      <c r="G371" s="230"/>
      <c r="H371" s="230"/>
      <c r="I371" s="230"/>
      <c r="J371" s="230"/>
      <c r="K371" s="230"/>
      <c r="L371" s="230"/>
      <c r="M371" s="230"/>
      <c r="N371" s="230"/>
      <c r="O371" s="230"/>
      <c r="P371" s="230"/>
      <c r="Q371" s="230"/>
      <c r="R371" s="395"/>
    </row>
    <row r="372" spans="2:18" x14ac:dyDescent="0.25">
      <c r="B372" s="394"/>
      <c r="C372" s="230"/>
      <c r="D372" s="230"/>
      <c r="E372" s="230"/>
      <c r="F372" s="230"/>
      <c r="G372" s="230"/>
      <c r="H372" s="230"/>
      <c r="I372" s="230"/>
      <c r="J372" s="230"/>
      <c r="K372" s="230"/>
      <c r="L372" s="230"/>
      <c r="M372" s="230"/>
      <c r="N372" s="230"/>
      <c r="O372" s="230"/>
      <c r="P372" s="230"/>
      <c r="Q372" s="230"/>
      <c r="R372" s="395"/>
    </row>
    <row r="373" spans="2:18" x14ac:dyDescent="0.25">
      <c r="B373" s="394"/>
      <c r="C373" s="230"/>
      <c r="D373" s="230"/>
      <c r="E373" s="230"/>
      <c r="F373" s="230"/>
      <c r="G373" s="230"/>
      <c r="H373" s="230"/>
      <c r="I373" s="230"/>
      <c r="J373" s="230"/>
      <c r="K373" s="230"/>
      <c r="L373" s="230"/>
      <c r="M373" s="230"/>
      <c r="N373" s="230"/>
      <c r="O373" s="230"/>
      <c r="P373" s="230"/>
      <c r="Q373" s="230"/>
      <c r="R373" s="395"/>
    </row>
    <row r="374" spans="2:18" x14ac:dyDescent="0.25">
      <c r="B374" s="394"/>
      <c r="C374" s="230"/>
      <c r="D374" s="230"/>
      <c r="E374" s="230"/>
      <c r="F374" s="230"/>
      <c r="G374" s="230"/>
      <c r="H374" s="230"/>
      <c r="I374" s="230"/>
      <c r="J374" s="230"/>
      <c r="K374" s="230"/>
      <c r="L374" s="230"/>
      <c r="M374" s="230"/>
      <c r="N374" s="230"/>
      <c r="O374" s="230"/>
      <c r="P374" s="230"/>
      <c r="Q374" s="230"/>
      <c r="R374" s="395"/>
    </row>
    <row r="375" spans="2:18" x14ac:dyDescent="0.25">
      <c r="B375" s="394"/>
      <c r="C375" s="230"/>
      <c r="D375" s="230"/>
      <c r="E375" s="230"/>
      <c r="F375" s="230"/>
      <c r="G375" s="230"/>
      <c r="H375" s="230"/>
      <c r="I375" s="230"/>
      <c r="J375" s="230"/>
      <c r="K375" s="230"/>
      <c r="L375" s="230"/>
      <c r="M375" s="230"/>
      <c r="N375" s="230"/>
      <c r="O375" s="230"/>
      <c r="P375" s="230"/>
      <c r="Q375" s="230"/>
      <c r="R375" s="395"/>
    </row>
    <row r="376" spans="2:18" x14ac:dyDescent="0.25">
      <c r="B376" s="394"/>
      <c r="C376" s="230"/>
      <c r="D376" s="230"/>
      <c r="E376" s="230"/>
      <c r="F376" s="230"/>
      <c r="G376" s="230"/>
      <c r="H376" s="230"/>
      <c r="I376" s="230"/>
      <c r="J376" s="230"/>
      <c r="K376" s="230"/>
      <c r="L376" s="230"/>
      <c r="M376" s="230"/>
      <c r="N376" s="230"/>
      <c r="O376" s="230"/>
      <c r="P376" s="230"/>
      <c r="Q376" s="230"/>
      <c r="R376" s="395"/>
    </row>
    <row r="377" spans="2:18" x14ac:dyDescent="0.25">
      <c r="B377" s="394"/>
      <c r="C377" s="230"/>
      <c r="D377" s="230"/>
      <c r="E377" s="230"/>
      <c r="F377" s="230"/>
      <c r="G377" s="230"/>
      <c r="H377" s="230"/>
      <c r="I377" s="230"/>
      <c r="J377" s="230"/>
      <c r="K377" s="230"/>
      <c r="L377" s="230"/>
      <c r="M377" s="230"/>
      <c r="N377" s="230"/>
      <c r="O377" s="230"/>
      <c r="P377" s="230"/>
      <c r="Q377" s="230"/>
      <c r="R377" s="395"/>
    </row>
    <row r="378" spans="2:18" x14ac:dyDescent="0.25">
      <c r="B378" s="394"/>
      <c r="C378" s="230"/>
      <c r="D378" s="230"/>
      <c r="E378" s="230"/>
      <c r="F378" s="230"/>
      <c r="G378" s="230"/>
      <c r="H378" s="230"/>
      <c r="I378" s="230"/>
      <c r="J378" s="230"/>
      <c r="K378" s="230"/>
      <c r="L378" s="230"/>
      <c r="M378" s="230"/>
      <c r="N378" s="230"/>
      <c r="O378" s="230"/>
      <c r="P378" s="230"/>
      <c r="Q378" s="230"/>
      <c r="R378" s="395"/>
    </row>
    <row r="379" spans="2:18" x14ac:dyDescent="0.25">
      <c r="B379" s="394"/>
      <c r="C379" s="230"/>
      <c r="D379" s="230"/>
      <c r="E379" s="230"/>
      <c r="F379" s="230"/>
      <c r="G379" s="230"/>
      <c r="H379" s="230"/>
      <c r="I379" s="230"/>
      <c r="J379" s="230"/>
      <c r="K379" s="230"/>
      <c r="L379" s="230"/>
      <c r="M379" s="230"/>
      <c r="N379" s="230"/>
      <c r="O379" s="230"/>
      <c r="P379" s="230"/>
      <c r="Q379" s="230"/>
      <c r="R379" s="395"/>
    </row>
    <row r="380" spans="2:18" x14ac:dyDescent="0.25">
      <c r="B380" s="394"/>
      <c r="C380" s="230"/>
      <c r="D380" s="230"/>
      <c r="E380" s="230"/>
      <c r="F380" s="230"/>
      <c r="G380" s="230"/>
      <c r="H380" s="230"/>
      <c r="I380" s="230"/>
      <c r="J380" s="230"/>
      <c r="K380" s="230"/>
      <c r="L380" s="230"/>
      <c r="M380" s="230"/>
      <c r="N380" s="230"/>
      <c r="O380" s="230"/>
      <c r="P380" s="230"/>
      <c r="Q380" s="230"/>
      <c r="R380" s="395"/>
    </row>
    <row r="381" spans="2:18" x14ac:dyDescent="0.25">
      <c r="B381" s="394"/>
      <c r="C381" s="230"/>
      <c r="D381" s="230"/>
      <c r="E381" s="230"/>
      <c r="F381" s="230"/>
      <c r="G381" s="230"/>
      <c r="H381" s="230"/>
      <c r="I381" s="230"/>
      <c r="J381" s="230"/>
      <c r="K381" s="230"/>
      <c r="L381" s="230"/>
      <c r="M381" s="230"/>
      <c r="N381" s="230"/>
      <c r="O381" s="230"/>
      <c r="P381" s="230"/>
      <c r="Q381" s="230"/>
      <c r="R381" s="395"/>
    </row>
    <row r="382" spans="2:18" x14ac:dyDescent="0.25">
      <c r="B382" s="394"/>
      <c r="C382" s="230"/>
      <c r="D382" s="230"/>
      <c r="E382" s="230"/>
      <c r="F382" s="230"/>
      <c r="G382" s="230"/>
      <c r="H382" s="230"/>
      <c r="I382" s="230"/>
      <c r="J382" s="230"/>
      <c r="K382" s="230"/>
      <c r="L382" s="230"/>
      <c r="M382" s="230"/>
      <c r="N382" s="230"/>
      <c r="O382" s="230"/>
      <c r="P382" s="230"/>
      <c r="Q382" s="230"/>
      <c r="R382" s="395"/>
    </row>
    <row r="383" spans="2:18" x14ac:dyDescent="0.25">
      <c r="B383" s="394"/>
      <c r="C383" s="230"/>
      <c r="D383" s="230"/>
      <c r="E383" s="230"/>
      <c r="F383" s="230"/>
      <c r="G383" s="230"/>
      <c r="H383" s="230"/>
      <c r="I383" s="230"/>
      <c r="J383" s="230"/>
      <c r="K383" s="230"/>
      <c r="L383" s="230"/>
      <c r="M383" s="230"/>
      <c r="N383" s="230"/>
      <c r="O383" s="230"/>
      <c r="P383" s="230"/>
      <c r="Q383" s="230"/>
      <c r="R383" s="395"/>
    </row>
    <row r="384" spans="2:18" x14ac:dyDescent="0.25">
      <c r="B384" s="394"/>
      <c r="C384" s="230"/>
      <c r="D384" s="230"/>
      <c r="E384" s="230"/>
      <c r="F384" s="230"/>
      <c r="G384" s="230"/>
      <c r="H384" s="230"/>
      <c r="I384" s="230"/>
      <c r="J384" s="230"/>
      <c r="K384" s="230"/>
      <c r="L384" s="230"/>
      <c r="M384" s="230"/>
      <c r="N384" s="230"/>
      <c r="O384" s="230"/>
      <c r="P384" s="230"/>
      <c r="Q384" s="230"/>
      <c r="R384" s="395"/>
    </row>
    <row r="385" spans="2:18" x14ac:dyDescent="0.25">
      <c r="B385" s="394"/>
      <c r="C385" s="230"/>
      <c r="D385" s="230"/>
      <c r="E385" s="230"/>
      <c r="F385" s="230"/>
      <c r="G385" s="230"/>
      <c r="H385" s="230"/>
      <c r="I385" s="230"/>
      <c r="J385" s="230"/>
      <c r="K385" s="230"/>
      <c r="L385" s="230"/>
      <c r="M385" s="230"/>
      <c r="N385" s="230"/>
      <c r="O385" s="230"/>
      <c r="P385" s="230"/>
      <c r="Q385" s="230"/>
      <c r="R385" s="395"/>
    </row>
    <row r="386" spans="2:18" x14ac:dyDescent="0.25">
      <c r="B386" s="394"/>
      <c r="C386" s="230"/>
      <c r="D386" s="230"/>
      <c r="E386" s="230"/>
      <c r="F386" s="230"/>
      <c r="G386" s="230"/>
      <c r="H386" s="230"/>
      <c r="I386" s="230"/>
      <c r="J386" s="230"/>
      <c r="K386" s="230"/>
      <c r="L386" s="230"/>
      <c r="M386" s="230"/>
      <c r="N386" s="230"/>
      <c r="O386" s="230"/>
      <c r="P386" s="230"/>
      <c r="Q386" s="230"/>
      <c r="R386" s="395"/>
    </row>
    <row r="387" spans="2:18" x14ac:dyDescent="0.25">
      <c r="B387" s="394"/>
      <c r="C387" s="230"/>
      <c r="D387" s="230"/>
      <c r="E387" s="230"/>
      <c r="F387" s="230"/>
      <c r="G387" s="230"/>
      <c r="H387" s="230"/>
      <c r="I387" s="230"/>
      <c r="J387" s="230"/>
      <c r="K387" s="230"/>
      <c r="L387" s="230"/>
      <c r="M387" s="230"/>
      <c r="N387" s="230"/>
      <c r="O387" s="230"/>
      <c r="P387" s="230"/>
      <c r="Q387" s="230"/>
      <c r="R387" s="395"/>
    </row>
    <row r="388" spans="2:18" x14ac:dyDescent="0.25">
      <c r="B388" s="394"/>
      <c r="C388" s="230"/>
      <c r="D388" s="230"/>
      <c r="E388" s="230"/>
      <c r="F388" s="230"/>
      <c r="G388" s="230"/>
      <c r="H388" s="230"/>
      <c r="I388" s="230"/>
      <c r="J388" s="230"/>
      <c r="K388" s="230"/>
      <c r="L388" s="230"/>
      <c r="M388" s="230"/>
      <c r="N388" s="230"/>
      <c r="O388" s="230"/>
      <c r="P388" s="230"/>
      <c r="Q388" s="230"/>
      <c r="R388" s="395"/>
    </row>
    <row r="389" spans="2:18" x14ac:dyDescent="0.25">
      <c r="B389" s="394"/>
      <c r="C389" s="230"/>
      <c r="D389" s="230"/>
      <c r="E389" s="230"/>
      <c r="F389" s="230"/>
      <c r="G389" s="230"/>
      <c r="H389" s="230"/>
      <c r="I389" s="230"/>
      <c r="J389" s="230"/>
      <c r="K389" s="230"/>
      <c r="L389" s="230"/>
      <c r="M389" s="230"/>
      <c r="N389" s="230"/>
      <c r="O389" s="230"/>
      <c r="P389" s="230"/>
      <c r="Q389" s="230"/>
      <c r="R389" s="395"/>
    </row>
    <row r="390" spans="2:18" x14ac:dyDescent="0.25">
      <c r="B390" s="394"/>
      <c r="C390" s="230"/>
      <c r="D390" s="230"/>
      <c r="E390" s="230"/>
      <c r="F390" s="230"/>
      <c r="G390" s="230"/>
      <c r="H390" s="230"/>
      <c r="I390" s="230"/>
      <c r="J390" s="230"/>
      <c r="K390" s="230"/>
      <c r="L390" s="230"/>
      <c r="M390" s="230"/>
      <c r="N390" s="230"/>
      <c r="O390" s="230"/>
      <c r="P390" s="230"/>
      <c r="Q390" s="230"/>
      <c r="R390" s="395"/>
    </row>
    <row r="391" spans="2:18" x14ac:dyDescent="0.25">
      <c r="B391" s="394"/>
      <c r="C391" s="230"/>
      <c r="D391" s="230"/>
      <c r="E391" s="230"/>
      <c r="F391" s="230"/>
      <c r="G391" s="230"/>
      <c r="H391" s="230"/>
      <c r="I391" s="230"/>
      <c r="J391" s="230"/>
      <c r="K391" s="230"/>
      <c r="L391" s="230"/>
      <c r="M391" s="230"/>
      <c r="N391" s="230"/>
      <c r="O391" s="230"/>
      <c r="P391" s="230"/>
      <c r="Q391" s="230"/>
      <c r="R391" s="395"/>
    </row>
    <row r="392" spans="2:18" x14ac:dyDescent="0.25">
      <c r="B392" s="394"/>
      <c r="C392" s="230"/>
      <c r="D392" s="230"/>
      <c r="E392" s="230"/>
      <c r="F392" s="230"/>
      <c r="G392" s="230"/>
      <c r="H392" s="230"/>
      <c r="I392" s="230"/>
      <c r="J392" s="230"/>
      <c r="K392" s="230"/>
      <c r="L392" s="230"/>
      <c r="M392" s="230"/>
      <c r="N392" s="230"/>
      <c r="O392" s="230"/>
      <c r="P392" s="230"/>
      <c r="Q392" s="230"/>
      <c r="R392" s="395"/>
    </row>
    <row r="393" spans="2:18" x14ac:dyDescent="0.25">
      <c r="B393" s="394"/>
      <c r="C393" s="230"/>
      <c r="D393" s="230"/>
      <c r="E393" s="230"/>
      <c r="F393" s="230"/>
      <c r="G393" s="230"/>
      <c r="H393" s="230"/>
      <c r="I393" s="230"/>
      <c r="J393" s="230"/>
      <c r="K393" s="230"/>
      <c r="L393" s="230"/>
      <c r="M393" s="230"/>
      <c r="N393" s="230"/>
      <c r="O393" s="230"/>
      <c r="P393" s="230"/>
      <c r="Q393" s="230"/>
      <c r="R393" s="395"/>
    </row>
    <row r="394" spans="2:18" x14ac:dyDescent="0.25">
      <c r="B394" s="394"/>
      <c r="C394" s="230"/>
      <c r="D394" s="230"/>
      <c r="E394" s="230"/>
      <c r="F394" s="230"/>
      <c r="G394" s="230"/>
      <c r="H394" s="230"/>
      <c r="I394" s="230"/>
      <c r="J394" s="230"/>
      <c r="K394" s="230"/>
      <c r="L394" s="230"/>
      <c r="M394" s="230"/>
      <c r="N394" s="230"/>
      <c r="O394" s="230"/>
      <c r="P394" s="230"/>
      <c r="Q394" s="230"/>
      <c r="R394" s="395"/>
    </row>
    <row r="395" spans="2:18" x14ac:dyDescent="0.25">
      <c r="B395" s="394"/>
      <c r="C395" s="230"/>
      <c r="D395" s="230"/>
      <c r="E395" s="230"/>
      <c r="F395" s="230"/>
      <c r="G395" s="230"/>
      <c r="H395" s="230"/>
      <c r="I395" s="230"/>
      <c r="J395" s="230"/>
      <c r="K395" s="230"/>
      <c r="L395" s="230"/>
      <c r="M395" s="230"/>
      <c r="N395" s="230"/>
      <c r="O395" s="230"/>
      <c r="P395" s="230"/>
      <c r="Q395" s="230"/>
      <c r="R395" s="395"/>
    </row>
    <row r="396" spans="2:18" x14ac:dyDescent="0.25">
      <c r="B396" s="394"/>
      <c r="C396" s="230"/>
      <c r="D396" s="230"/>
      <c r="E396" s="230"/>
      <c r="F396" s="230"/>
      <c r="G396" s="230"/>
      <c r="H396" s="230"/>
      <c r="I396" s="230"/>
      <c r="J396" s="230"/>
      <c r="K396" s="230"/>
      <c r="L396" s="230"/>
      <c r="M396" s="230"/>
      <c r="N396" s="230"/>
      <c r="O396" s="230"/>
      <c r="P396" s="230"/>
      <c r="Q396" s="230"/>
      <c r="R396" s="395"/>
    </row>
    <row r="397" spans="2:18" x14ac:dyDescent="0.25">
      <c r="B397" s="394"/>
      <c r="C397" s="230"/>
      <c r="D397" s="230"/>
      <c r="E397" s="230"/>
      <c r="F397" s="230"/>
      <c r="G397" s="230"/>
      <c r="H397" s="230"/>
      <c r="I397" s="230"/>
      <c r="J397" s="230"/>
      <c r="K397" s="230"/>
      <c r="L397" s="230"/>
      <c r="M397" s="230"/>
      <c r="N397" s="230"/>
      <c r="O397" s="230"/>
      <c r="P397" s="230"/>
      <c r="Q397" s="230"/>
      <c r="R397" s="395"/>
    </row>
    <row r="398" spans="2:18" x14ac:dyDescent="0.25">
      <c r="B398" s="394"/>
      <c r="C398" s="230"/>
      <c r="D398" s="230"/>
      <c r="E398" s="230"/>
      <c r="F398" s="230"/>
      <c r="G398" s="230"/>
      <c r="H398" s="230"/>
      <c r="I398" s="230"/>
      <c r="J398" s="230"/>
      <c r="K398" s="230"/>
      <c r="L398" s="230"/>
      <c r="M398" s="230"/>
      <c r="N398" s="230"/>
      <c r="O398" s="230"/>
      <c r="P398" s="230"/>
      <c r="Q398" s="230"/>
      <c r="R398" s="395"/>
    </row>
    <row r="399" spans="2:18" x14ac:dyDescent="0.25">
      <c r="B399" s="394"/>
      <c r="C399" s="230"/>
      <c r="D399" s="230"/>
      <c r="E399" s="230"/>
      <c r="F399" s="230"/>
      <c r="G399" s="230"/>
      <c r="H399" s="230"/>
      <c r="I399" s="230"/>
      <c r="J399" s="230"/>
      <c r="K399" s="230"/>
      <c r="L399" s="230"/>
      <c r="M399" s="230"/>
      <c r="N399" s="230"/>
      <c r="O399" s="230"/>
      <c r="P399" s="230"/>
      <c r="Q399" s="230"/>
      <c r="R399" s="395"/>
    </row>
    <row r="400" spans="2:18" x14ac:dyDescent="0.25">
      <c r="B400" s="394"/>
      <c r="C400" s="230"/>
      <c r="D400" s="230"/>
      <c r="E400" s="230"/>
      <c r="F400" s="230"/>
      <c r="G400" s="230"/>
      <c r="H400" s="230"/>
      <c r="I400" s="230"/>
      <c r="J400" s="230"/>
      <c r="K400" s="230"/>
      <c r="L400" s="230"/>
      <c r="M400" s="230"/>
      <c r="N400" s="230"/>
      <c r="O400" s="230"/>
      <c r="P400" s="230"/>
      <c r="Q400" s="230"/>
      <c r="R400" s="395"/>
    </row>
    <row r="401" spans="2:18" x14ac:dyDescent="0.25">
      <c r="B401" s="394"/>
      <c r="C401" s="230"/>
      <c r="D401" s="230"/>
      <c r="E401" s="230"/>
      <c r="F401" s="230"/>
      <c r="G401" s="230"/>
      <c r="H401" s="230"/>
      <c r="I401" s="230"/>
      <c r="J401" s="230"/>
      <c r="K401" s="230"/>
      <c r="L401" s="230"/>
      <c r="M401" s="230"/>
      <c r="N401" s="230"/>
      <c r="O401" s="230"/>
      <c r="P401" s="230"/>
      <c r="Q401" s="230"/>
      <c r="R401" s="395"/>
    </row>
    <row r="402" spans="2:18" x14ac:dyDescent="0.25">
      <c r="B402" s="394"/>
      <c r="C402" s="230"/>
      <c r="D402" s="230"/>
      <c r="E402" s="230"/>
      <c r="F402" s="230"/>
      <c r="G402" s="230"/>
      <c r="H402" s="230"/>
      <c r="I402" s="230"/>
      <c r="J402" s="230"/>
      <c r="K402" s="230"/>
      <c r="L402" s="230"/>
      <c r="M402" s="230"/>
      <c r="N402" s="230"/>
      <c r="O402" s="230"/>
      <c r="P402" s="230"/>
      <c r="Q402" s="230"/>
      <c r="R402" s="395"/>
    </row>
    <row r="403" spans="2:18" x14ac:dyDescent="0.25">
      <c r="B403" s="394"/>
      <c r="C403" s="230"/>
      <c r="D403" s="230"/>
      <c r="E403" s="230"/>
      <c r="F403" s="230"/>
      <c r="G403" s="230"/>
      <c r="H403" s="230"/>
      <c r="I403" s="230"/>
      <c r="J403" s="230"/>
      <c r="K403" s="230"/>
      <c r="L403" s="230"/>
      <c r="M403" s="230"/>
      <c r="N403" s="230"/>
      <c r="O403" s="230"/>
      <c r="P403" s="230"/>
      <c r="Q403" s="230"/>
      <c r="R403" s="395"/>
    </row>
    <row r="404" spans="2:18" x14ac:dyDescent="0.25">
      <c r="B404" s="394"/>
      <c r="C404" s="230"/>
      <c r="D404" s="230"/>
      <c r="E404" s="230"/>
      <c r="F404" s="230"/>
      <c r="G404" s="230"/>
      <c r="H404" s="230"/>
      <c r="I404" s="230"/>
      <c r="J404" s="230"/>
      <c r="K404" s="230"/>
      <c r="L404" s="230"/>
      <c r="M404" s="230"/>
      <c r="N404" s="230"/>
      <c r="O404" s="230"/>
      <c r="P404" s="230"/>
      <c r="Q404" s="230"/>
      <c r="R404" s="395"/>
    </row>
    <row r="405" spans="2:18" x14ac:dyDescent="0.25">
      <c r="B405" s="394"/>
      <c r="C405" s="230"/>
      <c r="D405" s="230"/>
      <c r="E405" s="230"/>
      <c r="F405" s="230"/>
      <c r="G405" s="230"/>
      <c r="H405" s="230"/>
      <c r="I405" s="230"/>
      <c r="J405" s="230"/>
      <c r="K405" s="230"/>
      <c r="L405" s="230"/>
      <c r="M405" s="230"/>
      <c r="N405" s="230"/>
      <c r="O405" s="230"/>
      <c r="P405" s="230"/>
      <c r="Q405" s="230"/>
      <c r="R405" s="395"/>
    </row>
    <row r="406" spans="2:18" x14ac:dyDescent="0.25">
      <c r="B406" s="394"/>
      <c r="C406" s="230"/>
      <c r="D406" s="230"/>
      <c r="E406" s="230"/>
      <c r="F406" s="230"/>
      <c r="G406" s="230"/>
      <c r="H406" s="230"/>
      <c r="I406" s="230"/>
      <c r="J406" s="230"/>
      <c r="K406" s="230"/>
      <c r="L406" s="230"/>
      <c r="M406" s="230"/>
      <c r="N406" s="230"/>
      <c r="O406" s="230"/>
      <c r="P406" s="230"/>
      <c r="Q406" s="230"/>
      <c r="R406" s="395"/>
    </row>
    <row r="407" spans="2:18" x14ac:dyDescent="0.25">
      <c r="B407" s="394"/>
      <c r="C407" s="230"/>
      <c r="D407" s="230"/>
      <c r="E407" s="230"/>
      <c r="F407" s="230"/>
      <c r="G407" s="230"/>
      <c r="H407" s="230"/>
      <c r="I407" s="230"/>
      <c r="J407" s="230"/>
      <c r="K407" s="230"/>
      <c r="L407" s="230"/>
      <c r="M407" s="230"/>
      <c r="N407" s="230"/>
      <c r="O407" s="230"/>
      <c r="P407" s="230"/>
      <c r="Q407" s="230"/>
      <c r="R407" s="395"/>
    </row>
    <row r="408" spans="2:18" x14ac:dyDescent="0.25">
      <c r="B408" s="394"/>
      <c r="C408" s="230"/>
      <c r="D408" s="230"/>
      <c r="E408" s="230"/>
      <c r="F408" s="230"/>
      <c r="G408" s="230"/>
      <c r="H408" s="230"/>
      <c r="I408" s="230"/>
      <c r="J408" s="230"/>
      <c r="K408" s="230"/>
      <c r="L408" s="230"/>
      <c r="M408" s="230"/>
      <c r="N408" s="230"/>
      <c r="O408" s="230"/>
      <c r="P408" s="230"/>
      <c r="Q408" s="230"/>
      <c r="R408" s="395"/>
    </row>
    <row r="409" spans="2:18" x14ac:dyDescent="0.25">
      <c r="B409" s="394"/>
      <c r="C409" s="230"/>
      <c r="D409" s="230"/>
      <c r="E409" s="230"/>
      <c r="F409" s="230"/>
      <c r="G409" s="230"/>
      <c r="H409" s="230"/>
      <c r="I409" s="230"/>
      <c r="J409" s="230"/>
      <c r="K409" s="230"/>
      <c r="L409" s="230"/>
      <c r="M409" s="230"/>
      <c r="N409" s="230"/>
      <c r="O409" s="230"/>
      <c r="P409" s="230"/>
      <c r="Q409" s="230"/>
      <c r="R409" s="395"/>
    </row>
    <row r="410" spans="2:18" x14ac:dyDescent="0.25">
      <c r="B410" s="394"/>
      <c r="C410" s="230"/>
      <c r="D410" s="230"/>
      <c r="E410" s="230"/>
      <c r="F410" s="230"/>
      <c r="G410" s="230"/>
      <c r="H410" s="230"/>
      <c r="I410" s="230"/>
      <c r="J410" s="230"/>
      <c r="K410" s="230"/>
      <c r="L410" s="230"/>
      <c r="M410" s="230"/>
      <c r="N410" s="230"/>
      <c r="O410" s="230"/>
      <c r="P410" s="230"/>
      <c r="Q410" s="230"/>
      <c r="R410" s="395"/>
    </row>
    <row r="411" spans="2:18" x14ac:dyDescent="0.25">
      <c r="B411" s="394"/>
      <c r="C411" s="230"/>
      <c r="D411" s="230"/>
      <c r="E411" s="230"/>
      <c r="F411" s="230"/>
      <c r="G411" s="230"/>
      <c r="H411" s="230"/>
      <c r="I411" s="230"/>
      <c r="J411" s="230"/>
      <c r="K411" s="230"/>
      <c r="L411" s="230"/>
      <c r="M411" s="230"/>
      <c r="N411" s="230"/>
      <c r="O411" s="230"/>
      <c r="P411" s="230"/>
      <c r="Q411" s="230"/>
      <c r="R411" s="395"/>
    </row>
    <row r="412" spans="2:18" x14ac:dyDescent="0.25">
      <c r="B412" s="394"/>
      <c r="C412" s="230"/>
      <c r="D412" s="230"/>
      <c r="E412" s="230"/>
      <c r="F412" s="230"/>
      <c r="G412" s="230"/>
      <c r="H412" s="230"/>
      <c r="I412" s="230"/>
      <c r="J412" s="230"/>
      <c r="K412" s="230"/>
      <c r="L412" s="230"/>
      <c r="M412" s="230"/>
      <c r="N412" s="230"/>
      <c r="O412" s="230"/>
      <c r="P412" s="230"/>
      <c r="Q412" s="230"/>
      <c r="R412" s="395"/>
    </row>
    <row r="413" spans="2:18" x14ac:dyDescent="0.25">
      <c r="B413" s="394"/>
      <c r="C413" s="230"/>
      <c r="D413" s="230"/>
      <c r="E413" s="230"/>
      <c r="F413" s="230"/>
      <c r="G413" s="230"/>
      <c r="H413" s="230"/>
      <c r="I413" s="230"/>
      <c r="J413" s="230"/>
      <c r="K413" s="230"/>
      <c r="L413" s="230"/>
      <c r="M413" s="230"/>
      <c r="N413" s="230"/>
      <c r="O413" s="230"/>
      <c r="P413" s="230"/>
      <c r="Q413" s="230"/>
      <c r="R413" s="395"/>
    </row>
    <row r="414" spans="2:18" x14ac:dyDescent="0.25">
      <c r="B414" s="394"/>
      <c r="C414" s="230"/>
      <c r="D414" s="230"/>
      <c r="E414" s="230"/>
      <c r="F414" s="230"/>
      <c r="G414" s="230"/>
      <c r="H414" s="230"/>
      <c r="I414" s="230"/>
      <c r="J414" s="230"/>
      <c r="K414" s="230"/>
      <c r="L414" s="230"/>
      <c r="M414" s="230"/>
      <c r="N414" s="230"/>
      <c r="O414" s="230"/>
      <c r="P414" s="230"/>
      <c r="Q414" s="230"/>
      <c r="R414" s="395"/>
    </row>
    <row r="415" spans="2:18" x14ac:dyDescent="0.25">
      <c r="B415" s="394"/>
      <c r="C415" s="230"/>
      <c r="D415" s="230"/>
      <c r="E415" s="230"/>
      <c r="F415" s="230"/>
      <c r="G415" s="230"/>
      <c r="H415" s="230"/>
      <c r="I415" s="230"/>
      <c r="J415" s="230"/>
      <c r="K415" s="230"/>
      <c r="L415" s="230"/>
      <c r="M415" s="230"/>
      <c r="N415" s="230"/>
      <c r="O415" s="230"/>
      <c r="P415" s="230"/>
      <c r="Q415" s="230"/>
      <c r="R415" s="395"/>
    </row>
    <row r="416" spans="2:18" x14ac:dyDescent="0.25">
      <c r="B416" s="394"/>
      <c r="C416" s="230"/>
      <c r="D416" s="230"/>
      <c r="E416" s="230"/>
      <c r="F416" s="230"/>
      <c r="G416" s="230"/>
      <c r="H416" s="230"/>
      <c r="I416" s="230"/>
      <c r="J416" s="230"/>
      <c r="K416" s="230"/>
      <c r="L416" s="230"/>
      <c r="M416" s="230"/>
      <c r="N416" s="230"/>
      <c r="O416" s="230"/>
      <c r="P416" s="230"/>
      <c r="Q416" s="230"/>
      <c r="R416" s="395"/>
    </row>
    <row r="417" spans="2:18" x14ac:dyDescent="0.25">
      <c r="B417" s="394"/>
      <c r="C417" s="230"/>
      <c r="D417" s="230"/>
      <c r="E417" s="230"/>
      <c r="F417" s="230"/>
      <c r="G417" s="230"/>
      <c r="H417" s="230"/>
      <c r="I417" s="230"/>
      <c r="J417" s="230"/>
      <c r="K417" s="230"/>
      <c r="L417" s="230"/>
      <c r="M417" s="230"/>
      <c r="N417" s="230"/>
      <c r="O417" s="230"/>
      <c r="P417" s="230"/>
      <c r="Q417" s="230"/>
      <c r="R417" s="395"/>
    </row>
    <row r="418" spans="2:18" x14ac:dyDescent="0.25">
      <c r="B418" s="394"/>
      <c r="C418" s="230"/>
      <c r="D418" s="230"/>
      <c r="E418" s="230"/>
      <c r="F418" s="230"/>
      <c r="G418" s="230"/>
      <c r="H418" s="230"/>
      <c r="I418" s="230"/>
      <c r="J418" s="230"/>
      <c r="K418" s="230"/>
      <c r="L418" s="230"/>
      <c r="M418" s="230"/>
      <c r="N418" s="230"/>
      <c r="O418" s="230"/>
      <c r="P418" s="230"/>
      <c r="Q418" s="230"/>
      <c r="R418" s="395"/>
    </row>
    <row r="419" spans="2:18" x14ac:dyDescent="0.25">
      <c r="B419" s="394"/>
      <c r="C419" s="230"/>
      <c r="D419" s="230"/>
      <c r="E419" s="230"/>
      <c r="F419" s="230"/>
      <c r="G419" s="230"/>
      <c r="H419" s="230"/>
      <c r="I419" s="230"/>
      <c r="J419" s="230"/>
      <c r="K419" s="230"/>
      <c r="L419" s="230"/>
      <c r="M419" s="230"/>
      <c r="N419" s="230"/>
      <c r="O419" s="230"/>
      <c r="P419" s="230"/>
      <c r="Q419" s="230"/>
      <c r="R419" s="395"/>
    </row>
    <row r="420" spans="2:18" x14ac:dyDescent="0.25">
      <c r="B420" s="394"/>
      <c r="C420" s="230"/>
      <c r="D420" s="230"/>
      <c r="E420" s="230"/>
      <c r="F420" s="230"/>
      <c r="G420" s="230"/>
      <c r="H420" s="230"/>
      <c r="I420" s="230"/>
      <c r="J420" s="230"/>
      <c r="K420" s="230"/>
      <c r="L420" s="230"/>
      <c r="M420" s="230"/>
      <c r="N420" s="230"/>
      <c r="O420" s="230"/>
      <c r="P420" s="230"/>
      <c r="Q420" s="230"/>
      <c r="R420" s="395"/>
    </row>
    <row r="421" spans="2:18" x14ac:dyDescent="0.25">
      <c r="B421" s="394"/>
      <c r="C421" s="230"/>
      <c r="D421" s="230"/>
      <c r="E421" s="230"/>
      <c r="F421" s="230"/>
      <c r="G421" s="230"/>
      <c r="H421" s="230"/>
      <c r="I421" s="230"/>
      <c r="J421" s="230"/>
      <c r="K421" s="230"/>
      <c r="L421" s="230"/>
      <c r="M421" s="230"/>
      <c r="N421" s="230"/>
      <c r="O421" s="230"/>
      <c r="P421" s="230"/>
      <c r="Q421" s="230"/>
      <c r="R421" s="395"/>
    </row>
    <row r="422" spans="2:18" x14ac:dyDescent="0.25">
      <c r="B422" s="394"/>
      <c r="C422" s="230"/>
      <c r="D422" s="230"/>
      <c r="E422" s="230"/>
      <c r="F422" s="230"/>
      <c r="G422" s="230"/>
      <c r="H422" s="230"/>
      <c r="I422" s="230"/>
      <c r="J422" s="230"/>
      <c r="K422" s="230"/>
      <c r="L422" s="230"/>
      <c r="M422" s="230"/>
      <c r="N422" s="230"/>
      <c r="O422" s="230"/>
      <c r="P422" s="230"/>
      <c r="Q422" s="230"/>
      <c r="R422" s="395"/>
    </row>
    <row r="423" spans="2:18" x14ac:dyDescent="0.25">
      <c r="B423" s="394"/>
      <c r="C423" s="230"/>
      <c r="D423" s="230"/>
      <c r="E423" s="230"/>
      <c r="F423" s="230"/>
      <c r="G423" s="230"/>
      <c r="H423" s="230"/>
      <c r="I423" s="230"/>
      <c r="J423" s="230"/>
      <c r="K423" s="230"/>
      <c r="L423" s="230"/>
      <c r="M423" s="230"/>
      <c r="N423" s="230"/>
      <c r="O423" s="230"/>
      <c r="P423" s="230"/>
      <c r="Q423" s="230"/>
      <c r="R423" s="395"/>
    </row>
    <row r="424" spans="2:18" x14ac:dyDescent="0.25">
      <c r="B424" s="394"/>
      <c r="C424" s="230"/>
      <c r="D424" s="230"/>
      <c r="E424" s="230"/>
      <c r="F424" s="230"/>
      <c r="G424" s="230"/>
      <c r="H424" s="230"/>
      <c r="I424" s="230"/>
      <c r="J424" s="230"/>
      <c r="K424" s="230"/>
      <c r="L424" s="230"/>
      <c r="M424" s="230"/>
      <c r="N424" s="230"/>
      <c r="O424" s="230"/>
      <c r="P424" s="230"/>
      <c r="Q424" s="230"/>
      <c r="R424" s="395"/>
    </row>
    <row r="425" spans="2:18" x14ac:dyDescent="0.25">
      <c r="B425" s="394"/>
      <c r="C425" s="230"/>
      <c r="D425" s="230"/>
      <c r="E425" s="230"/>
      <c r="F425" s="230"/>
      <c r="G425" s="230"/>
      <c r="H425" s="230"/>
      <c r="I425" s="230"/>
      <c r="J425" s="230"/>
      <c r="K425" s="230"/>
      <c r="L425" s="230"/>
      <c r="M425" s="230"/>
      <c r="N425" s="230"/>
      <c r="O425" s="230"/>
      <c r="P425" s="230"/>
      <c r="Q425" s="230"/>
      <c r="R425" s="395"/>
    </row>
    <row r="426" spans="2:18" x14ac:dyDescent="0.25">
      <c r="B426" s="394"/>
      <c r="C426" s="230"/>
      <c r="D426" s="230"/>
      <c r="E426" s="230"/>
      <c r="F426" s="230"/>
      <c r="G426" s="230"/>
      <c r="H426" s="230"/>
      <c r="I426" s="230"/>
      <c r="J426" s="230"/>
      <c r="K426" s="230"/>
      <c r="L426" s="230"/>
      <c r="M426" s="230"/>
      <c r="N426" s="230"/>
      <c r="O426" s="230"/>
      <c r="P426" s="230"/>
      <c r="Q426" s="230"/>
      <c r="R426" s="395"/>
    </row>
    <row r="427" spans="2:18" x14ac:dyDescent="0.25">
      <c r="B427" s="394"/>
      <c r="C427" s="230"/>
      <c r="D427" s="230"/>
      <c r="E427" s="230"/>
      <c r="F427" s="230"/>
      <c r="G427" s="230"/>
      <c r="H427" s="230"/>
      <c r="I427" s="230"/>
      <c r="J427" s="230"/>
      <c r="K427" s="230"/>
      <c r="L427" s="230"/>
      <c r="M427" s="230"/>
      <c r="N427" s="230"/>
      <c r="O427" s="230"/>
      <c r="P427" s="230"/>
      <c r="Q427" s="230"/>
      <c r="R427" s="395"/>
    </row>
    <row r="428" spans="2:18" x14ac:dyDescent="0.25">
      <c r="B428" s="394"/>
      <c r="C428" s="230"/>
      <c r="D428" s="230"/>
      <c r="E428" s="230"/>
      <c r="F428" s="230"/>
      <c r="G428" s="230"/>
      <c r="H428" s="230"/>
      <c r="I428" s="230"/>
      <c r="J428" s="230"/>
      <c r="K428" s="230"/>
      <c r="L428" s="230"/>
      <c r="M428" s="230"/>
      <c r="N428" s="230"/>
      <c r="O428" s="230"/>
      <c r="P428" s="230"/>
      <c r="Q428" s="230"/>
      <c r="R428" s="395"/>
    </row>
    <row r="429" spans="2:18" x14ac:dyDescent="0.25">
      <c r="B429" s="394"/>
      <c r="C429" s="230"/>
      <c r="D429" s="230"/>
      <c r="E429" s="230"/>
      <c r="F429" s="230"/>
      <c r="G429" s="230"/>
      <c r="H429" s="230"/>
      <c r="I429" s="230"/>
      <c r="J429" s="230"/>
      <c r="K429" s="230"/>
      <c r="L429" s="230"/>
      <c r="M429" s="230"/>
      <c r="N429" s="230"/>
      <c r="O429" s="230"/>
      <c r="P429" s="230"/>
      <c r="Q429" s="230"/>
      <c r="R429" s="395"/>
    </row>
    <row r="430" spans="2:18" x14ac:dyDescent="0.25">
      <c r="B430" s="394"/>
      <c r="C430" s="230"/>
      <c r="D430" s="230"/>
      <c r="E430" s="230"/>
      <c r="F430" s="230"/>
      <c r="G430" s="230"/>
      <c r="H430" s="230"/>
      <c r="I430" s="230"/>
      <c r="J430" s="230"/>
      <c r="K430" s="230"/>
      <c r="L430" s="230"/>
      <c r="M430" s="230"/>
      <c r="N430" s="230"/>
      <c r="O430" s="230"/>
      <c r="P430" s="230"/>
      <c r="Q430" s="230"/>
      <c r="R430" s="395"/>
    </row>
    <row r="431" spans="2:18" x14ac:dyDescent="0.25">
      <c r="B431" s="394"/>
      <c r="C431" s="230"/>
      <c r="D431" s="230"/>
      <c r="E431" s="230"/>
      <c r="F431" s="230"/>
      <c r="G431" s="230"/>
      <c r="H431" s="230"/>
      <c r="I431" s="230"/>
      <c r="J431" s="230"/>
      <c r="K431" s="230"/>
      <c r="L431" s="230"/>
      <c r="M431" s="230"/>
      <c r="N431" s="230"/>
      <c r="O431" s="230"/>
      <c r="P431" s="230"/>
      <c r="Q431" s="230"/>
      <c r="R431" s="395"/>
    </row>
    <row r="432" spans="2:18" x14ac:dyDescent="0.25">
      <c r="B432" s="394"/>
      <c r="C432" s="230"/>
      <c r="D432" s="230"/>
      <c r="E432" s="230"/>
      <c r="F432" s="230"/>
      <c r="G432" s="230"/>
      <c r="H432" s="230"/>
      <c r="I432" s="230"/>
      <c r="J432" s="230"/>
      <c r="K432" s="230"/>
      <c r="L432" s="230"/>
      <c r="M432" s="230"/>
      <c r="N432" s="230"/>
      <c r="O432" s="230"/>
      <c r="P432" s="230"/>
      <c r="Q432" s="230"/>
      <c r="R432" s="395"/>
    </row>
    <row r="433" spans="2:18" x14ac:dyDescent="0.25">
      <c r="B433" s="394"/>
      <c r="C433" s="230"/>
      <c r="D433" s="230"/>
      <c r="E433" s="230"/>
      <c r="F433" s="230"/>
      <c r="G433" s="230"/>
      <c r="H433" s="230"/>
      <c r="I433" s="230"/>
      <c r="J433" s="230"/>
      <c r="K433" s="230"/>
      <c r="L433" s="230"/>
      <c r="M433" s="230"/>
      <c r="N433" s="230"/>
      <c r="O433" s="230"/>
      <c r="P433" s="230"/>
      <c r="Q433" s="230"/>
      <c r="R433" s="395"/>
    </row>
    <row r="434" spans="2:18" x14ac:dyDescent="0.25">
      <c r="B434" s="394"/>
      <c r="C434" s="230"/>
      <c r="D434" s="230"/>
      <c r="E434" s="230"/>
      <c r="F434" s="230"/>
      <c r="G434" s="230"/>
      <c r="H434" s="230"/>
      <c r="I434" s="230"/>
      <c r="J434" s="230"/>
      <c r="K434" s="230"/>
      <c r="L434" s="230"/>
      <c r="M434" s="230"/>
      <c r="N434" s="230"/>
      <c r="O434" s="230"/>
      <c r="P434" s="230"/>
      <c r="Q434" s="230"/>
      <c r="R434" s="395"/>
    </row>
    <row r="435" spans="2:18" x14ac:dyDescent="0.25">
      <c r="B435" s="394"/>
      <c r="C435" s="230"/>
      <c r="D435" s="230"/>
      <c r="E435" s="230"/>
      <c r="F435" s="230"/>
      <c r="G435" s="230"/>
      <c r="H435" s="230"/>
      <c r="I435" s="230"/>
      <c r="J435" s="230"/>
      <c r="K435" s="230"/>
      <c r="L435" s="230"/>
      <c r="M435" s="230"/>
      <c r="N435" s="230"/>
      <c r="O435" s="230"/>
      <c r="P435" s="230"/>
      <c r="Q435" s="230"/>
      <c r="R435" s="395"/>
    </row>
    <row r="436" spans="2:18" x14ac:dyDescent="0.25">
      <c r="B436" s="394"/>
      <c r="C436" s="230"/>
      <c r="D436" s="230"/>
      <c r="E436" s="230"/>
      <c r="F436" s="230"/>
      <c r="G436" s="230"/>
      <c r="H436" s="230"/>
      <c r="I436" s="230"/>
      <c r="J436" s="230"/>
      <c r="K436" s="230"/>
      <c r="L436" s="230"/>
      <c r="M436" s="230"/>
      <c r="N436" s="230"/>
      <c r="O436" s="230"/>
      <c r="P436" s="230"/>
      <c r="Q436" s="230"/>
      <c r="R436" s="395"/>
    </row>
    <row r="437" spans="2:18" x14ac:dyDescent="0.25">
      <c r="B437" s="394"/>
      <c r="C437" s="230"/>
      <c r="D437" s="230"/>
      <c r="E437" s="230"/>
      <c r="F437" s="230"/>
      <c r="G437" s="230"/>
      <c r="H437" s="230"/>
      <c r="I437" s="230"/>
      <c r="J437" s="230"/>
      <c r="K437" s="230"/>
      <c r="L437" s="230"/>
      <c r="M437" s="230"/>
      <c r="N437" s="230"/>
      <c r="O437" s="230"/>
      <c r="P437" s="230"/>
      <c r="Q437" s="230"/>
      <c r="R437" s="395"/>
    </row>
    <row r="438" spans="2:18" x14ac:dyDescent="0.25">
      <c r="B438" s="394"/>
      <c r="C438" s="230"/>
      <c r="D438" s="230"/>
      <c r="E438" s="230"/>
      <c r="F438" s="230"/>
      <c r="G438" s="230"/>
      <c r="H438" s="230"/>
      <c r="I438" s="230"/>
      <c r="J438" s="230"/>
      <c r="K438" s="230"/>
      <c r="L438" s="230"/>
      <c r="M438" s="230"/>
      <c r="N438" s="230"/>
      <c r="O438" s="230"/>
      <c r="P438" s="230"/>
      <c r="Q438" s="230"/>
      <c r="R438" s="395"/>
    </row>
    <row r="439" spans="2:18" x14ac:dyDescent="0.25">
      <c r="B439" s="394"/>
      <c r="C439" s="230"/>
      <c r="D439" s="230"/>
      <c r="E439" s="230"/>
      <c r="F439" s="230"/>
      <c r="G439" s="230"/>
      <c r="H439" s="230"/>
      <c r="I439" s="230"/>
      <c r="J439" s="230"/>
      <c r="K439" s="230"/>
      <c r="L439" s="230"/>
      <c r="M439" s="230"/>
      <c r="N439" s="230"/>
      <c r="O439" s="230"/>
      <c r="P439" s="230"/>
      <c r="Q439" s="230"/>
      <c r="R439" s="395"/>
    </row>
    <row r="440" spans="2:18" x14ac:dyDescent="0.25">
      <c r="B440" s="394"/>
      <c r="C440" s="230"/>
      <c r="D440" s="230"/>
      <c r="E440" s="230"/>
      <c r="F440" s="230"/>
      <c r="G440" s="230"/>
      <c r="H440" s="230"/>
      <c r="I440" s="230"/>
      <c r="J440" s="230"/>
      <c r="K440" s="230"/>
      <c r="L440" s="230"/>
      <c r="M440" s="230"/>
      <c r="N440" s="230"/>
      <c r="O440" s="230"/>
      <c r="P440" s="230"/>
      <c r="Q440" s="230"/>
      <c r="R440" s="395"/>
    </row>
    <row r="441" spans="2:18" x14ac:dyDescent="0.25">
      <c r="B441" s="394"/>
      <c r="C441" s="230"/>
      <c r="D441" s="230"/>
      <c r="E441" s="230"/>
      <c r="F441" s="230"/>
      <c r="G441" s="230"/>
      <c r="H441" s="230"/>
      <c r="I441" s="230"/>
      <c r="J441" s="230"/>
      <c r="K441" s="230"/>
      <c r="L441" s="230"/>
      <c r="M441" s="230"/>
      <c r="N441" s="230"/>
      <c r="O441" s="230"/>
      <c r="P441" s="230"/>
      <c r="Q441" s="230"/>
      <c r="R441" s="395"/>
    </row>
    <row r="442" spans="2:18" x14ac:dyDescent="0.25">
      <c r="B442" s="394"/>
      <c r="C442" s="230"/>
      <c r="D442" s="230"/>
      <c r="E442" s="230"/>
      <c r="F442" s="230"/>
      <c r="G442" s="230"/>
      <c r="H442" s="230"/>
      <c r="I442" s="230"/>
      <c r="J442" s="230"/>
      <c r="K442" s="230"/>
      <c r="L442" s="230"/>
      <c r="M442" s="230"/>
      <c r="N442" s="230"/>
      <c r="O442" s="230"/>
      <c r="P442" s="230"/>
      <c r="Q442" s="230"/>
      <c r="R442" s="395"/>
    </row>
    <row r="443" spans="2:18" x14ac:dyDescent="0.25">
      <c r="B443" s="394"/>
      <c r="C443" s="230"/>
      <c r="D443" s="230"/>
      <c r="E443" s="230"/>
      <c r="F443" s="230"/>
      <c r="G443" s="230"/>
      <c r="H443" s="230"/>
      <c r="I443" s="230"/>
      <c r="J443" s="230"/>
      <c r="K443" s="230"/>
      <c r="L443" s="230"/>
      <c r="M443" s="230"/>
      <c r="N443" s="230"/>
      <c r="O443" s="230"/>
      <c r="P443" s="230"/>
      <c r="Q443" s="230"/>
      <c r="R443" s="395"/>
    </row>
    <row r="444" spans="2:18" x14ac:dyDescent="0.25">
      <c r="B444" s="394"/>
      <c r="C444" s="230"/>
      <c r="D444" s="230"/>
      <c r="E444" s="230"/>
      <c r="F444" s="230"/>
      <c r="G444" s="230"/>
      <c r="H444" s="230"/>
      <c r="I444" s="230"/>
      <c r="J444" s="230"/>
      <c r="K444" s="230"/>
      <c r="L444" s="230"/>
      <c r="M444" s="230"/>
      <c r="N444" s="230"/>
      <c r="O444" s="230"/>
      <c r="P444" s="230"/>
      <c r="Q444" s="230"/>
      <c r="R444" s="395"/>
    </row>
    <row r="445" spans="2:18" x14ac:dyDescent="0.25">
      <c r="B445" s="394"/>
      <c r="C445" s="230"/>
      <c r="D445" s="230"/>
      <c r="E445" s="230"/>
      <c r="F445" s="230"/>
      <c r="G445" s="230"/>
      <c r="H445" s="230"/>
      <c r="I445" s="230"/>
      <c r="J445" s="230"/>
      <c r="K445" s="230"/>
      <c r="L445" s="230"/>
      <c r="M445" s="230"/>
      <c r="N445" s="230"/>
      <c r="O445" s="230"/>
      <c r="P445" s="230"/>
      <c r="Q445" s="230"/>
      <c r="R445" s="395"/>
    </row>
    <row r="446" spans="2:18" x14ac:dyDescent="0.25">
      <c r="B446" s="394"/>
      <c r="C446" s="230"/>
      <c r="D446" s="230"/>
      <c r="E446" s="230"/>
      <c r="F446" s="230"/>
      <c r="G446" s="230"/>
      <c r="H446" s="230"/>
      <c r="I446" s="230"/>
      <c r="J446" s="230"/>
      <c r="K446" s="230"/>
      <c r="L446" s="230"/>
      <c r="M446" s="230"/>
      <c r="N446" s="230"/>
      <c r="O446" s="230"/>
      <c r="P446" s="230"/>
      <c r="Q446" s="230"/>
      <c r="R446" s="395"/>
    </row>
    <row r="447" spans="2:18" x14ac:dyDescent="0.25">
      <c r="B447" s="394"/>
      <c r="C447" s="230"/>
      <c r="D447" s="230"/>
      <c r="E447" s="230"/>
      <c r="F447" s="230"/>
      <c r="G447" s="230"/>
      <c r="H447" s="230"/>
      <c r="I447" s="230"/>
      <c r="J447" s="230"/>
      <c r="K447" s="230"/>
      <c r="L447" s="230"/>
      <c r="M447" s="230"/>
      <c r="N447" s="230"/>
      <c r="O447" s="230"/>
      <c r="P447" s="230"/>
      <c r="Q447" s="230"/>
      <c r="R447" s="395"/>
    </row>
    <row r="448" spans="2:18" x14ac:dyDescent="0.25">
      <c r="B448" s="394"/>
      <c r="C448" s="230"/>
      <c r="D448" s="230"/>
      <c r="E448" s="230"/>
      <c r="F448" s="230"/>
      <c r="G448" s="230"/>
      <c r="H448" s="230"/>
      <c r="I448" s="230"/>
      <c r="J448" s="230"/>
      <c r="K448" s="230"/>
      <c r="L448" s="230"/>
      <c r="M448" s="230"/>
      <c r="N448" s="230"/>
      <c r="O448" s="230"/>
      <c r="P448" s="230"/>
      <c r="Q448" s="230"/>
      <c r="R448" s="395"/>
    </row>
    <row r="449" spans="2:18" x14ac:dyDescent="0.25">
      <c r="B449" s="394"/>
      <c r="C449" s="230"/>
      <c r="D449" s="230"/>
      <c r="E449" s="230"/>
      <c r="F449" s="230"/>
      <c r="G449" s="230"/>
      <c r="H449" s="230"/>
      <c r="I449" s="230"/>
      <c r="J449" s="230"/>
      <c r="K449" s="230"/>
      <c r="L449" s="230"/>
      <c r="M449" s="230"/>
      <c r="N449" s="230"/>
      <c r="O449" s="230"/>
      <c r="P449" s="230"/>
      <c r="Q449" s="230"/>
      <c r="R449" s="395"/>
    </row>
    <row r="450" spans="2:18" x14ac:dyDescent="0.25">
      <c r="B450" s="394"/>
      <c r="C450" s="230"/>
      <c r="D450" s="230"/>
      <c r="E450" s="230"/>
      <c r="F450" s="230"/>
      <c r="G450" s="230"/>
      <c r="H450" s="230"/>
      <c r="I450" s="230"/>
      <c r="J450" s="230"/>
      <c r="K450" s="230"/>
      <c r="L450" s="230"/>
      <c r="M450" s="230"/>
      <c r="N450" s="230"/>
      <c r="O450" s="230"/>
      <c r="P450" s="230"/>
      <c r="Q450" s="230"/>
      <c r="R450" s="395"/>
    </row>
    <row r="451" spans="2:18" x14ac:dyDescent="0.25">
      <c r="B451" s="394"/>
      <c r="C451" s="230"/>
      <c r="D451" s="230"/>
      <c r="E451" s="230"/>
      <c r="F451" s="230"/>
      <c r="G451" s="230"/>
      <c r="H451" s="230"/>
      <c r="I451" s="230"/>
      <c r="J451" s="230"/>
      <c r="K451" s="230"/>
      <c r="L451" s="230"/>
      <c r="M451" s="230"/>
      <c r="N451" s="230"/>
      <c r="O451" s="230"/>
      <c r="P451" s="230"/>
      <c r="Q451" s="230"/>
      <c r="R451" s="395"/>
    </row>
    <row r="452" spans="2:18" x14ac:dyDescent="0.25">
      <c r="B452" s="394"/>
      <c r="C452" s="230"/>
      <c r="D452" s="230"/>
      <c r="E452" s="230"/>
      <c r="F452" s="230"/>
      <c r="G452" s="230"/>
      <c r="H452" s="230"/>
      <c r="I452" s="230"/>
      <c r="J452" s="230"/>
      <c r="K452" s="230"/>
      <c r="L452" s="230"/>
      <c r="M452" s="230"/>
      <c r="N452" s="230"/>
      <c r="O452" s="230"/>
      <c r="P452" s="230"/>
      <c r="Q452" s="230"/>
      <c r="R452" s="395"/>
    </row>
    <row r="453" spans="2:18" x14ac:dyDescent="0.25">
      <c r="B453" s="394"/>
      <c r="C453" s="230"/>
      <c r="D453" s="230"/>
      <c r="E453" s="230"/>
      <c r="F453" s="230"/>
      <c r="G453" s="230"/>
      <c r="H453" s="230"/>
      <c r="I453" s="230"/>
      <c r="J453" s="230"/>
      <c r="K453" s="230"/>
      <c r="L453" s="230"/>
      <c r="M453" s="230"/>
      <c r="N453" s="230"/>
      <c r="O453" s="230"/>
      <c r="P453" s="230"/>
      <c r="Q453" s="230"/>
      <c r="R453" s="395"/>
    </row>
    <row r="454" spans="2:18" x14ac:dyDescent="0.25">
      <c r="B454" s="394"/>
      <c r="C454" s="230"/>
      <c r="D454" s="230"/>
      <c r="E454" s="230"/>
      <c r="F454" s="230"/>
      <c r="G454" s="230"/>
      <c r="H454" s="230"/>
      <c r="I454" s="230"/>
      <c r="J454" s="230"/>
      <c r="K454" s="230"/>
      <c r="L454" s="230"/>
      <c r="M454" s="230"/>
      <c r="N454" s="230"/>
      <c r="O454" s="230"/>
      <c r="P454" s="230"/>
      <c r="Q454" s="230"/>
      <c r="R454" s="395"/>
    </row>
    <row r="455" spans="2:18" x14ac:dyDescent="0.25">
      <c r="B455" s="394"/>
      <c r="C455" s="230"/>
      <c r="D455" s="230"/>
      <c r="E455" s="230"/>
      <c r="F455" s="230"/>
      <c r="G455" s="230"/>
      <c r="H455" s="230"/>
      <c r="I455" s="230"/>
      <c r="J455" s="230"/>
      <c r="K455" s="230"/>
      <c r="L455" s="230"/>
      <c r="M455" s="230"/>
      <c r="N455" s="230"/>
      <c r="O455" s="230"/>
      <c r="P455" s="230"/>
      <c r="Q455" s="230"/>
      <c r="R455" s="395"/>
    </row>
    <row r="456" spans="2:18" x14ac:dyDescent="0.25">
      <c r="B456" s="394"/>
      <c r="C456" s="230"/>
      <c r="D456" s="230"/>
      <c r="E456" s="230"/>
      <c r="F456" s="230"/>
      <c r="G456" s="230"/>
      <c r="H456" s="230"/>
      <c r="I456" s="230"/>
      <c r="J456" s="230"/>
      <c r="K456" s="230"/>
      <c r="L456" s="230"/>
      <c r="M456" s="230"/>
      <c r="N456" s="230"/>
      <c r="O456" s="230"/>
      <c r="P456" s="230"/>
      <c r="Q456" s="230"/>
      <c r="R456" s="395"/>
    </row>
    <row r="457" spans="2:18" x14ac:dyDescent="0.25">
      <c r="B457" s="394"/>
      <c r="C457" s="230"/>
      <c r="D457" s="230"/>
      <c r="E457" s="230"/>
      <c r="F457" s="230"/>
      <c r="G457" s="230"/>
      <c r="H457" s="230"/>
      <c r="I457" s="230"/>
      <c r="J457" s="230"/>
      <c r="K457" s="230"/>
      <c r="L457" s="230"/>
      <c r="M457" s="230"/>
      <c r="N457" s="230"/>
      <c r="O457" s="230"/>
      <c r="P457" s="230"/>
      <c r="Q457" s="230"/>
      <c r="R457" s="395"/>
    </row>
    <row r="458" spans="2:18" x14ac:dyDescent="0.25">
      <c r="B458" s="394"/>
      <c r="C458" s="230"/>
      <c r="D458" s="230"/>
      <c r="E458" s="230"/>
      <c r="F458" s="230"/>
      <c r="G458" s="230"/>
      <c r="H458" s="230"/>
      <c r="I458" s="230"/>
      <c r="J458" s="230"/>
      <c r="K458" s="230"/>
      <c r="L458" s="230"/>
      <c r="M458" s="230"/>
      <c r="N458" s="230"/>
      <c r="O458" s="230"/>
      <c r="P458" s="230"/>
      <c r="Q458" s="230"/>
      <c r="R458" s="395"/>
    </row>
    <row r="459" spans="2:18" x14ac:dyDescent="0.25">
      <c r="B459" s="394"/>
      <c r="C459" s="230"/>
      <c r="D459" s="230"/>
      <c r="E459" s="230"/>
      <c r="F459" s="230"/>
      <c r="G459" s="230"/>
      <c r="H459" s="230"/>
      <c r="I459" s="230"/>
      <c r="J459" s="230"/>
      <c r="K459" s="230"/>
      <c r="L459" s="230"/>
      <c r="M459" s="230"/>
      <c r="N459" s="230"/>
      <c r="O459" s="230"/>
      <c r="P459" s="230"/>
      <c r="Q459" s="230"/>
      <c r="R459" s="395"/>
    </row>
    <row r="460" spans="2:18" x14ac:dyDescent="0.25">
      <c r="B460" s="394"/>
      <c r="C460" s="230"/>
      <c r="D460" s="230"/>
      <c r="E460" s="230"/>
      <c r="F460" s="230"/>
      <c r="G460" s="230"/>
      <c r="H460" s="230"/>
      <c r="I460" s="230"/>
      <c r="J460" s="230"/>
      <c r="K460" s="230"/>
      <c r="L460" s="230"/>
      <c r="M460" s="230"/>
      <c r="N460" s="230"/>
      <c r="O460" s="230"/>
      <c r="P460" s="230"/>
      <c r="Q460" s="230"/>
      <c r="R460" s="395"/>
    </row>
    <row r="461" spans="2:18" x14ac:dyDescent="0.25">
      <c r="B461" s="394"/>
      <c r="C461" s="230"/>
      <c r="D461" s="230"/>
      <c r="E461" s="230"/>
      <c r="F461" s="230"/>
      <c r="G461" s="230"/>
      <c r="H461" s="230"/>
      <c r="I461" s="230"/>
      <c r="J461" s="230"/>
      <c r="K461" s="230"/>
      <c r="L461" s="230"/>
      <c r="M461" s="230"/>
      <c r="N461" s="230"/>
      <c r="O461" s="230"/>
      <c r="P461" s="230"/>
      <c r="Q461" s="230"/>
      <c r="R461" s="395"/>
    </row>
    <row r="462" spans="2:18" x14ac:dyDescent="0.25">
      <c r="B462" s="394"/>
      <c r="C462" s="230"/>
      <c r="D462" s="230"/>
      <c r="E462" s="230"/>
      <c r="F462" s="230"/>
      <c r="G462" s="230"/>
      <c r="H462" s="230"/>
      <c r="I462" s="230"/>
      <c r="J462" s="230"/>
      <c r="K462" s="230"/>
      <c r="L462" s="230"/>
      <c r="M462" s="230"/>
      <c r="N462" s="230"/>
      <c r="O462" s="230"/>
      <c r="P462" s="230"/>
      <c r="Q462" s="230"/>
      <c r="R462" s="395"/>
    </row>
    <row r="463" spans="2:18" x14ac:dyDescent="0.25">
      <c r="B463" s="394"/>
      <c r="C463" s="230"/>
      <c r="D463" s="230"/>
      <c r="E463" s="230"/>
      <c r="F463" s="230"/>
      <c r="G463" s="230"/>
      <c r="H463" s="230"/>
      <c r="I463" s="230"/>
      <c r="J463" s="230"/>
      <c r="K463" s="230"/>
      <c r="L463" s="230"/>
      <c r="M463" s="230"/>
      <c r="N463" s="230"/>
      <c r="O463" s="230"/>
      <c r="P463" s="230"/>
      <c r="Q463" s="230"/>
      <c r="R463" s="395"/>
    </row>
    <row r="464" spans="2:18" x14ac:dyDescent="0.25">
      <c r="B464" s="394"/>
      <c r="C464" s="230"/>
      <c r="D464" s="230"/>
      <c r="E464" s="230"/>
      <c r="F464" s="230"/>
      <c r="G464" s="230"/>
      <c r="H464" s="230"/>
      <c r="I464" s="230"/>
      <c r="J464" s="230"/>
      <c r="K464" s="230"/>
      <c r="L464" s="230"/>
      <c r="M464" s="230"/>
      <c r="N464" s="230"/>
      <c r="O464" s="230"/>
      <c r="P464" s="230"/>
      <c r="Q464" s="230"/>
      <c r="R464" s="395"/>
    </row>
    <row r="465" spans="2:18" x14ac:dyDescent="0.25">
      <c r="B465" s="394"/>
      <c r="C465" s="230"/>
      <c r="D465" s="230"/>
      <c r="E465" s="230"/>
      <c r="F465" s="230"/>
      <c r="G465" s="230"/>
      <c r="H465" s="230"/>
      <c r="I465" s="230"/>
      <c r="J465" s="230"/>
      <c r="K465" s="230"/>
      <c r="L465" s="230"/>
      <c r="M465" s="230"/>
      <c r="N465" s="230"/>
      <c r="O465" s="230"/>
      <c r="P465" s="230"/>
      <c r="Q465" s="230"/>
      <c r="R465" s="395"/>
    </row>
    <row r="466" spans="2:18" x14ac:dyDescent="0.25">
      <c r="B466" s="394"/>
      <c r="C466" s="230"/>
      <c r="D466" s="230"/>
      <c r="E466" s="230"/>
      <c r="F466" s="230"/>
      <c r="G466" s="230"/>
      <c r="H466" s="230"/>
      <c r="I466" s="230"/>
      <c r="J466" s="230"/>
      <c r="K466" s="230"/>
      <c r="L466" s="230"/>
      <c r="M466" s="230"/>
      <c r="N466" s="230"/>
      <c r="O466" s="230"/>
      <c r="P466" s="230"/>
      <c r="Q466" s="230"/>
      <c r="R466" s="395"/>
    </row>
    <row r="467" spans="2:18" x14ac:dyDescent="0.25">
      <c r="B467" s="394"/>
      <c r="C467" s="230"/>
      <c r="D467" s="230"/>
      <c r="E467" s="230"/>
      <c r="F467" s="230"/>
      <c r="G467" s="230"/>
      <c r="H467" s="230"/>
      <c r="I467" s="230"/>
      <c r="J467" s="230"/>
      <c r="K467" s="230"/>
      <c r="L467" s="230"/>
      <c r="M467" s="230"/>
      <c r="N467" s="230"/>
      <c r="O467" s="230"/>
      <c r="P467" s="230"/>
      <c r="Q467" s="230"/>
      <c r="R467" s="395"/>
    </row>
    <row r="468" spans="2:18" x14ac:dyDescent="0.25">
      <c r="B468" s="394"/>
      <c r="C468" s="230"/>
      <c r="D468" s="230"/>
      <c r="E468" s="230"/>
      <c r="F468" s="230"/>
      <c r="G468" s="230"/>
      <c r="H468" s="230"/>
      <c r="I468" s="230"/>
      <c r="J468" s="230"/>
      <c r="K468" s="230"/>
      <c r="L468" s="230"/>
      <c r="M468" s="230"/>
      <c r="N468" s="230"/>
      <c r="O468" s="230"/>
      <c r="P468" s="230"/>
      <c r="Q468" s="230"/>
      <c r="R468" s="395"/>
    </row>
    <row r="469" spans="2:18" x14ac:dyDescent="0.25">
      <c r="B469" s="394"/>
      <c r="C469" s="230"/>
      <c r="D469" s="230"/>
      <c r="E469" s="230"/>
      <c r="F469" s="230"/>
      <c r="G469" s="230"/>
      <c r="H469" s="230"/>
      <c r="I469" s="230"/>
      <c r="J469" s="230"/>
      <c r="K469" s="230"/>
      <c r="L469" s="230"/>
      <c r="M469" s="230"/>
      <c r="N469" s="230"/>
      <c r="O469" s="230"/>
      <c r="P469" s="230"/>
      <c r="Q469" s="230"/>
      <c r="R469" s="395"/>
    </row>
    <row r="470" spans="2:18" x14ac:dyDescent="0.25">
      <c r="B470" s="394"/>
      <c r="C470" s="230"/>
      <c r="D470" s="230"/>
      <c r="E470" s="230"/>
      <c r="F470" s="230"/>
      <c r="G470" s="230"/>
      <c r="H470" s="230"/>
      <c r="I470" s="230"/>
      <c r="J470" s="230"/>
      <c r="K470" s="230"/>
      <c r="L470" s="230"/>
      <c r="M470" s="230"/>
      <c r="N470" s="230"/>
      <c r="O470" s="230"/>
      <c r="P470" s="230"/>
      <c r="Q470" s="230"/>
      <c r="R470" s="395"/>
    </row>
    <row r="471" spans="2:18" x14ac:dyDescent="0.25">
      <c r="B471" s="394"/>
      <c r="C471" s="230"/>
      <c r="D471" s="230"/>
      <c r="E471" s="230"/>
      <c r="F471" s="230"/>
      <c r="G471" s="230"/>
      <c r="H471" s="230"/>
      <c r="I471" s="230"/>
      <c r="J471" s="230"/>
      <c r="K471" s="230"/>
      <c r="L471" s="230"/>
      <c r="M471" s="230"/>
      <c r="N471" s="230"/>
      <c r="O471" s="230"/>
      <c r="P471" s="230"/>
      <c r="Q471" s="230"/>
      <c r="R471" s="395"/>
    </row>
    <row r="472" spans="2:18" x14ac:dyDescent="0.25">
      <c r="B472" s="394"/>
      <c r="C472" s="230"/>
      <c r="D472" s="230"/>
      <c r="E472" s="230"/>
      <c r="F472" s="230"/>
      <c r="G472" s="230"/>
      <c r="H472" s="230"/>
      <c r="I472" s="230"/>
      <c r="J472" s="230"/>
      <c r="K472" s="230"/>
      <c r="L472" s="230"/>
      <c r="M472" s="230"/>
      <c r="N472" s="230"/>
      <c r="O472" s="230"/>
      <c r="P472" s="230"/>
      <c r="Q472" s="230"/>
      <c r="R472" s="395"/>
    </row>
    <row r="473" spans="2:18" x14ac:dyDescent="0.25">
      <c r="B473" s="394"/>
      <c r="C473" s="230"/>
      <c r="D473" s="230"/>
      <c r="E473" s="230"/>
      <c r="F473" s="230"/>
      <c r="G473" s="230"/>
      <c r="H473" s="230"/>
      <c r="I473" s="230"/>
      <c r="J473" s="230"/>
      <c r="K473" s="230"/>
      <c r="L473" s="230"/>
      <c r="M473" s="230"/>
      <c r="N473" s="230"/>
      <c r="O473" s="230"/>
      <c r="P473" s="230"/>
      <c r="Q473" s="230"/>
      <c r="R473" s="395"/>
    </row>
    <row r="474" spans="2:18" x14ac:dyDescent="0.25">
      <c r="B474" s="394"/>
      <c r="C474" s="230"/>
      <c r="D474" s="230"/>
      <c r="E474" s="230"/>
      <c r="F474" s="230"/>
      <c r="G474" s="230"/>
      <c r="H474" s="230"/>
      <c r="I474" s="230"/>
      <c r="J474" s="230"/>
      <c r="K474" s="230"/>
      <c r="L474" s="230"/>
      <c r="M474" s="230"/>
      <c r="N474" s="230"/>
      <c r="O474" s="230"/>
      <c r="P474" s="230"/>
      <c r="Q474" s="230"/>
      <c r="R474" s="395"/>
    </row>
    <row r="475" spans="2:18" x14ac:dyDescent="0.25">
      <c r="B475" s="394"/>
      <c r="C475" s="230"/>
      <c r="D475" s="230"/>
      <c r="E475" s="230"/>
      <c r="F475" s="230"/>
      <c r="G475" s="230"/>
      <c r="H475" s="230"/>
      <c r="I475" s="230"/>
      <c r="J475" s="230"/>
      <c r="K475" s="230"/>
      <c r="L475" s="230"/>
      <c r="M475" s="230"/>
      <c r="N475" s="230"/>
      <c r="O475" s="230"/>
      <c r="P475" s="230"/>
      <c r="Q475" s="230"/>
      <c r="R475" s="395"/>
    </row>
    <row r="476" spans="2:18" x14ac:dyDescent="0.25">
      <c r="B476" s="394"/>
      <c r="C476" s="230"/>
      <c r="D476" s="230"/>
      <c r="E476" s="230"/>
      <c r="F476" s="230"/>
      <c r="G476" s="230"/>
      <c r="H476" s="230"/>
      <c r="I476" s="230"/>
      <c r="J476" s="230"/>
      <c r="K476" s="230"/>
      <c r="L476" s="230"/>
      <c r="M476" s="230"/>
      <c r="N476" s="230"/>
      <c r="O476" s="230"/>
      <c r="P476" s="230"/>
      <c r="Q476" s="230"/>
      <c r="R476" s="395"/>
    </row>
    <row r="477" spans="2:18" x14ac:dyDescent="0.25">
      <c r="B477" s="394"/>
      <c r="C477" s="230"/>
      <c r="D477" s="230"/>
      <c r="E477" s="230"/>
      <c r="F477" s="230"/>
      <c r="G477" s="230"/>
      <c r="H477" s="230"/>
      <c r="I477" s="230"/>
      <c r="J477" s="230"/>
      <c r="K477" s="230"/>
      <c r="L477" s="230"/>
      <c r="M477" s="230"/>
      <c r="N477" s="230"/>
      <c r="O477" s="230"/>
      <c r="P477" s="230"/>
      <c r="Q477" s="230"/>
      <c r="R477" s="395"/>
    </row>
    <row r="478" spans="2:18" x14ac:dyDescent="0.25">
      <c r="B478" s="394"/>
      <c r="C478" s="230"/>
      <c r="D478" s="230"/>
      <c r="E478" s="230"/>
      <c r="F478" s="230"/>
      <c r="G478" s="230"/>
      <c r="H478" s="230"/>
      <c r="I478" s="230"/>
      <c r="J478" s="230"/>
      <c r="K478" s="230"/>
      <c r="L478" s="230"/>
      <c r="M478" s="230"/>
      <c r="N478" s="230"/>
      <c r="O478" s="230"/>
      <c r="P478" s="230"/>
      <c r="Q478" s="230"/>
      <c r="R478" s="395"/>
    </row>
    <row r="479" spans="2:18" x14ac:dyDescent="0.25">
      <c r="B479" s="394"/>
      <c r="C479" s="230"/>
      <c r="D479" s="230"/>
      <c r="E479" s="230"/>
      <c r="F479" s="230"/>
      <c r="G479" s="230"/>
      <c r="H479" s="230"/>
      <c r="I479" s="230"/>
      <c r="J479" s="230"/>
      <c r="K479" s="230"/>
      <c r="L479" s="230"/>
      <c r="M479" s="230"/>
      <c r="N479" s="230"/>
      <c r="O479" s="230"/>
      <c r="P479" s="230"/>
      <c r="Q479" s="230"/>
      <c r="R479" s="395"/>
    </row>
    <row r="480" spans="2:18" x14ac:dyDescent="0.25">
      <c r="B480" s="394"/>
      <c r="C480" s="230"/>
      <c r="D480" s="230"/>
      <c r="E480" s="230"/>
      <c r="F480" s="230"/>
      <c r="G480" s="230"/>
      <c r="H480" s="230"/>
      <c r="I480" s="230"/>
      <c r="J480" s="230"/>
      <c r="K480" s="230"/>
      <c r="L480" s="230"/>
      <c r="M480" s="230"/>
      <c r="N480" s="230"/>
      <c r="O480" s="230"/>
      <c r="P480" s="230"/>
      <c r="Q480" s="230"/>
      <c r="R480" s="395"/>
    </row>
    <row r="481" spans="2:18" x14ac:dyDescent="0.25">
      <c r="B481" s="394"/>
      <c r="C481" s="230"/>
      <c r="D481" s="230"/>
      <c r="E481" s="230"/>
      <c r="F481" s="230"/>
      <c r="G481" s="230"/>
      <c r="H481" s="230"/>
      <c r="I481" s="230"/>
      <c r="J481" s="230"/>
      <c r="K481" s="230"/>
      <c r="L481" s="230"/>
      <c r="M481" s="230"/>
      <c r="N481" s="230"/>
      <c r="O481" s="230"/>
      <c r="P481" s="230"/>
      <c r="Q481" s="230"/>
      <c r="R481" s="395"/>
    </row>
    <row r="482" spans="2:18" x14ac:dyDescent="0.25">
      <c r="B482" s="394"/>
      <c r="C482" s="230"/>
      <c r="D482" s="230"/>
      <c r="E482" s="230"/>
      <c r="F482" s="230"/>
      <c r="G482" s="230"/>
      <c r="H482" s="230"/>
      <c r="I482" s="230"/>
      <c r="J482" s="230"/>
      <c r="K482" s="230"/>
      <c r="L482" s="230"/>
      <c r="M482" s="230"/>
      <c r="N482" s="230"/>
      <c r="O482" s="230"/>
      <c r="P482" s="230"/>
      <c r="Q482" s="230"/>
      <c r="R482" s="395"/>
    </row>
    <row r="483" spans="2:18" x14ac:dyDescent="0.25">
      <c r="B483" s="394"/>
      <c r="C483" s="230"/>
      <c r="D483" s="230"/>
      <c r="E483" s="230"/>
      <c r="F483" s="230"/>
      <c r="G483" s="230"/>
      <c r="H483" s="230"/>
      <c r="I483" s="230"/>
      <c r="J483" s="230"/>
      <c r="K483" s="230"/>
      <c r="L483" s="230"/>
      <c r="M483" s="230"/>
      <c r="N483" s="230"/>
      <c r="O483" s="230"/>
      <c r="P483" s="230"/>
      <c r="Q483" s="230"/>
      <c r="R483" s="395"/>
    </row>
    <row r="484" spans="2:18" x14ac:dyDescent="0.25">
      <c r="B484" s="394"/>
      <c r="C484" s="230"/>
      <c r="D484" s="230"/>
      <c r="E484" s="230"/>
      <c r="F484" s="230"/>
      <c r="G484" s="230"/>
      <c r="H484" s="230"/>
      <c r="I484" s="230"/>
      <c r="J484" s="230"/>
      <c r="K484" s="230"/>
      <c r="L484" s="230"/>
      <c r="M484" s="230"/>
      <c r="N484" s="230"/>
      <c r="O484" s="230"/>
      <c r="P484" s="230"/>
      <c r="Q484" s="230"/>
      <c r="R484" s="395"/>
    </row>
    <row r="485" spans="2:18" x14ac:dyDescent="0.25">
      <c r="B485" s="394"/>
      <c r="C485" s="230"/>
      <c r="D485" s="230"/>
      <c r="E485" s="230"/>
      <c r="F485" s="230"/>
      <c r="G485" s="230"/>
      <c r="H485" s="230"/>
      <c r="I485" s="230"/>
      <c r="J485" s="230"/>
      <c r="K485" s="230"/>
      <c r="L485" s="230"/>
      <c r="M485" s="230"/>
      <c r="N485" s="230"/>
      <c r="O485" s="230"/>
      <c r="P485" s="230"/>
      <c r="Q485" s="230"/>
      <c r="R485" s="395"/>
    </row>
    <row r="486" spans="2:18" x14ac:dyDescent="0.25">
      <c r="B486" s="394"/>
      <c r="C486" s="230"/>
      <c r="D486" s="230"/>
      <c r="E486" s="230"/>
      <c r="F486" s="230"/>
      <c r="G486" s="230"/>
      <c r="H486" s="230"/>
      <c r="I486" s="230"/>
      <c r="J486" s="230"/>
      <c r="K486" s="230"/>
      <c r="L486" s="230"/>
      <c r="M486" s="230"/>
      <c r="N486" s="230"/>
      <c r="O486" s="230"/>
      <c r="P486" s="230"/>
      <c r="Q486" s="230"/>
      <c r="R486" s="395"/>
    </row>
    <row r="487" spans="2:18" x14ac:dyDescent="0.25">
      <c r="B487" s="394"/>
      <c r="C487" s="230"/>
      <c r="D487" s="230"/>
      <c r="E487" s="230"/>
      <c r="F487" s="230"/>
      <c r="G487" s="230"/>
      <c r="H487" s="230"/>
      <c r="I487" s="230"/>
      <c r="J487" s="230"/>
      <c r="K487" s="230"/>
      <c r="L487" s="230"/>
      <c r="M487" s="230"/>
      <c r="N487" s="230"/>
      <c r="O487" s="230"/>
      <c r="P487" s="230"/>
      <c r="Q487" s="230"/>
      <c r="R487" s="395"/>
    </row>
    <row r="488" spans="2:18" x14ac:dyDescent="0.25">
      <c r="B488" s="394"/>
      <c r="C488" s="230"/>
      <c r="D488" s="230"/>
      <c r="E488" s="230"/>
      <c r="F488" s="230"/>
      <c r="G488" s="230"/>
      <c r="H488" s="230"/>
      <c r="I488" s="230"/>
      <c r="J488" s="230"/>
      <c r="K488" s="230"/>
      <c r="L488" s="230"/>
      <c r="M488" s="230"/>
      <c r="N488" s="230"/>
      <c r="O488" s="230"/>
      <c r="P488" s="230"/>
      <c r="Q488" s="230"/>
      <c r="R488" s="395"/>
    </row>
    <row r="489" spans="2:18" x14ac:dyDescent="0.25">
      <c r="B489" s="394"/>
      <c r="C489" s="230"/>
      <c r="D489" s="230"/>
      <c r="E489" s="230"/>
      <c r="F489" s="230"/>
      <c r="G489" s="230"/>
      <c r="H489" s="230"/>
      <c r="I489" s="230"/>
      <c r="J489" s="230"/>
      <c r="K489" s="230"/>
      <c r="L489" s="230"/>
      <c r="M489" s="230"/>
      <c r="N489" s="230"/>
      <c r="O489" s="230"/>
      <c r="P489" s="230"/>
      <c r="Q489" s="230"/>
      <c r="R489" s="395"/>
    </row>
    <row r="490" spans="2:18" x14ac:dyDescent="0.25">
      <c r="B490" s="394"/>
      <c r="C490" s="230"/>
      <c r="D490" s="230"/>
      <c r="E490" s="230"/>
      <c r="F490" s="230"/>
      <c r="G490" s="230"/>
      <c r="H490" s="230"/>
      <c r="I490" s="230"/>
      <c r="J490" s="230"/>
      <c r="K490" s="230"/>
      <c r="L490" s="230"/>
      <c r="M490" s="230"/>
      <c r="N490" s="230"/>
      <c r="O490" s="230"/>
      <c r="P490" s="230"/>
      <c r="Q490" s="230"/>
      <c r="R490" s="395"/>
    </row>
    <row r="491" spans="2:18" x14ac:dyDescent="0.25">
      <c r="B491" s="394"/>
      <c r="C491" s="230"/>
      <c r="D491" s="230"/>
      <c r="E491" s="230"/>
      <c r="F491" s="230"/>
      <c r="G491" s="230"/>
      <c r="H491" s="230"/>
      <c r="I491" s="230"/>
      <c r="J491" s="230"/>
      <c r="K491" s="230"/>
      <c r="L491" s="230"/>
      <c r="M491" s="230"/>
      <c r="N491" s="230"/>
      <c r="O491" s="230"/>
      <c r="P491" s="230"/>
      <c r="Q491" s="230"/>
      <c r="R491" s="395"/>
    </row>
    <row r="492" spans="2:18" x14ac:dyDescent="0.25">
      <c r="B492" s="394"/>
      <c r="C492" s="230"/>
      <c r="D492" s="230"/>
      <c r="E492" s="230"/>
      <c r="F492" s="230"/>
      <c r="G492" s="230"/>
      <c r="H492" s="230"/>
      <c r="I492" s="230"/>
      <c r="J492" s="230"/>
      <c r="K492" s="230"/>
      <c r="L492" s="230"/>
      <c r="M492" s="230"/>
      <c r="N492" s="230"/>
      <c r="O492" s="230"/>
      <c r="P492" s="230"/>
      <c r="Q492" s="230"/>
      <c r="R492" s="395"/>
    </row>
    <row r="493" spans="2:18" x14ac:dyDescent="0.25">
      <c r="B493" s="394"/>
      <c r="C493" s="230"/>
      <c r="D493" s="230"/>
      <c r="E493" s="230"/>
      <c r="F493" s="230"/>
      <c r="G493" s="230"/>
      <c r="H493" s="230"/>
      <c r="I493" s="230"/>
      <c r="J493" s="230"/>
      <c r="K493" s="230"/>
      <c r="L493" s="230"/>
      <c r="M493" s="230"/>
      <c r="N493" s="230"/>
      <c r="O493" s="230"/>
      <c r="P493" s="230"/>
      <c r="Q493" s="230"/>
      <c r="R493" s="395"/>
    </row>
    <row r="494" spans="2:18" x14ac:dyDescent="0.25">
      <c r="B494" s="394"/>
      <c r="C494" s="230"/>
      <c r="D494" s="230"/>
      <c r="E494" s="230"/>
      <c r="F494" s="230"/>
      <c r="G494" s="230"/>
      <c r="H494" s="230"/>
      <c r="I494" s="230"/>
      <c r="J494" s="230"/>
      <c r="K494" s="230"/>
      <c r="L494" s="230"/>
      <c r="M494" s="230"/>
      <c r="N494" s="230"/>
      <c r="O494" s="230"/>
      <c r="P494" s="230"/>
      <c r="Q494" s="230"/>
      <c r="R494" s="395"/>
    </row>
    <row r="495" spans="2:18" x14ac:dyDescent="0.25">
      <c r="B495" s="394"/>
      <c r="C495" s="230"/>
      <c r="D495" s="230"/>
      <c r="E495" s="230"/>
      <c r="F495" s="230"/>
      <c r="G495" s="230"/>
      <c r="H495" s="230"/>
      <c r="I495" s="230"/>
      <c r="J495" s="230"/>
      <c r="K495" s="230"/>
      <c r="L495" s="230"/>
      <c r="M495" s="230"/>
      <c r="N495" s="230"/>
      <c r="O495" s="230"/>
      <c r="P495" s="230"/>
      <c r="Q495" s="230"/>
      <c r="R495" s="395"/>
    </row>
    <row r="496" spans="2:18" x14ac:dyDescent="0.25">
      <c r="B496" s="394"/>
      <c r="C496" s="230"/>
      <c r="D496" s="230"/>
      <c r="E496" s="230"/>
      <c r="F496" s="230"/>
      <c r="G496" s="230"/>
      <c r="H496" s="230"/>
      <c r="I496" s="230"/>
      <c r="J496" s="230"/>
      <c r="K496" s="230"/>
      <c r="L496" s="230"/>
      <c r="M496" s="230"/>
      <c r="N496" s="230"/>
      <c r="O496" s="230"/>
      <c r="P496" s="230"/>
      <c r="Q496" s="230"/>
      <c r="R496" s="395"/>
    </row>
    <row r="497" spans="2:18" x14ac:dyDescent="0.25">
      <c r="B497" s="394"/>
      <c r="C497" s="230"/>
      <c r="D497" s="230"/>
      <c r="E497" s="230"/>
      <c r="F497" s="230"/>
      <c r="G497" s="230"/>
      <c r="H497" s="230"/>
      <c r="I497" s="230"/>
      <c r="J497" s="230"/>
      <c r="K497" s="230"/>
      <c r="L497" s="230"/>
      <c r="M497" s="230"/>
      <c r="N497" s="230"/>
      <c r="O497" s="230"/>
      <c r="P497" s="230"/>
      <c r="Q497" s="230"/>
      <c r="R497" s="395"/>
    </row>
    <row r="498" spans="2:18" x14ac:dyDescent="0.25">
      <c r="B498" s="394"/>
      <c r="C498" s="230"/>
      <c r="D498" s="230"/>
      <c r="E498" s="230"/>
      <c r="F498" s="230"/>
      <c r="G498" s="230"/>
      <c r="H498" s="230"/>
      <c r="I498" s="230"/>
      <c r="J498" s="230"/>
      <c r="K498" s="230"/>
      <c r="L498" s="230"/>
      <c r="M498" s="230"/>
      <c r="N498" s="230"/>
      <c r="O498" s="230"/>
      <c r="P498" s="230"/>
      <c r="Q498" s="230"/>
      <c r="R498" s="395"/>
    </row>
    <row r="499" spans="2:18" x14ac:dyDescent="0.25">
      <c r="B499" s="394"/>
      <c r="C499" s="230"/>
      <c r="D499" s="230"/>
      <c r="E499" s="230"/>
      <c r="F499" s="230"/>
      <c r="G499" s="230"/>
      <c r="H499" s="230"/>
      <c r="I499" s="230"/>
      <c r="J499" s="230"/>
      <c r="K499" s="230"/>
      <c r="L499" s="230"/>
      <c r="M499" s="230"/>
      <c r="N499" s="230"/>
      <c r="O499" s="230"/>
      <c r="P499" s="230"/>
      <c r="Q499" s="230"/>
      <c r="R499" s="395"/>
    </row>
    <row r="500" spans="2:18" x14ac:dyDescent="0.25">
      <c r="B500" s="394"/>
      <c r="C500" s="230"/>
      <c r="D500" s="230"/>
      <c r="E500" s="230"/>
      <c r="F500" s="230"/>
      <c r="G500" s="230"/>
      <c r="H500" s="230"/>
      <c r="I500" s="230"/>
      <c r="J500" s="230"/>
      <c r="K500" s="230"/>
      <c r="L500" s="230"/>
      <c r="M500" s="230"/>
      <c r="N500" s="230"/>
      <c r="O500" s="230"/>
      <c r="P500" s="230"/>
      <c r="Q500" s="230"/>
      <c r="R500" s="395"/>
    </row>
    <row r="501" spans="2:18" x14ac:dyDescent="0.25">
      <c r="B501" s="394"/>
      <c r="C501" s="230"/>
      <c r="D501" s="230"/>
      <c r="E501" s="230"/>
      <c r="F501" s="230"/>
      <c r="G501" s="230"/>
      <c r="H501" s="230"/>
      <c r="I501" s="230"/>
      <c r="J501" s="230"/>
      <c r="K501" s="230"/>
      <c r="L501" s="230"/>
      <c r="M501" s="230"/>
      <c r="N501" s="230"/>
      <c r="O501" s="230"/>
      <c r="P501" s="230"/>
      <c r="Q501" s="230"/>
      <c r="R501" s="395"/>
    </row>
    <row r="502" spans="2:18" x14ac:dyDescent="0.25">
      <c r="B502" s="394"/>
      <c r="C502" s="230"/>
      <c r="D502" s="230"/>
      <c r="E502" s="230"/>
      <c r="F502" s="230"/>
      <c r="G502" s="230"/>
      <c r="H502" s="230"/>
      <c r="I502" s="230"/>
      <c r="J502" s="230"/>
      <c r="K502" s="230"/>
      <c r="L502" s="230"/>
      <c r="M502" s="230"/>
      <c r="N502" s="230"/>
      <c r="O502" s="230"/>
      <c r="P502" s="230"/>
      <c r="Q502" s="230"/>
      <c r="R502" s="395"/>
    </row>
    <row r="503" spans="2:18" x14ac:dyDescent="0.25">
      <c r="B503" s="394"/>
      <c r="C503" s="230"/>
      <c r="D503" s="230"/>
      <c r="E503" s="230"/>
      <c r="F503" s="230"/>
      <c r="G503" s="230"/>
      <c r="H503" s="230"/>
      <c r="I503" s="230"/>
      <c r="J503" s="230"/>
      <c r="K503" s="230"/>
      <c r="L503" s="230"/>
      <c r="M503" s="230"/>
      <c r="N503" s="230"/>
      <c r="O503" s="230"/>
      <c r="P503" s="230"/>
      <c r="Q503" s="230"/>
      <c r="R503" s="395"/>
    </row>
    <row r="504" spans="2:18" x14ac:dyDescent="0.25">
      <c r="B504" s="394"/>
      <c r="C504" s="230"/>
      <c r="D504" s="230"/>
      <c r="E504" s="230"/>
      <c r="F504" s="230"/>
      <c r="G504" s="230"/>
      <c r="H504" s="230"/>
      <c r="I504" s="230"/>
      <c r="J504" s="230"/>
      <c r="K504" s="230"/>
      <c r="L504" s="230"/>
      <c r="M504" s="230"/>
      <c r="N504" s="230"/>
      <c r="O504" s="230"/>
      <c r="P504" s="230"/>
      <c r="Q504" s="230"/>
      <c r="R504" s="395"/>
    </row>
    <row r="505" spans="2:18" x14ac:dyDescent="0.25">
      <c r="B505" s="394"/>
      <c r="C505" s="230"/>
      <c r="D505" s="230"/>
      <c r="E505" s="230"/>
      <c r="F505" s="230"/>
      <c r="G505" s="230"/>
      <c r="H505" s="230"/>
      <c r="I505" s="230"/>
      <c r="J505" s="230"/>
      <c r="K505" s="230"/>
      <c r="L505" s="230"/>
      <c r="M505" s="230"/>
      <c r="N505" s="230"/>
      <c r="O505" s="230"/>
      <c r="P505" s="230"/>
      <c r="Q505" s="230"/>
      <c r="R505" s="395"/>
    </row>
    <row r="506" spans="2:18" x14ac:dyDescent="0.25">
      <c r="B506" s="394"/>
      <c r="C506" s="230"/>
      <c r="D506" s="230"/>
      <c r="E506" s="230"/>
      <c r="F506" s="230"/>
      <c r="G506" s="230"/>
      <c r="H506" s="230"/>
      <c r="I506" s="230"/>
      <c r="J506" s="230"/>
      <c r="K506" s="230"/>
      <c r="L506" s="230"/>
      <c r="M506" s="230"/>
      <c r="N506" s="230"/>
      <c r="O506" s="230"/>
      <c r="P506" s="230"/>
      <c r="Q506" s="230"/>
      <c r="R506" s="395"/>
    </row>
    <row r="507" spans="2:18" x14ac:dyDescent="0.25">
      <c r="B507" s="394"/>
      <c r="C507" s="230"/>
      <c r="D507" s="230"/>
      <c r="E507" s="230"/>
      <c r="F507" s="230"/>
      <c r="G507" s="230"/>
      <c r="H507" s="230"/>
      <c r="I507" s="230"/>
      <c r="J507" s="230"/>
      <c r="K507" s="230"/>
      <c r="L507" s="230"/>
      <c r="M507" s="230"/>
      <c r="N507" s="230"/>
      <c r="O507" s="230"/>
      <c r="P507" s="230"/>
      <c r="Q507" s="230"/>
      <c r="R507" s="395"/>
    </row>
    <row r="508" spans="2:18" x14ac:dyDescent="0.25">
      <c r="B508" s="394"/>
      <c r="C508" s="230"/>
      <c r="D508" s="230"/>
      <c r="E508" s="230"/>
      <c r="F508" s="230"/>
      <c r="G508" s="230"/>
      <c r="H508" s="230"/>
      <c r="I508" s="230"/>
      <c r="J508" s="230"/>
      <c r="K508" s="230"/>
      <c r="L508" s="230"/>
      <c r="M508" s="230"/>
      <c r="N508" s="230"/>
      <c r="O508" s="230"/>
      <c r="P508" s="230"/>
      <c r="Q508" s="230"/>
      <c r="R508" s="395"/>
    </row>
    <row r="509" spans="2:18" x14ac:dyDescent="0.25">
      <c r="B509" s="394"/>
      <c r="C509" s="230"/>
      <c r="D509" s="230"/>
      <c r="E509" s="230"/>
      <c r="F509" s="230"/>
      <c r="G509" s="230"/>
      <c r="H509" s="230"/>
      <c r="I509" s="230"/>
      <c r="J509" s="230"/>
      <c r="K509" s="230"/>
      <c r="L509" s="230"/>
      <c r="M509" s="230"/>
      <c r="N509" s="230"/>
      <c r="O509" s="230"/>
      <c r="P509" s="230"/>
      <c r="Q509" s="230"/>
      <c r="R509" s="395"/>
    </row>
    <row r="510" spans="2:18" x14ac:dyDescent="0.25">
      <c r="B510" s="394"/>
      <c r="C510" s="230"/>
      <c r="D510" s="230"/>
      <c r="E510" s="230"/>
      <c r="F510" s="230"/>
      <c r="G510" s="230"/>
      <c r="H510" s="230"/>
      <c r="I510" s="230"/>
      <c r="J510" s="230"/>
      <c r="K510" s="230"/>
      <c r="L510" s="230"/>
      <c r="M510" s="230"/>
      <c r="N510" s="230"/>
      <c r="O510" s="230"/>
      <c r="P510" s="230"/>
      <c r="Q510" s="230"/>
      <c r="R510" s="395"/>
    </row>
    <row r="511" spans="2:18" x14ac:dyDescent="0.25">
      <c r="B511" s="394"/>
      <c r="C511" s="230"/>
      <c r="D511" s="230"/>
      <c r="E511" s="230"/>
      <c r="F511" s="230"/>
      <c r="G511" s="230"/>
      <c r="H511" s="230"/>
      <c r="I511" s="230"/>
      <c r="J511" s="230"/>
      <c r="K511" s="230"/>
      <c r="L511" s="230"/>
      <c r="M511" s="230"/>
      <c r="N511" s="230"/>
      <c r="O511" s="230"/>
      <c r="P511" s="230"/>
      <c r="Q511" s="230"/>
      <c r="R511" s="395"/>
    </row>
    <row r="512" spans="2:18" x14ac:dyDescent="0.25">
      <c r="B512" s="394"/>
      <c r="C512" s="230"/>
      <c r="D512" s="230"/>
      <c r="E512" s="230"/>
      <c r="F512" s="230"/>
      <c r="G512" s="230"/>
      <c r="H512" s="230"/>
      <c r="I512" s="230"/>
      <c r="J512" s="230"/>
      <c r="K512" s="230"/>
      <c r="L512" s="230"/>
      <c r="M512" s="230"/>
      <c r="N512" s="230"/>
      <c r="O512" s="230"/>
      <c r="P512" s="230"/>
      <c r="Q512" s="230"/>
      <c r="R512" s="395"/>
    </row>
    <row r="513" spans="2:18" x14ac:dyDescent="0.25">
      <c r="B513" s="394"/>
      <c r="C513" s="230"/>
      <c r="D513" s="230"/>
      <c r="E513" s="230"/>
      <c r="F513" s="230"/>
      <c r="G513" s="230"/>
      <c r="H513" s="230"/>
      <c r="I513" s="230"/>
      <c r="J513" s="230"/>
      <c r="K513" s="230"/>
      <c r="L513" s="230"/>
      <c r="M513" s="230"/>
      <c r="N513" s="230"/>
      <c r="O513" s="230"/>
      <c r="P513" s="230"/>
      <c r="Q513" s="230"/>
      <c r="R513" s="395"/>
    </row>
    <row r="514" spans="2:18" x14ac:dyDescent="0.25">
      <c r="B514" s="394"/>
      <c r="C514" s="230"/>
      <c r="D514" s="230"/>
      <c r="E514" s="230"/>
      <c r="F514" s="230"/>
      <c r="G514" s="230"/>
      <c r="H514" s="230"/>
      <c r="I514" s="230"/>
      <c r="J514" s="230"/>
      <c r="K514" s="230"/>
      <c r="L514" s="230"/>
      <c r="M514" s="230"/>
      <c r="N514" s="230"/>
      <c r="O514" s="230"/>
      <c r="P514" s="230"/>
      <c r="Q514" s="230"/>
      <c r="R514" s="395"/>
    </row>
    <row r="515" spans="2:18" x14ac:dyDescent="0.25">
      <c r="B515" s="394"/>
      <c r="C515" s="230"/>
      <c r="D515" s="230"/>
      <c r="E515" s="230"/>
      <c r="F515" s="230"/>
      <c r="G515" s="230"/>
      <c r="H515" s="230"/>
      <c r="I515" s="230"/>
      <c r="J515" s="230"/>
      <c r="K515" s="230"/>
      <c r="L515" s="230"/>
      <c r="M515" s="230"/>
      <c r="N515" s="230"/>
      <c r="O515" s="230"/>
      <c r="P515" s="230"/>
      <c r="Q515" s="230"/>
      <c r="R515" s="395"/>
    </row>
    <row r="516" spans="2:18" x14ac:dyDescent="0.25">
      <c r="B516" s="394"/>
      <c r="C516" s="230"/>
      <c r="D516" s="230"/>
      <c r="E516" s="230"/>
      <c r="F516" s="230"/>
      <c r="G516" s="230"/>
      <c r="H516" s="230"/>
      <c r="I516" s="230"/>
      <c r="J516" s="230"/>
      <c r="K516" s="230"/>
      <c r="L516" s="230"/>
      <c r="M516" s="230"/>
      <c r="N516" s="230"/>
      <c r="O516" s="230"/>
      <c r="P516" s="230"/>
      <c r="Q516" s="230"/>
      <c r="R516" s="395"/>
    </row>
    <row r="517" spans="2:18" x14ac:dyDescent="0.25">
      <c r="B517" s="394"/>
      <c r="C517" s="230"/>
      <c r="D517" s="230"/>
      <c r="E517" s="230"/>
      <c r="F517" s="230"/>
      <c r="G517" s="230"/>
      <c r="H517" s="230"/>
      <c r="I517" s="230"/>
      <c r="J517" s="230"/>
      <c r="K517" s="230"/>
      <c r="L517" s="230"/>
      <c r="M517" s="230"/>
      <c r="N517" s="230"/>
      <c r="O517" s="230"/>
      <c r="P517" s="230"/>
      <c r="Q517" s="230"/>
      <c r="R517" s="395"/>
    </row>
    <row r="518" spans="2:18" x14ac:dyDescent="0.25">
      <c r="B518" s="394"/>
      <c r="C518" s="230"/>
      <c r="D518" s="230"/>
      <c r="E518" s="230"/>
      <c r="F518" s="230"/>
      <c r="G518" s="230"/>
      <c r="H518" s="230"/>
      <c r="I518" s="230"/>
      <c r="J518" s="230"/>
      <c r="K518" s="230"/>
      <c r="L518" s="230"/>
      <c r="M518" s="230"/>
      <c r="N518" s="230"/>
      <c r="O518" s="230"/>
      <c r="P518" s="230"/>
      <c r="Q518" s="230"/>
      <c r="R518" s="395"/>
    </row>
    <row r="519" spans="2:18" x14ac:dyDescent="0.25">
      <c r="B519" s="394"/>
      <c r="C519" s="230"/>
      <c r="D519" s="230"/>
      <c r="E519" s="230"/>
      <c r="F519" s="230"/>
      <c r="G519" s="230"/>
      <c r="H519" s="230"/>
      <c r="I519" s="230"/>
      <c r="J519" s="230"/>
      <c r="K519" s="230"/>
      <c r="L519" s="230"/>
      <c r="M519" s="230"/>
      <c r="N519" s="230"/>
      <c r="O519" s="230"/>
      <c r="P519" s="230"/>
      <c r="Q519" s="230"/>
      <c r="R519" s="395"/>
    </row>
    <row r="520" spans="2:18" x14ac:dyDescent="0.25">
      <c r="B520" s="394"/>
      <c r="C520" s="230"/>
      <c r="D520" s="230"/>
      <c r="E520" s="230"/>
      <c r="F520" s="230"/>
      <c r="G520" s="230"/>
      <c r="H520" s="230"/>
      <c r="I520" s="230"/>
      <c r="J520" s="230"/>
      <c r="K520" s="230"/>
      <c r="L520" s="230"/>
      <c r="M520" s="230"/>
      <c r="N520" s="230"/>
      <c r="O520" s="230"/>
      <c r="P520" s="230"/>
      <c r="Q520" s="230"/>
      <c r="R520" s="395"/>
    </row>
    <row r="521" spans="2:18" x14ac:dyDescent="0.25">
      <c r="B521" s="394"/>
      <c r="C521" s="230"/>
      <c r="D521" s="230"/>
      <c r="E521" s="230"/>
      <c r="F521" s="230"/>
      <c r="G521" s="230"/>
      <c r="H521" s="230"/>
      <c r="I521" s="230"/>
      <c r="J521" s="230"/>
      <c r="K521" s="230"/>
      <c r="L521" s="230"/>
      <c r="M521" s="230"/>
      <c r="N521" s="230"/>
      <c r="O521" s="230"/>
      <c r="P521" s="230"/>
      <c r="Q521" s="230"/>
      <c r="R521" s="395"/>
    </row>
    <row r="522" spans="2:18" x14ac:dyDescent="0.25">
      <c r="B522" s="394"/>
      <c r="C522" s="230"/>
      <c r="D522" s="230"/>
      <c r="E522" s="230"/>
      <c r="F522" s="230"/>
      <c r="G522" s="230"/>
      <c r="H522" s="230"/>
      <c r="I522" s="230"/>
      <c r="J522" s="230"/>
      <c r="K522" s="230"/>
      <c r="L522" s="230"/>
      <c r="M522" s="230"/>
      <c r="N522" s="230"/>
      <c r="O522" s="230"/>
      <c r="P522" s="230"/>
      <c r="Q522" s="230"/>
      <c r="R522" s="395"/>
    </row>
    <row r="523" spans="2:18" x14ac:dyDescent="0.25">
      <c r="B523" s="394"/>
      <c r="C523" s="230"/>
      <c r="D523" s="230"/>
      <c r="E523" s="230"/>
      <c r="F523" s="230"/>
      <c r="G523" s="230"/>
      <c r="H523" s="230"/>
      <c r="I523" s="230"/>
      <c r="J523" s="230"/>
      <c r="K523" s="230"/>
      <c r="L523" s="230"/>
      <c r="M523" s="230"/>
      <c r="N523" s="230"/>
      <c r="O523" s="230"/>
      <c r="P523" s="230"/>
      <c r="Q523" s="230"/>
      <c r="R523" s="395"/>
    </row>
    <row r="524" spans="2:18" x14ac:dyDescent="0.25">
      <c r="B524" s="394"/>
      <c r="C524" s="230"/>
      <c r="D524" s="230"/>
      <c r="E524" s="230"/>
      <c r="F524" s="230"/>
      <c r="G524" s="230"/>
      <c r="H524" s="230"/>
      <c r="I524" s="230"/>
      <c r="J524" s="230"/>
      <c r="K524" s="230"/>
      <c r="L524" s="230"/>
      <c r="M524" s="230"/>
      <c r="N524" s="230"/>
      <c r="O524" s="230"/>
      <c r="P524" s="230"/>
      <c r="Q524" s="230"/>
      <c r="R524" s="395"/>
    </row>
    <row r="525" spans="2:18" x14ac:dyDescent="0.25">
      <c r="B525" s="394"/>
      <c r="C525" s="230"/>
      <c r="D525" s="230"/>
      <c r="E525" s="230"/>
      <c r="F525" s="230"/>
      <c r="G525" s="230"/>
      <c r="H525" s="230"/>
      <c r="I525" s="230"/>
      <c r="J525" s="230"/>
      <c r="K525" s="230"/>
      <c r="L525" s="230"/>
      <c r="M525" s="230"/>
      <c r="N525" s="230"/>
      <c r="O525" s="230"/>
      <c r="P525" s="230"/>
      <c r="Q525" s="230"/>
      <c r="R525" s="395"/>
    </row>
    <row r="526" spans="2:18" x14ac:dyDescent="0.25">
      <c r="B526" s="394"/>
      <c r="C526" s="230"/>
      <c r="D526" s="230"/>
      <c r="E526" s="230"/>
      <c r="F526" s="230"/>
      <c r="G526" s="230"/>
      <c r="H526" s="230"/>
      <c r="I526" s="230"/>
      <c r="J526" s="230"/>
      <c r="K526" s="230"/>
      <c r="L526" s="230"/>
      <c r="M526" s="230"/>
      <c r="N526" s="230"/>
      <c r="O526" s="230"/>
      <c r="P526" s="230"/>
      <c r="Q526" s="230"/>
      <c r="R526" s="395"/>
    </row>
    <row r="527" spans="2:18" x14ac:dyDescent="0.25">
      <c r="B527" s="394"/>
      <c r="C527" s="230"/>
      <c r="D527" s="230"/>
      <c r="E527" s="230"/>
      <c r="F527" s="230"/>
      <c r="G527" s="230"/>
      <c r="H527" s="230"/>
      <c r="I527" s="230"/>
      <c r="J527" s="230"/>
      <c r="K527" s="230"/>
      <c r="L527" s="230"/>
      <c r="M527" s="230"/>
      <c r="N527" s="230"/>
      <c r="O527" s="230"/>
      <c r="P527" s="230"/>
      <c r="Q527" s="230"/>
      <c r="R527" s="395"/>
    </row>
    <row r="528" spans="2:18" x14ac:dyDescent="0.25">
      <c r="B528" s="394"/>
      <c r="C528" s="230"/>
      <c r="D528" s="230"/>
      <c r="E528" s="230"/>
      <c r="F528" s="230"/>
      <c r="G528" s="230"/>
      <c r="H528" s="230"/>
      <c r="I528" s="230"/>
      <c r="J528" s="230"/>
      <c r="K528" s="230"/>
      <c r="L528" s="230"/>
      <c r="M528" s="230"/>
      <c r="N528" s="230"/>
      <c r="O528" s="230"/>
      <c r="P528" s="230"/>
      <c r="Q528" s="230"/>
      <c r="R528" s="395"/>
    </row>
    <row r="529" spans="2:18" x14ac:dyDescent="0.25">
      <c r="B529" s="394"/>
      <c r="C529" s="230"/>
      <c r="D529" s="230"/>
      <c r="E529" s="230"/>
      <c r="F529" s="230"/>
      <c r="G529" s="230"/>
      <c r="H529" s="230"/>
      <c r="I529" s="230"/>
      <c r="J529" s="230"/>
      <c r="K529" s="230"/>
      <c r="L529" s="230"/>
      <c r="M529" s="230"/>
      <c r="N529" s="230"/>
      <c r="O529" s="230"/>
      <c r="P529" s="230"/>
      <c r="Q529" s="230"/>
      <c r="R529" s="395"/>
    </row>
    <row r="530" spans="2:18" x14ac:dyDescent="0.25">
      <c r="B530" s="394"/>
      <c r="C530" s="230"/>
      <c r="D530" s="230"/>
      <c r="E530" s="230"/>
      <c r="F530" s="230"/>
      <c r="G530" s="230"/>
      <c r="H530" s="230"/>
      <c r="I530" s="230"/>
      <c r="J530" s="230"/>
      <c r="K530" s="230"/>
      <c r="L530" s="230"/>
      <c r="M530" s="230"/>
      <c r="N530" s="230"/>
      <c r="O530" s="230"/>
      <c r="P530" s="230"/>
      <c r="Q530" s="230"/>
      <c r="R530" s="395"/>
    </row>
    <row r="531" spans="2:18" x14ac:dyDescent="0.25">
      <c r="B531" s="394"/>
      <c r="C531" s="230"/>
      <c r="D531" s="230"/>
      <c r="E531" s="230"/>
      <c r="F531" s="230"/>
      <c r="G531" s="230"/>
      <c r="H531" s="230"/>
      <c r="I531" s="230"/>
      <c r="J531" s="230"/>
      <c r="K531" s="230"/>
      <c r="L531" s="230"/>
      <c r="M531" s="230"/>
      <c r="N531" s="230"/>
      <c r="O531" s="230"/>
      <c r="P531" s="230"/>
      <c r="Q531" s="230"/>
      <c r="R531" s="395"/>
    </row>
    <row r="532" spans="2:18" x14ac:dyDescent="0.25">
      <c r="B532" s="394"/>
      <c r="C532" s="230"/>
      <c r="D532" s="230"/>
      <c r="E532" s="230"/>
      <c r="F532" s="230"/>
      <c r="G532" s="230"/>
      <c r="H532" s="230"/>
      <c r="I532" s="230"/>
      <c r="J532" s="230"/>
      <c r="K532" s="230"/>
      <c r="L532" s="230"/>
      <c r="M532" s="230"/>
      <c r="N532" s="230"/>
      <c r="O532" s="230"/>
      <c r="P532" s="230"/>
      <c r="Q532" s="230"/>
      <c r="R532" s="395"/>
    </row>
    <row r="533" spans="2:18" x14ac:dyDescent="0.25">
      <c r="B533" s="394"/>
      <c r="C533" s="230"/>
      <c r="D533" s="230"/>
      <c r="E533" s="230"/>
      <c r="F533" s="230"/>
      <c r="G533" s="230"/>
      <c r="H533" s="230"/>
      <c r="I533" s="230"/>
      <c r="J533" s="230"/>
      <c r="K533" s="230"/>
      <c r="L533" s="230"/>
      <c r="M533" s="230"/>
      <c r="N533" s="230"/>
      <c r="O533" s="230"/>
      <c r="P533" s="230"/>
      <c r="Q533" s="230"/>
      <c r="R533" s="395"/>
    </row>
    <row r="534" spans="2:18" x14ac:dyDescent="0.25">
      <c r="B534" s="394"/>
      <c r="C534" s="230"/>
      <c r="D534" s="230"/>
      <c r="E534" s="230"/>
      <c r="F534" s="230"/>
      <c r="G534" s="230"/>
      <c r="H534" s="230"/>
      <c r="I534" s="230"/>
      <c r="J534" s="230"/>
      <c r="K534" s="230"/>
      <c r="L534" s="230"/>
      <c r="M534" s="230"/>
      <c r="N534" s="230"/>
      <c r="O534" s="230"/>
      <c r="P534" s="230"/>
      <c r="Q534" s="230"/>
      <c r="R534" s="395"/>
    </row>
    <row r="535" spans="2:18" x14ac:dyDescent="0.25">
      <c r="B535" s="394"/>
      <c r="C535" s="230"/>
      <c r="D535" s="230"/>
      <c r="E535" s="230"/>
      <c r="F535" s="230"/>
      <c r="G535" s="230"/>
      <c r="H535" s="230"/>
      <c r="I535" s="230"/>
      <c r="J535" s="230"/>
      <c r="K535" s="230"/>
      <c r="L535" s="230"/>
      <c r="M535" s="230"/>
      <c r="N535" s="230"/>
      <c r="O535" s="230"/>
      <c r="P535" s="230"/>
      <c r="Q535" s="230"/>
      <c r="R535" s="395"/>
    </row>
    <row r="536" spans="2:18" x14ac:dyDescent="0.25">
      <c r="B536" s="394"/>
      <c r="C536" s="230"/>
      <c r="D536" s="230"/>
      <c r="E536" s="230"/>
      <c r="F536" s="230"/>
      <c r="G536" s="230"/>
      <c r="H536" s="230"/>
      <c r="I536" s="230"/>
      <c r="J536" s="230"/>
      <c r="K536" s="230"/>
      <c r="L536" s="230"/>
      <c r="M536" s="230"/>
      <c r="N536" s="230"/>
      <c r="O536" s="230"/>
      <c r="P536" s="230"/>
      <c r="Q536" s="230"/>
      <c r="R536" s="395"/>
    </row>
    <row r="537" spans="2:18" x14ac:dyDescent="0.25">
      <c r="B537" s="394"/>
      <c r="C537" s="230"/>
      <c r="D537" s="230"/>
      <c r="E537" s="230"/>
      <c r="F537" s="230"/>
      <c r="G537" s="230"/>
      <c r="H537" s="230"/>
      <c r="I537" s="230"/>
      <c r="J537" s="230"/>
      <c r="K537" s="230"/>
      <c r="L537" s="230"/>
      <c r="M537" s="230"/>
      <c r="N537" s="230"/>
      <c r="O537" s="230"/>
      <c r="P537" s="230"/>
      <c r="Q537" s="230"/>
      <c r="R537" s="395"/>
    </row>
    <row r="538" spans="2:18" x14ac:dyDescent="0.25">
      <c r="B538" s="394"/>
      <c r="C538" s="230"/>
      <c r="D538" s="230"/>
      <c r="E538" s="230"/>
      <c r="F538" s="230"/>
      <c r="G538" s="230"/>
      <c r="H538" s="230"/>
      <c r="I538" s="230"/>
      <c r="J538" s="230"/>
      <c r="K538" s="230"/>
      <c r="L538" s="230"/>
      <c r="M538" s="230"/>
      <c r="N538" s="230"/>
      <c r="O538" s="230"/>
      <c r="P538" s="230"/>
      <c r="Q538" s="230"/>
      <c r="R538" s="395"/>
    </row>
    <row r="539" spans="2:18" x14ac:dyDescent="0.25">
      <c r="B539" s="394"/>
      <c r="C539" s="230"/>
      <c r="D539" s="230"/>
      <c r="E539" s="230"/>
      <c r="F539" s="230"/>
      <c r="G539" s="230"/>
      <c r="H539" s="230"/>
      <c r="I539" s="230"/>
      <c r="J539" s="230"/>
      <c r="K539" s="230"/>
      <c r="L539" s="230"/>
      <c r="M539" s="230"/>
      <c r="N539" s="230"/>
      <c r="O539" s="230"/>
      <c r="P539" s="230"/>
      <c r="Q539" s="230"/>
      <c r="R539" s="395"/>
    </row>
    <row r="540" spans="2:18" x14ac:dyDescent="0.25">
      <c r="B540" s="394"/>
      <c r="C540" s="230"/>
      <c r="D540" s="230"/>
      <c r="E540" s="230"/>
      <c r="F540" s="230"/>
      <c r="G540" s="230"/>
      <c r="H540" s="230"/>
      <c r="I540" s="230"/>
      <c r="J540" s="230"/>
      <c r="K540" s="230"/>
      <c r="L540" s="230"/>
      <c r="M540" s="230"/>
      <c r="N540" s="230"/>
      <c r="O540" s="230"/>
      <c r="P540" s="230"/>
      <c r="Q540" s="230"/>
      <c r="R540" s="395"/>
    </row>
    <row r="541" spans="2:18" x14ac:dyDescent="0.25">
      <c r="B541" s="394"/>
      <c r="C541" s="230"/>
      <c r="D541" s="230"/>
      <c r="E541" s="230"/>
      <c r="F541" s="230"/>
      <c r="G541" s="230"/>
      <c r="H541" s="230"/>
      <c r="I541" s="230"/>
      <c r="J541" s="230"/>
      <c r="K541" s="230"/>
      <c r="L541" s="230"/>
      <c r="M541" s="230"/>
      <c r="N541" s="230"/>
      <c r="O541" s="230"/>
      <c r="P541" s="230"/>
      <c r="Q541" s="230"/>
      <c r="R541" s="395"/>
    </row>
    <row r="542" spans="2:18" x14ac:dyDescent="0.25">
      <c r="B542" s="394"/>
      <c r="C542" s="230"/>
      <c r="D542" s="230"/>
      <c r="E542" s="230"/>
      <c r="F542" s="230"/>
      <c r="G542" s="230"/>
      <c r="H542" s="230"/>
      <c r="I542" s="230"/>
      <c r="J542" s="230"/>
      <c r="K542" s="230"/>
      <c r="L542" s="230"/>
      <c r="M542" s="230"/>
      <c r="N542" s="230"/>
      <c r="O542" s="230"/>
      <c r="P542" s="230"/>
      <c r="Q542" s="230"/>
      <c r="R542" s="395"/>
    </row>
    <row r="543" spans="2:18" x14ac:dyDescent="0.25">
      <c r="B543" s="394"/>
      <c r="C543" s="230"/>
      <c r="D543" s="230"/>
      <c r="E543" s="230"/>
      <c r="F543" s="230"/>
      <c r="G543" s="230"/>
      <c r="H543" s="230"/>
      <c r="I543" s="230"/>
      <c r="J543" s="230"/>
      <c r="K543" s="230"/>
      <c r="L543" s="230"/>
      <c r="M543" s="230"/>
      <c r="N543" s="230"/>
      <c r="O543" s="230"/>
      <c r="P543" s="230"/>
      <c r="Q543" s="230"/>
      <c r="R543" s="395"/>
    </row>
    <row r="544" spans="2:18" x14ac:dyDescent="0.25">
      <c r="B544" s="394"/>
      <c r="C544" s="230"/>
      <c r="D544" s="230"/>
      <c r="E544" s="230"/>
      <c r="F544" s="230"/>
      <c r="G544" s="230"/>
      <c r="H544" s="230"/>
      <c r="I544" s="230"/>
      <c r="J544" s="230"/>
      <c r="K544" s="230"/>
      <c r="L544" s="230"/>
      <c r="M544" s="230"/>
      <c r="N544" s="230"/>
      <c r="O544" s="230"/>
      <c r="P544" s="230"/>
      <c r="Q544" s="230"/>
      <c r="R544" s="395"/>
    </row>
    <row r="545" spans="2:18" x14ac:dyDescent="0.25">
      <c r="B545" s="394"/>
      <c r="C545" s="230"/>
      <c r="D545" s="230"/>
      <c r="E545" s="230"/>
      <c r="F545" s="230"/>
      <c r="G545" s="230"/>
      <c r="H545" s="230"/>
      <c r="I545" s="230"/>
      <c r="J545" s="230"/>
      <c r="K545" s="230"/>
      <c r="L545" s="230"/>
      <c r="M545" s="230"/>
      <c r="N545" s="230"/>
      <c r="O545" s="230"/>
      <c r="P545" s="230"/>
      <c r="Q545" s="230"/>
      <c r="R545" s="395"/>
    </row>
    <row r="546" spans="2:18" x14ac:dyDescent="0.25">
      <c r="B546" s="394"/>
      <c r="C546" s="230"/>
      <c r="D546" s="230"/>
      <c r="E546" s="230"/>
      <c r="F546" s="230"/>
      <c r="G546" s="230"/>
      <c r="H546" s="230"/>
      <c r="I546" s="230"/>
      <c r="J546" s="230"/>
      <c r="K546" s="230"/>
      <c r="L546" s="230"/>
      <c r="M546" s="230"/>
      <c r="N546" s="230"/>
      <c r="O546" s="230"/>
      <c r="P546" s="230"/>
      <c r="Q546" s="230"/>
      <c r="R546" s="395"/>
    </row>
    <row r="547" spans="2:18" x14ac:dyDescent="0.25">
      <c r="B547" s="394"/>
      <c r="C547" s="230"/>
      <c r="D547" s="230"/>
      <c r="E547" s="230"/>
      <c r="F547" s="230"/>
      <c r="G547" s="230"/>
      <c r="H547" s="230"/>
      <c r="I547" s="230"/>
      <c r="J547" s="230"/>
      <c r="K547" s="230"/>
      <c r="L547" s="230"/>
      <c r="M547" s="230"/>
      <c r="N547" s="230"/>
      <c r="O547" s="230"/>
      <c r="P547" s="230"/>
      <c r="Q547" s="230"/>
      <c r="R547" s="395"/>
    </row>
    <row r="548" spans="2:18" x14ac:dyDescent="0.25">
      <c r="B548" s="394"/>
      <c r="C548" s="230"/>
      <c r="D548" s="230"/>
      <c r="E548" s="230"/>
      <c r="F548" s="230"/>
      <c r="G548" s="230"/>
      <c r="H548" s="230"/>
      <c r="I548" s="230"/>
      <c r="J548" s="230"/>
      <c r="K548" s="230"/>
      <c r="L548" s="230"/>
      <c r="M548" s="230"/>
      <c r="N548" s="230"/>
      <c r="O548" s="230"/>
      <c r="P548" s="230"/>
      <c r="Q548" s="230"/>
      <c r="R548" s="395"/>
    </row>
    <row r="549" spans="2:18" x14ac:dyDescent="0.25">
      <c r="B549" s="394"/>
      <c r="C549" s="230"/>
      <c r="D549" s="230"/>
      <c r="E549" s="230"/>
      <c r="F549" s="230"/>
      <c r="G549" s="230"/>
      <c r="H549" s="230"/>
      <c r="I549" s="230"/>
      <c r="J549" s="230"/>
      <c r="K549" s="230"/>
      <c r="L549" s="230"/>
      <c r="M549" s="230"/>
      <c r="N549" s="230"/>
      <c r="O549" s="230"/>
      <c r="P549" s="230"/>
      <c r="Q549" s="230"/>
      <c r="R549" s="395"/>
    </row>
    <row r="550" spans="2:18" x14ac:dyDescent="0.25">
      <c r="B550" s="394"/>
      <c r="C550" s="230"/>
      <c r="D550" s="230"/>
      <c r="E550" s="230"/>
      <c r="F550" s="230"/>
      <c r="G550" s="230"/>
      <c r="H550" s="230"/>
      <c r="I550" s="230"/>
      <c r="J550" s="230"/>
      <c r="K550" s="230"/>
      <c r="L550" s="230"/>
      <c r="M550" s="230"/>
      <c r="N550" s="230"/>
      <c r="O550" s="230"/>
      <c r="P550" s="230"/>
      <c r="Q550" s="230"/>
      <c r="R550" s="395"/>
    </row>
    <row r="551" spans="2:18" x14ac:dyDescent="0.25">
      <c r="B551" s="394"/>
      <c r="C551" s="230"/>
      <c r="D551" s="230"/>
      <c r="E551" s="230"/>
      <c r="F551" s="230"/>
      <c r="G551" s="230"/>
      <c r="H551" s="230"/>
      <c r="I551" s="230"/>
      <c r="J551" s="230"/>
      <c r="K551" s="230"/>
      <c r="L551" s="230"/>
      <c r="M551" s="230"/>
      <c r="N551" s="230"/>
      <c r="O551" s="230"/>
      <c r="P551" s="230"/>
      <c r="Q551" s="230"/>
      <c r="R551" s="395"/>
    </row>
    <row r="552" spans="2:18" x14ac:dyDescent="0.25">
      <c r="B552" s="394"/>
      <c r="C552" s="230"/>
      <c r="D552" s="230"/>
      <c r="E552" s="230"/>
      <c r="F552" s="230"/>
      <c r="G552" s="230"/>
      <c r="H552" s="230"/>
      <c r="I552" s="230"/>
      <c r="J552" s="230"/>
      <c r="K552" s="230"/>
      <c r="L552" s="230"/>
      <c r="M552" s="230"/>
      <c r="N552" s="230"/>
      <c r="O552" s="230"/>
      <c r="P552" s="230"/>
      <c r="Q552" s="230"/>
      <c r="R552" s="395"/>
    </row>
    <row r="553" spans="2:18" x14ac:dyDescent="0.25">
      <c r="B553" s="394"/>
      <c r="C553" s="230"/>
      <c r="D553" s="230"/>
      <c r="E553" s="230"/>
      <c r="F553" s="230"/>
      <c r="G553" s="230"/>
      <c r="H553" s="230"/>
      <c r="I553" s="230"/>
      <c r="J553" s="230"/>
      <c r="K553" s="230"/>
      <c r="L553" s="230"/>
      <c r="M553" s="230"/>
      <c r="N553" s="230"/>
      <c r="O553" s="230"/>
      <c r="P553" s="230"/>
      <c r="Q553" s="230"/>
      <c r="R553" s="395"/>
    </row>
    <row r="554" spans="2:18" x14ac:dyDescent="0.25">
      <c r="B554" s="394"/>
      <c r="C554" s="230"/>
      <c r="D554" s="230"/>
      <c r="E554" s="230"/>
      <c r="F554" s="230"/>
      <c r="G554" s="230"/>
      <c r="H554" s="230"/>
      <c r="I554" s="230"/>
      <c r="J554" s="230"/>
      <c r="K554" s="230"/>
      <c r="L554" s="230"/>
      <c r="M554" s="230"/>
      <c r="N554" s="230"/>
      <c r="O554" s="230"/>
      <c r="P554" s="230"/>
      <c r="Q554" s="230"/>
      <c r="R554" s="395"/>
    </row>
    <row r="555" spans="2:18" x14ac:dyDescent="0.25">
      <c r="B555" s="394"/>
      <c r="C555" s="230"/>
      <c r="D555" s="230"/>
      <c r="E555" s="230"/>
      <c r="F555" s="230"/>
      <c r="G555" s="230"/>
      <c r="H555" s="230"/>
      <c r="I555" s="230"/>
      <c r="J555" s="230"/>
      <c r="K555" s="230"/>
      <c r="L555" s="230"/>
      <c r="M555" s="230"/>
      <c r="N555" s="230"/>
      <c r="O555" s="230"/>
      <c r="P555" s="230"/>
      <c r="Q555" s="230"/>
      <c r="R555" s="395"/>
    </row>
    <row r="556" spans="2:18" x14ac:dyDescent="0.25">
      <c r="B556" s="394"/>
      <c r="C556" s="230"/>
      <c r="D556" s="230"/>
      <c r="E556" s="230"/>
      <c r="F556" s="230"/>
      <c r="G556" s="230"/>
      <c r="H556" s="230"/>
      <c r="I556" s="230"/>
      <c r="J556" s="230"/>
      <c r="K556" s="230"/>
      <c r="L556" s="230"/>
      <c r="M556" s="230"/>
      <c r="N556" s="230"/>
      <c r="O556" s="230"/>
      <c r="P556" s="230"/>
      <c r="Q556" s="230"/>
      <c r="R556" s="395"/>
    </row>
    <row r="557" spans="2:18" x14ac:dyDescent="0.25">
      <c r="B557" s="394"/>
      <c r="C557" s="230"/>
      <c r="D557" s="230"/>
      <c r="E557" s="230"/>
      <c r="F557" s="230"/>
      <c r="G557" s="230"/>
      <c r="H557" s="230"/>
      <c r="I557" s="230"/>
      <c r="J557" s="230"/>
      <c r="K557" s="230"/>
      <c r="L557" s="230"/>
      <c r="M557" s="230"/>
      <c r="N557" s="230"/>
      <c r="O557" s="230"/>
      <c r="P557" s="230"/>
      <c r="Q557" s="230"/>
      <c r="R557" s="395"/>
    </row>
    <row r="558" spans="2:18" x14ac:dyDescent="0.25">
      <c r="B558" s="394"/>
      <c r="C558" s="230"/>
      <c r="D558" s="230"/>
      <c r="E558" s="230"/>
      <c r="F558" s="230"/>
      <c r="G558" s="230"/>
      <c r="H558" s="230"/>
      <c r="I558" s="230"/>
      <c r="J558" s="230"/>
      <c r="K558" s="230"/>
      <c r="L558" s="230"/>
      <c r="M558" s="230"/>
      <c r="N558" s="230"/>
      <c r="O558" s="230"/>
      <c r="P558" s="230"/>
      <c r="Q558" s="230"/>
      <c r="R558" s="395"/>
    </row>
    <row r="559" spans="2:18" x14ac:dyDescent="0.25">
      <c r="B559" s="394"/>
      <c r="C559" s="230"/>
      <c r="D559" s="230"/>
      <c r="E559" s="230"/>
      <c r="F559" s="230"/>
      <c r="G559" s="230"/>
      <c r="H559" s="230"/>
      <c r="I559" s="230"/>
      <c r="J559" s="230"/>
      <c r="K559" s="230"/>
      <c r="L559" s="230"/>
      <c r="M559" s="230"/>
      <c r="N559" s="230"/>
      <c r="O559" s="230"/>
      <c r="P559" s="230"/>
      <c r="Q559" s="230"/>
      <c r="R559" s="395"/>
    </row>
    <row r="560" spans="2:18" x14ac:dyDescent="0.25">
      <c r="B560" s="394"/>
      <c r="C560" s="230"/>
      <c r="D560" s="230"/>
      <c r="E560" s="230"/>
      <c r="F560" s="230"/>
      <c r="G560" s="230"/>
      <c r="H560" s="230"/>
      <c r="I560" s="230"/>
      <c r="J560" s="230"/>
      <c r="K560" s="230"/>
      <c r="L560" s="230"/>
      <c r="M560" s="230"/>
      <c r="N560" s="230"/>
      <c r="O560" s="230"/>
      <c r="P560" s="230"/>
      <c r="Q560" s="230"/>
      <c r="R560" s="395"/>
    </row>
    <row r="561" spans="2:18" x14ac:dyDescent="0.25">
      <c r="B561" s="394"/>
      <c r="C561" s="230"/>
      <c r="D561" s="230"/>
      <c r="E561" s="230"/>
      <c r="F561" s="230"/>
      <c r="G561" s="230"/>
      <c r="H561" s="230"/>
      <c r="I561" s="230"/>
      <c r="J561" s="230"/>
      <c r="K561" s="230"/>
      <c r="L561" s="230"/>
      <c r="M561" s="230"/>
      <c r="N561" s="230"/>
      <c r="O561" s="230"/>
      <c r="P561" s="230"/>
      <c r="Q561" s="230"/>
      <c r="R561" s="395"/>
    </row>
    <row r="562" spans="2:18" x14ac:dyDescent="0.25">
      <c r="B562" s="394"/>
      <c r="C562" s="230"/>
      <c r="D562" s="230"/>
      <c r="E562" s="230"/>
      <c r="F562" s="230"/>
      <c r="G562" s="230"/>
      <c r="H562" s="230"/>
      <c r="I562" s="230"/>
      <c r="J562" s="230"/>
      <c r="K562" s="230"/>
      <c r="L562" s="230"/>
      <c r="M562" s="230"/>
      <c r="N562" s="230"/>
      <c r="O562" s="230"/>
      <c r="P562" s="230"/>
      <c r="Q562" s="230"/>
      <c r="R562" s="395"/>
    </row>
    <row r="563" spans="2:18" x14ac:dyDescent="0.25">
      <c r="B563" s="394"/>
      <c r="C563" s="230"/>
      <c r="D563" s="230"/>
      <c r="E563" s="230"/>
      <c r="F563" s="230"/>
      <c r="G563" s="230"/>
      <c r="H563" s="230"/>
      <c r="I563" s="230"/>
      <c r="J563" s="230"/>
      <c r="K563" s="230"/>
      <c r="L563" s="230"/>
      <c r="M563" s="230"/>
      <c r="N563" s="230"/>
      <c r="O563" s="230"/>
      <c r="P563" s="230"/>
      <c r="Q563" s="230"/>
      <c r="R563" s="395"/>
    </row>
    <row r="564" spans="2:18" x14ac:dyDescent="0.25">
      <c r="B564" s="394"/>
      <c r="C564" s="230"/>
      <c r="D564" s="230"/>
      <c r="E564" s="230"/>
      <c r="F564" s="230"/>
      <c r="G564" s="230"/>
      <c r="H564" s="230"/>
      <c r="I564" s="230"/>
      <c r="J564" s="230"/>
      <c r="K564" s="230"/>
      <c r="L564" s="230"/>
      <c r="M564" s="230"/>
      <c r="N564" s="230"/>
      <c r="O564" s="230"/>
      <c r="P564" s="230"/>
      <c r="Q564" s="230"/>
      <c r="R564" s="395"/>
    </row>
    <row r="565" spans="2:18" x14ac:dyDescent="0.25">
      <c r="B565" s="394"/>
      <c r="C565" s="230"/>
      <c r="D565" s="230"/>
      <c r="E565" s="230"/>
      <c r="F565" s="230"/>
      <c r="G565" s="230"/>
      <c r="H565" s="230"/>
      <c r="I565" s="230"/>
      <c r="J565" s="230"/>
      <c r="K565" s="230"/>
      <c r="L565" s="230"/>
      <c r="M565" s="230"/>
      <c r="N565" s="230"/>
      <c r="O565" s="230"/>
      <c r="P565" s="230"/>
      <c r="Q565" s="230"/>
      <c r="R565" s="395"/>
    </row>
    <row r="566" spans="2:18" x14ac:dyDescent="0.25">
      <c r="B566" s="394"/>
      <c r="C566" s="230"/>
      <c r="D566" s="230"/>
      <c r="E566" s="230"/>
      <c r="F566" s="230"/>
      <c r="G566" s="230"/>
      <c r="H566" s="230"/>
      <c r="I566" s="230"/>
      <c r="J566" s="230"/>
      <c r="K566" s="230"/>
      <c r="L566" s="230"/>
      <c r="M566" s="230"/>
      <c r="N566" s="230"/>
      <c r="O566" s="230"/>
      <c r="P566" s="230"/>
      <c r="Q566" s="230"/>
      <c r="R566" s="395"/>
    </row>
    <row r="567" spans="2:18" x14ac:dyDescent="0.25">
      <c r="B567" s="394"/>
      <c r="C567" s="230"/>
      <c r="D567" s="230"/>
      <c r="E567" s="230"/>
      <c r="F567" s="230"/>
      <c r="G567" s="230"/>
      <c r="H567" s="230"/>
      <c r="I567" s="230"/>
      <c r="J567" s="230"/>
      <c r="K567" s="230"/>
      <c r="L567" s="230"/>
      <c r="M567" s="230"/>
      <c r="N567" s="230"/>
      <c r="O567" s="230"/>
      <c r="P567" s="230"/>
      <c r="Q567" s="230"/>
      <c r="R567" s="395"/>
    </row>
    <row r="568" spans="2:18" x14ac:dyDescent="0.25">
      <c r="B568" s="394"/>
      <c r="C568" s="230"/>
      <c r="D568" s="230"/>
      <c r="E568" s="230"/>
      <c r="F568" s="230"/>
      <c r="G568" s="230"/>
      <c r="H568" s="230"/>
      <c r="I568" s="230"/>
      <c r="J568" s="230"/>
      <c r="K568" s="230"/>
      <c r="L568" s="230"/>
      <c r="M568" s="230"/>
      <c r="N568" s="230"/>
      <c r="O568" s="230"/>
      <c r="P568" s="230"/>
      <c r="Q568" s="230"/>
      <c r="R568" s="395"/>
    </row>
    <row r="569" spans="2:18" x14ac:dyDescent="0.25">
      <c r="B569" s="394"/>
      <c r="C569" s="230"/>
      <c r="D569" s="230"/>
      <c r="E569" s="230"/>
      <c r="F569" s="230"/>
      <c r="G569" s="230"/>
      <c r="H569" s="230"/>
      <c r="I569" s="230"/>
      <c r="J569" s="230"/>
      <c r="K569" s="230"/>
      <c r="L569" s="230"/>
      <c r="M569" s="230"/>
      <c r="N569" s="230"/>
      <c r="O569" s="230"/>
      <c r="P569" s="230"/>
      <c r="Q569" s="230"/>
      <c r="R569" s="395"/>
    </row>
    <row r="570" spans="2:18" x14ac:dyDescent="0.25">
      <c r="B570" s="394"/>
      <c r="C570" s="230"/>
      <c r="D570" s="230"/>
      <c r="E570" s="230"/>
      <c r="F570" s="230"/>
      <c r="G570" s="230"/>
      <c r="H570" s="230"/>
      <c r="I570" s="230"/>
      <c r="J570" s="230"/>
      <c r="K570" s="230"/>
      <c r="L570" s="230"/>
      <c r="M570" s="230"/>
      <c r="N570" s="230"/>
      <c r="O570" s="230"/>
      <c r="P570" s="230"/>
      <c r="Q570" s="230"/>
      <c r="R570" s="395"/>
    </row>
    <row r="571" spans="2:18" x14ac:dyDescent="0.25">
      <c r="B571" s="394"/>
      <c r="C571" s="230"/>
      <c r="D571" s="230"/>
      <c r="E571" s="230"/>
      <c r="F571" s="230"/>
      <c r="G571" s="230"/>
      <c r="H571" s="230"/>
      <c r="I571" s="230"/>
      <c r="J571" s="230"/>
      <c r="K571" s="230"/>
      <c r="L571" s="230"/>
      <c r="M571" s="230"/>
      <c r="N571" s="230"/>
      <c r="O571" s="230"/>
      <c r="P571" s="230"/>
      <c r="Q571" s="230"/>
      <c r="R571" s="395"/>
    </row>
    <row r="572" spans="2:18" x14ac:dyDescent="0.25">
      <c r="B572" s="394"/>
      <c r="C572" s="230"/>
      <c r="D572" s="230"/>
      <c r="E572" s="230"/>
      <c r="F572" s="230"/>
      <c r="G572" s="230"/>
      <c r="H572" s="230"/>
      <c r="I572" s="230"/>
      <c r="J572" s="230"/>
      <c r="K572" s="230"/>
      <c r="L572" s="230"/>
      <c r="M572" s="230"/>
      <c r="N572" s="230"/>
      <c r="O572" s="230"/>
      <c r="P572" s="230"/>
      <c r="Q572" s="230"/>
      <c r="R572" s="395"/>
    </row>
    <row r="573" spans="2:18" x14ac:dyDescent="0.25">
      <c r="B573" s="394"/>
      <c r="C573" s="230"/>
      <c r="D573" s="230"/>
      <c r="E573" s="230"/>
      <c r="F573" s="230"/>
      <c r="G573" s="230"/>
      <c r="H573" s="230"/>
      <c r="I573" s="230"/>
      <c r="J573" s="230"/>
      <c r="K573" s="230"/>
      <c r="L573" s="230"/>
      <c r="M573" s="230"/>
      <c r="N573" s="230"/>
      <c r="O573" s="230"/>
      <c r="P573" s="230"/>
      <c r="Q573" s="230"/>
      <c r="R573" s="395"/>
    </row>
    <row r="574" spans="2:18" x14ac:dyDescent="0.25">
      <c r="B574" s="394"/>
      <c r="C574" s="230"/>
      <c r="D574" s="230"/>
      <c r="E574" s="230"/>
      <c r="F574" s="230"/>
      <c r="G574" s="230"/>
      <c r="H574" s="230"/>
      <c r="I574" s="230"/>
      <c r="J574" s="230"/>
      <c r="K574" s="230"/>
      <c r="L574" s="230"/>
      <c r="M574" s="230"/>
      <c r="N574" s="230"/>
      <c r="O574" s="230"/>
      <c r="P574" s="230"/>
      <c r="Q574" s="230"/>
      <c r="R574" s="395"/>
    </row>
    <row r="575" spans="2:18" x14ac:dyDescent="0.25">
      <c r="B575" s="394"/>
      <c r="C575" s="230"/>
      <c r="D575" s="230"/>
      <c r="E575" s="230"/>
      <c r="F575" s="230"/>
      <c r="G575" s="230"/>
      <c r="H575" s="230"/>
      <c r="I575" s="230"/>
      <c r="J575" s="230"/>
      <c r="K575" s="230"/>
      <c r="L575" s="230"/>
      <c r="M575" s="230"/>
      <c r="N575" s="230"/>
      <c r="O575" s="230"/>
      <c r="P575" s="230"/>
      <c r="Q575" s="230"/>
      <c r="R575" s="395"/>
    </row>
    <row r="576" spans="2:18" x14ac:dyDescent="0.25">
      <c r="B576" s="394"/>
      <c r="C576" s="230"/>
      <c r="D576" s="230"/>
      <c r="E576" s="230"/>
      <c r="F576" s="230"/>
      <c r="G576" s="230"/>
      <c r="H576" s="230"/>
      <c r="I576" s="230"/>
      <c r="J576" s="230"/>
      <c r="K576" s="230"/>
      <c r="L576" s="230"/>
      <c r="M576" s="230"/>
      <c r="N576" s="230"/>
      <c r="O576" s="230"/>
      <c r="P576" s="230"/>
      <c r="Q576" s="230"/>
      <c r="R576" s="395"/>
    </row>
    <row r="577" spans="2:18" x14ac:dyDescent="0.25">
      <c r="B577" s="394"/>
      <c r="C577" s="230"/>
      <c r="D577" s="230"/>
      <c r="E577" s="230"/>
      <c r="F577" s="230"/>
      <c r="G577" s="230"/>
      <c r="H577" s="230"/>
      <c r="I577" s="230"/>
      <c r="J577" s="230"/>
      <c r="K577" s="230"/>
      <c r="L577" s="230"/>
      <c r="M577" s="230"/>
      <c r="N577" s="230"/>
      <c r="O577" s="230"/>
      <c r="P577" s="230"/>
      <c r="Q577" s="230"/>
      <c r="R577" s="395"/>
    </row>
    <row r="578" spans="2:18" x14ac:dyDescent="0.25">
      <c r="B578" s="394"/>
      <c r="C578" s="230"/>
      <c r="D578" s="230"/>
      <c r="E578" s="230"/>
      <c r="F578" s="230"/>
      <c r="G578" s="230"/>
      <c r="H578" s="230"/>
      <c r="I578" s="230"/>
      <c r="J578" s="230"/>
      <c r="K578" s="230"/>
      <c r="L578" s="230"/>
      <c r="M578" s="230"/>
      <c r="N578" s="230"/>
      <c r="O578" s="230"/>
      <c r="P578" s="230"/>
      <c r="Q578" s="230"/>
      <c r="R578" s="395"/>
    </row>
    <row r="579" spans="2:18" x14ac:dyDescent="0.25">
      <c r="B579" s="394"/>
      <c r="C579" s="230"/>
      <c r="D579" s="230"/>
      <c r="E579" s="230"/>
      <c r="F579" s="230"/>
      <c r="G579" s="230"/>
      <c r="H579" s="230"/>
      <c r="I579" s="230"/>
      <c r="J579" s="230"/>
      <c r="K579" s="230"/>
      <c r="L579" s="230"/>
      <c r="M579" s="230"/>
      <c r="N579" s="230"/>
      <c r="O579" s="230"/>
      <c r="P579" s="230"/>
      <c r="Q579" s="230"/>
      <c r="R579" s="395"/>
    </row>
    <row r="580" spans="2:18" x14ac:dyDescent="0.25">
      <c r="B580" s="394"/>
      <c r="C580" s="230"/>
      <c r="D580" s="230"/>
      <c r="E580" s="230"/>
      <c r="F580" s="230"/>
      <c r="G580" s="230"/>
      <c r="H580" s="230"/>
      <c r="I580" s="230"/>
      <c r="J580" s="230"/>
      <c r="K580" s="230"/>
      <c r="L580" s="230"/>
      <c r="M580" s="230"/>
      <c r="N580" s="230"/>
      <c r="O580" s="230"/>
      <c r="P580" s="230"/>
      <c r="Q580" s="230"/>
      <c r="R580" s="395"/>
    </row>
    <row r="581" spans="2:18" x14ac:dyDescent="0.25">
      <c r="B581" s="394"/>
      <c r="C581" s="230"/>
      <c r="D581" s="230"/>
      <c r="E581" s="230"/>
      <c r="F581" s="230"/>
      <c r="G581" s="230"/>
      <c r="H581" s="230"/>
      <c r="I581" s="230"/>
      <c r="J581" s="230"/>
      <c r="K581" s="230"/>
      <c r="L581" s="230"/>
      <c r="M581" s="230"/>
      <c r="N581" s="230"/>
      <c r="O581" s="230"/>
      <c r="P581" s="230"/>
      <c r="Q581" s="230"/>
      <c r="R581" s="395"/>
    </row>
    <row r="582" spans="2:18" x14ac:dyDescent="0.25">
      <c r="B582" s="394"/>
      <c r="C582" s="230"/>
      <c r="D582" s="230"/>
      <c r="E582" s="230"/>
      <c r="F582" s="230"/>
      <c r="G582" s="230"/>
      <c r="H582" s="230"/>
      <c r="I582" s="230"/>
      <c r="J582" s="230"/>
      <c r="K582" s="230"/>
      <c r="L582" s="230"/>
      <c r="M582" s="230"/>
      <c r="N582" s="230"/>
      <c r="O582" s="230"/>
      <c r="P582" s="230"/>
      <c r="Q582" s="230"/>
      <c r="R582" s="395"/>
    </row>
    <row r="583" spans="2:18" x14ac:dyDescent="0.25">
      <c r="B583" s="394"/>
      <c r="C583" s="230"/>
      <c r="D583" s="230"/>
      <c r="E583" s="230"/>
      <c r="F583" s="230"/>
      <c r="G583" s="230"/>
      <c r="H583" s="230"/>
      <c r="I583" s="230"/>
      <c r="J583" s="230"/>
      <c r="K583" s="230"/>
      <c r="L583" s="230"/>
      <c r="M583" s="230"/>
      <c r="N583" s="230"/>
      <c r="O583" s="230"/>
      <c r="P583" s="230"/>
      <c r="Q583" s="230"/>
      <c r="R583" s="395"/>
    </row>
    <row r="584" spans="2:18" x14ac:dyDescent="0.25">
      <c r="B584" s="394"/>
      <c r="C584" s="230"/>
      <c r="D584" s="230"/>
      <c r="E584" s="230"/>
      <c r="F584" s="230"/>
      <c r="G584" s="230"/>
      <c r="H584" s="230"/>
      <c r="I584" s="230"/>
      <c r="J584" s="230"/>
      <c r="K584" s="230"/>
      <c r="L584" s="230"/>
      <c r="M584" s="230"/>
      <c r="N584" s="230"/>
      <c r="O584" s="230"/>
      <c r="P584" s="230"/>
      <c r="Q584" s="230"/>
      <c r="R584" s="395"/>
    </row>
    <row r="585" spans="2:18" x14ac:dyDescent="0.25">
      <c r="B585" s="394"/>
      <c r="C585" s="230"/>
      <c r="D585" s="230"/>
      <c r="E585" s="230"/>
      <c r="F585" s="230"/>
      <c r="G585" s="230"/>
      <c r="H585" s="230"/>
      <c r="I585" s="230"/>
      <c r="J585" s="230"/>
      <c r="K585" s="230"/>
      <c r="L585" s="230"/>
      <c r="M585" s="230"/>
      <c r="N585" s="230"/>
      <c r="O585" s="230"/>
      <c r="P585" s="230"/>
      <c r="Q585" s="230"/>
      <c r="R585" s="395"/>
    </row>
    <row r="586" spans="2:18" x14ac:dyDescent="0.25">
      <c r="B586" s="394"/>
      <c r="C586" s="230"/>
      <c r="D586" s="230"/>
      <c r="E586" s="230"/>
      <c r="F586" s="230"/>
      <c r="G586" s="230"/>
      <c r="H586" s="230"/>
      <c r="I586" s="230"/>
      <c r="J586" s="230"/>
      <c r="K586" s="230"/>
      <c r="L586" s="230"/>
      <c r="M586" s="230"/>
      <c r="N586" s="230"/>
      <c r="O586" s="230"/>
      <c r="P586" s="230"/>
      <c r="Q586" s="230"/>
      <c r="R586" s="395"/>
    </row>
    <row r="587" spans="2:18" x14ac:dyDescent="0.25">
      <c r="B587" s="394"/>
      <c r="C587" s="230"/>
      <c r="D587" s="230"/>
      <c r="E587" s="230"/>
      <c r="F587" s="230"/>
      <c r="G587" s="230"/>
      <c r="H587" s="230"/>
      <c r="I587" s="230"/>
      <c r="J587" s="230"/>
      <c r="K587" s="230"/>
      <c r="L587" s="230"/>
      <c r="M587" s="230"/>
      <c r="N587" s="230"/>
      <c r="O587" s="230"/>
      <c r="P587" s="230"/>
      <c r="Q587" s="230"/>
      <c r="R587" s="395"/>
    </row>
    <row r="588" spans="2:18" x14ac:dyDescent="0.25">
      <c r="B588" s="394"/>
      <c r="C588" s="230"/>
      <c r="D588" s="230"/>
      <c r="E588" s="230"/>
      <c r="F588" s="230"/>
      <c r="G588" s="230"/>
      <c r="H588" s="230"/>
      <c r="I588" s="230"/>
      <c r="J588" s="230"/>
      <c r="K588" s="230"/>
      <c r="L588" s="230"/>
      <c r="M588" s="230"/>
      <c r="N588" s="230"/>
      <c r="O588" s="230"/>
      <c r="P588" s="230"/>
      <c r="Q588" s="230"/>
      <c r="R588" s="395"/>
    </row>
    <row r="589" spans="2:18" x14ac:dyDescent="0.25">
      <c r="B589" s="394"/>
      <c r="C589" s="230"/>
      <c r="D589" s="230"/>
      <c r="E589" s="230"/>
      <c r="F589" s="230"/>
      <c r="G589" s="230"/>
      <c r="H589" s="230"/>
      <c r="I589" s="230"/>
      <c r="J589" s="230"/>
      <c r="K589" s="230"/>
      <c r="L589" s="230"/>
      <c r="M589" s="230"/>
      <c r="N589" s="230"/>
      <c r="O589" s="230"/>
      <c r="P589" s="230"/>
      <c r="Q589" s="230"/>
      <c r="R589" s="395"/>
    </row>
    <row r="590" spans="2:18" x14ac:dyDescent="0.25">
      <c r="B590" s="394"/>
      <c r="C590" s="230"/>
      <c r="D590" s="230"/>
      <c r="E590" s="230"/>
      <c r="F590" s="230"/>
      <c r="G590" s="230"/>
      <c r="H590" s="230"/>
      <c r="I590" s="230"/>
      <c r="J590" s="230"/>
      <c r="K590" s="230"/>
      <c r="L590" s="230"/>
      <c r="M590" s="230"/>
      <c r="N590" s="230"/>
      <c r="O590" s="230"/>
      <c r="P590" s="230"/>
      <c r="Q590" s="230"/>
      <c r="R590" s="395"/>
    </row>
    <row r="591" spans="2:18" x14ac:dyDescent="0.25">
      <c r="B591" s="394"/>
      <c r="C591" s="230"/>
      <c r="D591" s="230"/>
      <c r="E591" s="230"/>
      <c r="F591" s="230"/>
      <c r="G591" s="230"/>
      <c r="H591" s="230"/>
      <c r="I591" s="230"/>
      <c r="J591" s="230"/>
      <c r="K591" s="230"/>
      <c r="L591" s="230"/>
      <c r="M591" s="230"/>
      <c r="N591" s="230"/>
      <c r="O591" s="230"/>
      <c r="P591" s="230"/>
      <c r="Q591" s="230"/>
      <c r="R591" s="395"/>
    </row>
    <row r="592" spans="2:18" x14ac:dyDescent="0.25">
      <c r="B592" s="394"/>
      <c r="C592" s="230"/>
      <c r="D592" s="230"/>
      <c r="E592" s="230"/>
      <c r="F592" s="230"/>
      <c r="G592" s="230"/>
      <c r="H592" s="230"/>
      <c r="I592" s="230"/>
      <c r="J592" s="230"/>
      <c r="K592" s="230"/>
      <c r="L592" s="230"/>
      <c r="M592" s="230"/>
      <c r="N592" s="230"/>
      <c r="O592" s="230"/>
      <c r="P592" s="230"/>
      <c r="Q592" s="230"/>
      <c r="R592" s="395"/>
    </row>
    <row r="593" spans="2:18" x14ac:dyDescent="0.25">
      <c r="B593" s="394"/>
      <c r="C593" s="230"/>
      <c r="D593" s="230"/>
      <c r="E593" s="230"/>
      <c r="F593" s="230"/>
      <c r="G593" s="230"/>
      <c r="H593" s="230"/>
      <c r="I593" s="230"/>
      <c r="J593" s="230"/>
      <c r="K593" s="230"/>
      <c r="L593" s="230"/>
      <c r="M593" s="230"/>
      <c r="N593" s="230"/>
      <c r="O593" s="230"/>
      <c r="P593" s="230"/>
      <c r="Q593" s="230"/>
      <c r="R593" s="395"/>
    </row>
    <row r="594" spans="2:18" x14ac:dyDescent="0.25">
      <c r="B594" s="394"/>
      <c r="C594" s="230"/>
      <c r="D594" s="230"/>
      <c r="E594" s="230"/>
      <c r="F594" s="230"/>
      <c r="G594" s="230"/>
      <c r="H594" s="230"/>
      <c r="I594" s="230"/>
      <c r="J594" s="230"/>
      <c r="K594" s="230"/>
      <c r="L594" s="230"/>
      <c r="M594" s="230"/>
      <c r="N594" s="230"/>
      <c r="O594" s="230"/>
      <c r="P594" s="230"/>
      <c r="Q594" s="230"/>
      <c r="R594" s="395"/>
    </row>
    <row r="595" spans="2:18" x14ac:dyDescent="0.25">
      <c r="B595" s="394"/>
      <c r="C595" s="230"/>
      <c r="D595" s="230"/>
      <c r="E595" s="230"/>
      <c r="F595" s="230"/>
      <c r="G595" s="230"/>
      <c r="H595" s="230"/>
      <c r="I595" s="230"/>
      <c r="J595" s="230"/>
      <c r="K595" s="230"/>
      <c r="L595" s="230"/>
      <c r="M595" s="230"/>
      <c r="N595" s="230"/>
      <c r="O595" s="230"/>
      <c r="P595" s="230"/>
      <c r="Q595" s="230"/>
      <c r="R595" s="395"/>
    </row>
    <row r="596" spans="2:18" x14ac:dyDescent="0.25">
      <c r="B596" s="394"/>
      <c r="C596" s="230"/>
      <c r="D596" s="230"/>
      <c r="E596" s="230"/>
      <c r="F596" s="230"/>
      <c r="G596" s="230"/>
      <c r="H596" s="230"/>
      <c r="I596" s="230"/>
      <c r="J596" s="230"/>
      <c r="K596" s="230"/>
      <c r="L596" s="230"/>
      <c r="M596" s="230"/>
      <c r="N596" s="230"/>
      <c r="O596" s="230"/>
      <c r="P596" s="230"/>
      <c r="Q596" s="230"/>
      <c r="R596" s="395"/>
    </row>
    <row r="597" spans="2:18" x14ac:dyDescent="0.25">
      <c r="B597" s="394"/>
      <c r="C597" s="230"/>
      <c r="D597" s="230"/>
      <c r="E597" s="230"/>
      <c r="F597" s="230"/>
      <c r="G597" s="230"/>
      <c r="H597" s="230"/>
      <c r="I597" s="230"/>
      <c r="J597" s="230"/>
      <c r="K597" s="230"/>
      <c r="L597" s="230"/>
      <c r="M597" s="230"/>
      <c r="N597" s="230"/>
      <c r="O597" s="230"/>
      <c r="P597" s="230"/>
      <c r="Q597" s="230"/>
      <c r="R597" s="395"/>
    </row>
    <row r="598" spans="2:18" x14ac:dyDescent="0.25">
      <c r="B598" s="394"/>
      <c r="C598" s="230"/>
      <c r="D598" s="230"/>
      <c r="E598" s="230"/>
      <c r="F598" s="230"/>
      <c r="G598" s="230"/>
      <c r="H598" s="230"/>
      <c r="I598" s="230"/>
      <c r="J598" s="230"/>
      <c r="K598" s="230"/>
      <c r="L598" s="230"/>
      <c r="M598" s="230"/>
      <c r="N598" s="230"/>
      <c r="O598" s="230"/>
      <c r="P598" s="230"/>
      <c r="Q598" s="230"/>
      <c r="R598" s="395"/>
    </row>
    <row r="599" spans="2:18" x14ac:dyDescent="0.25">
      <c r="B599" s="394"/>
      <c r="C599" s="230"/>
      <c r="D599" s="230"/>
      <c r="E599" s="230"/>
      <c r="F599" s="230"/>
      <c r="G599" s="230"/>
      <c r="H599" s="230"/>
      <c r="I599" s="230"/>
      <c r="J599" s="230"/>
      <c r="K599" s="230"/>
      <c r="L599" s="230"/>
      <c r="M599" s="230"/>
      <c r="N599" s="230"/>
      <c r="O599" s="230"/>
      <c r="P599" s="230"/>
      <c r="Q599" s="230"/>
      <c r="R599" s="395"/>
    </row>
    <row r="600" spans="2:18" x14ac:dyDescent="0.25">
      <c r="B600" s="394"/>
      <c r="C600" s="230"/>
      <c r="D600" s="230"/>
      <c r="E600" s="230"/>
      <c r="F600" s="230"/>
      <c r="G600" s="230"/>
      <c r="H600" s="230"/>
      <c r="I600" s="230"/>
      <c r="J600" s="230"/>
      <c r="K600" s="230"/>
      <c r="L600" s="230"/>
      <c r="M600" s="230"/>
      <c r="N600" s="230"/>
      <c r="O600" s="230"/>
      <c r="P600" s="230"/>
      <c r="Q600" s="230"/>
      <c r="R600" s="395"/>
    </row>
    <row r="601" spans="2:18" x14ac:dyDescent="0.25">
      <c r="B601" s="394"/>
      <c r="C601" s="230"/>
      <c r="D601" s="230"/>
      <c r="E601" s="230"/>
      <c r="F601" s="230"/>
      <c r="G601" s="230"/>
      <c r="H601" s="230"/>
      <c r="I601" s="230"/>
      <c r="J601" s="230"/>
      <c r="K601" s="230"/>
      <c r="L601" s="230"/>
      <c r="M601" s="230"/>
      <c r="N601" s="230"/>
      <c r="O601" s="230"/>
      <c r="P601" s="230"/>
      <c r="Q601" s="230"/>
      <c r="R601" s="395"/>
    </row>
    <row r="602" spans="2:18" x14ac:dyDescent="0.25">
      <c r="B602" s="394"/>
      <c r="C602" s="230"/>
      <c r="D602" s="230"/>
      <c r="E602" s="230"/>
      <c r="F602" s="230"/>
      <c r="G602" s="230"/>
      <c r="H602" s="230"/>
      <c r="I602" s="230"/>
      <c r="J602" s="230"/>
      <c r="K602" s="230"/>
      <c r="L602" s="230"/>
      <c r="M602" s="230"/>
      <c r="N602" s="230"/>
      <c r="O602" s="230"/>
      <c r="P602" s="230"/>
      <c r="Q602" s="230"/>
      <c r="R602" s="395"/>
    </row>
    <row r="603" spans="2:18" x14ac:dyDescent="0.25">
      <c r="B603" s="394"/>
      <c r="C603" s="230"/>
      <c r="D603" s="230"/>
      <c r="E603" s="230"/>
      <c r="F603" s="230"/>
      <c r="G603" s="230"/>
      <c r="H603" s="230"/>
      <c r="I603" s="230"/>
      <c r="J603" s="230"/>
      <c r="K603" s="230"/>
      <c r="L603" s="230"/>
      <c r="M603" s="230"/>
      <c r="N603" s="230"/>
      <c r="O603" s="230"/>
      <c r="P603" s="230"/>
      <c r="Q603" s="230"/>
      <c r="R603" s="395"/>
    </row>
    <row r="604" spans="2:18" x14ac:dyDescent="0.25">
      <c r="B604" s="394"/>
      <c r="C604" s="230"/>
      <c r="D604" s="230"/>
      <c r="E604" s="230"/>
      <c r="F604" s="230"/>
      <c r="G604" s="230"/>
      <c r="H604" s="230"/>
      <c r="I604" s="230"/>
      <c r="J604" s="230"/>
      <c r="K604" s="230"/>
      <c r="L604" s="230"/>
      <c r="M604" s="230"/>
      <c r="N604" s="230"/>
      <c r="O604" s="230"/>
      <c r="P604" s="230"/>
      <c r="Q604" s="230"/>
      <c r="R604" s="395"/>
    </row>
    <row r="605" spans="2:18" x14ac:dyDescent="0.25">
      <c r="B605" s="394"/>
      <c r="C605" s="230"/>
      <c r="D605" s="230"/>
      <c r="E605" s="230"/>
      <c r="F605" s="230"/>
      <c r="G605" s="230"/>
      <c r="H605" s="230"/>
      <c r="I605" s="230"/>
      <c r="J605" s="230"/>
      <c r="K605" s="230"/>
      <c r="L605" s="230"/>
      <c r="M605" s="230"/>
      <c r="N605" s="230"/>
      <c r="O605" s="230"/>
      <c r="P605" s="230"/>
      <c r="Q605" s="230"/>
      <c r="R605" s="395"/>
    </row>
    <row r="606" spans="2:18" x14ac:dyDescent="0.25">
      <c r="B606" s="394"/>
      <c r="C606" s="230"/>
      <c r="D606" s="230"/>
      <c r="E606" s="230"/>
      <c r="F606" s="230"/>
      <c r="G606" s="230"/>
      <c r="H606" s="230"/>
      <c r="I606" s="230"/>
      <c r="J606" s="230"/>
      <c r="K606" s="230"/>
      <c r="L606" s="230"/>
      <c r="M606" s="230"/>
      <c r="N606" s="230"/>
      <c r="O606" s="230"/>
      <c r="P606" s="230"/>
      <c r="Q606" s="230"/>
      <c r="R606" s="395"/>
    </row>
    <row r="607" spans="2:18" x14ac:dyDescent="0.25">
      <c r="B607" s="394"/>
      <c r="C607" s="230"/>
      <c r="D607" s="230"/>
      <c r="E607" s="230"/>
      <c r="F607" s="230"/>
      <c r="G607" s="230"/>
      <c r="H607" s="230"/>
      <c r="I607" s="230"/>
      <c r="J607" s="230"/>
      <c r="K607" s="230"/>
      <c r="L607" s="230"/>
      <c r="M607" s="230"/>
      <c r="N607" s="230"/>
      <c r="O607" s="230"/>
      <c r="P607" s="230"/>
      <c r="Q607" s="230"/>
      <c r="R607" s="395"/>
    </row>
    <row r="608" spans="2:18" x14ac:dyDescent="0.25">
      <c r="B608" s="394"/>
      <c r="C608" s="230"/>
      <c r="D608" s="230"/>
      <c r="E608" s="230"/>
      <c r="F608" s="230"/>
      <c r="G608" s="230"/>
      <c r="H608" s="230"/>
      <c r="I608" s="230"/>
      <c r="J608" s="230"/>
      <c r="K608" s="230"/>
      <c r="L608" s="230"/>
      <c r="M608" s="230"/>
      <c r="N608" s="230"/>
      <c r="O608" s="230"/>
      <c r="P608" s="230"/>
      <c r="Q608" s="230"/>
      <c r="R608" s="395"/>
    </row>
    <row r="609" spans="2:18" x14ac:dyDescent="0.25">
      <c r="B609" s="394"/>
      <c r="C609" s="230"/>
      <c r="D609" s="230"/>
      <c r="E609" s="230"/>
      <c r="F609" s="230"/>
      <c r="G609" s="230"/>
      <c r="H609" s="230"/>
      <c r="I609" s="230"/>
      <c r="J609" s="230"/>
      <c r="K609" s="230"/>
      <c r="L609" s="230"/>
      <c r="M609" s="230"/>
      <c r="N609" s="230"/>
      <c r="O609" s="230"/>
      <c r="P609" s="230"/>
      <c r="Q609" s="230"/>
      <c r="R609" s="395"/>
    </row>
    <row r="610" spans="2:18" x14ac:dyDescent="0.25">
      <c r="B610" s="394"/>
      <c r="C610" s="230"/>
      <c r="D610" s="230"/>
      <c r="E610" s="230"/>
      <c r="F610" s="230"/>
      <c r="G610" s="230"/>
      <c r="H610" s="230"/>
      <c r="I610" s="230"/>
      <c r="J610" s="230"/>
      <c r="K610" s="230"/>
      <c r="L610" s="230"/>
      <c r="M610" s="230"/>
      <c r="N610" s="230"/>
      <c r="O610" s="230"/>
      <c r="P610" s="230"/>
      <c r="Q610" s="230"/>
      <c r="R610" s="395"/>
    </row>
    <row r="611" spans="2:18" x14ac:dyDescent="0.25">
      <c r="B611" s="394"/>
      <c r="C611" s="230"/>
      <c r="D611" s="230"/>
      <c r="E611" s="230"/>
      <c r="F611" s="230"/>
      <c r="G611" s="230"/>
      <c r="H611" s="230"/>
      <c r="I611" s="230"/>
      <c r="J611" s="230"/>
      <c r="K611" s="230"/>
      <c r="L611" s="230"/>
      <c r="M611" s="230"/>
      <c r="N611" s="230"/>
      <c r="O611" s="230"/>
      <c r="P611" s="230"/>
      <c r="Q611" s="230"/>
      <c r="R611" s="395"/>
    </row>
    <row r="612" spans="2:18" x14ac:dyDescent="0.25">
      <c r="B612" s="394"/>
      <c r="C612" s="230"/>
      <c r="D612" s="230"/>
      <c r="E612" s="230"/>
      <c r="F612" s="230"/>
      <c r="G612" s="230"/>
      <c r="H612" s="230"/>
      <c r="I612" s="230"/>
      <c r="J612" s="230"/>
      <c r="K612" s="230"/>
      <c r="L612" s="230"/>
      <c r="M612" s="230"/>
      <c r="N612" s="230"/>
      <c r="O612" s="230"/>
      <c r="P612" s="230"/>
      <c r="Q612" s="230"/>
      <c r="R612" s="395"/>
    </row>
    <row r="613" spans="2:18" x14ac:dyDescent="0.25">
      <c r="B613" s="394"/>
      <c r="C613" s="230"/>
      <c r="D613" s="230"/>
      <c r="E613" s="230"/>
      <c r="F613" s="230"/>
      <c r="G613" s="230"/>
      <c r="H613" s="230"/>
      <c r="I613" s="230"/>
      <c r="J613" s="230"/>
      <c r="K613" s="230"/>
      <c r="L613" s="230"/>
      <c r="M613" s="230"/>
      <c r="N613" s="230"/>
      <c r="O613" s="230"/>
      <c r="P613" s="230"/>
      <c r="Q613" s="230"/>
      <c r="R613" s="395"/>
    </row>
    <row r="614" spans="2:18" x14ac:dyDescent="0.25">
      <c r="B614" s="394"/>
      <c r="C614" s="230"/>
      <c r="D614" s="230"/>
      <c r="E614" s="230"/>
      <c r="F614" s="230"/>
      <c r="G614" s="230"/>
      <c r="H614" s="230"/>
      <c r="I614" s="230"/>
      <c r="J614" s="230"/>
      <c r="K614" s="230"/>
      <c r="L614" s="230"/>
      <c r="M614" s="230"/>
      <c r="N614" s="230"/>
      <c r="O614" s="230"/>
      <c r="P614" s="230"/>
      <c r="Q614" s="230"/>
      <c r="R614" s="395"/>
    </row>
    <row r="615" spans="2:18" x14ac:dyDescent="0.25">
      <c r="B615" s="394"/>
      <c r="C615" s="230"/>
      <c r="D615" s="230"/>
      <c r="E615" s="230"/>
      <c r="F615" s="230"/>
      <c r="G615" s="230"/>
      <c r="H615" s="230"/>
      <c r="I615" s="230"/>
      <c r="J615" s="230"/>
      <c r="K615" s="230"/>
      <c r="L615" s="230"/>
      <c r="M615" s="230"/>
      <c r="N615" s="230"/>
      <c r="O615" s="230"/>
      <c r="P615" s="230"/>
      <c r="Q615" s="230"/>
      <c r="R615" s="395"/>
    </row>
    <row r="616" spans="2:18" x14ac:dyDescent="0.25">
      <c r="B616" s="394"/>
      <c r="C616" s="230"/>
      <c r="D616" s="230"/>
      <c r="E616" s="230"/>
      <c r="F616" s="230"/>
      <c r="G616" s="230"/>
      <c r="H616" s="230"/>
      <c r="I616" s="230"/>
      <c r="J616" s="230"/>
      <c r="K616" s="230"/>
      <c r="L616" s="230"/>
      <c r="M616" s="230"/>
      <c r="N616" s="230"/>
      <c r="O616" s="230"/>
      <c r="P616" s="230"/>
      <c r="Q616" s="230"/>
      <c r="R616" s="395"/>
    </row>
    <row r="617" spans="2:18" x14ac:dyDescent="0.25">
      <c r="B617" s="394"/>
      <c r="C617" s="230"/>
      <c r="D617" s="230"/>
      <c r="E617" s="230"/>
      <c r="F617" s="230"/>
      <c r="G617" s="230"/>
      <c r="H617" s="230"/>
      <c r="I617" s="230"/>
      <c r="J617" s="230"/>
      <c r="K617" s="230"/>
      <c r="L617" s="230"/>
      <c r="M617" s="230"/>
      <c r="N617" s="230"/>
      <c r="O617" s="230"/>
      <c r="P617" s="230"/>
      <c r="Q617" s="230"/>
      <c r="R617" s="395"/>
    </row>
    <row r="618" spans="2:18" x14ac:dyDescent="0.25">
      <c r="B618" s="394"/>
      <c r="C618" s="230"/>
      <c r="D618" s="230"/>
      <c r="E618" s="230"/>
      <c r="F618" s="230"/>
      <c r="G618" s="230"/>
      <c r="H618" s="230"/>
      <c r="I618" s="230"/>
      <c r="J618" s="230"/>
      <c r="K618" s="230"/>
      <c r="L618" s="230"/>
      <c r="M618" s="230"/>
      <c r="N618" s="230"/>
      <c r="O618" s="230"/>
      <c r="P618" s="230"/>
      <c r="Q618" s="230"/>
      <c r="R618" s="395"/>
    </row>
    <row r="619" spans="2:18" x14ac:dyDescent="0.25">
      <c r="B619" s="394"/>
      <c r="C619" s="230"/>
      <c r="D619" s="230"/>
      <c r="E619" s="230"/>
      <c r="F619" s="230"/>
      <c r="G619" s="230"/>
      <c r="H619" s="230"/>
      <c r="I619" s="230"/>
      <c r="J619" s="230"/>
      <c r="K619" s="230"/>
      <c r="L619" s="230"/>
      <c r="M619" s="230"/>
      <c r="N619" s="230"/>
      <c r="O619" s="230"/>
      <c r="P619" s="230"/>
      <c r="Q619" s="230"/>
      <c r="R619" s="395"/>
    </row>
    <row r="620" spans="2:18" x14ac:dyDescent="0.25">
      <c r="B620" s="394"/>
      <c r="C620" s="230"/>
      <c r="D620" s="230"/>
      <c r="E620" s="230"/>
      <c r="F620" s="230"/>
      <c r="G620" s="230"/>
      <c r="H620" s="230"/>
      <c r="I620" s="230"/>
      <c r="J620" s="230"/>
      <c r="K620" s="230"/>
      <c r="L620" s="230"/>
      <c r="M620" s="230"/>
      <c r="N620" s="230"/>
      <c r="O620" s="230"/>
      <c r="P620" s="230"/>
      <c r="Q620" s="230"/>
      <c r="R620" s="395"/>
    </row>
    <row r="621" spans="2:18" x14ac:dyDescent="0.25">
      <c r="B621" s="394"/>
      <c r="C621" s="230"/>
      <c r="D621" s="230"/>
      <c r="E621" s="230"/>
      <c r="F621" s="230"/>
      <c r="G621" s="230"/>
      <c r="H621" s="230"/>
      <c r="I621" s="230"/>
      <c r="J621" s="230"/>
      <c r="K621" s="230"/>
      <c r="L621" s="230"/>
      <c r="M621" s="230"/>
      <c r="N621" s="230"/>
      <c r="O621" s="230"/>
      <c r="P621" s="230"/>
      <c r="Q621" s="230"/>
      <c r="R621" s="395"/>
    </row>
    <row r="622" spans="2:18" x14ac:dyDescent="0.25">
      <c r="B622" s="394"/>
      <c r="C622" s="230"/>
      <c r="D622" s="230"/>
      <c r="E622" s="230"/>
      <c r="F622" s="230"/>
      <c r="G622" s="230"/>
      <c r="H622" s="230"/>
      <c r="I622" s="230"/>
      <c r="J622" s="230"/>
      <c r="K622" s="230"/>
      <c r="L622" s="230"/>
      <c r="M622" s="230"/>
      <c r="N622" s="230"/>
      <c r="O622" s="230"/>
      <c r="P622" s="230"/>
      <c r="Q622" s="230"/>
      <c r="R622" s="395"/>
    </row>
    <row r="623" spans="2:18" x14ac:dyDescent="0.25">
      <c r="B623" s="394"/>
      <c r="C623" s="230"/>
      <c r="D623" s="230"/>
      <c r="E623" s="230"/>
      <c r="F623" s="230"/>
      <c r="G623" s="230"/>
      <c r="H623" s="230"/>
      <c r="I623" s="230"/>
      <c r="J623" s="230"/>
      <c r="K623" s="230"/>
      <c r="L623" s="230"/>
      <c r="M623" s="230"/>
      <c r="N623" s="230"/>
      <c r="O623" s="230"/>
      <c r="P623" s="230"/>
      <c r="Q623" s="230"/>
      <c r="R623" s="395"/>
    </row>
    <row r="624" spans="2:18" x14ac:dyDescent="0.25">
      <c r="B624" s="394"/>
      <c r="C624" s="230"/>
      <c r="D624" s="230"/>
      <c r="E624" s="230"/>
      <c r="F624" s="230"/>
      <c r="G624" s="230"/>
      <c r="H624" s="230"/>
      <c r="I624" s="230"/>
      <c r="J624" s="230"/>
      <c r="K624" s="230"/>
      <c r="L624" s="230"/>
      <c r="M624" s="230"/>
      <c r="N624" s="230"/>
      <c r="O624" s="230"/>
      <c r="P624" s="230"/>
      <c r="Q624" s="230"/>
      <c r="R624" s="395"/>
    </row>
    <row r="625" spans="2:18" x14ac:dyDescent="0.25">
      <c r="B625" s="394"/>
      <c r="C625" s="230"/>
      <c r="D625" s="230"/>
      <c r="E625" s="230"/>
      <c r="F625" s="230"/>
      <c r="G625" s="230"/>
      <c r="H625" s="230"/>
      <c r="I625" s="230"/>
      <c r="J625" s="230"/>
      <c r="K625" s="230"/>
      <c r="L625" s="230"/>
      <c r="M625" s="230"/>
      <c r="N625" s="230"/>
      <c r="O625" s="230"/>
      <c r="P625" s="230"/>
      <c r="Q625" s="230"/>
      <c r="R625" s="395"/>
    </row>
    <row r="626" spans="2:18" x14ac:dyDescent="0.25">
      <c r="B626" s="394"/>
      <c r="C626" s="230"/>
      <c r="D626" s="230"/>
      <c r="E626" s="230"/>
      <c r="F626" s="230"/>
      <c r="G626" s="230"/>
      <c r="H626" s="230"/>
      <c r="I626" s="230"/>
      <c r="J626" s="230"/>
      <c r="K626" s="230"/>
      <c r="L626" s="230"/>
      <c r="M626" s="230"/>
      <c r="N626" s="230"/>
      <c r="O626" s="230"/>
      <c r="P626" s="230"/>
      <c r="Q626" s="230"/>
      <c r="R626" s="395"/>
    </row>
    <row r="627" spans="2:18" x14ac:dyDescent="0.25">
      <c r="B627" s="394"/>
      <c r="C627" s="230"/>
      <c r="D627" s="230"/>
      <c r="E627" s="230"/>
      <c r="F627" s="230"/>
      <c r="G627" s="230"/>
      <c r="H627" s="230"/>
      <c r="I627" s="230"/>
      <c r="J627" s="230"/>
      <c r="K627" s="230"/>
      <c r="L627" s="230"/>
      <c r="M627" s="230"/>
      <c r="N627" s="230"/>
      <c r="O627" s="230"/>
      <c r="P627" s="230"/>
      <c r="Q627" s="230"/>
      <c r="R627" s="395"/>
    </row>
    <row r="628" spans="2:18" x14ac:dyDescent="0.25">
      <c r="B628" s="394"/>
      <c r="C628" s="230"/>
      <c r="D628" s="230"/>
      <c r="E628" s="230"/>
      <c r="F628" s="230"/>
      <c r="G628" s="230"/>
      <c r="H628" s="230"/>
      <c r="I628" s="230"/>
      <c r="J628" s="230"/>
      <c r="K628" s="230"/>
      <c r="L628" s="230"/>
      <c r="M628" s="230"/>
      <c r="N628" s="230"/>
      <c r="O628" s="230"/>
      <c r="P628" s="230"/>
      <c r="Q628" s="230"/>
      <c r="R628" s="395"/>
    </row>
    <row r="629" spans="2:18" x14ac:dyDescent="0.25">
      <c r="B629" s="394"/>
      <c r="C629" s="230"/>
      <c r="D629" s="230"/>
      <c r="E629" s="230"/>
      <c r="F629" s="230"/>
      <c r="G629" s="230"/>
      <c r="H629" s="230"/>
      <c r="I629" s="230"/>
      <c r="J629" s="230"/>
      <c r="K629" s="230"/>
      <c r="L629" s="230"/>
      <c r="M629" s="230"/>
      <c r="N629" s="230"/>
      <c r="O629" s="230"/>
      <c r="P629" s="230"/>
      <c r="Q629" s="230"/>
      <c r="R629" s="395"/>
    </row>
    <row r="630" spans="2:18" x14ac:dyDescent="0.25">
      <c r="B630" s="394"/>
      <c r="C630" s="230"/>
      <c r="D630" s="230"/>
      <c r="E630" s="230"/>
      <c r="F630" s="230"/>
      <c r="G630" s="230"/>
      <c r="H630" s="230"/>
      <c r="I630" s="230"/>
      <c r="J630" s="230"/>
      <c r="K630" s="230"/>
      <c r="L630" s="230"/>
      <c r="M630" s="230"/>
      <c r="N630" s="230"/>
      <c r="O630" s="230"/>
      <c r="P630" s="230"/>
      <c r="Q630" s="230"/>
      <c r="R630" s="395"/>
    </row>
    <row r="631" spans="2:18" x14ac:dyDescent="0.25">
      <c r="B631" s="394"/>
      <c r="C631" s="230"/>
      <c r="D631" s="230"/>
      <c r="E631" s="230"/>
      <c r="F631" s="230"/>
      <c r="G631" s="230"/>
      <c r="H631" s="230"/>
      <c r="I631" s="230"/>
      <c r="J631" s="230"/>
      <c r="K631" s="230"/>
      <c r="L631" s="230"/>
      <c r="M631" s="230"/>
      <c r="N631" s="230"/>
      <c r="O631" s="230"/>
      <c r="P631" s="230"/>
      <c r="Q631" s="230"/>
      <c r="R631" s="395"/>
    </row>
    <row r="632" spans="2:18" x14ac:dyDescent="0.25">
      <c r="B632" s="394"/>
      <c r="C632" s="230"/>
      <c r="D632" s="230"/>
      <c r="E632" s="230"/>
      <c r="F632" s="230"/>
      <c r="G632" s="230"/>
      <c r="H632" s="230"/>
      <c r="I632" s="230"/>
      <c r="J632" s="230"/>
      <c r="K632" s="230"/>
      <c r="L632" s="230"/>
      <c r="M632" s="230"/>
      <c r="N632" s="230"/>
      <c r="O632" s="230"/>
      <c r="P632" s="230"/>
      <c r="Q632" s="230"/>
      <c r="R632" s="395"/>
    </row>
    <row r="633" spans="2:18" x14ac:dyDescent="0.25">
      <c r="B633" s="394"/>
      <c r="C633" s="230"/>
      <c r="D633" s="230"/>
      <c r="E633" s="230"/>
      <c r="F633" s="230"/>
      <c r="G633" s="230"/>
      <c r="H633" s="230"/>
      <c r="I633" s="230"/>
      <c r="J633" s="230"/>
      <c r="K633" s="230"/>
      <c r="L633" s="230"/>
      <c r="M633" s="230"/>
      <c r="N633" s="230"/>
      <c r="O633" s="230"/>
      <c r="P633" s="230"/>
      <c r="Q633" s="230"/>
      <c r="R633" s="395"/>
    </row>
    <row r="634" spans="2:18" x14ac:dyDescent="0.25">
      <c r="B634" s="394"/>
      <c r="C634" s="230"/>
      <c r="D634" s="230"/>
      <c r="E634" s="230"/>
      <c r="F634" s="230"/>
      <c r="G634" s="230"/>
      <c r="H634" s="230"/>
      <c r="I634" s="230"/>
      <c r="J634" s="230"/>
      <c r="K634" s="230"/>
      <c r="L634" s="230"/>
      <c r="M634" s="230"/>
      <c r="N634" s="230"/>
      <c r="O634" s="230"/>
      <c r="P634" s="230"/>
      <c r="Q634" s="230"/>
      <c r="R634" s="395"/>
    </row>
    <row r="635" spans="2:18" x14ac:dyDescent="0.25">
      <c r="B635" s="394"/>
      <c r="C635" s="230"/>
      <c r="D635" s="230"/>
      <c r="E635" s="230"/>
      <c r="F635" s="230"/>
      <c r="G635" s="230"/>
      <c r="H635" s="230"/>
      <c r="I635" s="230"/>
      <c r="J635" s="230"/>
      <c r="K635" s="230"/>
      <c r="L635" s="230"/>
      <c r="M635" s="230"/>
      <c r="N635" s="230"/>
      <c r="O635" s="230"/>
      <c r="P635" s="230"/>
      <c r="Q635" s="230"/>
      <c r="R635" s="395"/>
    </row>
    <row r="636" spans="2:18" x14ac:dyDescent="0.25">
      <c r="B636" s="394"/>
      <c r="C636" s="230"/>
      <c r="D636" s="230"/>
      <c r="E636" s="230"/>
      <c r="F636" s="230"/>
      <c r="G636" s="230"/>
      <c r="H636" s="230"/>
      <c r="I636" s="230"/>
      <c r="J636" s="230"/>
      <c r="K636" s="230"/>
      <c r="L636" s="230"/>
      <c r="M636" s="230"/>
      <c r="N636" s="230"/>
      <c r="O636" s="230"/>
      <c r="P636" s="230"/>
      <c r="Q636" s="230"/>
      <c r="R636" s="395"/>
    </row>
    <row r="637" spans="2:18" x14ac:dyDescent="0.25">
      <c r="B637" s="394"/>
      <c r="C637" s="230"/>
      <c r="D637" s="230"/>
      <c r="E637" s="230"/>
      <c r="F637" s="230"/>
      <c r="G637" s="230"/>
      <c r="H637" s="230"/>
      <c r="I637" s="230"/>
      <c r="J637" s="230"/>
      <c r="K637" s="230"/>
      <c r="L637" s="230"/>
      <c r="M637" s="230"/>
      <c r="N637" s="230"/>
      <c r="O637" s="230"/>
      <c r="P637" s="230"/>
      <c r="Q637" s="230"/>
      <c r="R637" s="395"/>
    </row>
    <row r="638" spans="2:18" x14ac:dyDescent="0.25">
      <c r="B638" s="394"/>
      <c r="C638" s="230"/>
      <c r="D638" s="230"/>
      <c r="E638" s="230"/>
      <c r="F638" s="230"/>
      <c r="G638" s="230"/>
      <c r="H638" s="230"/>
      <c r="I638" s="230"/>
      <c r="J638" s="230"/>
      <c r="K638" s="230"/>
      <c r="L638" s="230"/>
      <c r="M638" s="230"/>
      <c r="N638" s="230"/>
      <c r="O638" s="230"/>
      <c r="P638" s="230"/>
      <c r="Q638" s="230"/>
      <c r="R638" s="395"/>
    </row>
    <row r="639" spans="2:18" x14ac:dyDescent="0.25">
      <c r="B639" s="394"/>
      <c r="C639" s="230"/>
      <c r="D639" s="230"/>
      <c r="E639" s="230"/>
      <c r="F639" s="230"/>
      <c r="G639" s="230"/>
      <c r="H639" s="230"/>
      <c r="I639" s="230"/>
      <c r="J639" s="230"/>
      <c r="K639" s="230"/>
      <c r="L639" s="230"/>
      <c r="M639" s="230"/>
      <c r="N639" s="230"/>
      <c r="O639" s="230"/>
      <c r="P639" s="230"/>
      <c r="Q639" s="230"/>
      <c r="R639" s="395"/>
    </row>
    <row r="640" spans="2:18" x14ac:dyDescent="0.25">
      <c r="B640" s="394"/>
      <c r="C640" s="230"/>
      <c r="D640" s="230"/>
      <c r="E640" s="230"/>
      <c r="F640" s="230"/>
      <c r="G640" s="230"/>
      <c r="H640" s="230"/>
      <c r="I640" s="230"/>
      <c r="J640" s="230"/>
      <c r="K640" s="230"/>
      <c r="L640" s="230"/>
      <c r="M640" s="230"/>
      <c r="N640" s="230"/>
      <c r="O640" s="230"/>
      <c r="P640" s="230"/>
      <c r="Q640" s="230"/>
      <c r="R640" s="395"/>
    </row>
    <row r="641" spans="2:18" x14ac:dyDescent="0.25">
      <c r="B641" s="394"/>
      <c r="C641" s="230"/>
      <c r="D641" s="230"/>
      <c r="E641" s="230"/>
      <c r="F641" s="230"/>
      <c r="G641" s="230"/>
      <c r="H641" s="230"/>
      <c r="I641" s="230"/>
      <c r="J641" s="230"/>
      <c r="K641" s="230"/>
      <c r="L641" s="230"/>
      <c r="M641" s="230"/>
      <c r="N641" s="230"/>
      <c r="O641" s="230"/>
      <c r="P641" s="230"/>
      <c r="Q641" s="230"/>
      <c r="R641" s="395"/>
    </row>
    <row r="642" spans="2:18" x14ac:dyDescent="0.25">
      <c r="B642" s="394"/>
      <c r="C642" s="230"/>
      <c r="D642" s="230"/>
      <c r="E642" s="230"/>
      <c r="F642" s="230"/>
      <c r="G642" s="230"/>
      <c r="H642" s="230"/>
      <c r="I642" s="230"/>
      <c r="J642" s="230"/>
      <c r="K642" s="230"/>
      <c r="L642" s="230"/>
      <c r="M642" s="230"/>
      <c r="N642" s="230"/>
      <c r="O642" s="230"/>
      <c r="P642" s="230"/>
      <c r="Q642" s="230"/>
      <c r="R642" s="395"/>
    </row>
    <row r="643" spans="2:18" x14ac:dyDescent="0.25">
      <c r="B643" s="394"/>
      <c r="C643" s="230"/>
      <c r="D643" s="230"/>
      <c r="E643" s="230"/>
      <c r="F643" s="230"/>
      <c r="G643" s="230"/>
      <c r="H643" s="230"/>
      <c r="I643" s="230"/>
      <c r="J643" s="230"/>
      <c r="K643" s="230"/>
      <c r="L643" s="230"/>
      <c r="M643" s="230"/>
      <c r="N643" s="230"/>
      <c r="O643" s="230"/>
      <c r="P643" s="230"/>
      <c r="Q643" s="230"/>
      <c r="R643" s="395"/>
    </row>
    <row r="644" spans="2:18" x14ac:dyDescent="0.25">
      <c r="B644" s="394"/>
      <c r="C644" s="230"/>
      <c r="D644" s="230"/>
      <c r="E644" s="230"/>
      <c r="F644" s="230"/>
      <c r="G644" s="230"/>
      <c r="H644" s="230"/>
      <c r="I644" s="230"/>
      <c r="J644" s="230"/>
      <c r="K644" s="230"/>
      <c r="L644" s="230"/>
      <c r="M644" s="230"/>
      <c r="N644" s="230"/>
      <c r="O644" s="230"/>
      <c r="P644" s="230"/>
      <c r="Q644" s="230"/>
      <c r="R644" s="395"/>
    </row>
    <row r="645" spans="2:18" x14ac:dyDescent="0.25">
      <c r="B645" s="394"/>
      <c r="C645" s="230"/>
      <c r="D645" s="230"/>
      <c r="E645" s="230"/>
      <c r="F645" s="230"/>
      <c r="G645" s="230"/>
      <c r="H645" s="230"/>
      <c r="I645" s="230"/>
      <c r="J645" s="230"/>
      <c r="K645" s="230"/>
      <c r="L645" s="230"/>
      <c r="M645" s="230"/>
      <c r="N645" s="230"/>
      <c r="O645" s="230"/>
      <c r="P645" s="230"/>
      <c r="Q645" s="230"/>
      <c r="R645" s="395"/>
    </row>
    <row r="646" spans="2:18" x14ac:dyDescent="0.25">
      <c r="B646" s="394"/>
      <c r="C646" s="230"/>
      <c r="D646" s="230"/>
      <c r="E646" s="230"/>
      <c r="F646" s="230"/>
      <c r="G646" s="230"/>
      <c r="H646" s="230"/>
      <c r="I646" s="230"/>
      <c r="J646" s="230"/>
      <c r="K646" s="230"/>
      <c r="L646" s="230"/>
      <c r="M646" s="230"/>
      <c r="N646" s="230"/>
      <c r="O646" s="230"/>
      <c r="P646" s="230"/>
      <c r="Q646" s="230"/>
      <c r="R646" s="395"/>
    </row>
    <row r="647" spans="2:18" x14ac:dyDescent="0.25">
      <c r="B647" s="394"/>
      <c r="C647" s="230"/>
      <c r="D647" s="230"/>
      <c r="E647" s="230"/>
      <c r="F647" s="230"/>
      <c r="G647" s="230"/>
      <c r="H647" s="230"/>
      <c r="I647" s="230"/>
      <c r="J647" s="230"/>
      <c r="K647" s="230"/>
      <c r="L647" s="230"/>
      <c r="M647" s="230"/>
      <c r="N647" s="230"/>
      <c r="O647" s="230"/>
      <c r="P647" s="230"/>
      <c r="Q647" s="230"/>
      <c r="R647" s="395"/>
    </row>
    <row r="648" spans="2:18" x14ac:dyDescent="0.25">
      <c r="B648" s="394"/>
      <c r="C648" s="230"/>
      <c r="D648" s="230"/>
      <c r="E648" s="230"/>
      <c r="F648" s="230"/>
      <c r="G648" s="230"/>
      <c r="H648" s="230"/>
      <c r="I648" s="230"/>
      <c r="J648" s="230"/>
      <c r="K648" s="230"/>
      <c r="L648" s="230"/>
      <c r="M648" s="230"/>
      <c r="N648" s="230"/>
      <c r="O648" s="230"/>
      <c r="P648" s="230"/>
      <c r="Q648" s="230"/>
      <c r="R648" s="395"/>
    </row>
    <row r="649" spans="2:18" x14ac:dyDescent="0.25">
      <c r="B649" s="394"/>
      <c r="C649" s="230"/>
      <c r="D649" s="230"/>
      <c r="E649" s="230"/>
      <c r="F649" s="230"/>
      <c r="G649" s="230"/>
      <c r="H649" s="230"/>
      <c r="I649" s="230"/>
      <c r="J649" s="230"/>
      <c r="K649" s="230"/>
      <c r="L649" s="230"/>
      <c r="M649" s="230"/>
      <c r="N649" s="230"/>
      <c r="O649" s="230"/>
      <c r="P649" s="230"/>
      <c r="Q649" s="230"/>
      <c r="R649" s="395"/>
    </row>
    <row r="650" spans="2:18" x14ac:dyDescent="0.25">
      <c r="B650" s="394"/>
      <c r="C650" s="230"/>
      <c r="D650" s="230"/>
      <c r="E650" s="230"/>
      <c r="F650" s="230"/>
      <c r="G650" s="230"/>
      <c r="H650" s="230"/>
      <c r="I650" s="230"/>
      <c r="J650" s="230"/>
      <c r="K650" s="230"/>
      <c r="L650" s="230"/>
      <c r="M650" s="230"/>
      <c r="N650" s="230"/>
      <c r="O650" s="230"/>
      <c r="P650" s="230"/>
      <c r="Q650" s="230"/>
      <c r="R650" s="395"/>
    </row>
    <row r="651" spans="2:18" x14ac:dyDescent="0.25">
      <c r="B651" s="394"/>
      <c r="C651" s="230"/>
      <c r="D651" s="230"/>
      <c r="E651" s="230"/>
      <c r="F651" s="230"/>
      <c r="G651" s="230"/>
      <c r="H651" s="230"/>
      <c r="I651" s="230"/>
      <c r="J651" s="230"/>
      <c r="K651" s="230"/>
      <c r="L651" s="230"/>
      <c r="M651" s="230"/>
      <c r="N651" s="230"/>
      <c r="O651" s="230"/>
      <c r="P651" s="230"/>
      <c r="Q651" s="230"/>
      <c r="R651" s="395"/>
    </row>
    <row r="652" spans="2:18" x14ac:dyDescent="0.25">
      <c r="B652" s="394"/>
      <c r="C652" s="230"/>
      <c r="D652" s="230"/>
      <c r="E652" s="230"/>
      <c r="F652" s="230"/>
      <c r="G652" s="230"/>
      <c r="H652" s="230"/>
      <c r="I652" s="230"/>
      <c r="J652" s="230"/>
      <c r="K652" s="230"/>
      <c r="L652" s="230"/>
      <c r="M652" s="230"/>
      <c r="N652" s="230"/>
      <c r="O652" s="230"/>
      <c r="P652" s="230"/>
      <c r="Q652" s="230"/>
      <c r="R652" s="395"/>
    </row>
    <row r="653" spans="2:18" x14ac:dyDescent="0.25">
      <c r="B653" s="394"/>
      <c r="C653" s="230"/>
      <c r="D653" s="230"/>
      <c r="E653" s="230"/>
      <c r="F653" s="230"/>
      <c r="G653" s="230"/>
      <c r="H653" s="230"/>
      <c r="I653" s="230"/>
      <c r="J653" s="230"/>
      <c r="K653" s="230"/>
      <c r="L653" s="230"/>
      <c r="M653" s="230"/>
      <c r="N653" s="230"/>
      <c r="O653" s="230"/>
      <c r="P653" s="230"/>
      <c r="Q653" s="230"/>
      <c r="R653" s="395"/>
    </row>
    <row r="654" spans="2:18" x14ac:dyDescent="0.25">
      <c r="B654" s="394"/>
      <c r="C654" s="230"/>
      <c r="D654" s="230"/>
      <c r="E654" s="230"/>
      <c r="F654" s="230"/>
      <c r="G654" s="230"/>
      <c r="H654" s="230"/>
      <c r="I654" s="230"/>
      <c r="J654" s="230"/>
      <c r="K654" s="230"/>
      <c r="L654" s="230"/>
      <c r="M654" s="230"/>
      <c r="N654" s="230"/>
      <c r="O654" s="230"/>
      <c r="P654" s="230"/>
      <c r="Q654" s="230"/>
      <c r="R654" s="395"/>
    </row>
    <row r="655" spans="2:18" x14ac:dyDescent="0.25">
      <c r="B655" s="394"/>
      <c r="C655" s="230"/>
      <c r="D655" s="230"/>
      <c r="E655" s="230"/>
      <c r="F655" s="230"/>
      <c r="G655" s="230"/>
      <c r="H655" s="230"/>
      <c r="I655" s="230"/>
      <c r="J655" s="230"/>
      <c r="K655" s="230"/>
      <c r="L655" s="230"/>
      <c r="M655" s="230"/>
      <c r="N655" s="230"/>
      <c r="O655" s="230"/>
      <c r="P655" s="230"/>
      <c r="Q655" s="230"/>
      <c r="R655" s="395"/>
    </row>
    <row r="656" spans="2:18" x14ac:dyDescent="0.25">
      <c r="B656" s="394"/>
      <c r="C656" s="230"/>
      <c r="D656" s="230"/>
      <c r="E656" s="230"/>
      <c r="F656" s="230"/>
      <c r="G656" s="230"/>
      <c r="H656" s="230"/>
      <c r="I656" s="230"/>
      <c r="J656" s="230"/>
      <c r="K656" s="230"/>
      <c r="L656" s="230"/>
      <c r="M656" s="230"/>
      <c r="N656" s="230"/>
      <c r="O656" s="230"/>
      <c r="P656" s="230"/>
      <c r="Q656" s="230"/>
      <c r="R656" s="395"/>
    </row>
    <row r="657" spans="2:18" x14ac:dyDescent="0.25">
      <c r="B657" s="394"/>
      <c r="C657" s="230"/>
      <c r="D657" s="230"/>
      <c r="E657" s="230"/>
      <c r="F657" s="230"/>
      <c r="G657" s="230"/>
      <c r="H657" s="230"/>
      <c r="I657" s="230"/>
      <c r="J657" s="230"/>
      <c r="K657" s="230"/>
      <c r="L657" s="230"/>
      <c r="M657" s="230"/>
      <c r="N657" s="230"/>
      <c r="O657" s="230"/>
      <c r="P657" s="230"/>
      <c r="Q657" s="230"/>
      <c r="R657" s="395"/>
    </row>
    <row r="658" spans="2:18" x14ac:dyDescent="0.25">
      <c r="B658" s="394"/>
      <c r="C658" s="230"/>
      <c r="D658" s="230"/>
      <c r="E658" s="230"/>
      <c r="F658" s="230"/>
      <c r="G658" s="230"/>
      <c r="H658" s="230"/>
      <c r="I658" s="230"/>
      <c r="J658" s="230"/>
      <c r="K658" s="230"/>
      <c r="L658" s="230"/>
      <c r="M658" s="230"/>
      <c r="N658" s="230"/>
      <c r="O658" s="230"/>
      <c r="P658" s="230"/>
      <c r="Q658" s="230"/>
      <c r="R658" s="395"/>
    </row>
    <row r="659" spans="2:18" x14ac:dyDescent="0.25">
      <c r="B659" s="394"/>
      <c r="C659" s="230"/>
      <c r="D659" s="230"/>
      <c r="E659" s="230"/>
      <c r="F659" s="230"/>
      <c r="G659" s="230"/>
      <c r="H659" s="230"/>
      <c r="I659" s="230"/>
      <c r="J659" s="230"/>
      <c r="K659" s="230"/>
      <c r="L659" s="230"/>
      <c r="M659" s="230"/>
      <c r="N659" s="230"/>
      <c r="O659" s="230"/>
      <c r="P659" s="230"/>
      <c r="Q659" s="230"/>
      <c r="R659" s="395"/>
    </row>
    <row r="660" spans="2:18" x14ac:dyDescent="0.25">
      <c r="B660" s="394"/>
      <c r="C660" s="230"/>
      <c r="D660" s="230"/>
      <c r="E660" s="230"/>
      <c r="F660" s="230"/>
      <c r="G660" s="230"/>
      <c r="H660" s="230"/>
      <c r="I660" s="230"/>
      <c r="J660" s="230"/>
      <c r="K660" s="230"/>
      <c r="L660" s="230"/>
      <c r="M660" s="230"/>
      <c r="N660" s="230"/>
      <c r="O660" s="230"/>
      <c r="P660" s="230"/>
      <c r="Q660" s="230"/>
      <c r="R660" s="395"/>
    </row>
    <row r="661" spans="2:18" x14ac:dyDescent="0.25">
      <c r="B661" s="394"/>
      <c r="C661" s="230"/>
      <c r="D661" s="230"/>
      <c r="E661" s="230"/>
      <c r="F661" s="230"/>
      <c r="G661" s="230"/>
      <c r="H661" s="230"/>
      <c r="I661" s="230"/>
      <c r="J661" s="230"/>
      <c r="K661" s="230"/>
      <c r="L661" s="230"/>
      <c r="M661" s="230"/>
      <c r="N661" s="230"/>
      <c r="O661" s="230"/>
      <c r="P661" s="230"/>
      <c r="Q661" s="230"/>
      <c r="R661" s="395"/>
    </row>
    <row r="662" spans="2:18" x14ac:dyDescent="0.25">
      <c r="B662" s="394"/>
      <c r="C662" s="230"/>
      <c r="D662" s="230"/>
      <c r="E662" s="230"/>
      <c r="F662" s="230"/>
      <c r="G662" s="230"/>
      <c r="H662" s="230"/>
      <c r="I662" s="230"/>
      <c r="J662" s="230"/>
      <c r="K662" s="230"/>
      <c r="L662" s="230"/>
      <c r="M662" s="230"/>
      <c r="N662" s="230"/>
      <c r="O662" s="230"/>
      <c r="P662" s="230"/>
      <c r="Q662" s="230"/>
      <c r="R662" s="395"/>
    </row>
    <row r="663" spans="2:18" x14ac:dyDescent="0.25">
      <c r="B663" s="394"/>
      <c r="C663" s="230"/>
      <c r="D663" s="230"/>
      <c r="E663" s="230"/>
      <c r="F663" s="230"/>
      <c r="G663" s="230"/>
      <c r="H663" s="230"/>
      <c r="I663" s="230"/>
      <c r="J663" s="230"/>
      <c r="K663" s="230"/>
      <c r="L663" s="230"/>
      <c r="M663" s="230"/>
      <c r="N663" s="230"/>
      <c r="O663" s="230"/>
      <c r="P663" s="230"/>
      <c r="Q663" s="230"/>
      <c r="R663" s="395"/>
    </row>
    <row r="664" spans="2:18" x14ac:dyDescent="0.25">
      <c r="B664" s="394"/>
      <c r="C664" s="230"/>
      <c r="D664" s="230"/>
      <c r="E664" s="230"/>
      <c r="F664" s="230"/>
      <c r="G664" s="230"/>
      <c r="H664" s="230"/>
      <c r="I664" s="230"/>
      <c r="J664" s="230"/>
      <c r="K664" s="230"/>
      <c r="L664" s="230"/>
      <c r="M664" s="230"/>
      <c r="N664" s="230"/>
      <c r="O664" s="230"/>
      <c r="P664" s="230"/>
      <c r="Q664" s="230"/>
      <c r="R664" s="395"/>
    </row>
    <row r="665" spans="2:18" x14ac:dyDescent="0.25">
      <c r="B665" s="394"/>
      <c r="C665" s="230"/>
      <c r="D665" s="230"/>
      <c r="E665" s="230"/>
      <c r="F665" s="230"/>
      <c r="G665" s="230"/>
      <c r="H665" s="230"/>
      <c r="I665" s="230"/>
      <c r="J665" s="230"/>
      <c r="K665" s="230"/>
      <c r="L665" s="230"/>
      <c r="M665" s="230"/>
      <c r="N665" s="230"/>
      <c r="O665" s="230"/>
      <c r="P665" s="230"/>
      <c r="Q665" s="230"/>
      <c r="R665" s="395"/>
    </row>
    <row r="666" spans="2:18" x14ac:dyDescent="0.25">
      <c r="B666" s="394"/>
      <c r="C666" s="230"/>
      <c r="D666" s="230"/>
      <c r="E666" s="230"/>
      <c r="F666" s="230"/>
      <c r="G666" s="230"/>
      <c r="H666" s="230"/>
      <c r="I666" s="230"/>
      <c r="J666" s="230"/>
      <c r="K666" s="230"/>
      <c r="L666" s="230"/>
      <c r="M666" s="230"/>
      <c r="N666" s="230"/>
      <c r="O666" s="230"/>
      <c r="P666" s="230"/>
      <c r="Q666" s="230"/>
      <c r="R666" s="395"/>
    </row>
    <row r="667" spans="2:18" x14ac:dyDescent="0.25">
      <c r="B667" s="394"/>
      <c r="C667" s="230"/>
      <c r="D667" s="230"/>
      <c r="E667" s="230"/>
      <c r="F667" s="230"/>
      <c r="G667" s="230"/>
      <c r="H667" s="230"/>
      <c r="I667" s="230"/>
      <c r="J667" s="230"/>
      <c r="K667" s="230"/>
      <c r="L667" s="230"/>
      <c r="M667" s="230"/>
      <c r="N667" s="230"/>
      <c r="O667" s="230"/>
      <c r="P667" s="230"/>
      <c r="Q667" s="230"/>
      <c r="R667" s="395"/>
    </row>
    <row r="668" spans="2:18" x14ac:dyDescent="0.25">
      <c r="B668" s="394"/>
      <c r="C668" s="230"/>
      <c r="D668" s="230"/>
      <c r="E668" s="230"/>
      <c r="F668" s="230"/>
      <c r="G668" s="230"/>
      <c r="H668" s="230"/>
      <c r="I668" s="230"/>
      <c r="J668" s="230"/>
      <c r="K668" s="230"/>
      <c r="L668" s="230"/>
      <c r="M668" s="230"/>
      <c r="N668" s="230"/>
      <c r="O668" s="230"/>
      <c r="P668" s="230"/>
      <c r="Q668" s="230"/>
      <c r="R668" s="395"/>
    </row>
    <row r="669" spans="2:18" x14ac:dyDescent="0.25">
      <c r="B669" s="394"/>
      <c r="C669" s="230"/>
      <c r="D669" s="230"/>
      <c r="E669" s="230"/>
      <c r="F669" s="230"/>
      <c r="G669" s="230"/>
      <c r="H669" s="230"/>
      <c r="I669" s="230"/>
      <c r="J669" s="230"/>
      <c r="K669" s="230"/>
      <c r="L669" s="230"/>
      <c r="M669" s="230"/>
      <c r="N669" s="230"/>
      <c r="O669" s="230"/>
      <c r="P669" s="230"/>
      <c r="Q669" s="230"/>
      <c r="R669" s="395"/>
    </row>
    <row r="670" spans="2:18" x14ac:dyDescent="0.25">
      <c r="B670" s="394"/>
      <c r="C670" s="230"/>
      <c r="D670" s="230"/>
      <c r="E670" s="230"/>
      <c r="F670" s="230"/>
      <c r="G670" s="230"/>
      <c r="H670" s="230"/>
      <c r="I670" s="230"/>
      <c r="J670" s="230"/>
      <c r="K670" s="230"/>
      <c r="L670" s="230"/>
      <c r="M670" s="230"/>
      <c r="N670" s="230"/>
      <c r="O670" s="230"/>
      <c r="P670" s="230"/>
      <c r="Q670" s="230"/>
      <c r="R670" s="395"/>
    </row>
    <row r="671" spans="2:18" x14ac:dyDescent="0.25">
      <c r="B671" s="394"/>
      <c r="C671" s="230"/>
      <c r="D671" s="230"/>
      <c r="E671" s="230"/>
      <c r="F671" s="230"/>
      <c r="G671" s="230"/>
      <c r="H671" s="230"/>
      <c r="I671" s="230"/>
      <c r="J671" s="230"/>
      <c r="K671" s="230"/>
      <c r="L671" s="230"/>
      <c r="M671" s="230"/>
      <c r="N671" s="230"/>
      <c r="O671" s="230"/>
      <c r="P671" s="230"/>
      <c r="Q671" s="230"/>
      <c r="R671" s="395"/>
    </row>
    <row r="672" spans="2:18" x14ac:dyDescent="0.25">
      <c r="B672" s="394"/>
      <c r="C672" s="230"/>
      <c r="D672" s="230"/>
      <c r="E672" s="230"/>
      <c r="F672" s="230"/>
      <c r="G672" s="230"/>
      <c r="H672" s="230"/>
      <c r="I672" s="230"/>
      <c r="J672" s="230"/>
      <c r="K672" s="230"/>
      <c r="L672" s="230"/>
      <c r="M672" s="230"/>
      <c r="N672" s="230"/>
      <c r="O672" s="230"/>
      <c r="P672" s="230"/>
      <c r="Q672" s="230"/>
      <c r="R672" s="395"/>
    </row>
    <row r="673" spans="2:18" x14ac:dyDescent="0.25">
      <c r="B673" s="394"/>
      <c r="C673" s="230"/>
      <c r="D673" s="230"/>
      <c r="E673" s="230"/>
      <c r="F673" s="230"/>
      <c r="G673" s="230"/>
      <c r="H673" s="230"/>
      <c r="I673" s="230"/>
      <c r="J673" s="230"/>
      <c r="K673" s="230"/>
      <c r="L673" s="230"/>
      <c r="M673" s="230"/>
      <c r="N673" s="230"/>
      <c r="O673" s="230"/>
      <c r="P673" s="230"/>
      <c r="Q673" s="230"/>
      <c r="R673" s="395"/>
    </row>
    <row r="674" spans="2:18" x14ac:dyDescent="0.25">
      <c r="B674" s="394"/>
      <c r="C674" s="230"/>
      <c r="D674" s="230"/>
      <c r="E674" s="230"/>
      <c r="F674" s="230"/>
      <c r="G674" s="230"/>
      <c r="H674" s="230"/>
      <c r="I674" s="230"/>
      <c r="J674" s="230"/>
      <c r="K674" s="230"/>
      <c r="L674" s="230"/>
      <c r="M674" s="230"/>
      <c r="N674" s="230"/>
      <c r="O674" s="230"/>
      <c r="P674" s="230"/>
      <c r="Q674" s="230"/>
      <c r="R674" s="395"/>
    </row>
    <row r="675" spans="2:18" x14ac:dyDescent="0.25">
      <c r="B675" s="394"/>
      <c r="C675" s="230"/>
      <c r="D675" s="230"/>
      <c r="E675" s="230"/>
      <c r="F675" s="230"/>
      <c r="G675" s="230"/>
      <c r="H675" s="230"/>
      <c r="I675" s="230"/>
      <c r="J675" s="230"/>
      <c r="K675" s="230"/>
      <c r="L675" s="230"/>
      <c r="M675" s="230"/>
      <c r="N675" s="230"/>
      <c r="O675" s="230"/>
      <c r="P675" s="230"/>
      <c r="Q675" s="230"/>
      <c r="R675" s="395"/>
    </row>
    <row r="676" spans="2:18" x14ac:dyDescent="0.25">
      <c r="B676" s="394"/>
      <c r="C676" s="230"/>
      <c r="D676" s="230"/>
      <c r="E676" s="230"/>
      <c r="F676" s="230"/>
      <c r="G676" s="230"/>
      <c r="H676" s="230"/>
      <c r="I676" s="230"/>
      <c r="J676" s="230"/>
      <c r="K676" s="230"/>
      <c r="L676" s="230"/>
      <c r="M676" s="230"/>
      <c r="N676" s="230"/>
      <c r="O676" s="230"/>
      <c r="P676" s="230"/>
      <c r="Q676" s="230"/>
      <c r="R676" s="395"/>
    </row>
    <row r="677" spans="2:18" x14ac:dyDescent="0.25">
      <c r="B677" s="394"/>
      <c r="C677" s="230"/>
      <c r="D677" s="230"/>
      <c r="E677" s="230"/>
      <c r="F677" s="230"/>
      <c r="G677" s="230"/>
      <c r="H677" s="230"/>
      <c r="I677" s="230"/>
      <c r="J677" s="230"/>
      <c r="K677" s="230"/>
      <c r="L677" s="230"/>
      <c r="M677" s="230"/>
      <c r="N677" s="230"/>
      <c r="O677" s="230"/>
      <c r="P677" s="230"/>
      <c r="Q677" s="230"/>
      <c r="R677" s="395"/>
    </row>
    <row r="678" spans="2:18" x14ac:dyDescent="0.25">
      <c r="B678" s="394"/>
      <c r="C678" s="230"/>
      <c r="D678" s="230"/>
      <c r="E678" s="230"/>
      <c r="F678" s="230"/>
      <c r="G678" s="230"/>
      <c r="H678" s="230"/>
      <c r="I678" s="230"/>
      <c r="J678" s="230"/>
      <c r="K678" s="230"/>
      <c r="L678" s="230"/>
      <c r="M678" s="230"/>
      <c r="N678" s="230"/>
      <c r="O678" s="230"/>
      <c r="P678" s="230"/>
      <c r="Q678" s="230"/>
      <c r="R678" s="395"/>
    </row>
    <row r="679" spans="2:18" x14ac:dyDescent="0.25">
      <c r="B679" s="394"/>
      <c r="C679" s="230"/>
      <c r="D679" s="230"/>
      <c r="E679" s="230"/>
      <c r="F679" s="230"/>
      <c r="G679" s="230"/>
      <c r="H679" s="230"/>
      <c r="I679" s="230"/>
      <c r="J679" s="230"/>
      <c r="K679" s="230"/>
      <c r="L679" s="230"/>
      <c r="M679" s="230"/>
      <c r="N679" s="230"/>
      <c r="O679" s="230"/>
      <c r="P679" s="230"/>
      <c r="Q679" s="230"/>
      <c r="R679" s="395"/>
    </row>
    <row r="680" spans="2:18" x14ac:dyDescent="0.25">
      <c r="B680" s="394"/>
      <c r="C680" s="230"/>
      <c r="D680" s="230"/>
      <c r="E680" s="230"/>
      <c r="F680" s="230"/>
      <c r="G680" s="230"/>
      <c r="H680" s="230"/>
      <c r="I680" s="230"/>
      <c r="J680" s="230"/>
      <c r="K680" s="230"/>
      <c r="L680" s="230"/>
      <c r="M680" s="230"/>
      <c r="N680" s="230"/>
      <c r="O680" s="230"/>
      <c r="P680" s="230"/>
      <c r="Q680" s="230"/>
      <c r="R680" s="395"/>
    </row>
    <row r="681" spans="2:18" x14ac:dyDescent="0.25">
      <c r="B681" s="394"/>
      <c r="C681" s="230"/>
      <c r="D681" s="230"/>
      <c r="E681" s="230"/>
      <c r="F681" s="230"/>
      <c r="G681" s="230"/>
      <c r="H681" s="230"/>
      <c r="I681" s="230"/>
      <c r="J681" s="230"/>
      <c r="K681" s="230"/>
      <c r="L681" s="230"/>
      <c r="M681" s="230"/>
      <c r="N681" s="230"/>
      <c r="O681" s="230"/>
      <c r="P681" s="230"/>
      <c r="Q681" s="230"/>
      <c r="R681" s="395"/>
    </row>
    <row r="682" spans="2:18" x14ac:dyDescent="0.25">
      <c r="B682" s="394"/>
      <c r="C682" s="230"/>
      <c r="D682" s="230"/>
      <c r="E682" s="230"/>
      <c r="F682" s="230"/>
      <c r="G682" s="230"/>
      <c r="H682" s="230"/>
      <c r="I682" s="230"/>
      <c r="J682" s="230"/>
      <c r="K682" s="230"/>
      <c r="L682" s="230"/>
      <c r="M682" s="230"/>
      <c r="N682" s="230"/>
      <c r="O682" s="230"/>
      <c r="P682" s="230"/>
      <c r="Q682" s="230"/>
      <c r="R682" s="395"/>
    </row>
    <row r="683" spans="2:18" x14ac:dyDescent="0.25">
      <c r="B683" s="394"/>
      <c r="C683" s="230"/>
      <c r="D683" s="230"/>
      <c r="E683" s="230"/>
      <c r="F683" s="230"/>
      <c r="G683" s="230"/>
      <c r="H683" s="230"/>
      <c r="I683" s="230"/>
      <c r="J683" s="230"/>
      <c r="K683" s="230"/>
      <c r="L683" s="230"/>
      <c r="M683" s="230"/>
      <c r="N683" s="230"/>
      <c r="O683" s="230"/>
      <c r="P683" s="230"/>
      <c r="Q683" s="230"/>
      <c r="R683" s="395"/>
    </row>
    <row r="684" spans="2:18" x14ac:dyDescent="0.25">
      <c r="B684" s="394"/>
      <c r="C684" s="230"/>
      <c r="D684" s="230"/>
      <c r="E684" s="230"/>
      <c r="F684" s="230"/>
      <c r="G684" s="230"/>
      <c r="H684" s="230"/>
      <c r="I684" s="230"/>
      <c r="J684" s="230"/>
      <c r="K684" s="230"/>
      <c r="L684" s="230"/>
      <c r="M684" s="230"/>
      <c r="N684" s="230"/>
      <c r="O684" s="230"/>
      <c r="P684" s="230"/>
      <c r="Q684" s="230"/>
      <c r="R684" s="395"/>
    </row>
    <row r="685" spans="2:18" x14ac:dyDescent="0.25">
      <c r="B685" s="394"/>
      <c r="C685" s="230"/>
      <c r="D685" s="230"/>
      <c r="E685" s="230"/>
      <c r="F685" s="230"/>
      <c r="G685" s="230"/>
      <c r="H685" s="230"/>
      <c r="I685" s="230"/>
      <c r="J685" s="230"/>
      <c r="K685" s="230"/>
      <c r="L685" s="230"/>
      <c r="M685" s="230"/>
      <c r="N685" s="230"/>
      <c r="O685" s="230"/>
      <c r="P685" s="230"/>
      <c r="Q685" s="230"/>
      <c r="R685" s="395"/>
    </row>
    <row r="686" spans="2:18" x14ac:dyDescent="0.25">
      <c r="B686" s="394"/>
      <c r="C686" s="230"/>
      <c r="D686" s="230"/>
      <c r="E686" s="230"/>
      <c r="F686" s="230"/>
      <c r="G686" s="230"/>
      <c r="H686" s="230"/>
      <c r="I686" s="230"/>
      <c r="J686" s="230"/>
      <c r="K686" s="230"/>
      <c r="L686" s="230"/>
      <c r="M686" s="230"/>
      <c r="N686" s="230"/>
      <c r="O686" s="230"/>
      <c r="P686" s="230"/>
      <c r="Q686" s="230"/>
      <c r="R686" s="395"/>
    </row>
    <row r="687" spans="2:18" x14ac:dyDescent="0.25">
      <c r="B687" s="394"/>
      <c r="C687" s="230"/>
      <c r="D687" s="230"/>
      <c r="E687" s="230"/>
      <c r="F687" s="230"/>
      <c r="G687" s="230"/>
      <c r="H687" s="230"/>
      <c r="I687" s="230"/>
      <c r="J687" s="230"/>
      <c r="K687" s="230"/>
      <c r="L687" s="230"/>
      <c r="M687" s="230"/>
      <c r="N687" s="230"/>
      <c r="O687" s="230"/>
      <c r="P687" s="230"/>
      <c r="Q687" s="230"/>
      <c r="R687" s="395"/>
    </row>
    <row r="688" spans="2:18" x14ac:dyDescent="0.25">
      <c r="B688" s="394"/>
      <c r="C688" s="230"/>
      <c r="D688" s="230"/>
      <c r="E688" s="230"/>
      <c r="F688" s="230"/>
      <c r="G688" s="230"/>
      <c r="H688" s="230"/>
      <c r="I688" s="230"/>
      <c r="J688" s="230"/>
      <c r="K688" s="230"/>
      <c r="L688" s="230"/>
      <c r="M688" s="230"/>
      <c r="N688" s="230"/>
      <c r="O688" s="230"/>
      <c r="P688" s="230"/>
      <c r="Q688" s="230"/>
      <c r="R688" s="395"/>
    </row>
    <row r="689" spans="2:18" x14ac:dyDescent="0.25">
      <c r="B689" s="394"/>
      <c r="C689" s="230"/>
      <c r="D689" s="230"/>
      <c r="E689" s="230"/>
      <c r="F689" s="230"/>
      <c r="G689" s="230"/>
      <c r="H689" s="230"/>
      <c r="I689" s="230"/>
      <c r="J689" s="230"/>
      <c r="K689" s="230"/>
      <c r="L689" s="230"/>
      <c r="M689" s="230"/>
      <c r="N689" s="230"/>
      <c r="O689" s="230"/>
      <c r="P689" s="230"/>
      <c r="Q689" s="230"/>
      <c r="R689" s="395"/>
    </row>
    <row r="690" spans="2:18" x14ac:dyDescent="0.25">
      <c r="B690" s="394"/>
      <c r="C690" s="230"/>
      <c r="D690" s="230"/>
      <c r="E690" s="230"/>
      <c r="F690" s="230"/>
      <c r="G690" s="230"/>
      <c r="H690" s="230"/>
      <c r="I690" s="230"/>
      <c r="J690" s="230"/>
      <c r="K690" s="230"/>
      <c r="L690" s="230"/>
      <c r="M690" s="230"/>
      <c r="N690" s="230"/>
      <c r="O690" s="230"/>
      <c r="P690" s="230"/>
      <c r="Q690" s="230"/>
      <c r="R690" s="395"/>
    </row>
    <row r="691" spans="2:18" x14ac:dyDescent="0.25">
      <c r="B691" s="394"/>
      <c r="C691" s="230"/>
      <c r="D691" s="230"/>
      <c r="E691" s="230"/>
      <c r="F691" s="230"/>
      <c r="G691" s="230"/>
      <c r="H691" s="230"/>
      <c r="I691" s="230"/>
      <c r="J691" s="230"/>
      <c r="K691" s="230"/>
      <c r="L691" s="230"/>
      <c r="M691" s="230"/>
      <c r="N691" s="230"/>
      <c r="O691" s="230"/>
      <c r="P691" s="230"/>
      <c r="Q691" s="230"/>
      <c r="R691" s="395"/>
    </row>
    <row r="692" spans="2:18" x14ac:dyDescent="0.25">
      <c r="B692" s="394"/>
      <c r="C692" s="230"/>
      <c r="D692" s="230"/>
      <c r="E692" s="230"/>
      <c r="F692" s="230"/>
      <c r="G692" s="230"/>
      <c r="H692" s="230"/>
      <c r="I692" s="230"/>
      <c r="J692" s="230"/>
      <c r="K692" s="230"/>
      <c r="L692" s="230"/>
      <c r="M692" s="230"/>
      <c r="N692" s="230"/>
      <c r="O692" s="230"/>
      <c r="P692" s="230"/>
      <c r="Q692" s="230"/>
      <c r="R692" s="395"/>
    </row>
    <row r="693" spans="2:18" x14ac:dyDescent="0.25">
      <c r="B693" s="394"/>
      <c r="C693" s="230"/>
      <c r="D693" s="230"/>
      <c r="E693" s="230"/>
      <c r="F693" s="230"/>
      <c r="G693" s="230"/>
      <c r="H693" s="230"/>
      <c r="I693" s="230"/>
      <c r="J693" s="230"/>
      <c r="K693" s="230"/>
      <c r="L693" s="230"/>
      <c r="M693" s="230"/>
      <c r="N693" s="230"/>
      <c r="O693" s="230"/>
      <c r="P693" s="230"/>
      <c r="Q693" s="230"/>
      <c r="R693" s="395"/>
    </row>
    <row r="694" spans="2:18" x14ac:dyDescent="0.25">
      <c r="B694" s="394"/>
      <c r="C694" s="230"/>
      <c r="D694" s="230"/>
      <c r="E694" s="230"/>
      <c r="F694" s="230"/>
      <c r="G694" s="230"/>
      <c r="H694" s="230"/>
      <c r="I694" s="230"/>
      <c r="J694" s="230"/>
      <c r="K694" s="230"/>
      <c r="L694" s="230"/>
      <c r="M694" s="230"/>
      <c r="N694" s="230"/>
      <c r="O694" s="230"/>
      <c r="P694" s="230"/>
      <c r="Q694" s="230"/>
      <c r="R694" s="395"/>
    </row>
    <row r="695" spans="2:18" x14ac:dyDescent="0.25">
      <c r="B695" s="394"/>
      <c r="C695" s="230"/>
      <c r="D695" s="230"/>
      <c r="E695" s="230"/>
      <c r="F695" s="230"/>
      <c r="G695" s="230"/>
      <c r="H695" s="230"/>
      <c r="I695" s="230"/>
      <c r="J695" s="230"/>
      <c r="K695" s="230"/>
      <c r="L695" s="230"/>
      <c r="M695" s="230"/>
      <c r="N695" s="230"/>
      <c r="O695" s="230"/>
      <c r="P695" s="230"/>
      <c r="Q695" s="230"/>
      <c r="R695" s="395"/>
    </row>
    <row r="696" spans="2:18" x14ac:dyDescent="0.25">
      <c r="B696" s="394"/>
      <c r="C696" s="230"/>
      <c r="D696" s="230"/>
      <c r="E696" s="230"/>
      <c r="F696" s="230"/>
      <c r="G696" s="230"/>
      <c r="H696" s="230"/>
      <c r="I696" s="230"/>
      <c r="J696" s="230"/>
      <c r="K696" s="230"/>
      <c r="L696" s="230"/>
      <c r="M696" s="230"/>
      <c r="N696" s="230"/>
      <c r="O696" s="230"/>
      <c r="P696" s="230"/>
      <c r="Q696" s="230"/>
      <c r="R696" s="395"/>
    </row>
    <row r="697" spans="2:18" x14ac:dyDescent="0.25">
      <c r="B697" s="394"/>
      <c r="C697" s="230"/>
      <c r="D697" s="230"/>
      <c r="E697" s="230"/>
      <c r="F697" s="230"/>
      <c r="G697" s="230"/>
      <c r="H697" s="230"/>
      <c r="I697" s="230"/>
      <c r="J697" s="230"/>
      <c r="K697" s="230"/>
      <c r="L697" s="230"/>
      <c r="M697" s="230"/>
      <c r="N697" s="230"/>
      <c r="O697" s="230"/>
      <c r="P697" s="230"/>
      <c r="Q697" s="230"/>
      <c r="R697" s="395"/>
    </row>
    <row r="698" spans="2:18" x14ac:dyDescent="0.25">
      <c r="B698" s="394"/>
      <c r="C698" s="230"/>
      <c r="D698" s="230"/>
      <c r="E698" s="230"/>
      <c r="F698" s="230"/>
      <c r="G698" s="230"/>
      <c r="H698" s="230"/>
      <c r="I698" s="230"/>
      <c r="J698" s="230"/>
      <c r="K698" s="230"/>
      <c r="L698" s="230"/>
      <c r="M698" s="230"/>
      <c r="N698" s="230"/>
      <c r="O698" s="230"/>
      <c r="P698" s="230"/>
      <c r="Q698" s="230"/>
      <c r="R698" s="395"/>
    </row>
    <row r="699" spans="2:18" x14ac:dyDescent="0.25">
      <c r="B699" s="394"/>
      <c r="C699" s="230"/>
      <c r="D699" s="230"/>
      <c r="E699" s="230"/>
      <c r="F699" s="230"/>
      <c r="G699" s="230"/>
      <c r="H699" s="230"/>
      <c r="I699" s="230"/>
      <c r="J699" s="230"/>
      <c r="K699" s="230"/>
      <c r="L699" s="230"/>
      <c r="M699" s="230"/>
      <c r="N699" s="230"/>
      <c r="O699" s="230"/>
      <c r="P699" s="230"/>
      <c r="Q699" s="230"/>
      <c r="R699" s="395"/>
    </row>
    <row r="700" spans="2:18" x14ac:dyDescent="0.25">
      <c r="B700" s="394"/>
      <c r="C700" s="230"/>
      <c r="D700" s="230"/>
      <c r="E700" s="230"/>
      <c r="F700" s="230"/>
      <c r="G700" s="230"/>
      <c r="H700" s="230"/>
      <c r="I700" s="230"/>
      <c r="J700" s="230"/>
      <c r="K700" s="230"/>
      <c r="L700" s="230"/>
      <c r="M700" s="230"/>
      <c r="N700" s="230"/>
      <c r="O700" s="230"/>
      <c r="P700" s="230"/>
      <c r="Q700" s="230"/>
      <c r="R700" s="395"/>
    </row>
    <row r="701" spans="2:18" x14ac:dyDescent="0.25">
      <c r="B701" s="394"/>
      <c r="C701" s="230"/>
      <c r="D701" s="230"/>
      <c r="E701" s="230"/>
      <c r="F701" s="230"/>
      <c r="G701" s="230"/>
      <c r="H701" s="230"/>
      <c r="I701" s="230"/>
      <c r="J701" s="230"/>
      <c r="K701" s="230"/>
      <c r="L701" s="230"/>
      <c r="M701" s="230"/>
      <c r="N701" s="230"/>
      <c r="O701" s="230"/>
      <c r="P701" s="230"/>
      <c r="Q701" s="230"/>
      <c r="R701" s="395"/>
    </row>
    <row r="702" spans="2:18" x14ac:dyDescent="0.25">
      <c r="B702" s="394"/>
      <c r="C702" s="230"/>
      <c r="D702" s="230"/>
      <c r="E702" s="230"/>
      <c r="F702" s="230"/>
      <c r="G702" s="230"/>
      <c r="H702" s="230"/>
      <c r="I702" s="230"/>
      <c r="J702" s="230"/>
      <c r="K702" s="230"/>
      <c r="L702" s="230"/>
      <c r="M702" s="230"/>
      <c r="N702" s="230"/>
      <c r="O702" s="230"/>
      <c r="P702" s="230"/>
      <c r="Q702" s="230"/>
      <c r="R702" s="395"/>
    </row>
    <row r="703" spans="2:18" x14ac:dyDescent="0.25">
      <c r="B703" s="394"/>
      <c r="C703" s="230"/>
      <c r="D703" s="230"/>
      <c r="E703" s="230"/>
      <c r="F703" s="230"/>
      <c r="G703" s="230"/>
      <c r="H703" s="230"/>
      <c r="I703" s="230"/>
      <c r="J703" s="230"/>
      <c r="K703" s="230"/>
      <c r="L703" s="230"/>
      <c r="M703" s="230"/>
      <c r="N703" s="230"/>
      <c r="O703" s="230"/>
      <c r="P703" s="230"/>
      <c r="Q703" s="230"/>
      <c r="R703" s="395"/>
    </row>
    <row r="704" spans="2:18" x14ac:dyDescent="0.25">
      <c r="B704" s="394"/>
      <c r="C704" s="230"/>
      <c r="D704" s="230"/>
      <c r="E704" s="230"/>
      <c r="F704" s="230"/>
      <c r="G704" s="230"/>
      <c r="H704" s="230"/>
      <c r="I704" s="230"/>
      <c r="J704" s="230"/>
      <c r="K704" s="230"/>
      <c r="L704" s="230"/>
      <c r="M704" s="230"/>
      <c r="N704" s="230"/>
      <c r="O704" s="230"/>
      <c r="P704" s="230"/>
      <c r="Q704" s="230"/>
      <c r="R704" s="395"/>
    </row>
    <row r="705" spans="2:18" x14ac:dyDescent="0.25">
      <c r="B705" s="394"/>
      <c r="C705" s="230"/>
      <c r="D705" s="230"/>
      <c r="E705" s="230"/>
      <c r="F705" s="230"/>
      <c r="G705" s="230"/>
      <c r="H705" s="230"/>
      <c r="I705" s="230"/>
      <c r="J705" s="230"/>
      <c r="K705" s="230"/>
      <c r="L705" s="230"/>
      <c r="M705" s="230"/>
      <c r="N705" s="230"/>
      <c r="O705" s="230"/>
      <c r="P705" s="230"/>
      <c r="Q705" s="230"/>
      <c r="R705" s="395"/>
    </row>
    <row r="706" spans="2:18" x14ac:dyDescent="0.25">
      <c r="B706" s="394"/>
      <c r="C706" s="230"/>
      <c r="D706" s="230"/>
      <c r="E706" s="230"/>
      <c r="F706" s="230"/>
      <c r="G706" s="230"/>
      <c r="H706" s="230"/>
      <c r="I706" s="230"/>
      <c r="J706" s="230"/>
      <c r="K706" s="230"/>
      <c r="L706" s="230"/>
      <c r="M706" s="230"/>
      <c r="N706" s="230"/>
      <c r="O706" s="230"/>
      <c r="P706" s="230"/>
      <c r="Q706" s="230"/>
      <c r="R706" s="395"/>
    </row>
    <row r="707" spans="2:18" x14ac:dyDescent="0.25">
      <c r="B707" s="394"/>
      <c r="C707" s="230"/>
      <c r="D707" s="230"/>
      <c r="E707" s="230"/>
      <c r="F707" s="230"/>
      <c r="G707" s="230"/>
      <c r="H707" s="230"/>
      <c r="I707" s="230"/>
      <c r="J707" s="230"/>
      <c r="K707" s="230"/>
      <c r="L707" s="230"/>
      <c r="M707" s="230"/>
      <c r="N707" s="230"/>
      <c r="O707" s="230"/>
      <c r="P707" s="230"/>
      <c r="Q707" s="230"/>
      <c r="R707" s="395"/>
    </row>
    <row r="708" spans="2:18" x14ac:dyDescent="0.25">
      <c r="B708" s="394"/>
      <c r="C708" s="230"/>
      <c r="D708" s="230"/>
      <c r="E708" s="230"/>
      <c r="F708" s="230"/>
      <c r="G708" s="230"/>
      <c r="H708" s="230"/>
      <c r="I708" s="230"/>
      <c r="J708" s="230"/>
      <c r="K708" s="230"/>
      <c r="L708" s="230"/>
      <c r="M708" s="230"/>
      <c r="N708" s="230"/>
      <c r="O708" s="230"/>
      <c r="P708" s="230"/>
      <c r="Q708" s="230"/>
      <c r="R708" s="395"/>
    </row>
    <row r="709" spans="2:18" x14ac:dyDescent="0.25">
      <c r="B709" s="394"/>
      <c r="C709" s="230"/>
      <c r="D709" s="230"/>
      <c r="E709" s="230"/>
      <c r="F709" s="230"/>
      <c r="G709" s="230"/>
      <c r="H709" s="230"/>
      <c r="I709" s="230"/>
      <c r="J709" s="230"/>
      <c r="K709" s="230"/>
      <c r="L709" s="230"/>
      <c r="M709" s="230"/>
      <c r="N709" s="230"/>
      <c r="O709" s="230"/>
      <c r="P709" s="230"/>
      <c r="Q709" s="230"/>
      <c r="R709" s="395"/>
    </row>
    <row r="710" spans="2:18" x14ac:dyDescent="0.25">
      <c r="B710" s="394"/>
      <c r="C710" s="230"/>
      <c r="D710" s="230"/>
      <c r="E710" s="230"/>
      <c r="F710" s="230"/>
      <c r="G710" s="230"/>
      <c r="H710" s="230"/>
      <c r="I710" s="230"/>
      <c r="J710" s="230"/>
      <c r="K710" s="230"/>
      <c r="L710" s="230"/>
      <c r="M710" s="230"/>
      <c r="N710" s="230"/>
      <c r="O710" s="230"/>
      <c r="P710" s="230"/>
      <c r="Q710" s="230"/>
      <c r="R710" s="395"/>
    </row>
    <row r="711" spans="2:18" x14ac:dyDescent="0.25">
      <c r="B711" s="394"/>
      <c r="C711" s="230"/>
      <c r="D711" s="230"/>
      <c r="E711" s="230"/>
      <c r="F711" s="230"/>
      <c r="G711" s="230"/>
      <c r="H711" s="230"/>
      <c r="I711" s="230"/>
      <c r="J711" s="230"/>
      <c r="K711" s="230"/>
      <c r="L711" s="230"/>
      <c r="M711" s="230"/>
      <c r="N711" s="230"/>
      <c r="O711" s="230"/>
      <c r="P711" s="230"/>
      <c r="Q711" s="230"/>
      <c r="R711" s="395"/>
    </row>
    <row r="712" spans="2:18" x14ac:dyDescent="0.25">
      <c r="B712" s="394"/>
      <c r="C712" s="230"/>
      <c r="D712" s="230"/>
      <c r="E712" s="230"/>
      <c r="F712" s="230"/>
      <c r="G712" s="230"/>
      <c r="H712" s="230"/>
      <c r="I712" s="230"/>
      <c r="J712" s="230"/>
      <c r="K712" s="230"/>
      <c r="L712" s="230"/>
      <c r="M712" s="230"/>
      <c r="N712" s="230"/>
      <c r="O712" s="230"/>
      <c r="P712" s="230"/>
      <c r="Q712" s="230"/>
      <c r="R712" s="395"/>
    </row>
    <row r="713" spans="2:18" x14ac:dyDescent="0.25">
      <c r="B713" s="394"/>
      <c r="C713" s="230"/>
      <c r="D713" s="230"/>
      <c r="E713" s="230"/>
      <c r="F713" s="230"/>
      <c r="G713" s="230"/>
      <c r="H713" s="230"/>
      <c r="I713" s="230"/>
      <c r="J713" s="230"/>
      <c r="K713" s="230"/>
      <c r="L713" s="230"/>
      <c r="M713" s="230"/>
      <c r="N713" s="230"/>
      <c r="O713" s="230"/>
      <c r="P713" s="230"/>
      <c r="Q713" s="230"/>
      <c r="R713" s="395"/>
    </row>
    <row r="714" spans="2:18" x14ac:dyDescent="0.25">
      <c r="B714" s="394"/>
      <c r="C714" s="230"/>
      <c r="D714" s="230"/>
      <c r="E714" s="230"/>
      <c r="F714" s="230"/>
      <c r="G714" s="230"/>
      <c r="H714" s="230"/>
      <c r="I714" s="230"/>
      <c r="J714" s="230"/>
      <c r="K714" s="230"/>
      <c r="L714" s="230"/>
      <c r="M714" s="230"/>
      <c r="N714" s="230"/>
      <c r="O714" s="230"/>
      <c r="P714" s="230"/>
      <c r="Q714" s="230"/>
      <c r="R714" s="395"/>
    </row>
    <row r="715" spans="2:18" x14ac:dyDescent="0.25">
      <c r="B715" s="394"/>
      <c r="C715" s="230"/>
      <c r="D715" s="230"/>
      <c r="E715" s="230"/>
      <c r="F715" s="230"/>
      <c r="G715" s="230"/>
      <c r="H715" s="230"/>
      <c r="I715" s="230"/>
      <c r="J715" s="230"/>
      <c r="K715" s="230"/>
      <c r="L715" s="230"/>
      <c r="M715" s="230"/>
      <c r="N715" s="230"/>
      <c r="O715" s="230"/>
      <c r="P715" s="230"/>
      <c r="Q715" s="230"/>
      <c r="R715" s="395"/>
    </row>
    <row r="716" spans="2:18" x14ac:dyDescent="0.25">
      <c r="B716" s="394"/>
      <c r="C716" s="230"/>
      <c r="D716" s="230"/>
      <c r="E716" s="230"/>
      <c r="F716" s="230"/>
      <c r="G716" s="230"/>
      <c r="H716" s="230"/>
      <c r="I716" s="230"/>
      <c r="J716" s="230"/>
      <c r="K716" s="230"/>
      <c r="L716" s="230"/>
      <c r="M716" s="230"/>
      <c r="N716" s="230"/>
      <c r="O716" s="230"/>
      <c r="P716" s="230"/>
      <c r="Q716" s="230"/>
      <c r="R716" s="395"/>
    </row>
    <row r="717" spans="2:18" x14ac:dyDescent="0.25">
      <c r="B717" s="394"/>
      <c r="C717" s="230"/>
      <c r="D717" s="230"/>
      <c r="E717" s="230"/>
      <c r="F717" s="230"/>
      <c r="G717" s="230"/>
      <c r="H717" s="230"/>
      <c r="I717" s="230"/>
      <c r="J717" s="230"/>
      <c r="K717" s="230"/>
      <c r="L717" s="230"/>
      <c r="M717" s="230"/>
      <c r="N717" s="230"/>
      <c r="O717" s="230"/>
      <c r="P717" s="230"/>
      <c r="Q717" s="230"/>
      <c r="R717" s="395"/>
    </row>
    <row r="718" spans="2:18" x14ac:dyDescent="0.25">
      <c r="B718" s="394"/>
      <c r="C718" s="230"/>
      <c r="D718" s="230"/>
      <c r="E718" s="230"/>
      <c r="F718" s="230"/>
      <c r="G718" s="230"/>
      <c r="H718" s="230"/>
      <c r="I718" s="230"/>
      <c r="J718" s="230"/>
      <c r="K718" s="230"/>
      <c r="L718" s="230"/>
      <c r="M718" s="230"/>
      <c r="N718" s="230"/>
      <c r="O718" s="230"/>
      <c r="P718" s="230"/>
      <c r="Q718" s="230"/>
      <c r="R718" s="395"/>
    </row>
    <row r="719" spans="2:18" x14ac:dyDescent="0.25">
      <c r="B719" s="394"/>
      <c r="C719" s="230"/>
      <c r="D719" s="230"/>
      <c r="E719" s="230"/>
      <c r="F719" s="230"/>
      <c r="G719" s="230"/>
      <c r="H719" s="230"/>
      <c r="I719" s="230"/>
      <c r="J719" s="230"/>
      <c r="K719" s="230"/>
      <c r="L719" s="230"/>
      <c r="M719" s="230"/>
      <c r="N719" s="230"/>
      <c r="O719" s="230"/>
      <c r="P719" s="230"/>
      <c r="Q719" s="230"/>
      <c r="R719" s="395"/>
    </row>
    <row r="720" spans="2:18" x14ac:dyDescent="0.25">
      <c r="B720" s="394"/>
      <c r="C720" s="230"/>
      <c r="D720" s="230"/>
      <c r="E720" s="230"/>
      <c r="F720" s="230"/>
      <c r="G720" s="230"/>
      <c r="H720" s="230"/>
      <c r="I720" s="230"/>
      <c r="J720" s="230"/>
      <c r="K720" s="230"/>
      <c r="L720" s="230"/>
      <c r="M720" s="230"/>
      <c r="N720" s="230"/>
      <c r="O720" s="230"/>
      <c r="P720" s="230"/>
      <c r="Q720" s="230"/>
      <c r="R720" s="395"/>
    </row>
    <row r="721" spans="2:18" x14ac:dyDescent="0.25">
      <c r="B721" s="394"/>
      <c r="C721" s="230"/>
      <c r="D721" s="230"/>
      <c r="E721" s="230"/>
      <c r="F721" s="230"/>
      <c r="G721" s="230"/>
      <c r="H721" s="230"/>
      <c r="I721" s="230"/>
      <c r="J721" s="230"/>
      <c r="K721" s="230"/>
      <c r="L721" s="230"/>
      <c r="M721" s="230"/>
      <c r="N721" s="230"/>
      <c r="O721" s="230"/>
      <c r="P721" s="230"/>
      <c r="Q721" s="230"/>
      <c r="R721" s="395"/>
    </row>
    <row r="722" spans="2:18" x14ac:dyDescent="0.25">
      <c r="B722" s="394"/>
      <c r="C722" s="230"/>
      <c r="D722" s="230"/>
      <c r="E722" s="230"/>
      <c r="F722" s="230"/>
      <c r="G722" s="230"/>
      <c r="H722" s="230"/>
      <c r="I722" s="230"/>
      <c r="J722" s="230"/>
      <c r="K722" s="230"/>
      <c r="L722" s="230"/>
      <c r="M722" s="230"/>
      <c r="N722" s="230"/>
      <c r="O722" s="230"/>
      <c r="P722" s="230"/>
      <c r="Q722" s="230"/>
      <c r="R722" s="395"/>
    </row>
    <row r="723" spans="2:18" x14ac:dyDescent="0.25">
      <c r="B723" s="394"/>
      <c r="C723" s="230"/>
      <c r="D723" s="230"/>
      <c r="E723" s="230"/>
      <c r="F723" s="230"/>
      <c r="G723" s="230"/>
      <c r="H723" s="230"/>
      <c r="I723" s="230"/>
      <c r="J723" s="230"/>
      <c r="K723" s="230"/>
      <c r="L723" s="230"/>
      <c r="M723" s="230"/>
      <c r="N723" s="230"/>
      <c r="O723" s="230"/>
      <c r="P723" s="230"/>
      <c r="Q723" s="230"/>
      <c r="R723" s="395"/>
    </row>
    <row r="724" spans="2:18" x14ac:dyDescent="0.25">
      <c r="B724" s="394"/>
      <c r="C724" s="230"/>
      <c r="D724" s="230"/>
      <c r="E724" s="230"/>
      <c r="F724" s="230"/>
      <c r="G724" s="230"/>
      <c r="H724" s="230"/>
      <c r="I724" s="230"/>
      <c r="J724" s="230"/>
      <c r="K724" s="230"/>
      <c r="L724" s="230"/>
      <c r="M724" s="230"/>
      <c r="N724" s="230"/>
      <c r="O724" s="230"/>
      <c r="P724" s="230"/>
      <c r="Q724" s="230"/>
      <c r="R724" s="395"/>
    </row>
    <row r="725" spans="2:18" x14ac:dyDescent="0.25">
      <c r="B725" s="394"/>
      <c r="C725" s="230"/>
      <c r="D725" s="230"/>
      <c r="E725" s="230"/>
      <c r="F725" s="230"/>
      <c r="G725" s="230"/>
      <c r="H725" s="230"/>
      <c r="I725" s="230"/>
      <c r="J725" s="230"/>
      <c r="K725" s="230"/>
      <c r="L725" s="230"/>
      <c r="M725" s="230"/>
      <c r="N725" s="230"/>
      <c r="O725" s="230"/>
      <c r="P725" s="230"/>
      <c r="Q725" s="230"/>
      <c r="R725" s="395"/>
    </row>
    <row r="726" spans="2:18" x14ac:dyDescent="0.25">
      <c r="B726" s="394"/>
      <c r="C726" s="230"/>
      <c r="D726" s="230"/>
      <c r="E726" s="230"/>
      <c r="F726" s="230"/>
      <c r="G726" s="230"/>
      <c r="H726" s="230"/>
      <c r="I726" s="230"/>
      <c r="J726" s="230"/>
      <c r="K726" s="230"/>
      <c r="L726" s="230"/>
      <c r="M726" s="230"/>
      <c r="N726" s="230"/>
      <c r="O726" s="230"/>
      <c r="P726" s="230"/>
      <c r="Q726" s="230"/>
      <c r="R726" s="395"/>
    </row>
    <row r="727" spans="2:18" x14ac:dyDescent="0.25">
      <c r="B727" s="394"/>
      <c r="C727" s="230"/>
      <c r="D727" s="230"/>
      <c r="E727" s="230"/>
      <c r="F727" s="230"/>
      <c r="G727" s="230"/>
      <c r="H727" s="230"/>
      <c r="I727" s="230"/>
      <c r="J727" s="230"/>
      <c r="K727" s="230"/>
      <c r="L727" s="230"/>
      <c r="M727" s="230"/>
      <c r="N727" s="230"/>
      <c r="O727" s="230"/>
      <c r="P727" s="230"/>
      <c r="Q727" s="230"/>
      <c r="R727" s="395"/>
    </row>
    <row r="728" spans="2:18" x14ac:dyDescent="0.25">
      <c r="B728" s="394"/>
      <c r="C728" s="230"/>
      <c r="D728" s="230"/>
      <c r="E728" s="230"/>
      <c r="F728" s="230"/>
      <c r="G728" s="230"/>
      <c r="H728" s="230"/>
      <c r="I728" s="230"/>
      <c r="J728" s="230"/>
      <c r="K728" s="230"/>
      <c r="L728" s="230"/>
      <c r="M728" s="230"/>
      <c r="N728" s="230"/>
      <c r="O728" s="230"/>
      <c r="P728" s="230"/>
      <c r="Q728" s="230"/>
      <c r="R728" s="395"/>
    </row>
    <row r="729" spans="2:18" x14ac:dyDescent="0.25">
      <c r="B729" s="394"/>
      <c r="C729" s="230"/>
      <c r="D729" s="230"/>
      <c r="E729" s="230"/>
      <c r="F729" s="230"/>
      <c r="G729" s="230"/>
      <c r="H729" s="230"/>
      <c r="I729" s="230"/>
      <c r="J729" s="230"/>
      <c r="K729" s="230"/>
      <c r="L729" s="230"/>
      <c r="M729" s="230"/>
      <c r="N729" s="230"/>
      <c r="O729" s="230"/>
      <c r="P729" s="230"/>
      <c r="Q729" s="230"/>
      <c r="R729" s="395"/>
    </row>
    <row r="730" spans="2:18" x14ac:dyDescent="0.25">
      <c r="B730" s="394"/>
      <c r="C730" s="230"/>
      <c r="D730" s="230"/>
      <c r="E730" s="230"/>
      <c r="F730" s="230"/>
      <c r="G730" s="230"/>
      <c r="H730" s="230"/>
      <c r="I730" s="230"/>
      <c r="J730" s="230"/>
      <c r="K730" s="230"/>
      <c r="L730" s="230"/>
      <c r="M730" s="230"/>
      <c r="N730" s="230"/>
      <c r="O730" s="230"/>
      <c r="P730" s="230"/>
      <c r="Q730" s="230"/>
      <c r="R730" s="395"/>
    </row>
    <row r="731" spans="2:18" x14ac:dyDescent="0.25">
      <c r="B731" s="394"/>
      <c r="C731" s="230"/>
      <c r="D731" s="230"/>
      <c r="E731" s="230"/>
      <c r="F731" s="230"/>
      <c r="G731" s="230"/>
      <c r="H731" s="230"/>
      <c r="I731" s="230"/>
      <c r="J731" s="230"/>
      <c r="K731" s="230"/>
      <c r="L731" s="230"/>
      <c r="M731" s="230"/>
      <c r="N731" s="230"/>
      <c r="O731" s="230"/>
      <c r="P731" s="230"/>
      <c r="Q731" s="230"/>
      <c r="R731" s="395"/>
    </row>
    <row r="732" spans="2:18" x14ac:dyDescent="0.25">
      <c r="B732" s="394"/>
      <c r="C732" s="230"/>
      <c r="D732" s="230"/>
      <c r="E732" s="230"/>
      <c r="F732" s="230"/>
      <c r="G732" s="230"/>
      <c r="H732" s="230"/>
      <c r="I732" s="230"/>
      <c r="J732" s="230"/>
      <c r="K732" s="230"/>
      <c r="L732" s="230"/>
      <c r="M732" s="230"/>
      <c r="N732" s="230"/>
      <c r="O732" s="230"/>
      <c r="P732" s="230"/>
      <c r="Q732" s="230"/>
      <c r="R732" s="395"/>
    </row>
    <row r="733" spans="2:18" x14ac:dyDescent="0.25">
      <c r="B733" s="394"/>
      <c r="C733" s="230"/>
      <c r="D733" s="230"/>
      <c r="E733" s="230"/>
      <c r="F733" s="230"/>
      <c r="G733" s="230"/>
      <c r="H733" s="230"/>
      <c r="I733" s="230"/>
      <c r="J733" s="230"/>
      <c r="K733" s="230"/>
      <c r="L733" s="230"/>
      <c r="M733" s="230"/>
      <c r="N733" s="230"/>
      <c r="O733" s="230"/>
      <c r="P733" s="230"/>
      <c r="Q733" s="230"/>
      <c r="R733" s="395"/>
    </row>
    <row r="734" spans="2:18" x14ac:dyDescent="0.25">
      <c r="B734" s="394"/>
      <c r="C734" s="230"/>
      <c r="D734" s="230"/>
      <c r="E734" s="230"/>
      <c r="F734" s="230"/>
      <c r="G734" s="230"/>
      <c r="H734" s="230"/>
      <c r="I734" s="230"/>
      <c r="J734" s="230"/>
      <c r="K734" s="230"/>
      <c r="L734" s="230"/>
      <c r="M734" s="230"/>
      <c r="N734" s="230"/>
      <c r="O734" s="230"/>
      <c r="P734" s="230"/>
      <c r="Q734" s="230"/>
      <c r="R734" s="395"/>
    </row>
    <row r="735" spans="2:18" x14ac:dyDescent="0.25">
      <c r="B735" s="394"/>
      <c r="C735" s="230"/>
      <c r="D735" s="230"/>
      <c r="E735" s="230"/>
      <c r="F735" s="230"/>
      <c r="G735" s="230"/>
      <c r="H735" s="230"/>
      <c r="I735" s="230"/>
      <c r="J735" s="230"/>
      <c r="K735" s="230"/>
      <c r="L735" s="230"/>
      <c r="M735" s="230"/>
      <c r="N735" s="230"/>
      <c r="O735" s="230"/>
      <c r="P735" s="230"/>
      <c r="Q735" s="230"/>
      <c r="R735" s="395"/>
    </row>
    <row r="736" spans="2:18" x14ac:dyDescent="0.25">
      <c r="B736" s="394"/>
      <c r="C736" s="230"/>
      <c r="D736" s="230"/>
      <c r="E736" s="230"/>
      <c r="F736" s="230"/>
      <c r="G736" s="230"/>
      <c r="H736" s="230"/>
      <c r="I736" s="230"/>
      <c r="J736" s="230"/>
      <c r="K736" s="230"/>
      <c r="L736" s="230"/>
      <c r="M736" s="230"/>
      <c r="N736" s="230"/>
      <c r="O736" s="230"/>
      <c r="P736" s="230"/>
      <c r="Q736" s="230"/>
      <c r="R736" s="395"/>
    </row>
    <row r="737" spans="2:18" x14ac:dyDescent="0.25">
      <c r="B737" s="394"/>
      <c r="C737" s="230"/>
      <c r="D737" s="230"/>
      <c r="E737" s="230"/>
      <c r="F737" s="230"/>
      <c r="G737" s="230"/>
      <c r="H737" s="230"/>
      <c r="I737" s="230"/>
      <c r="J737" s="230"/>
      <c r="K737" s="230"/>
      <c r="L737" s="230"/>
      <c r="M737" s="230"/>
      <c r="N737" s="230"/>
      <c r="O737" s="230"/>
      <c r="P737" s="230"/>
      <c r="Q737" s="230"/>
      <c r="R737" s="395"/>
    </row>
    <row r="738" spans="2:18" x14ac:dyDescent="0.25">
      <c r="B738" s="394"/>
      <c r="C738" s="230"/>
      <c r="D738" s="230"/>
      <c r="E738" s="230"/>
      <c r="F738" s="230"/>
      <c r="G738" s="230"/>
      <c r="H738" s="230"/>
      <c r="I738" s="230"/>
      <c r="J738" s="230"/>
      <c r="K738" s="230"/>
      <c r="L738" s="230"/>
      <c r="M738" s="230"/>
      <c r="N738" s="230"/>
      <c r="O738" s="230"/>
      <c r="P738" s="230"/>
      <c r="Q738" s="230"/>
      <c r="R738" s="395"/>
    </row>
    <row r="739" spans="2:18" x14ac:dyDescent="0.25">
      <c r="B739" s="394"/>
      <c r="C739" s="230"/>
      <c r="D739" s="230"/>
      <c r="E739" s="230"/>
      <c r="F739" s="230"/>
      <c r="G739" s="230"/>
      <c r="H739" s="230"/>
      <c r="I739" s="230"/>
      <c r="J739" s="230"/>
      <c r="K739" s="230"/>
      <c r="L739" s="230"/>
      <c r="M739" s="230"/>
      <c r="N739" s="230"/>
      <c r="O739" s="230"/>
      <c r="P739" s="230"/>
      <c r="Q739" s="230"/>
      <c r="R739" s="395"/>
    </row>
    <row r="740" spans="2:18" x14ac:dyDescent="0.25">
      <c r="B740" s="394"/>
      <c r="C740" s="230"/>
      <c r="D740" s="230"/>
      <c r="E740" s="230"/>
      <c r="F740" s="230"/>
      <c r="G740" s="230"/>
      <c r="H740" s="230"/>
      <c r="I740" s="230"/>
      <c r="J740" s="230"/>
      <c r="K740" s="230"/>
      <c r="L740" s="230"/>
      <c r="M740" s="230"/>
      <c r="N740" s="230"/>
      <c r="O740" s="230"/>
      <c r="P740" s="230"/>
      <c r="Q740" s="230"/>
      <c r="R740" s="395"/>
    </row>
    <row r="741" spans="2:18" x14ac:dyDescent="0.25">
      <c r="B741" s="394"/>
      <c r="C741" s="230"/>
      <c r="D741" s="230"/>
      <c r="E741" s="230"/>
      <c r="F741" s="230"/>
      <c r="G741" s="230"/>
      <c r="H741" s="230"/>
      <c r="I741" s="230"/>
      <c r="J741" s="230"/>
      <c r="K741" s="230"/>
      <c r="L741" s="230"/>
      <c r="M741" s="230"/>
      <c r="N741" s="230"/>
      <c r="O741" s="230"/>
      <c r="P741" s="230"/>
      <c r="Q741" s="230"/>
      <c r="R741" s="395"/>
    </row>
    <row r="742" spans="2:18" x14ac:dyDescent="0.25">
      <c r="B742" s="394"/>
      <c r="C742" s="230"/>
      <c r="D742" s="230"/>
      <c r="E742" s="230"/>
      <c r="F742" s="230"/>
      <c r="G742" s="230"/>
      <c r="H742" s="230"/>
      <c r="I742" s="230"/>
      <c r="J742" s="230"/>
      <c r="K742" s="230"/>
      <c r="L742" s="230"/>
      <c r="M742" s="230"/>
      <c r="N742" s="230"/>
      <c r="O742" s="230"/>
      <c r="P742" s="230"/>
      <c r="Q742" s="230"/>
      <c r="R742" s="395"/>
    </row>
    <row r="743" spans="2:18" x14ac:dyDescent="0.25">
      <c r="B743" s="394"/>
      <c r="C743" s="230"/>
      <c r="D743" s="230"/>
      <c r="E743" s="230"/>
      <c r="F743" s="230"/>
      <c r="G743" s="230"/>
      <c r="H743" s="230"/>
      <c r="I743" s="230"/>
      <c r="J743" s="230"/>
      <c r="K743" s="230"/>
      <c r="L743" s="230"/>
      <c r="M743" s="230"/>
      <c r="N743" s="230"/>
      <c r="O743" s="230"/>
      <c r="P743" s="230"/>
      <c r="Q743" s="230"/>
      <c r="R743" s="395"/>
    </row>
    <row r="744" spans="2:18" x14ac:dyDescent="0.25">
      <c r="B744" s="394"/>
      <c r="C744" s="230"/>
      <c r="D744" s="230"/>
      <c r="E744" s="230"/>
      <c r="F744" s="230"/>
      <c r="G744" s="230"/>
      <c r="H744" s="230"/>
      <c r="I744" s="230"/>
      <c r="J744" s="230"/>
      <c r="K744" s="230"/>
      <c r="L744" s="230"/>
      <c r="M744" s="230"/>
      <c r="N744" s="230"/>
      <c r="O744" s="230"/>
      <c r="P744" s="230"/>
      <c r="Q744" s="230"/>
      <c r="R744" s="395"/>
    </row>
    <row r="745" spans="2:18" x14ac:dyDescent="0.25">
      <c r="B745" s="394"/>
      <c r="C745" s="230"/>
      <c r="D745" s="230"/>
      <c r="E745" s="230"/>
      <c r="F745" s="230"/>
      <c r="G745" s="230"/>
      <c r="H745" s="230"/>
      <c r="I745" s="230"/>
      <c r="J745" s="230"/>
      <c r="K745" s="230"/>
      <c r="L745" s="230"/>
      <c r="M745" s="230"/>
      <c r="N745" s="230"/>
      <c r="O745" s="230"/>
      <c r="P745" s="230"/>
      <c r="Q745" s="230"/>
      <c r="R745" s="395"/>
    </row>
    <row r="746" spans="2:18" x14ac:dyDescent="0.25">
      <c r="B746" s="394"/>
      <c r="C746" s="230"/>
      <c r="D746" s="230"/>
      <c r="E746" s="230"/>
      <c r="F746" s="230"/>
      <c r="G746" s="230"/>
      <c r="H746" s="230"/>
      <c r="I746" s="230"/>
      <c r="J746" s="230"/>
      <c r="K746" s="230"/>
      <c r="L746" s="230"/>
      <c r="M746" s="230"/>
      <c r="N746" s="230"/>
      <c r="O746" s="230"/>
      <c r="P746" s="230"/>
      <c r="Q746" s="230"/>
      <c r="R746" s="395"/>
    </row>
    <row r="747" spans="2:18" x14ac:dyDescent="0.25">
      <c r="B747" s="394"/>
      <c r="C747" s="230"/>
      <c r="D747" s="230"/>
      <c r="E747" s="230"/>
      <c r="F747" s="230"/>
      <c r="G747" s="230"/>
      <c r="H747" s="230"/>
      <c r="I747" s="230"/>
      <c r="J747" s="230"/>
      <c r="K747" s="230"/>
      <c r="L747" s="230"/>
      <c r="M747" s="230"/>
      <c r="N747" s="230"/>
      <c r="O747" s="230"/>
      <c r="P747" s="230"/>
      <c r="Q747" s="230"/>
      <c r="R747" s="395"/>
    </row>
    <row r="748" spans="2:18" x14ac:dyDescent="0.25">
      <c r="B748" s="394"/>
      <c r="C748" s="230"/>
      <c r="D748" s="230"/>
      <c r="E748" s="230"/>
      <c r="F748" s="230"/>
      <c r="G748" s="230"/>
      <c r="H748" s="230"/>
      <c r="I748" s="230"/>
      <c r="J748" s="230"/>
      <c r="K748" s="230"/>
      <c r="L748" s="230"/>
      <c r="M748" s="230"/>
      <c r="N748" s="230"/>
      <c r="O748" s="230"/>
      <c r="P748" s="230"/>
      <c r="Q748" s="230"/>
      <c r="R748" s="395"/>
    </row>
    <row r="749" spans="2:18" x14ac:dyDescent="0.25">
      <c r="B749" s="394"/>
      <c r="C749" s="230"/>
      <c r="D749" s="230"/>
      <c r="E749" s="230"/>
      <c r="F749" s="230"/>
      <c r="G749" s="230"/>
      <c r="H749" s="230"/>
      <c r="I749" s="230"/>
      <c r="J749" s="230"/>
      <c r="K749" s="230"/>
      <c r="L749" s="230"/>
      <c r="M749" s="230"/>
      <c r="N749" s="230"/>
      <c r="O749" s="230"/>
      <c r="P749" s="230"/>
      <c r="Q749" s="230"/>
      <c r="R749" s="395"/>
    </row>
    <row r="750" spans="2:18" x14ac:dyDescent="0.25">
      <c r="B750" s="394"/>
      <c r="C750" s="230"/>
      <c r="D750" s="230"/>
      <c r="E750" s="230"/>
      <c r="F750" s="230"/>
      <c r="G750" s="230"/>
      <c r="H750" s="230"/>
      <c r="I750" s="230"/>
      <c r="J750" s="230"/>
      <c r="K750" s="230"/>
      <c r="L750" s="230"/>
      <c r="M750" s="230"/>
      <c r="N750" s="230"/>
      <c r="O750" s="230"/>
      <c r="P750" s="230"/>
      <c r="Q750" s="230"/>
      <c r="R750" s="395"/>
    </row>
    <row r="751" spans="2:18" x14ac:dyDescent="0.25">
      <c r="B751" s="394"/>
      <c r="C751" s="230"/>
      <c r="D751" s="230"/>
      <c r="E751" s="230"/>
      <c r="F751" s="230"/>
      <c r="G751" s="230"/>
      <c r="H751" s="230"/>
      <c r="I751" s="230"/>
      <c r="J751" s="230"/>
      <c r="K751" s="230"/>
      <c r="L751" s="230"/>
      <c r="M751" s="230"/>
      <c r="N751" s="230"/>
      <c r="O751" s="230"/>
      <c r="P751" s="230"/>
      <c r="Q751" s="230"/>
      <c r="R751" s="395"/>
    </row>
    <row r="752" spans="2:18" x14ac:dyDescent="0.25">
      <c r="B752" s="394"/>
      <c r="C752" s="230"/>
      <c r="D752" s="230"/>
      <c r="E752" s="230"/>
      <c r="F752" s="230"/>
      <c r="G752" s="230"/>
      <c r="H752" s="230"/>
      <c r="I752" s="230"/>
      <c r="J752" s="230"/>
      <c r="K752" s="230"/>
      <c r="L752" s="230"/>
      <c r="M752" s="230"/>
      <c r="N752" s="230"/>
      <c r="O752" s="230"/>
      <c r="P752" s="230"/>
      <c r="Q752" s="230"/>
      <c r="R752" s="395"/>
    </row>
    <row r="753" spans="2:18" x14ac:dyDescent="0.25">
      <c r="B753" s="394"/>
      <c r="C753" s="230"/>
      <c r="D753" s="230"/>
      <c r="E753" s="230"/>
      <c r="F753" s="230"/>
      <c r="G753" s="230"/>
      <c r="H753" s="230"/>
      <c r="I753" s="230"/>
      <c r="J753" s="230"/>
      <c r="K753" s="230"/>
      <c r="L753" s="230"/>
      <c r="M753" s="230"/>
      <c r="N753" s="230"/>
      <c r="O753" s="230"/>
      <c r="P753" s="230"/>
      <c r="Q753" s="230"/>
      <c r="R753" s="395"/>
    </row>
    <row r="754" spans="2:18" x14ac:dyDescent="0.25">
      <c r="B754" s="394"/>
      <c r="C754" s="230"/>
      <c r="D754" s="230"/>
      <c r="E754" s="230"/>
      <c r="F754" s="230"/>
      <c r="G754" s="230"/>
      <c r="H754" s="230"/>
      <c r="I754" s="230"/>
      <c r="J754" s="230"/>
      <c r="K754" s="230"/>
      <c r="L754" s="230"/>
      <c r="M754" s="230"/>
      <c r="N754" s="230"/>
      <c r="O754" s="230"/>
      <c r="P754" s="230"/>
      <c r="Q754" s="230"/>
      <c r="R754" s="395"/>
    </row>
    <row r="755" spans="2:18" x14ac:dyDescent="0.25">
      <c r="B755" s="394"/>
      <c r="C755" s="230"/>
      <c r="D755" s="230"/>
      <c r="E755" s="230"/>
      <c r="F755" s="230"/>
      <c r="G755" s="230"/>
      <c r="H755" s="230"/>
      <c r="I755" s="230"/>
      <c r="J755" s="230"/>
      <c r="K755" s="230"/>
      <c r="L755" s="230"/>
      <c r="M755" s="230"/>
      <c r="N755" s="230"/>
      <c r="O755" s="230"/>
      <c r="P755" s="230"/>
      <c r="Q755" s="230"/>
      <c r="R755" s="395"/>
    </row>
    <row r="756" spans="2:18" x14ac:dyDescent="0.25">
      <c r="B756" s="394"/>
      <c r="C756" s="230"/>
      <c r="D756" s="230"/>
      <c r="E756" s="230"/>
      <c r="F756" s="230"/>
      <c r="G756" s="230"/>
      <c r="H756" s="230"/>
      <c r="I756" s="230"/>
      <c r="J756" s="230"/>
      <c r="K756" s="230"/>
      <c r="L756" s="230"/>
      <c r="M756" s="230"/>
      <c r="N756" s="230"/>
      <c r="O756" s="230"/>
      <c r="P756" s="230"/>
      <c r="Q756" s="230"/>
      <c r="R756" s="395"/>
    </row>
    <row r="757" spans="2:18" x14ac:dyDescent="0.25">
      <c r="B757" s="394"/>
      <c r="C757" s="230"/>
      <c r="D757" s="230"/>
      <c r="E757" s="230"/>
      <c r="F757" s="230"/>
      <c r="G757" s="230"/>
      <c r="H757" s="230"/>
      <c r="I757" s="230"/>
      <c r="J757" s="230"/>
      <c r="K757" s="230"/>
      <c r="L757" s="230"/>
      <c r="M757" s="230"/>
      <c r="N757" s="230"/>
      <c r="O757" s="230"/>
      <c r="P757" s="230"/>
      <c r="Q757" s="230"/>
      <c r="R757" s="395"/>
    </row>
    <row r="758" spans="2:18" x14ac:dyDescent="0.25">
      <c r="B758" s="394"/>
      <c r="C758" s="230"/>
      <c r="D758" s="230"/>
      <c r="E758" s="230"/>
      <c r="F758" s="230"/>
      <c r="G758" s="230"/>
      <c r="H758" s="230"/>
      <c r="I758" s="230"/>
      <c r="J758" s="230"/>
      <c r="K758" s="230"/>
      <c r="L758" s="230"/>
      <c r="M758" s="230"/>
      <c r="N758" s="230"/>
      <c r="O758" s="230"/>
      <c r="P758" s="230"/>
      <c r="Q758" s="230"/>
      <c r="R758" s="395"/>
    </row>
    <row r="759" spans="2:18" x14ac:dyDescent="0.25">
      <c r="B759" s="394"/>
      <c r="C759" s="230"/>
      <c r="D759" s="230"/>
      <c r="E759" s="230"/>
      <c r="F759" s="230"/>
      <c r="G759" s="230"/>
      <c r="H759" s="230"/>
      <c r="I759" s="230"/>
      <c r="J759" s="230"/>
      <c r="K759" s="230"/>
      <c r="L759" s="230"/>
      <c r="M759" s="230"/>
      <c r="N759" s="230"/>
      <c r="O759" s="230"/>
      <c r="P759" s="230"/>
      <c r="Q759" s="230"/>
      <c r="R759" s="395"/>
    </row>
    <row r="760" spans="2:18" x14ac:dyDescent="0.25">
      <c r="B760" s="394"/>
      <c r="C760" s="230"/>
      <c r="D760" s="230"/>
      <c r="E760" s="230"/>
      <c r="F760" s="230"/>
      <c r="G760" s="230"/>
      <c r="H760" s="230"/>
      <c r="I760" s="230"/>
      <c r="J760" s="230"/>
      <c r="K760" s="230"/>
      <c r="L760" s="230"/>
      <c r="M760" s="230"/>
      <c r="N760" s="230"/>
      <c r="O760" s="230"/>
      <c r="P760" s="230"/>
      <c r="Q760" s="230"/>
      <c r="R760" s="395"/>
    </row>
    <row r="761" spans="2:18" x14ac:dyDescent="0.25">
      <c r="B761" s="394"/>
      <c r="C761" s="230"/>
      <c r="D761" s="230"/>
      <c r="E761" s="230"/>
      <c r="F761" s="230"/>
      <c r="G761" s="230"/>
      <c r="H761" s="230"/>
      <c r="I761" s="230"/>
      <c r="J761" s="230"/>
      <c r="K761" s="230"/>
      <c r="L761" s="230"/>
      <c r="M761" s="230"/>
      <c r="N761" s="230"/>
      <c r="O761" s="230"/>
      <c r="P761" s="230"/>
      <c r="Q761" s="230"/>
      <c r="R761" s="395"/>
    </row>
    <row r="762" spans="2:18" x14ac:dyDescent="0.25">
      <c r="B762" s="394"/>
      <c r="C762" s="230"/>
      <c r="D762" s="230"/>
      <c r="E762" s="230"/>
      <c r="F762" s="230"/>
      <c r="G762" s="230"/>
      <c r="H762" s="230"/>
      <c r="I762" s="230"/>
      <c r="J762" s="230"/>
      <c r="K762" s="230"/>
      <c r="L762" s="230"/>
      <c r="M762" s="230"/>
      <c r="N762" s="230"/>
      <c r="O762" s="230"/>
      <c r="P762" s="230"/>
      <c r="Q762" s="230"/>
      <c r="R762" s="395"/>
    </row>
    <row r="763" spans="2:18" x14ac:dyDescent="0.25">
      <c r="B763" s="394"/>
      <c r="C763" s="230"/>
      <c r="D763" s="230"/>
      <c r="E763" s="230"/>
      <c r="F763" s="230"/>
      <c r="G763" s="230"/>
      <c r="H763" s="230"/>
      <c r="I763" s="230"/>
      <c r="J763" s="230"/>
      <c r="K763" s="230"/>
      <c r="L763" s="230"/>
      <c r="M763" s="230"/>
      <c r="N763" s="230"/>
      <c r="O763" s="230"/>
      <c r="P763" s="230"/>
      <c r="Q763" s="230"/>
      <c r="R763" s="395"/>
    </row>
    <row r="764" spans="2:18" x14ac:dyDescent="0.25">
      <c r="B764" s="394"/>
      <c r="C764" s="230"/>
      <c r="D764" s="230"/>
      <c r="E764" s="230"/>
      <c r="F764" s="230"/>
      <c r="G764" s="230"/>
      <c r="H764" s="230"/>
      <c r="I764" s="230"/>
      <c r="J764" s="230"/>
      <c r="K764" s="230"/>
      <c r="L764" s="230"/>
      <c r="M764" s="230"/>
      <c r="N764" s="230"/>
      <c r="O764" s="230"/>
      <c r="P764" s="230"/>
      <c r="Q764" s="230"/>
      <c r="R764" s="395"/>
    </row>
    <row r="765" spans="2:18" x14ac:dyDescent="0.25">
      <c r="B765" s="394"/>
      <c r="C765" s="230"/>
      <c r="D765" s="230"/>
      <c r="E765" s="230"/>
      <c r="F765" s="230"/>
      <c r="G765" s="230"/>
      <c r="H765" s="230"/>
      <c r="I765" s="230"/>
      <c r="J765" s="230"/>
      <c r="K765" s="230"/>
      <c r="L765" s="230"/>
      <c r="M765" s="230"/>
      <c r="N765" s="230"/>
      <c r="O765" s="230"/>
      <c r="P765" s="230"/>
      <c r="Q765" s="230"/>
      <c r="R765" s="395"/>
    </row>
    <row r="766" spans="2:18" x14ac:dyDescent="0.25">
      <c r="B766" s="394"/>
      <c r="C766" s="230"/>
      <c r="D766" s="230"/>
      <c r="E766" s="230"/>
      <c r="F766" s="230"/>
      <c r="G766" s="230"/>
      <c r="H766" s="230"/>
      <c r="I766" s="230"/>
      <c r="J766" s="230"/>
      <c r="K766" s="230"/>
      <c r="L766" s="230"/>
      <c r="M766" s="230"/>
      <c r="N766" s="230"/>
      <c r="O766" s="230"/>
      <c r="P766" s="230"/>
      <c r="Q766" s="230"/>
      <c r="R766" s="395"/>
    </row>
    <row r="767" spans="2:18" x14ac:dyDescent="0.25">
      <c r="B767" s="394"/>
      <c r="C767" s="230"/>
      <c r="D767" s="230"/>
      <c r="E767" s="230"/>
      <c r="F767" s="230"/>
      <c r="G767" s="230"/>
      <c r="H767" s="230"/>
      <c r="I767" s="230"/>
      <c r="J767" s="230"/>
      <c r="K767" s="230"/>
      <c r="L767" s="230"/>
      <c r="M767" s="230"/>
      <c r="N767" s="230"/>
      <c r="O767" s="230"/>
      <c r="P767" s="230"/>
      <c r="Q767" s="230"/>
      <c r="R767" s="395"/>
    </row>
    <row r="768" spans="2:18" x14ac:dyDescent="0.25">
      <c r="B768" s="394"/>
      <c r="C768" s="230"/>
      <c r="D768" s="230"/>
      <c r="E768" s="230"/>
      <c r="F768" s="230"/>
      <c r="G768" s="230"/>
      <c r="H768" s="230"/>
      <c r="I768" s="230"/>
      <c r="J768" s="230"/>
      <c r="K768" s="230"/>
      <c r="L768" s="230"/>
      <c r="M768" s="230"/>
      <c r="N768" s="230"/>
      <c r="O768" s="230"/>
      <c r="P768" s="230"/>
      <c r="Q768" s="230"/>
      <c r="R768" s="395"/>
    </row>
    <row r="769" spans="2:18" x14ac:dyDescent="0.25">
      <c r="B769" s="394"/>
      <c r="C769" s="230"/>
      <c r="D769" s="230"/>
      <c r="E769" s="230"/>
      <c r="F769" s="230"/>
      <c r="G769" s="230"/>
      <c r="H769" s="230"/>
      <c r="I769" s="230"/>
      <c r="J769" s="230"/>
      <c r="K769" s="230"/>
      <c r="L769" s="230"/>
      <c r="M769" s="230"/>
      <c r="N769" s="230"/>
      <c r="O769" s="230"/>
      <c r="P769" s="230"/>
      <c r="Q769" s="230"/>
      <c r="R769" s="395"/>
    </row>
    <row r="770" spans="2:18" x14ac:dyDescent="0.25">
      <c r="B770" s="394"/>
      <c r="C770" s="230"/>
      <c r="D770" s="230"/>
      <c r="E770" s="230"/>
      <c r="F770" s="230"/>
      <c r="G770" s="230"/>
      <c r="H770" s="230"/>
      <c r="I770" s="230"/>
      <c r="J770" s="230"/>
      <c r="K770" s="230"/>
      <c r="L770" s="230"/>
      <c r="M770" s="230"/>
      <c r="N770" s="230"/>
      <c r="O770" s="230"/>
      <c r="P770" s="230"/>
      <c r="Q770" s="230"/>
      <c r="R770" s="395"/>
    </row>
    <row r="771" spans="2:18" x14ac:dyDescent="0.25">
      <c r="B771" s="394"/>
      <c r="C771" s="230"/>
      <c r="D771" s="230"/>
      <c r="E771" s="230"/>
      <c r="F771" s="230"/>
      <c r="G771" s="230"/>
      <c r="H771" s="230"/>
      <c r="I771" s="230"/>
      <c r="J771" s="230"/>
      <c r="K771" s="230"/>
      <c r="L771" s="230"/>
      <c r="M771" s="230"/>
      <c r="N771" s="230"/>
      <c r="O771" s="230"/>
      <c r="P771" s="230"/>
      <c r="Q771" s="230"/>
      <c r="R771" s="395"/>
    </row>
    <row r="772" spans="2:18" x14ac:dyDescent="0.25">
      <c r="B772" s="394"/>
      <c r="C772" s="230"/>
      <c r="D772" s="230"/>
      <c r="E772" s="230"/>
      <c r="F772" s="230"/>
      <c r="G772" s="230"/>
      <c r="H772" s="230"/>
      <c r="I772" s="230"/>
      <c r="J772" s="230"/>
      <c r="K772" s="230"/>
      <c r="L772" s="230"/>
      <c r="M772" s="230"/>
      <c r="N772" s="230"/>
      <c r="O772" s="230"/>
      <c r="P772" s="230"/>
      <c r="Q772" s="230"/>
      <c r="R772" s="395"/>
    </row>
    <row r="773" spans="2:18" x14ac:dyDescent="0.25">
      <c r="B773" s="394"/>
      <c r="C773" s="230"/>
      <c r="D773" s="230"/>
      <c r="E773" s="230"/>
      <c r="F773" s="230"/>
      <c r="G773" s="230"/>
      <c r="H773" s="230"/>
      <c r="I773" s="230"/>
      <c r="J773" s="230"/>
      <c r="K773" s="230"/>
      <c r="L773" s="230"/>
      <c r="M773" s="230"/>
      <c r="N773" s="230"/>
      <c r="O773" s="230"/>
      <c r="P773" s="230"/>
      <c r="Q773" s="230"/>
      <c r="R773" s="395"/>
    </row>
    <row r="774" spans="2:18" x14ac:dyDescent="0.25">
      <c r="B774" s="394"/>
      <c r="C774" s="230"/>
      <c r="D774" s="230"/>
      <c r="E774" s="230"/>
      <c r="F774" s="230"/>
      <c r="G774" s="230"/>
      <c r="H774" s="230"/>
      <c r="I774" s="230"/>
      <c r="J774" s="230"/>
      <c r="K774" s="230"/>
      <c r="L774" s="230"/>
      <c r="M774" s="230"/>
      <c r="N774" s="230"/>
      <c r="O774" s="230"/>
      <c r="P774" s="230"/>
      <c r="Q774" s="230"/>
      <c r="R774" s="395"/>
    </row>
    <row r="775" spans="2:18" x14ac:dyDescent="0.25">
      <c r="B775" s="394"/>
      <c r="C775" s="230"/>
      <c r="D775" s="230"/>
      <c r="E775" s="230"/>
      <c r="F775" s="230"/>
      <c r="G775" s="230"/>
      <c r="H775" s="230"/>
      <c r="I775" s="230"/>
      <c r="J775" s="230"/>
      <c r="K775" s="230"/>
      <c r="L775" s="230"/>
      <c r="M775" s="230"/>
      <c r="N775" s="230"/>
      <c r="O775" s="230"/>
      <c r="P775" s="230"/>
      <c r="Q775" s="230"/>
      <c r="R775" s="395"/>
    </row>
    <row r="776" spans="2:18" x14ac:dyDescent="0.25">
      <c r="B776" s="394"/>
      <c r="C776" s="230"/>
      <c r="D776" s="230"/>
      <c r="E776" s="230"/>
      <c r="F776" s="230"/>
      <c r="G776" s="230"/>
      <c r="H776" s="230"/>
      <c r="I776" s="230"/>
      <c r="J776" s="230"/>
      <c r="K776" s="230"/>
      <c r="L776" s="230"/>
      <c r="M776" s="230"/>
      <c r="N776" s="230"/>
      <c r="O776" s="230"/>
      <c r="P776" s="230"/>
      <c r="Q776" s="230"/>
      <c r="R776" s="395"/>
    </row>
    <row r="777" spans="2:18" x14ac:dyDescent="0.25">
      <c r="B777" s="394"/>
      <c r="C777" s="230"/>
      <c r="D777" s="230"/>
      <c r="E777" s="230"/>
      <c r="F777" s="230"/>
      <c r="G777" s="230"/>
      <c r="H777" s="230"/>
      <c r="I777" s="230"/>
      <c r="J777" s="230"/>
      <c r="K777" s="230"/>
      <c r="L777" s="230"/>
      <c r="M777" s="230"/>
      <c r="N777" s="230"/>
      <c r="O777" s="230"/>
      <c r="P777" s="230"/>
      <c r="Q777" s="230"/>
      <c r="R777" s="395"/>
    </row>
    <row r="778" spans="2:18" x14ac:dyDescent="0.25">
      <c r="B778" s="394"/>
      <c r="C778" s="230"/>
      <c r="D778" s="230"/>
      <c r="E778" s="230"/>
      <c r="F778" s="230"/>
      <c r="G778" s="230"/>
      <c r="H778" s="230"/>
      <c r="I778" s="230"/>
      <c r="J778" s="230"/>
      <c r="K778" s="230"/>
      <c r="L778" s="230"/>
      <c r="M778" s="230"/>
      <c r="N778" s="230"/>
      <c r="O778" s="230"/>
      <c r="P778" s="230"/>
      <c r="Q778" s="230"/>
      <c r="R778" s="395"/>
    </row>
    <row r="779" spans="2:18" x14ac:dyDescent="0.25">
      <c r="B779" s="394"/>
      <c r="C779" s="230"/>
      <c r="D779" s="230"/>
      <c r="E779" s="230"/>
      <c r="F779" s="230"/>
      <c r="G779" s="230"/>
      <c r="H779" s="230"/>
      <c r="I779" s="230"/>
      <c r="J779" s="230"/>
      <c r="K779" s="230"/>
      <c r="L779" s="230"/>
      <c r="M779" s="230"/>
      <c r="N779" s="230"/>
      <c r="O779" s="230"/>
      <c r="P779" s="230"/>
      <c r="Q779" s="230"/>
      <c r="R779" s="395"/>
    </row>
    <row r="780" spans="2:18" x14ac:dyDescent="0.25">
      <c r="B780" s="394"/>
      <c r="C780" s="230"/>
      <c r="D780" s="230"/>
      <c r="E780" s="230"/>
      <c r="F780" s="230"/>
      <c r="G780" s="230"/>
      <c r="H780" s="230"/>
      <c r="I780" s="230"/>
      <c r="J780" s="230"/>
      <c r="K780" s="230"/>
      <c r="L780" s="230"/>
      <c r="M780" s="230"/>
      <c r="N780" s="230"/>
      <c r="O780" s="230"/>
      <c r="P780" s="230"/>
      <c r="Q780" s="230"/>
      <c r="R780" s="395"/>
    </row>
    <row r="781" spans="2:18" x14ac:dyDescent="0.25">
      <c r="B781" s="394"/>
      <c r="C781" s="230"/>
      <c r="D781" s="230"/>
      <c r="E781" s="230"/>
      <c r="F781" s="230"/>
      <c r="G781" s="230"/>
      <c r="H781" s="230"/>
      <c r="I781" s="230"/>
      <c r="J781" s="230"/>
      <c r="K781" s="230"/>
      <c r="L781" s="230"/>
      <c r="M781" s="230"/>
      <c r="N781" s="230"/>
      <c r="O781" s="230"/>
      <c r="P781" s="230"/>
      <c r="Q781" s="230"/>
      <c r="R781" s="395"/>
    </row>
    <row r="782" spans="2:18" x14ac:dyDescent="0.25">
      <c r="B782" s="394"/>
      <c r="C782" s="230"/>
      <c r="D782" s="230"/>
      <c r="E782" s="230"/>
      <c r="F782" s="230"/>
      <c r="G782" s="230"/>
      <c r="H782" s="230"/>
      <c r="I782" s="230"/>
      <c r="J782" s="230"/>
      <c r="K782" s="230"/>
      <c r="L782" s="230"/>
      <c r="M782" s="230"/>
      <c r="N782" s="230"/>
      <c r="O782" s="230"/>
      <c r="P782" s="230"/>
      <c r="Q782" s="230"/>
      <c r="R782" s="395"/>
    </row>
    <row r="783" spans="2:18" x14ac:dyDescent="0.25">
      <c r="B783" s="394"/>
      <c r="C783" s="230"/>
      <c r="D783" s="230"/>
      <c r="E783" s="230"/>
      <c r="F783" s="230"/>
      <c r="G783" s="230"/>
      <c r="H783" s="230"/>
      <c r="I783" s="230"/>
      <c r="J783" s="230"/>
      <c r="K783" s="230"/>
      <c r="L783" s="230"/>
      <c r="M783" s="230"/>
      <c r="N783" s="230"/>
      <c r="O783" s="230"/>
      <c r="P783" s="230"/>
      <c r="Q783" s="230"/>
      <c r="R783" s="395"/>
    </row>
    <row r="784" spans="2:18" x14ac:dyDescent="0.25">
      <c r="B784" s="394"/>
      <c r="C784" s="230"/>
      <c r="D784" s="230"/>
      <c r="E784" s="230"/>
      <c r="F784" s="230"/>
      <c r="G784" s="230"/>
      <c r="H784" s="230"/>
      <c r="I784" s="230"/>
      <c r="J784" s="230"/>
      <c r="K784" s="230"/>
      <c r="L784" s="230"/>
      <c r="M784" s="230"/>
      <c r="N784" s="230"/>
      <c r="O784" s="230"/>
      <c r="P784" s="230"/>
      <c r="Q784" s="230"/>
      <c r="R784" s="395"/>
    </row>
    <row r="785" spans="2:18" x14ac:dyDescent="0.25">
      <c r="B785" s="394"/>
      <c r="C785" s="230"/>
      <c r="D785" s="230"/>
      <c r="E785" s="230"/>
      <c r="F785" s="230"/>
      <c r="G785" s="230"/>
      <c r="H785" s="230"/>
      <c r="I785" s="230"/>
      <c r="J785" s="230"/>
      <c r="K785" s="230"/>
      <c r="L785" s="230"/>
      <c r="M785" s="230"/>
      <c r="N785" s="230"/>
      <c r="O785" s="230"/>
      <c r="P785" s="230"/>
      <c r="Q785" s="230"/>
      <c r="R785" s="395"/>
    </row>
    <row r="786" spans="2:18" x14ac:dyDescent="0.25">
      <c r="B786" s="394"/>
      <c r="C786" s="230"/>
      <c r="D786" s="230"/>
      <c r="E786" s="230"/>
      <c r="F786" s="230"/>
      <c r="G786" s="230"/>
      <c r="H786" s="230"/>
      <c r="I786" s="230"/>
      <c r="J786" s="230"/>
      <c r="K786" s="230"/>
      <c r="L786" s="230"/>
      <c r="M786" s="230"/>
      <c r="N786" s="230"/>
      <c r="O786" s="230"/>
      <c r="P786" s="230"/>
      <c r="Q786" s="230"/>
      <c r="R786" s="395"/>
    </row>
    <row r="787" spans="2:18" x14ac:dyDescent="0.25">
      <c r="B787" s="394"/>
      <c r="C787" s="230"/>
      <c r="D787" s="230"/>
      <c r="E787" s="230"/>
      <c r="F787" s="230"/>
      <c r="G787" s="230"/>
      <c r="H787" s="230"/>
      <c r="I787" s="230"/>
      <c r="J787" s="230"/>
      <c r="K787" s="230"/>
      <c r="L787" s="230"/>
      <c r="M787" s="230"/>
      <c r="N787" s="230"/>
      <c r="O787" s="230"/>
      <c r="P787" s="230"/>
      <c r="Q787" s="230"/>
      <c r="R787" s="395"/>
    </row>
    <row r="788" spans="2:18" x14ac:dyDescent="0.25">
      <c r="B788" s="394"/>
      <c r="C788" s="230"/>
      <c r="D788" s="230"/>
      <c r="E788" s="230"/>
      <c r="F788" s="230"/>
      <c r="G788" s="230"/>
      <c r="H788" s="230"/>
      <c r="I788" s="230"/>
      <c r="J788" s="230"/>
      <c r="K788" s="230"/>
      <c r="L788" s="230"/>
      <c r="M788" s="230"/>
      <c r="N788" s="230"/>
      <c r="O788" s="230"/>
      <c r="P788" s="230"/>
      <c r="Q788" s="230"/>
      <c r="R788" s="395"/>
    </row>
    <row r="789" spans="2:18" x14ac:dyDescent="0.25">
      <c r="B789" s="394"/>
      <c r="C789" s="230"/>
      <c r="D789" s="230"/>
      <c r="E789" s="230"/>
      <c r="F789" s="230"/>
      <c r="G789" s="230"/>
      <c r="H789" s="230"/>
      <c r="I789" s="230"/>
      <c r="J789" s="230"/>
      <c r="K789" s="230"/>
      <c r="L789" s="230"/>
      <c r="M789" s="230"/>
      <c r="N789" s="230"/>
      <c r="O789" s="230"/>
      <c r="P789" s="230"/>
      <c r="Q789" s="230"/>
      <c r="R789" s="395"/>
    </row>
    <row r="790" spans="2:18" x14ac:dyDescent="0.25">
      <c r="B790" s="394"/>
      <c r="C790" s="230"/>
      <c r="D790" s="230"/>
      <c r="E790" s="230"/>
      <c r="F790" s="230"/>
      <c r="G790" s="230"/>
      <c r="H790" s="230"/>
      <c r="I790" s="230"/>
      <c r="J790" s="230"/>
      <c r="K790" s="230"/>
      <c r="L790" s="230"/>
      <c r="M790" s="230"/>
      <c r="N790" s="230"/>
      <c r="O790" s="230"/>
      <c r="P790" s="230"/>
      <c r="Q790" s="230"/>
      <c r="R790" s="395"/>
    </row>
    <row r="791" spans="2:18" x14ac:dyDescent="0.25">
      <c r="B791" s="394"/>
      <c r="C791" s="230"/>
      <c r="D791" s="230"/>
      <c r="E791" s="230"/>
      <c r="F791" s="230"/>
      <c r="G791" s="230"/>
      <c r="H791" s="230"/>
      <c r="I791" s="230"/>
      <c r="J791" s="230"/>
      <c r="K791" s="230"/>
      <c r="L791" s="230"/>
      <c r="M791" s="230"/>
      <c r="N791" s="230"/>
      <c r="O791" s="230"/>
      <c r="P791" s="230"/>
      <c r="Q791" s="230"/>
      <c r="R791" s="395"/>
    </row>
    <row r="792" spans="2:18" x14ac:dyDescent="0.25">
      <c r="B792" s="394"/>
      <c r="C792" s="230"/>
      <c r="D792" s="230"/>
      <c r="E792" s="230"/>
      <c r="F792" s="230"/>
      <c r="G792" s="230"/>
      <c r="H792" s="230"/>
      <c r="I792" s="230"/>
      <c r="J792" s="230"/>
      <c r="K792" s="230"/>
      <c r="L792" s="230"/>
      <c r="M792" s="230"/>
      <c r="N792" s="230"/>
      <c r="O792" s="230"/>
      <c r="P792" s="230"/>
      <c r="Q792" s="230"/>
      <c r="R792" s="395"/>
    </row>
    <row r="793" spans="2:18" x14ac:dyDescent="0.25">
      <c r="B793" s="394"/>
      <c r="C793" s="230"/>
      <c r="D793" s="230"/>
      <c r="E793" s="230"/>
      <c r="F793" s="230"/>
      <c r="G793" s="230"/>
      <c r="H793" s="230"/>
      <c r="I793" s="230"/>
      <c r="J793" s="230"/>
      <c r="K793" s="230"/>
      <c r="L793" s="230"/>
      <c r="M793" s="230"/>
      <c r="N793" s="230"/>
      <c r="O793" s="230"/>
      <c r="P793" s="230"/>
      <c r="Q793" s="230"/>
      <c r="R793" s="395"/>
    </row>
    <row r="794" spans="2:18" x14ac:dyDescent="0.25">
      <c r="B794" s="394"/>
      <c r="C794" s="230"/>
      <c r="D794" s="230"/>
      <c r="E794" s="230"/>
      <c r="F794" s="230"/>
      <c r="G794" s="230"/>
      <c r="H794" s="230"/>
      <c r="I794" s="230"/>
      <c r="J794" s="230"/>
      <c r="K794" s="230"/>
      <c r="L794" s="230"/>
      <c r="M794" s="230"/>
      <c r="N794" s="230"/>
      <c r="O794" s="230"/>
      <c r="P794" s="230"/>
      <c r="Q794" s="230"/>
      <c r="R794" s="395"/>
    </row>
    <row r="795" spans="2:18" x14ac:dyDescent="0.25">
      <c r="B795" s="394"/>
      <c r="C795" s="230"/>
      <c r="D795" s="230"/>
      <c r="E795" s="230"/>
      <c r="F795" s="230"/>
      <c r="G795" s="230"/>
      <c r="H795" s="230"/>
      <c r="I795" s="230"/>
      <c r="J795" s="230"/>
      <c r="K795" s="230"/>
      <c r="L795" s="230"/>
      <c r="M795" s="230"/>
      <c r="N795" s="230"/>
      <c r="O795" s="230"/>
      <c r="P795" s="230"/>
      <c r="Q795" s="230"/>
      <c r="R795" s="395"/>
    </row>
    <row r="796" spans="2:18" x14ac:dyDescent="0.25">
      <c r="B796" s="394"/>
      <c r="C796" s="230"/>
      <c r="D796" s="230"/>
      <c r="E796" s="230"/>
      <c r="F796" s="230"/>
      <c r="G796" s="230"/>
      <c r="H796" s="230"/>
      <c r="I796" s="230"/>
      <c r="J796" s="230"/>
      <c r="K796" s="230"/>
      <c r="L796" s="230"/>
      <c r="M796" s="230"/>
      <c r="N796" s="230"/>
      <c r="O796" s="230"/>
      <c r="P796" s="230"/>
      <c r="Q796" s="230"/>
      <c r="R796" s="395"/>
    </row>
    <row r="797" spans="2:18" x14ac:dyDescent="0.25">
      <c r="B797" s="394"/>
      <c r="C797" s="230"/>
      <c r="D797" s="230"/>
      <c r="E797" s="230"/>
      <c r="F797" s="230"/>
      <c r="G797" s="230"/>
      <c r="H797" s="230"/>
      <c r="I797" s="230"/>
      <c r="J797" s="230"/>
      <c r="K797" s="230"/>
      <c r="L797" s="230"/>
      <c r="M797" s="230"/>
      <c r="N797" s="230"/>
      <c r="O797" s="230"/>
      <c r="P797" s="230"/>
      <c r="Q797" s="230"/>
      <c r="R797" s="395"/>
    </row>
    <row r="798" spans="2:18" x14ac:dyDescent="0.25">
      <c r="B798" s="394"/>
      <c r="C798" s="230"/>
      <c r="D798" s="230"/>
      <c r="E798" s="230"/>
      <c r="F798" s="230"/>
      <c r="G798" s="230"/>
      <c r="H798" s="230"/>
      <c r="I798" s="230"/>
      <c r="J798" s="230"/>
      <c r="K798" s="230"/>
      <c r="L798" s="230"/>
      <c r="M798" s="230"/>
      <c r="N798" s="230"/>
      <c r="O798" s="230"/>
      <c r="P798" s="230"/>
      <c r="Q798" s="230"/>
      <c r="R798" s="395"/>
    </row>
    <row r="799" spans="2:18" x14ac:dyDescent="0.25">
      <c r="B799" s="394"/>
      <c r="C799" s="230"/>
      <c r="D799" s="230"/>
      <c r="E799" s="230"/>
      <c r="F799" s="230"/>
      <c r="G799" s="230"/>
      <c r="H799" s="230"/>
      <c r="I799" s="230"/>
      <c r="J799" s="230"/>
      <c r="K799" s="230"/>
      <c r="L799" s="230"/>
      <c r="M799" s="230"/>
      <c r="N799" s="230"/>
      <c r="O799" s="230"/>
      <c r="P799" s="230"/>
      <c r="Q799" s="230"/>
      <c r="R799" s="395"/>
    </row>
    <row r="800" spans="2:18" x14ac:dyDescent="0.25">
      <c r="B800" s="394"/>
      <c r="C800" s="230"/>
      <c r="D800" s="230"/>
      <c r="E800" s="230"/>
      <c r="F800" s="230"/>
      <c r="G800" s="230"/>
      <c r="H800" s="230"/>
      <c r="I800" s="230"/>
      <c r="J800" s="230"/>
      <c r="K800" s="230"/>
      <c r="L800" s="230"/>
      <c r="M800" s="230"/>
      <c r="N800" s="230"/>
      <c r="O800" s="230"/>
      <c r="P800" s="230"/>
      <c r="Q800" s="230"/>
      <c r="R800" s="395"/>
    </row>
    <row r="801" spans="2:18" x14ac:dyDescent="0.25">
      <c r="B801" s="394"/>
      <c r="C801" s="230"/>
      <c r="D801" s="230"/>
      <c r="E801" s="230"/>
      <c r="F801" s="230"/>
      <c r="G801" s="230"/>
      <c r="H801" s="230"/>
      <c r="I801" s="230"/>
      <c r="J801" s="230"/>
      <c r="K801" s="230"/>
      <c r="L801" s="230"/>
      <c r="M801" s="230"/>
      <c r="N801" s="230"/>
      <c r="O801" s="230"/>
      <c r="P801" s="230"/>
      <c r="Q801" s="230"/>
      <c r="R801" s="395"/>
    </row>
    <row r="802" spans="2:18" x14ac:dyDescent="0.25">
      <c r="B802" s="394"/>
      <c r="C802" s="230"/>
      <c r="D802" s="230"/>
      <c r="E802" s="230"/>
      <c r="F802" s="230"/>
      <c r="G802" s="230"/>
      <c r="H802" s="230"/>
      <c r="I802" s="230"/>
      <c r="J802" s="230"/>
      <c r="K802" s="230"/>
      <c r="L802" s="230"/>
      <c r="M802" s="230"/>
      <c r="N802" s="230"/>
      <c r="O802" s="230"/>
      <c r="P802" s="230"/>
      <c r="Q802" s="230"/>
      <c r="R802" s="395"/>
    </row>
    <row r="803" spans="2:18" x14ac:dyDescent="0.25">
      <c r="B803" s="394"/>
      <c r="C803" s="230"/>
      <c r="D803" s="230"/>
      <c r="E803" s="230"/>
      <c r="F803" s="230"/>
      <c r="G803" s="230"/>
      <c r="H803" s="230"/>
      <c r="I803" s="230"/>
      <c r="J803" s="230"/>
      <c r="K803" s="230"/>
      <c r="L803" s="230"/>
      <c r="M803" s="230"/>
      <c r="N803" s="230"/>
      <c r="O803" s="230"/>
      <c r="P803" s="230"/>
      <c r="Q803" s="230"/>
      <c r="R803" s="395"/>
    </row>
    <row r="804" spans="2:18" x14ac:dyDescent="0.25">
      <c r="B804" s="394"/>
      <c r="C804" s="230"/>
      <c r="D804" s="230"/>
      <c r="E804" s="230"/>
      <c r="F804" s="230"/>
      <c r="G804" s="230"/>
      <c r="H804" s="230"/>
      <c r="I804" s="230"/>
      <c r="J804" s="230"/>
      <c r="K804" s="230"/>
      <c r="L804" s="230"/>
      <c r="M804" s="230"/>
      <c r="N804" s="230"/>
      <c r="O804" s="230"/>
      <c r="P804" s="230"/>
      <c r="Q804" s="230"/>
      <c r="R804" s="395"/>
    </row>
    <row r="805" spans="2:18" x14ac:dyDescent="0.25">
      <c r="B805" s="394"/>
      <c r="C805" s="230"/>
      <c r="D805" s="230"/>
      <c r="E805" s="230"/>
      <c r="F805" s="230"/>
      <c r="G805" s="230"/>
      <c r="H805" s="230"/>
      <c r="I805" s="230"/>
      <c r="J805" s="230"/>
      <c r="K805" s="230"/>
      <c r="L805" s="230"/>
      <c r="M805" s="230"/>
      <c r="N805" s="230"/>
      <c r="O805" s="230"/>
      <c r="P805" s="230"/>
      <c r="Q805" s="230"/>
      <c r="R805" s="395"/>
    </row>
    <row r="806" spans="2:18" x14ac:dyDescent="0.25">
      <c r="B806" s="394"/>
      <c r="C806" s="230"/>
      <c r="D806" s="230"/>
      <c r="E806" s="230"/>
      <c r="F806" s="230"/>
      <c r="G806" s="230"/>
      <c r="H806" s="230"/>
      <c r="I806" s="230"/>
      <c r="J806" s="230"/>
      <c r="K806" s="230"/>
      <c r="L806" s="230"/>
      <c r="M806" s="230"/>
      <c r="N806" s="230"/>
      <c r="O806" s="230"/>
      <c r="P806" s="230"/>
      <c r="Q806" s="230"/>
      <c r="R806" s="395"/>
    </row>
    <row r="807" spans="2:18" x14ac:dyDescent="0.25">
      <c r="B807" s="394"/>
      <c r="C807" s="230"/>
      <c r="D807" s="230"/>
      <c r="E807" s="230"/>
      <c r="F807" s="230"/>
      <c r="G807" s="230"/>
      <c r="H807" s="230"/>
      <c r="I807" s="230"/>
      <c r="J807" s="230"/>
      <c r="K807" s="230"/>
      <c r="L807" s="230"/>
      <c r="M807" s="230"/>
      <c r="N807" s="230"/>
      <c r="O807" s="230"/>
      <c r="P807" s="230"/>
      <c r="Q807" s="230"/>
      <c r="R807" s="395"/>
    </row>
    <row r="808" spans="2:18" x14ac:dyDescent="0.25">
      <c r="B808" s="394"/>
      <c r="C808" s="230"/>
      <c r="D808" s="230"/>
      <c r="E808" s="230"/>
      <c r="F808" s="230"/>
      <c r="G808" s="230"/>
      <c r="H808" s="230"/>
      <c r="I808" s="230"/>
      <c r="J808" s="230"/>
      <c r="K808" s="230"/>
      <c r="L808" s="230"/>
      <c r="M808" s="230"/>
      <c r="N808" s="230"/>
      <c r="O808" s="230"/>
      <c r="P808" s="230"/>
      <c r="Q808" s="230"/>
      <c r="R808" s="395"/>
    </row>
    <row r="809" spans="2:18" x14ac:dyDescent="0.25">
      <c r="B809" s="394"/>
      <c r="C809" s="230"/>
      <c r="D809" s="230"/>
      <c r="E809" s="230"/>
      <c r="F809" s="230"/>
      <c r="G809" s="230"/>
      <c r="H809" s="230"/>
      <c r="I809" s="230"/>
      <c r="J809" s="230"/>
      <c r="K809" s="230"/>
      <c r="L809" s="230"/>
      <c r="M809" s="230"/>
      <c r="N809" s="230"/>
      <c r="O809" s="230"/>
      <c r="P809" s="230"/>
      <c r="Q809" s="230"/>
      <c r="R809" s="395"/>
    </row>
    <row r="810" spans="2:18" x14ac:dyDescent="0.25">
      <c r="B810" s="394"/>
      <c r="C810" s="230"/>
      <c r="D810" s="230"/>
      <c r="E810" s="230"/>
      <c r="F810" s="230"/>
      <c r="G810" s="230"/>
      <c r="H810" s="230"/>
      <c r="I810" s="230"/>
      <c r="J810" s="230"/>
      <c r="K810" s="230"/>
      <c r="L810" s="230"/>
      <c r="M810" s="230"/>
      <c r="N810" s="230"/>
      <c r="O810" s="230"/>
      <c r="P810" s="230"/>
      <c r="Q810" s="230"/>
      <c r="R810" s="395"/>
    </row>
    <row r="811" spans="2:18" x14ac:dyDescent="0.25">
      <c r="B811" s="394"/>
      <c r="C811" s="230"/>
      <c r="D811" s="230"/>
      <c r="E811" s="230"/>
      <c r="F811" s="230"/>
      <c r="G811" s="230"/>
      <c r="H811" s="230"/>
      <c r="I811" s="230"/>
      <c r="J811" s="230"/>
      <c r="K811" s="230"/>
      <c r="L811" s="230"/>
      <c r="M811" s="230"/>
      <c r="N811" s="230"/>
      <c r="O811" s="230"/>
      <c r="P811" s="230"/>
      <c r="Q811" s="230"/>
      <c r="R811" s="395"/>
    </row>
    <row r="812" spans="2:18" x14ac:dyDescent="0.25">
      <c r="B812" s="394"/>
      <c r="C812" s="230"/>
      <c r="D812" s="230"/>
      <c r="E812" s="230"/>
      <c r="F812" s="230"/>
      <c r="G812" s="230"/>
      <c r="H812" s="230"/>
      <c r="I812" s="230"/>
      <c r="J812" s="230"/>
      <c r="K812" s="230"/>
      <c r="L812" s="230"/>
      <c r="M812" s="230"/>
      <c r="N812" s="230"/>
      <c r="O812" s="230"/>
      <c r="P812" s="230"/>
      <c r="Q812" s="230"/>
      <c r="R812" s="395"/>
    </row>
    <row r="813" spans="2:18" x14ac:dyDescent="0.25">
      <c r="B813" s="394"/>
      <c r="C813" s="230"/>
      <c r="D813" s="230"/>
      <c r="E813" s="230"/>
      <c r="F813" s="230"/>
      <c r="G813" s="230"/>
      <c r="H813" s="230"/>
      <c r="I813" s="230"/>
      <c r="J813" s="230"/>
      <c r="K813" s="230"/>
      <c r="L813" s="230"/>
      <c r="M813" s="230"/>
      <c r="N813" s="230"/>
      <c r="O813" s="230"/>
      <c r="P813" s="230"/>
      <c r="Q813" s="230"/>
      <c r="R813" s="395"/>
    </row>
    <row r="814" spans="2:18" x14ac:dyDescent="0.25">
      <c r="B814" s="394"/>
      <c r="C814" s="230"/>
      <c r="D814" s="230"/>
      <c r="E814" s="230"/>
      <c r="F814" s="230"/>
      <c r="G814" s="230"/>
      <c r="H814" s="230"/>
      <c r="I814" s="230"/>
      <c r="J814" s="230"/>
      <c r="K814" s="230"/>
      <c r="L814" s="230"/>
      <c r="M814" s="230"/>
      <c r="N814" s="230"/>
      <c r="O814" s="230"/>
      <c r="P814" s="230"/>
      <c r="Q814" s="230"/>
      <c r="R814" s="395"/>
    </row>
    <row r="815" spans="2:18" x14ac:dyDescent="0.25">
      <c r="B815" s="394"/>
      <c r="C815" s="230"/>
      <c r="D815" s="230"/>
      <c r="E815" s="230"/>
      <c r="F815" s="230"/>
      <c r="G815" s="230"/>
      <c r="H815" s="230"/>
      <c r="I815" s="230"/>
      <c r="J815" s="230"/>
      <c r="K815" s="230"/>
      <c r="L815" s="230"/>
      <c r="M815" s="230"/>
      <c r="N815" s="230"/>
      <c r="O815" s="230"/>
      <c r="P815" s="230"/>
      <c r="Q815" s="230"/>
      <c r="R815" s="395"/>
    </row>
    <row r="816" spans="2:18" x14ac:dyDescent="0.25">
      <c r="B816" s="394"/>
      <c r="C816" s="230"/>
      <c r="D816" s="230"/>
      <c r="E816" s="230"/>
      <c r="F816" s="230"/>
      <c r="G816" s="230"/>
      <c r="H816" s="230"/>
      <c r="I816" s="230"/>
      <c r="J816" s="230"/>
      <c r="K816" s="230"/>
      <c r="L816" s="230"/>
      <c r="M816" s="230"/>
      <c r="N816" s="230"/>
      <c r="O816" s="230"/>
      <c r="P816" s="230"/>
      <c r="Q816" s="230"/>
      <c r="R816" s="395"/>
    </row>
    <row r="817" spans="2:18" x14ac:dyDescent="0.25">
      <c r="B817" s="394"/>
      <c r="C817" s="230"/>
      <c r="D817" s="230"/>
      <c r="E817" s="230"/>
      <c r="F817" s="230"/>
      <c r="G817" s="230"/>
      <c r="H817" s="230"/>
      <c r="I817" s="230"/>
      <c r="J817" s="230"/>
      <c r="K817" s="230"/>
      <c r="L817" s="230"/>
      <c r="M817" s="230"/>
      <c r="N817" s="230"/>
      <c r="O817" s="230"/>
      <c r="P817" s="230"/>
      <c r="Q817" s="230"/>
      <c r="R817" s="395"/>
    </row>
    <row r="818" spans="2:18" x14ac:dyDescent="0.25">
      <c r="B818" s="394"/>
      <c r="C818" s="230"/>
      <c r="D818" s="230"/>
      <c r="E818" s="230"/>
      <c r="F818" s="230"/>
      <c r="G818" s="230"/>
      <c r="H818" s="230"/>
      <c r="I818" s="230"/>
      <c r="J818" s="230"/>
      <c r="K818" s="230"/>
      <c r="L818" s="230"/>
      <c r="M818" s="230"/>
      <c r="N818" s="230"/>
      <c r="O818" s="230"/>
      <c r="P818" s="230"/>
      <c r="Q818" s="230"/>
      <c r="R818" s="395"/>
    </row>
    <row r="819" spans="2:18" x14ac:dyDescent="0.25">
      <c r="B819" s="394"/>
      <c r="C819" s="230"/>
      <c r="D819" s="230"/>
      <c r="E819" s="230"/>
      <c r="F819" s="230"/>
      <c r="G819" s="230"/>
      <c r="H819" s="230"/>
      <c r="I819" s="230"/>
      <c r="J819" s="230"/>
      <c r="K819" s="230"/>
      <c r="L819" s="230"/>
      <c r="M819" s="230"/>
      <c r="N819" s="230"/>
      <c r="O819" s="230"/>
      <c r="P819" s="230"/>
      <c r="Q819" s="230"/>
      <c r="R819" s="395"/>
    </row>
    <row r="820" spans="2:18" x14ac:dyDescent="0.25">
      <c r="B820" s="394"/>
      <c r="C820" s="230"/>
      <c r="D820" s="230"/>
      <c r="E820" s="230"/>
      <c r="F820" s="230"/>
      <c r="G820" s="230"/>
      <c r="H820" s="230"/>
      <c r="I820" s="230"/>
      <c r="J820" s="230"/>
      <c r="K820" s="230"/>
      <c r="L820" s="230"/>
      <c r="M820" s="230"/>
      <c r="N820" s="230"/>
      <c r="O820" s="230"/>
      <c r="P820" s="230"/>
      <c r="Q820" s="230"/>
      <c r="R820" s="395"/>
    </row>
    <row r="821" spans="2:18" x14ac:dyDescent="0.25">
      <c r="B821" s="394"/>
      <c r="C821" s="230"/>
      <c r="D821" s="230"/>
      <c r="E821" s="230"/>
      <c r="F821" s="230"/>
      <c r="G821" s="230"/>
      <c r="H821" s="230"/>
      <c r="I821" s="230"/>
      <c r="J821" s="230"/>
      <c r="K821" s="230"/>
      <c r="L821" s="230"/>
      <c r="M821" s="230"/>
      <c r="N821" s="230"/>
      <c r="O821" s="230"/>
      <c r="P821" s="230"/>
      <c r="Q821" s="230"/>
      <c r="R821" s="395"/>
    </row>
    <row r="822" spans="2:18" x14ac:dyDescent="0.25">
      <c r="B822" s="394"/>
      <c r="C822" s="230"/>
      <c r="D822" s="230"/>
      <c r="E822" s="230"/>
      <c r="F822" s="230"/>
      <c r="G822" s="230"/>
      <c r="H822" s="230"/>
      <c r="I822" s="230"/>
      <c r="J822" s="230"/>
      <c r="K822" s="230"/>
      <c r="L822" s="230"/>
      <c r="M822" s="230"/>
      <c r="N822" s="230"/>
      <c r="O822" s="230"/>
      <c r="P822" s="230"/>
      <c r="Q822" s="230"/>
      <c r="R822" s="395"/>
    </row>
    <row r="823" spans="2:18" x14ac:dyDescent="0.25">
      <c r="B823" s="394"/>
      <c r="C823" s="230"/>
      <c r="D823" s="230"/>
      <c r="E823" s="230"/>
      <c r="F823" s="230"/>
      <c r="G823" s="230"/>
      <c r="H823" s="230"/>
      <c r="I823" s="230"/>
      <c r="J823" s="230"/>
      <c r="K823" s="230"/>
      <c r="L823" s="230"/>
      <c r="M823" s="230"/>
      <c r="N823" s="230"/>
      <c r="O823" s="230"/>
      <c r="P823" s="230"/>
      <c r="Q823" s="230"/>
      <c r="R823" s="395"/>
    </row>
    <row r="824" spans="2:18" x14ac:dyDescent="0.25">
      <c r="B824" s="394"/>
      <c r="C824" s="230"/>
      <c r="D824" s="230"/>
      <c r="E824" s="230"/>
      <c r="F824" s="230"/>
      <c r="G824" s="230"/>
      <c r="H824" s="230"/>
      <c r="I824" s="230"/>
      <c r="J824" s="230"/>
      <c r="K824" s="230"/>
      <c r="L824" s="230"/>
      <c r="M824" s="230"/>
      <c r="N824" s="230"/>
      <c r="O824" s="230"/>
      <c r="P824" s="230"/>
      <c r="Q824" s="230"/>
      <c r="R824" s="395"/>
    </row>
    <row r="825" spans="2:18" x14ac:dyDescent="0.25">
      <c r="B825" s="394"/>
      <c r="C825" s="230"/>
      <c r="D825" s="230"/>
      <c r="E825" s="230"/>
      <c r="F825" s="230"/>
      <c r="G825" s="230"/>
      <c r="H825" s="230"/>
      <c r="I825" s="230"/>
      <c r="J825" s="230"/>
      <c r="K825" s="230"/>
      <c r="L825" s="230"/>
      <c r="M825" s="230"/>
      <c r="N825" s="230"/>
      <c r="O825" s="230"/>
      <c r="P825" s="230"/>
      <c r="Q825" s="230"/>
      <c r="R825" s="395"/>
    </row>
    <row r="826" spans="2:18" x14ac:dyDescent="0.25">
      <c r="B826" s="394"/>
      <c r="C826" s="230"/>
      <c r="D826" s="230"/>
      <c r="E826" s="230"/>
      <c r="F826" s="230"/>
      <c r="G826" s="230"/>
      <c r="H826" s="230"/>
      <c r="I826" s="230"/>
      <c r="J826" s="230"/>
      <c r="K826" s="230"/>
      <c r="L826" s="230"/>
      <c r="M826" s="230"/>
      <c r="N826" s="230"/>
      <c r="O826" s="230"/>
      <c r="P826" s="230"/>
      <c r="Q826" s="230"/>
      <c r="R826" s="395"/>
    </row>
    <row r="827" spans="2:18" x14ac:dyDescent="0.25">
      <c r="B827" s="394"/>
      <c r="C827" s="230"/>
      <c r="D827" s="230"/>
      <c r="E827" s="230"/>
      <c r="F827" s="230"/>
      <c r="G827" s="230"/>
      <c r="H827" s="230"/>
      <c r="I827" s="230"/>
      <c r="J827" s="230"/>
      <c r="K827" s="230"/>
      <c r="L827" s="230"/>
      <c r="M827" s="230"/>
      <c r="N827" s="230"/>
      <c r="O827" s="230"/>
      <c r="P827" s="230"/>
      <c r="Q827" s="230"/>
      <c r="R827" s="395"/>
    </row>
    <row r="828" spans="2:18" x14ac:dyDescent="0.25">
      <c r="B828" s="394"/>
      <c r="C828" s="230"/>
      <c r="D828" s="230"/>
      <c r="E828" s="230"/>
      <c r="F828" s="230"/>
      <c r="G828" s="230"/>
      <c r="H828" s="230"/>
      <c r="I828" s="230"/>
      <c r="J828" s="230"/>
      <c r="K828" s="230"/>
      <c r="L828" s="230"/>
      <c r="M828" s="230"/>
      <c r="N828" s="230"/>
      <c r="O828" s="230"/>
      <c r="P828" s="230"/>
      <c r="Q828" s="230"/>
      <c r="R828" s="395"/>
    </row>
    <row r="829" spans="2:18" x14ac:dyDescent="0.25">
      <c r="B829" s="394"/>
      <c r="C829" s="230"/>
      <c r="D829" s="230"/>
      <c r="E829" s="230"/>
      <c r="F829" s="230"/>
      <c r="G829" s="230"/>
      <c r="H829" s="230"/>
      <c r="I829" s="230"/>
      <c r="J829" s="230"/>
      <c r="K829" s="230"/>
      <c r="L829" s="230"/>
      <c r="M829" s="230"/>
      <c r="N829" s="230"/>
      <c r="O829" s="230"/>
      <c r="P829" s="230"/>
      <c r="Q829" s="230"/>
      <c r="R829" s="395"/>
    </row>
    <row r="830" spans="2:18" x14ac:dyDescent="0.25">
      <c r="B830" s="394"/>
      <c r="C830" s="230"/>
      <c r="D830" s="230"/>
      <c r="E830" s="230"/>
      <c r="F830" s="230"/>
      <c r="G830" s="230"/>
      <c r="H830" s="230"/>
      <c r="I830" s="230"/>
      <c r="J830" s="230"/>
      <c r="K830" s="230"/>
      <c r="L830" s="230"/>
      <c r="M830" s="230"/>
      <c r="N830" s="230"/>
      <c r="O830" s="230"/>
      <c r="P830" s="230"/>
      <c r="Q830" s="230"/>
      <c r="R830" s="395"/>
    </row>
    <row r="831" spans="2:18" x14ac:dyDescent="0.25">
      <c r="B831" s="394"/>
      <c r="C831" s="230"/>
      <c r="D831" s="230"/>
      <c r="E831" s="230"/>
      <c r="F831" s="230"/>
      <c r="G831" s="230"/>
      <c r="H831" s="230"/>
      <c r="I831" s="230"/>
      <c r="J831" s="230"/>
      <c r="K831" s="230"/>
      <c r="L831" s="230"/>
      <c r="M831" s="230"/>
      <c r="N831" s="230"/>
      <c r="O831" s="230"/>
      <c r="P831" s="230"/>
      <c r="Q831" s="230"/>
      <c r="R831" s="395"/>
    </row>
    <row r="832" spans="2:18" x14ac:dyDescent="0.25">
      <c r="B832" s="394"/>
      <c r="C832" s="230"/>
      <c r="D832" s="230"/>
      <c r="E832" s="230"/>
      <c r="F832" s="230"/>
      <c r="G832" s="230"/>
      <c r="H832" s="230"/>
      <c r="I832" s="230"/>
      <c r="J832" s="230"/>
      <c r="K832" s="230"/>
      <c r="L832" s="230"/>
      <c r="M832" s="230"/>
      <c r="N832" s="230"/>
      <c r="O832" s="230"/>
      <c r="P832" s="230"/>
      <c r="Q832" s="230"/>
      <c r="R832" s="395"/>
    </row>
    <row r="833" spans="2:18" x14ac:dyDescent="0.25">
      <c r="B833" s="394"/>
      <c r="C833" s="230"/>
      <c r="D833" s="230"/>
      <c r="E833" s="230"/>
      <c r="F833" s="230"/>
      <c r="G833" s="230"/>
      <c r="H833" s="230"/>
      <c r="I833" s="230"/>
      <c r="J833" s="230"/>
      <c r="K833" s="230"/>
      <c r="L833" s="230"/>
      <c r="M833" s="230"/>
      <c r="N833" s="230"/>
      <c r="O833" s="230"/>
      <c r="P833" s="230"/>
      <c r="Q833" s="230"/>
      <c r="R833" s="395"/>
    </row>
    <row r="834" spans="2:18" x14ac:dyDescent="0.25">
      <c r="B834" s="394"/>
      <c r="C834" s="230"/>
      <c r="D834" s="230"/>
      <c r="E834" s="230"/>
      <c r="F834" s="230"/>
      <c r="G834" s="230"/>
      <c r="H834" s="230"/>
      <c r="I834" s="230"/>
      <c r="J834" s="230"/>
      <c r="K834" s="230"/>
      <c r="L834" s="230"/>
      <c r="M834" s="230"/>
      <c r="N834" s="230"/>
      <c r="O834" s="230"/>
      <c r="P834" s="230"/>
      <c r="Q834" s="230"/>
      <c r="R834" s="395"/>
    </row>
    <row r="835" spans="2:18" x14ac:dyDescent="0.25">
      <c r="B835" s="394"/>
      <c r="C835" s="230"/>
      <c r="D835" s="230"/>
      <c r="E835" s="230"/>
      <c r="F835" s="230"/>
      <c r="G835" s="230"/>
      <c r="H835" s="230"/>
      <c r="I835" s="230"/>
      <c r="J835" s="230"/>
      <c r="K835" s="230"/>
      <c r="L835" s="230"/>
      <c r="M835" s="230"/>
      <c r="N835" s="230"/>
      <c r="O835" s="230"/>
      <c r="P835" s="230"/>
      <c r="Q835" s="230"/>
      <c r="R835" s="395"/>
    </row>
    <row r="836" spans="2:18" x14ac:dyDescent="0.25">
      <c r="B836" s="394"/>
      <c r="C836" s="230"/>
      <c r="D836" s="230"/>
      <c r="E836" s="230"/>
      <c r="F836" s="230"/>
      <c r="G836" s="230"/>
      <c r="H836" s="230"/>
      <c r="I836" s="230"/>
      <c r="J836" s="230"/>
      <c r="K836" s="230"/>
      <c r="L836" s="230"/>
      <c r="M836" s="230"/>
      <c r="N836" s="230"/>
      <c r="O836" s="230"/>
      <c r="P836" s="230"/>
      <c r="Q836" s="230"/>
      <c r="R836" s="395"/>
    </row>
    <row r="837" spans="2:18" x14ac:dyDescent="0.25">
      <c r="B837" s="394"/>
      <c r="C837" s="230"/>
      <c r="D837" s="230"/>
      <c r="E837" s="230"/>
      <c r="F837" s="230"/>
      <c r="G837" s="230"/>
      <c r="H837" s="230"/>
      <c r="I837" s="230"/>
      <c r="J837" s="230"/>
      <c r="K837" s="230"/>
      <c r="L837" s="230"/>
      <c r="M837" s="230"/>
      <c r="N837" s="230"/>
      <c r="O837" s="230"/>
      <c r="P837" s="230"/>
      <c r="Q837" s="230"/>
      <c r="R837" s="395"/>
    </row>
    <row r="838" spans="2:18" x14ac:dyDescent="0.25">
      <c r="B838" s="394"/>
      <c r="C838" s="230"/>
      <c r="D838" s="230"/>
      <c r="E838" s="230"/>
      <c r="F838" s="230"/>
      <c r="G838" s="230"/>
      <c r="H838" s="230"/>
      <c r="I838" s="230"/>
      <c r="J838" s="230"/>
      <c r="K838" s="230"/>
      <c r="L838" s="230"/>
      <c r="M838" s="230"/>
      <c r="N838" s="230"/>
      <c r="O838" s="230"/>
      <c r="P838" s="230"/>
      <c r="Q838" s="230"/>
      <c r="R838" s="395"/>
    </row>
    <row r="839" spans="2:18" x14ac:dyDescent="0.25">
      <c r="B839" s="394"/>
      <c r="C839" s="230"/>
      <c r="D839" s="230"/>
      <c r="E839" s="230"/>
      <c r="F839" s="230"/>
      <c r="G839" s="230"/>
      <c r="H839" s="230"/>
      <c r="I839" s="230"/>
      <c r="J839" s="230"/>
      <c r="K839" s="230"/>
      <c r="L839" s="230"/>
      <c r="M839" s="230"/>
      <c r="N839" s="230"/>
      <c r="O839" s="230"/>
      <c r="P839" s="230"/>
      <c r="Q839" s="230"/>
      <c r="R839" s="395"/>
    </row>
    <row r="840" spans="2:18" x14ac:dyDescent="0.25">
      <c r="B840" s="394"/>
      <c r="C840" s="230"/>
      <c r="D840" s="230"/>
      <c r="E840" s="230"/>
      <c r="F840" s="230"/>
      <c r="G840" s="230"/>
      <c r="H840" s="230"/>
      <c r="I840" s="230"/>
      <c r="J840" s="230"/>
      <c r="K840" s="230"/>
      <c r="L840" s="230"/>
      <c r="M840" s="230"/>
      <c r="N840" s="230"/>
      <c r="O840" s="230"/>
      <c r="P840" s="230"/>
      <c r="Q840" s="230"/>
      <c r="R840" s="395"/>
    </row>
    <row r="841" spans="2:18" x14ac:dyDescent="0.25">
      <c r="B841" s="394"/>
      <c r="C841" s="230"/>
      <c r="D841" s="230"/>
      <c r="E841" s="230"/>
      <c r="F841" s="230"/>
      <c r="G841" s="230"/>
      <c r="H841" s="230"/>
      <c r="I841" s="230"/>
      <c r="J841" s="230"/>
      <c r="K841" s="230"/>
      <c r="L841" s="230"/>
      <c r="M841" s="230"/>
      <c r="N841" s="230"/>
      <c r="O841" s="230"/>
      <c r="P841" s="230"/>
      <c r="Q841" s="230"/>
      <c r="R841" s="395"/>
    </row>
    <row r="842" spans="2:18" x14ac:dyDescent="0.25">
      <c r="B842" s="394"/>
      <c r="C842" s="230"/>
      <c r="D842" s="230"/>
      <c r="E842" s="230"/>
      <c r="F842" s="230"/>
      <c r="G842" s="230"/>
      <c r="H842" s="230"/>
      <c r="I842" s="230"/>
      <c r="J842" s="230"/>
      <c r="K842" s="230"/>
      <c r="L842" s="230"/>
      <c r="M842" s="230"/>
      <c r="N842" s="230"/>
      <c r="O842" s="230"/>
      <c r="P842" s="230"/>
      <c r="Q842" s="230"/>
      <c r="R842" s="395"/>
    </row>
    <row r="843" spans="2:18" x14ac:dyDescent="0.25">
      <c r="B843" s="394"/>
      <c r="C843" s="230"/>
      <c r="D843" s="230"/>
      <c r="E843" s="230"/>
      <c r="F843" s="230"/>
      <c r="G843" s="230"/>
      <c r="H843" s="230"/>
      <c r="I843" s="230"/>
      <c r="J843" s="230"/>
      <c r="K843" s="230"/>
      <c r="L843" s="230"/>
      <c r="M843" s="230"/>
      <c r="N843" s="230"/>
      <c r="O843" s="230"/>
      <c r="P843" s="230"/>
      <c r="Q843" s="230"/>
      <c r="R843" s="395"/>
    </row>
    <row r="844" spans="2:18" x14ac:dyDescent="0.25">
      <c r="B844" s="394"/>
      <c r="C844" s="230"/>
      <c r="D844" s="230"/>
      <c r="E844" s="230"/>
      <c r="F844" s="230"/>
      <c r="G844" s="230"/>
      <c r="H844" s="230"/>
      <c r="I844" s="230"/>
      <c r="J844" s="230"/>
      <c r="K844" s="230"/>
      <c r="L844" s="230"/>
      <c r="M844" s="230"/>
      <c r="N844" s="230"/>
      <c r="O844" s="230"/>
      <c r="P844" s="230"/>
      <c r="Q844" s="230"/>
      <c r="R844" s="395"/>
    </row>
    <row r="845" spans="2:18" x14ac:dyDescent="0.25">
      <c r="B845" s="394"/>
      <c r="C845" s="230"/>
      <c r="D845" s="230"/>
      <c r="E845" s="230"/>
      <c r="F845" s="230"/>
      <c r="G845" s="230"/>
      <c r="H845" s="230"/>
      <c r="I845" s="230"/>
      <c r="J845" s="230"/>
      <c r="K845" s="230"/>
      <c r="L845" s="230"/>
      <c r="M845" s="230"/>
      <c r="N845" s="230"/>
      <c r="O845" s="230"/>
      <c r="P845" s="230"/>
      <c r="Q845" s="230"/>
      <c r="R845" s="395"/>
    </row>
    <row r="846" spans="2:18" x14ac:dyDescent="0.25">
      <c r="B846" s="394"/>
      <c r="C846" s="230"/>
      <c r="D846" s="230"/>
      <c r="E846" s="230"/>
      <c r="F846" s="230"/>
      <c r="G846" s="230"/>
      <c r="H846" s="230"/>
      <c r="I846" s="230"/>
      <c r="J846" s="230"/>
      <c r="K846" s="230"/>
      <c r="L846" s="230"/>
      <c r="M846" s="230"/>
      <c r="N846" s="230"/>
      <c r="O846" s="230"/>
      <c r="P846" s="230"/>
      <c r="Q846" s="230"/>
      <c r="R846" s="395"/>
    </row>
    <row r="847" spans="2:18" x14ac:dyDescent="0.25">
      <c r="B847" s="394"/>
      <c r="C847" s="230"/>
      <c r="D847" s="230"/>
      <c r="E847" s="230"/>
      <c r="F847" s="230"/>
      <c r="G847" s="230"/>
      <c r="H847" s="230"/>
      <c r="I847" s="230"/>
      <c r="J847" s="230"/>
      <c r="K847" s="230"/>
      <c r="L847" s="230"/>
      <c r="M847" s="230"/>
      <c r="N847" s="230"/>
      <c r="O847" s="230"/>
      <c r="P847" s="230"/>
      <c r="Q847" s="230"/>
      <c r="R847" s="395"/>
    </row>
    <row r="848" spans="2:18" x14ac:dyDescent="0.25">
      <c r="B848" s="394"/>
      <c r="C848" s="230"/>
      <c r="D848" s="230"/>
      <c r="E848" s="230"/>
      <c r="F848" s="230"/>
      <c r="G848" s="230"/>
      <c r="H848" s="230"/>
      <c r="I848" s="230"/>
      <c r="J848" s="230"/>
      <c r="K848" s="230"/>
      <c r="L848" s="230"/>
      <c r="M848" s="230"/>
      <c r="N848" s="230"/>
      <c r="O848" s="230"/>
      <c r="P848" s="230"/>
      <c r="Q848" s="230"/>
      <c r="R848" s="395"/>
    </row>
    <row r="849" spans="2:18" x14ac:dyDescent="0.25">
      <c r="B849" s="394"/>
      <c r="C849" s="230"/>
      <c r="D849" s="230"/>
      <c r="E849" s="230"/>
      <c r="F849" s="230"/>
      <c r="G849" s="230"/>
      <c r="H849" s="230"/>
      <c r="I849" s="230"/>
      <c r="J849" s="230"/>
      <c r="K849" s="230"/>
      <c r="L849" s="230"/>
      <c r="M849" s="230"/>
      <c r="N849" s="230"/>
      <c r="O849" s="230"/>
      <c r="P849" s="230"/>
      <c r="Q849" s="230"/>
      <c r="R849" s="395"/>
    </row>
    <row r="850" spans="2:18" x14ac:dyDescent="0.25">
      <c r="B850" s="394"/>
      <c r="C850" s="230"/>
      <c r="D850" s="230"/>
      <c r="E850" s="230"/>
      <c r="F850" s="230"/>
      <c r="G850" s="230"/>
      <c r="H850" s="230"/>
      <c r="I850" s="230"/>
      <c r="J850" s="230"/>
      <c r="K850" s="230"/>
      <c r="L850" s="230"/>
      <c r="M850" s="230"/>
      <c r="N850" s="230"/>
      <c r="O850" s="230"/>
      <c r="P850" s="230"/>
      <c r="Q850" s="230"/>
      <c r="R850" s="395"/>
    </row>
    <row r="851" spans="2:18" x14ac:dyDescent="0.25">
      <c r="B851" s="394"/>
      <c r="C851" s="230"/>
      <c r="D851" s="230"/>
      <c r="E851" s="230"/>
      <c r="F851" s="230"/>
      <c r="G851" s="230"/>
      <c r="H851" s="230"/>
      <c r="I851" s="230"/>
      <c r="J851" s="230"/>
      <c r="K851" s="230"/>
      <c r="L851" s="230"/>
      <c r="M851" s="230"/>
      <c r="N851" s="230"/>
      <c r="O851" s="230"/>
      <c r="P851" s="230"/>
      <c r="Q851" s="230"/>
      <c r="R851" s="395"/>
    </row>
    <row r="852" spans="2:18" x14ac:dyDescent="0.25">
      <c r="B852" s="394"/>
      <c r="C852" s="230"/>
      <c r="D852" s="230"/>
      <c r="E852" s="230"/>
      <c r="F852" s="230"/>
      <c r="G852" s="230"/>
      <c r="H852" s="230"/>
      <c r="I852" s="230"/>
      <c r="J852" s="230"/>
      <c r="K852" s="230"/>
      <c r="L852" s="230"/>
      <c r="M852" s="230"/>
      <c r="N852" s="230"/>
      <c r="O852" s="230"/>
      <c r="P852" s="230"/>
      <c r="Q852" s="230"/>
      <c r="R852" s="395"/>
    </row>
    <row r="853" spans="2:18" x14ac:dyDescent="0.25">
      <c r="B853" s="394"/>
      <c r="C853" s="230"/>
      <c r="D853" s="230"/>
      <c r="E853" s="230"/>
      <c r="F853" s="230"/>
      <c r="G853" s="230"/>
      <c r="H853" s="230"/>
      <c r="I853" s="230"/>
      <c r="J853" s="230"/>
      <c r="K853" s="230"/>
      <c r="L853" s="230"/>
      <c r="M853" s="230"/>
      <c r="N853" s="230"/>
      <c r="O853" s="230"/>
      <c r="P853" s="230"/>
      <c r="Q853" s="230"/>
      <c r="R853" s="395"/>
    </row>
    <row r="854" spans="2:18" x14ac:dyDescent="0.25">
      <c r="B854" s="394"/>
      <c r="C854" s="230"/>
      <c r="D854" s="230"/>
      <c r="E854" s="230"/>
      <c r="F854" s="230"/>
      <c r="G854" s="230"/>
      <c r="H854" s="230"/>
      <c r="I854" s="230"/>
      <c r="J854" s="230"/>
      <c r="K854" s="230"/>
      <c r="L854" s="230"/>
      <c r="M854" s="230"/>
      <c r="N854" s="230"/>
      <c r="O854" s="230"/>
      <c r="P854" s="230"/>
      <c r="Q854" s="230"/>
      <c r="R854" s="395"/>
    </row>
    <row r="855" spans="2:18" x14ac:dyDescent="0.25">
      <c r="B855" s="394"/>
      <c r="C855" s="230"/>
      <c r="D855" s="230"/>
      <c r="E855" s="230"/>
      <c r="F855" s="230"/>
      <c r="G855" s="230"/>
      <c r="H855" s="230"/>
      <c r="I855" s="230"/>
      <c r="J855" s="230"/>
      <c r="K855" s="230"/>
      <c r="L855" s="230"/>
      <c r="M855" s="230"/>
      <c r="N855" s="230"/>
      <c r="O855" s="230"/>
      <c r="P855" s="230"/>
      <c r="Q855" s="230"/>
      <c r="R855" s="395"/>
    </row>
    <row r="856" spans="2:18" x14ac:dyDescent="0.25">
      <c r="B856" s="394"/>
      <c r="C856" s="230"/>
      <c r="D856" s="230"/>
      <c r="E856" s="230"/>
      <c r="F856" s="230"/>
      <c r="G856" s="230"/>
      <c r="H856" s="230"/>
      <c r="I856" s="230"/>
      <c r="J856" s="230"/>
      <c r="K856" s="230"/>
      <c r="L856" s="230"/>
      <c r="M856" s="230"/>
      <c r="N856" s="230"/>
      <c r="O856" s="230"/>
      <c r="P856" s="230"/>
      <c r="Q856" s="230"/>
      <c r="R856" s="395"/>
    </row>
    <row r="857" spans="2:18" x14ac:dyDescent="0.25">
      <c r="B857" s="394"/>
      <c r="C857" s="230"/>
      <c r="D857" s="230"/>
      <c r="E857" s="230"/>
      <c r="F857" s="230"/>
      <c r="G857" s="230"/>
      <c r="H857" s="230"/>
      <c r="I857" s="230"/>
      <c r="J857" s="230"/>
      <c r="K857" s="230"/>
      <c r="L857" s="230"/>
      <c r="M857" s="230"/>
      <c r="N857" s="230"/>
      <c r="O857" s="230"/>
      <c r="P857" s="230"/>
      <c r="Q857" s="230"/>
      <c r="R857" s="395"/>
    </row>
    <row r="858" spans="2:18" x14ac:dyDescent="0.25">
      <c r="B858" s="394"/>
      <c r="C858" s="230"/>
      <c r="D858" s="230"/>
      <c r="E858" s="230"/>
      <c r="F858" s="230"/>
      <c r="G858" s="230"/>
      <c r="H858" s="230"/>
      <c r="I858" s="230"/>
      <c r="J858" s="230"/>
      <c r="K858" s="230"/>
      <c r="L858" s="230"/>
      <c r="M858" s="230"/>
      <c r="N858" s="230"/>
      <c r="O858" s="230"/>
      <c r="P858" s="230"/>
      <c r="Q858" s="230"/>
      <c r="R858" s="395"/>
    </row>
    <row r="859" spans="2:18" x14ac:dyDescent="0.25">
      <c r="B859" s="394"/>
      <c r="C859" s="230"/>
      <c r="D859" s="230"/>
      <c r="E859" s="230"/>
      <c r="F859" s="230"/>
      <c r="G859" s="230"/>
      <c r="H859" s="230"/>
      <c r="I859" s="230"/>
      <c r="J859" s="230"/>
      <c r="K859" s="230"/>
      <c r="L859" s="230"/>
      <c r="M859" s="230"/>
      <c r="N859" s="230"/>
      <c r="O859" s="230"/>
      <c r="P859" s="230"/>
      <c r="Q859" s="230"/>
      <c r="R859" s="395"/>
    </row>
    <row r="860" spans="2:18" x14ac:dyDescent="0.25">
      <c r="B860" s="394"/>
      <c r="C860" s="230"/>
      <c r="D860" s="230"/>
      <c r="E860" s="230"/>
      <c r="F860" s="230"/>
      <c r="G860" s="230"/>
      <c r="H860" s="230"/>
      <c r="I860" s="230"/>
      <c r="J860" s="230"/>
      <c r="K860" s="230"/>
      <c r="L860" s="230"/>
      <c r="M860" s="230"/>
      <c r="N860" s="230"/>
      <c r="O860" s="230"/>
      <c r="P860" s="230"/>
      <c r="Q860" s="230"/>
      <c r="R860" s="395"/>
    </row>
    <row r="861" spans="2:18" x14ac:dyDescent="0.25">
      <c r="B861" s="394"/>
      <c r="C861" s="230"/>
      <c r="D861" s="230"/>
      <c r="E861" s="230"/>
      <c r="F861" s="230"/>
      <c r="G861" s="230"/>
      <c r="H861" s="230"/>
      <c r="I861" s="230"/>
      <c r="J861" s="230"/>
      <c r="K861" s="230"/>
      <c r="L861" s="230"/>
      <c r="M861" s="230"/>
      <c r="N861" s="230"/>
      <c r="O861" s="230"/>
      <c r="P861" s="230"/>
      <c r="Q861" s="230"/>
      <c r="R861" s="395"/>
    </row>
    <row r="862" spans="2:18" x14ac:dyDescent="0.25">
      <c r="B862" s="394"/>
      <c r="C862" s="230"/>
      <c r="D862" s="230"/>
      <c r="E862" s="230"/>
      <c r="F862" s="230"/>
      <c r="G862" s="230"/>
      <c r="H862" s="230"/>
      <c r="I862" s="230"/>
      <c r="J862" s="230"/>
      <c r="K862" s="230"/>
      <c r="L862" s="230"/>
      <c r="M862" s="230"/>
      <c r="N862" s="230"/>
      <c r="O862" s="230"/>
      <c r="P862" s="230"/>
      <c r="Q862" s="230"/>
      <c r="R862" s="395"/>
    </row>
    <row r="863" spans="2:18" x14ac:dyDescent="0.25">
      <c r="B863" s="394"/>
      <c r="C863" s="230"/>
      <c r="D863" s="230"/>
      <c r="E863" s="230"/>
      <c r="F863" s="230"/>
      <c r="G863" s="230"/>
      <c r="H863" s="230"/>
      <c r="I863" s="230"/>
      <c r="J863" s="230"/>
      <c r="K863" s="230"/>
      <c r="L863" s="230"/>
      <c r="M863" s="230"/>
      <c r="N863" s="230"/>
      <c r="O863" s="230"/>
      <c r="P863" s="230"/>
      <c r="Q863" s="230"/>
      <c r="R863" s="395"/>
    </row>
    <row r="864" spans="2:18" x14ac:dyDescent="0.25">
      <c r="B864" s="394"/>
      <c r="C864" s="230"/>
      <c r="D864" s="230"/>
      <c r="E864" s="230"/>
      <c r="F864" s="230"/>
      <c r="G864" s="230"/>
      <c r="H864" s="230"/>
      <c r="I864" s="230"/>
      <c r="J864" s="230"/>
      <c r="K864" s="230"/>
      <c r="L864" s="230"/>
      <c r="M864" s="230"/>
      <c r="N864" s="230"/>
      <c r="O864" s="230"/>
      <c r="P864" s="230"/>
      <c r="Q864" s="230"/>
      <c r="R864" s="395"/>
    </row>
    <row r="865" spans="2:18" x14ac:dyDescent="0.25">
      <c r="B865" s="394"/>
      <c r="C865" s="230"/>
      <c r="D865" s="230"/>
      <c r="E865" s="230"/>
      <c r="F865" s="230"/>
      <c r="G865" s="230"/>
      <c r="H865" s="230"/>
      <c r="I865" s="230"/>
      <c r="J865" s="230"/>
      <c r="K865" s="230"/>
      <c r="L865" s="230"/>
      <c r="M865" s="230"/>
      <c r="N865" s="230"/>
      <c r="O865" s="230"/>
      <c r="P865" s="230"/>
      <c r="Q865" s="230"/>
      <c r="R865" s="395"/>
    </row>
    <row r="866" spans="2:18" x14ac:dyDescent="0.25">
      <c r="B866" s="394"/>
      <c r="C866" s="230"/>
      <c r="D866" s="230"/>
      <c r="E866" s="230"/>
      <c r="F866" s="230"/>
      <c r="G866" s="230"/>
      <c r="H866" s="230"/>
      <c r="I866" s="230"/>
      <c r="J866" s="230"/>
      <c r="K866" s="230"/>
      <c r="L866" s="230"/>
      <c r="M866" s="230"/>
      <c r="N866" s="230"/>
      <c r="O866" s="230"/>
      <c r="P866" s="230"/>
      <c r="Q866" s="230"/>
      <c r="R866" s="395"/>
    </row>
    <row r="867" spans="2:18" x14ac:dyDescent="0.25">
      <c r="B867" s="394"/>
      <c r="C867" s="230"/>
      <c r="D867" s="230"/>
      <c r="E867" s="230"/>
      <c r="F867" s="230"/>
      <c r="G867" s="230"/>
      <c r="H867" s="230"/>
      <c r="I867" s="230"/>
      <c r="J867" s="230"/>
      <c r="K867" s="230"/>
      <c r="L867" s="230"/>
      <c r="M867" s="230"/>
      <c r="N867" s="230"/>
      <c r="O867" s="230"/>
      <c r="P867" s="230"/>
      <c r="Q867" s="230"/>
      <c r="R867" s="395"/>
    </row>
    <row r="868" spans="2:18" x14ac:dyDescent="0.25">
      <c r="B868" s="394"/>
      <c r="C868" s="230"/>
      <c r="D868" s="230"/>
      <c r="E868" s="230"/>
      <c r="F868" s="230"/>
      <c r="G868" s="230"/>
      <c r="H868" s="230"/>
      <c r="I868" s="230"/>
      <c r="J868" s="230"/>
      <c r="K868" s="230"/>
      <c r="L868" s="230"/>
      <c r="M868" s="230"/>
      <c r="N868" s="230"/>
      <c r="O868" s="230"/>
      <c r="P868" s="230"/>
      <c r="Q868" s="230"/>
      <c r="R868" s="395"/>
    </row>
    <row r="869" spans="2:18" x14ac:dyDescent="0.25">
      <c r="B869" s="394"/>
      <c r="C869" s="230"/>
      <c r="D869" s="230"/>
      <c r="E869" s="230"/>
      <c r="F869" s="230"/>
      <c r="G869" s="230"/>
      <c r="H869" s="230"/>
      <c r="I869" s="230"/>
      <c r="J869" s="230"/>
      <c r="K869" s="230"/>
      <c r="L869" s="230"/>
      <c r="M869" s="230"/>
      <c r="N869" s="230"/>
      <c r="O869" s="230"/>
      <c r="P869" s="230"/>
      <c r="Q869" s="230"/>
      <c r="R869" s="395"/>
    </row>
    <row r="870" spans="2:18" x14ac:dyDescent="0.25">
      <c r="B870" s="394"/>
      <c r="C870" s="230"/>
      <c r="D870" s="230"/>
      <c r="E870" s="230"/>
      <c r="F870" s="230"/>
      <c r="G870" s="230"/>
      <c r="H870" s="230"/>
      <c r="I870" s="230"/>
      <c r="J870" s="230"/>
      <c r="K870" s="230"/>
      <c r="L870" s="230"/>
      <c r="M870" s="230"/>
      <c r="N870" s="230"/>
      <c r="O870" s="230"/>
      <c r="P870" s="230"/>
      <c r="Q870" s="230"/>
      <c r="R870" s="395"/>
    </row>
    <row r="871" spans="2:18" x14ac:dyDescent="0.25">
      <c r="B871" s="394"/>
      <c r="C871" s="230"/>
      <c r="D871" s="230"/>
      <c r="E871" s="230"/>
      <c r="F871" s="230"/>
      <c r="G871" s="230"/>
      <c r="H871" s="230"/>
      <c r="I871" s="230"/>
      <c r="J871" s="230"/>
      <c r="K871" s="230"/>
      <c r="L871" s="230"/>
      <c r="M871" s="230"/>
      <c r="N871" s="230"/>
      <c r="O871" s="230"/>
      <c r="P871" s="230"/>
      <c r="Q871" s="230"/>
      <c r="R871" s="395"/>
    </row>
    <row r="872" spans="2:18" x14ac:dyDescent="0.25">
      <c r="B872" s="394"/>
      <c r="C872" s="230"/>
      <c r="D872" s="230"/>
      <c r="E872" s="230"/>
      <c r="F872" s="230"/>
      <c r="G872" s="230"/>
      <c r="H872" s="230"/>
      <c r="I872" s="230"/>
      <c r="J872" s="230"/>
      <c r="K872" s="230"/>
      <c r="L872" s="230"/>
      <c r="M872" s="230"/>
      <c r="N872" s="230"/>
      <c r="O872" s="230"/>
      <c r="P872" s="230"/>
      <c r="Q872" s="230"/>
      <c r="R872" s="395"/>
    </row>
    <row r="873" spans="2:18" x14ac:dyDescent="0.25">
      <c r="B873" s="394"/>
      <c r="C873" s="230"/>
      <c r="D873" s="230"/>
      <c r="E873" s="230"/>
      <c r="F873" s="230"/>
      <c r="G873" s="230"/>
      <c r="H873" s="230"/>
      <c r="I873" s="230"/>
      <c r="J873" s="230"/>
      <c r="K873" s="230"/>
      <c r="L873" s="230"/>
      <c r="M873" s="230"/>
      <c r="N873" s="230"/>
      <c r="O873" s="230"/>
      <c r="P873" s="230"/>
      <c r="Q873" s="230"/>
      <c r="R873" s="395"/>
    </row>
    <row r="874" spans="2:18" x14ac:dyDescent="0.25">
      <c r="B874" s="394"/>
      <c r="C874" s="230"/>
      <c r="D874" s="230"/>
      <c r="E874" s="230"/>
      <c r="F874" s="230"/>
      <c r="G874" s="230"/>
      <c r="H874" s="230"/>
      <c r="I874" s="230"/>
      <c r="J874" s="230"/>
      <c r="K874" s="230"/>
      <c r="L874" s="230"/>
      <c r="M874" s="230"/>
      <c r="N874" s="230"/>
      <c r="O874" s="230"/>
      <c r="P874" s="230"/>
      <c r="Q874" s="230"/>
      <c r="R874" s="395"/>
    </row>
    <row r="875" spans="2:18" x14ac:dyDescent="0.25">
      <c r="B875" s="394"/>
      <c r="C875" s="230"/>
      <c r="D875" s="230"/>
      <c r="E875" s="230"/>
      <c r="F875" s="230"/>
      <c r="G875" s="230"/>
      <c r="H875" s="230"/>
      <c r="I875" s="230"/>
      <c r="J875" s="230"/>
      <c r="K875" s="230"/>
      <c r="L875" s="230"/>
      <c r="M875" s="230"/>
      <c r="N875" s="230"/>
      <c r="O875" s="230"/>
      <c r="P875" s="230"/>
      <c r="Q875" s="230"/>
      <c r="R875" s="395"/>
    </row>
    <row r="876" spans="2:18" x14ac:dyDescent="0.25">
      <c r="B876" s="394"/>
      <c r="C876" s="230"/>
      <c r="D876" s="230"/>
      <c r="E876" s="230"/>
      <c r="F876" s="230"/>
      <c r="G876" s="230"/>
      <c r="H876" s="230"/>
      <c r="I876" s="230"/>
      <c r="J876" s="230"/>
      <c r="K876" s="230"/>
      <c r="L876" s="230"/>
      <c r="M876" s="230"/>
      <c r="N876" s="230"/>
      <c r="O876" s="230"/>
      <c r="P876" s="230"/>
      <c r="Q876" s="230"/>
      <c r="R876" s="395"/>
    </row>
    <row r="877" spans="2:18" x14ac:dyDescent="0.25">
      <c r="B877" s="394"/>
      <c r="C877" s="230"/>
      <c r="D877" s="230"/>
      <c r="E877" s="230"/>
      <c r="F877" s="230"/>
      <c r="G877" s="230"/>
      <c r="H877" s="230"/>
      <c r="I877" s="230"/>
      <c r="J877" s="230"/>
      <c r="K877" s="230"/>
      <c r="L877" s="230"/>
      <c r="M877" s="230"/>
      <c r="N877" s="230"/>
      <c r="O877" s="230"/>
      <c r="P877" s="230"/>
      <c r="Q877" s="230"/>
      <c r="R877" s="395"/>
    </row>
    <row r="878" spans="2:18" x14ac:dyDescent="0.25">
      <c r="B878" s="394"/>
      <c r="C878" s="230"/>
      <c r="D878" s="230"/>
      <c r="E878" s="230"/>
      <c r="F878" s="230"/>
      <c r="G878" s="230"/>
      <c r="H878" s="230"/>
      <c r="I878" s="230"/>
      <c r="J878" s="230"/>
      <c r="K878" s="230"/>
      <c r="L878" s="230"/>
      <c r="M878" s="230"/>
      <c r="N878" s="230"/>
      <c r="O878" s="230"/>
      <c r="P878" s="230"/>
      <c r="Q878" s="230"/>
      <c r="R878" s="395"/>
    </row>
    <row r="879" spans="2:18" x14ac:dyDescent="0.25">
      <c r="B879" s="394"/>
      <c r="C879" s="230"/>
      <c r="D879" s="230"/>
      <c r="E879" s="230"/>
      <c r="F879" s="230"/>
      <c r="G879" s="230"/>
      <c r="H879" s="230"/>
      <c r="I879" s="230"/>
      <c r="J879" s="230"/>
      <c r="K879" s="230"/>
      <c r="L879" s="230"/>
      <c r="M879" s="230"/>
      <c r="N879" s="230"/>
      <c r="O879" s="230"/>
      <c r="P879" s="230"/>
      <c r="Q879" s="230"/>
      <c r="R879" s="395"/>
    </row>
    <row r="880" spans="2:18" x14ac:dyDescent="0.25">
      <c r="B880" s="394"/>
      <c r="C880" s="230"/>
      <c r="D880" s="230"/>
      <c r="E880" s="230"/>
      <c r="F880" s="230"/>
      <c r="G880" s="230"/>
      <c r="H880" s="230"/>
      <c r="I880" s="230"/>
      <c r="J880" s="230"/>
      <c r="K880" s="230"/>
      <c r="L880" s="230"/>
      <c r="M880" s="230"/>
      <c r="N880" s="230"/>
      <c r="O880" s="230"/>
      <c r="P880" s="230"/>
      <c r="Q880" s="230"/>
      <c r="R880" s="395"/>
    </row>
    <row r="881" spans="2:18" x14ac:dyDescent="0.25">
      <c r="B881" s="394"/>
      <c r="C881" s="230"/>
      <c r="D881" s="230"/>
      <c r="E881" s="230"/>
      <c r="F881" s="230"/>
      <c r="G881" s="230"/>
      <c r="H881" s="230"/>
      <c r="I881" s="230"/>
      <c r="J881" s="230"/>
      <c r="K881" s="230"/>
      <c r="L881" s="230"/>
      <c r="M881" s="230"/>
      <c r="N881" s="230"/>
      <c r="O881" s="230"/>
      <c r="P881" s="230"/>
      <c r="Q881" s="230"/>
      <c r="R881" s="395"/>
    </row>
    <row r="882" spans="2:18" x14ac:dyDescent="0.25">
      <c r="B882" s="394"/>
      <c r="C882" s="230"/>
      <c r="D882" s="230"/>
      <c r="E882" s="230"/>
      <c r="F882" s="230"/>
      <c r="G882" s="230"/>
      <c r="H882" s="230"/>
      <c r="I882" s="230"/>
      <c r="J882" s="230"/>
      <c r="K882" s="230"/>
      <c r="L882" s="230"/>
      <c r="M882" s="230"/>
      <c r="N882" s="230"/>
      <c r="O882" s="230"/>
      <c r="P882" s="230"/>
      <c r="Q882" s="230"/>
      <c r="R882" s="395"/>
    </row>
    <row r="883" spans="2:18" x14ac:dyDescent="0.25">
      <c r="B883" s="394"/>
      <c r="C883" s="230"/>
      <c r="D883" s="230"/>
      <c r="E883" s="230"/>
      <c r="F883" s="230"/>
      <c r="G883" s="230"/>
      <c r="H883" s="230"/>
      <c r="I883" s="230"/>
      <c r="J883" s="230"/>
      <c r="K883" s="230"/>
      <c r="L883" s="230"/>
      <c r="M883" s="230"/>
      <c r="N883" s="230"/>
      <c r="O883" s="230"/>
      <c r="P883" s="230"/>
      <c r="Q883" s="230"/>
      <c r="R883" s="395"/>
    </row>
    <row r="884" spans="2:18" x14ac:dyDescent="0.25">
      <c r="B884" s="394"/>
      <c r="C884" s="230"/>
      <c r="D884" s="230"/>
      <c r="E884" s="230"/>
      <c r="F884" s="230"/>
      <c r="G884" s="230"/>
      <c r="H884" s="230"/>
      <c r="I884" s="230"/>
      <c r="J884" s="230"/>
      <c r="K884" s="230"/>
      <c r="L884" s="230"/>
      <c r="M884" s="230"/>
      <c r="N884" s="230"/>
      <c r="O884" s="230"/>
      <c r="P884" s="230"/>
      <c r="Q884" s="230"/>
      <c r="R884" s="395"/>
    </row>
    <row r="885" spans="2:18" x14ac:dyDescent="0.25">
      <c r="B885" s="394"/>
      <c r="C885" s="230"/>
      <c r="D885" s="230"/>
      <c r="E885" s="230"/>
      <c r="F885" s="230"/>
      <c r="G885" s="230"/>
      <c r="H885" s="230"/>
      <c r="I885" s="230"/>
      <c r="J885" s="230"/>
      <c r="K885" s="230"/>
      <c r="L885" s="230"/>
      <c r="M885" s="230"/>
      <c r="N885" s="230"/>
      <c r="O885" s="230"/>
      <c r="P885" s="230"/>
      <c r="Q885" s="230"/>
      <c r="R885" s="395"/>
    </row>
    <row r="886" spans="2:18" x14ac:dyDescent="0.25">
      <c r="B886" s="394"/>
      <c r="C886" s="230"/>
      <c r="D886" s="230"/>
      <c r="E886" s="230"/>
      <c r="F886" s="230"/>
      <c r="G886" s="230"/>
      <c r="H886" s="230"/>
      <c r="I886" s="230"/>
      <c r="J886" s="230"/>
      <c r="K886" s="230"/>
      <c r="L886" s="230"/>
      <c r="M886" s="230"/>
      <c r="N886" s="230"/>
      <c r="O886" s="230"/>
      <c r="P886" s="230"/>
      <c r="Q886" s="230"/>
      <c r="R886" s="395"/>
    </row>
    <row r="887" spans="2:18" x14ac:dyDescent="0.25">
      <c r="B887" s="394"/>
      <c r="C887" s="230"/>
      <c r="D887" s="230"/>
      <c r="E887" s="230"/>
      <c r="F887" s="230"/>
      <c r="G887" s="230"/>
      <c r="H887" s="230"/>
      <c r="I887" s="230"/>
      <c r="J887" s="230"/>
      <c r="K887" s="230"/>
      <c r="L887" s="230"/>
      <c r="M887" s="230"/>
      <c r="N887" s="230"/>
      <c r="O887" s="230"/>
      <c r="P887" s="230"/>
      <c r="Q887" s="230"/>
      <c r="R887" s="395"/>
    </row>
    <row r="888" spans="2:18" x14ac:dyDescent="0.25">
      <c r="B888" s="394"/>
      <c r="C888" s="230"/>
      <c r="D888" s="230"/>
      <c r="E888" s="230"/>
      <c r="F888" s="230"/>
      <c r="G888" s="230"/>
      <c r="H888" s="230"/>
      <c r="I888" s="230"/>
      <c r="J888" s="230"/>
      <c r="K888" s="230"/>
      <c r="L888" s="230"/>
      <c r="M888" s="230"/>
      <c r="N888" s="230"/>
      <c r="O888" s="230"/>
      <c r="P888" s="230"/>
      <c r="Q888" s="230"/>
      <c r="R888" s="395"/>
    </row>
    <row r="889" spans="2:18" x14ac:dyDescent="0.25">
      <c r="B889" s="394"/>
      <c r="C889" s="230"/>
      <c r="D889" s="230"/>
      <c r="E889" s="230"/>
      <c r="F889" s="230"/>
      <c r="G889" s="230"/>
      <c r="H889" s="230"/>
      <c r="I889" s="230"/>
      <c r="J889" s="230"/>
      <c r="K889" s="230"/>
      <c r="L889" s="230"/>
      <c r="M889" s="230"/>
      <c r="N889" s="230"/>
      <c r="O889" s="230"/>
      <c r="P889" s="230"/>
      <c r="Q889" s="230"/>
      <c r="R889" s="395"/>
    </row>
    <row r="890" spans="2:18" x14ac:dyDescent="0.25">
      <c r="B890" s="394"/>
      <c r="C890" s="230"/>
      <c r="D890" s="230"/>
      <c r="E890" s="230"/>
      <c r="F890" s="230"/>
      <c r="G890" s="230"/>
      <c r="H890" s="230"/>
      <c r="I890" s="230"/>
      <c r="J890" s="230"/>
      <c r="K890" s="230"/>
      <c r="L890" s="230"/>
      <c r="M890" s="230"/>
      <c r="N890" s="230"/>
      <c r="O890" s="230"/>
      <c r="P890" s="230"/>
      <c r="Q890" s="230"/>
      <c r="R890" s="395"/>
    </row>
    <row r="891" spans="2:18" x14ac:dyDescent="0.25">
      <c r="B891" s="394"/>
      <c r="C891" s="230"/>
      <c r="D891" s="230"/>
      <c r="E891" s="230"/>
      <c r="F891" s="230"/>
      <c r="G891" s="230"/>
      <c r="H891" s="230"/>
      <c r="I891" s="230"/>
      <c r="J891" s="230"/>
      <c r="K891" s="230"/>
      <c r="L891" s="230"/>
      <c r="M891" s="230"/>
      <c r="N891" s="230"/>
      <c r="O891" s="230"/>
      <c r="P891" s="230"/>
      <c r="Q891" s="230"/>
      <c r="R891" s="395"/>
    </row>
    <row r="892" spans="2:18" x14ac:dyDescent="0.25">
      <c r="B892" s="394"/>
      <c r="C892" s="230"/>
      <c r="D892" s="230"/>
      <c r="E892" s="230"/>
      <c r="F892" s="230"/>
      <c r="G892" s="230"/>
      <c r="H892" s="230"/>
      <c r="I892" s="230"/>
      <c r="J892" s="230"/>
      <c r="K892" s="230"/>
      <c r="L892" s="230"/>
      <c r="M892" s="230"/>
      <c r="N892" s="230"/>
      <c r="O892" s="230"/>
      <c r="P892" s="230"/>
      <c r="Q892" s="230"/>
      <c r="R892" s="395"/>
    </row>
    <row r="893" spans="2:18" x14ac:dyDescent="0.25">
      <c r="B893" s="394"/>
      <c r="C893" s="230"/>
      <c r="D893" s="230"/>
      <c r="E893" s="230"/>
      <c r="F893" s="230"/>
      <c r="G893" s="230"/>
      <c r="H893" s="230"/>
      <c r="I893" s="230"/>
      <c r="J893" s="230"/>
      <c r="K893" s="230"/>
      <c r="L893" s="230"/>
      <c r="M893" s="230"/>
      <c r="N893" s="230"/>
      <c r="O893" s="230"/>
      <c r="P893" s="230"/>
      <c r="Q893" s="230"/>
      <c r="R893" s="395"/>
    </row>
    <row r="894" spans="2:18" x14ac:dyDescent="0.25">
      <c r="B894" s="394"/>
      <c r="C894" s="230"/>
      <c r="D894" s="230"/>
      <c r="E894" s="230"/>
      <c r="F894" s="230"/>
      <c r="G894" s="230"/>
      <c r="H894" s="230"/>
      <c r="I894" s="230"/>
      <c r="J894" s="230"/>
      <c r="K894" s="230"/>
      <c r="L894" s="230"/>
      <c r="M894" s="230"/>
      <c r="N894" s="230"/>
      <c r="O894" s="230"/>
      <c r="P894" s="230"/>
      <c r="Q894" s="230"/>
      <c r="R894" s="395"/>
    </row>
    <row r="895" spans="2:18" x14ac:dyDescent="0.25">
      <c r="B895" s="394"/>
      <c r="C895" s="230"/>
      <c r="D895" s="230"/>
      <c r="E895" s="230"/>
      <c r="F895" s="230"/>
      <c r="G895" s="230"/>
      <c r="H895" s="230"/>
      <c r="I895" s="230"/>
      <c r="J895" s="230"/>
      <c r="K895" s="230"/>
      <c r="L895" s="230"/>
      <c r="M895" s="230"/>
      <c r="N895" s="230"/>
      <c r="O895" s="230"/>
      <c r="P895" s="230"/>
      <c r="Q895" s="230"/>
      <c r="R895" s="395"/>
    </row>
    <row r="896" spans="2:18" x14ac:dyDescent="0.25">
      <c r="B896" s="394"/>
      <c r="C896" s="230"/>
      <c r="D896" s="230"/>
      <c r="E896" s="230"/>
      <c r="F896" s="230"/>
      <c r="G896" s="230"/>
      <c r="H896" s="230"/>
      <c r="I896" s="230"/>
      <c r="J896" s="230"/>
      <c r="K896" s="230"/>
      <c r="L896" s="230"/>
      <c r="M896" s="230"/>
      <c r="N896" s="230"/>
      <c r="O896" s="230"/>
      <c r="P896" s="230"/>
      <c r="Q896" s="230"/>
      <c r="R896" s="395"/>
    </row>
    <row r="897" spans="2:18" x14ac:dyDescent="0.25">
      <c r="B897" s="394"/>
      <c r="C897" s="230"/>
      <c r="D897" s="230"/>
      <c r="E897" s="230"/>
      <c r="F897" s="230"/>
      <c r="G897" s="230"/>
      <c r="H897" s="230"/>
      <c r="I897" s="230"/>
      <c r="J897" s="230"/>
      <c r="K897" s="230"/>
      <c r="L897" s="230"/>
      <c r="M897" s="230"/>
      <c r="N897" s="230"/>
      <c r="O897" s="230"/>
      <c r="P897" s="230"/>
      <c r="Q897" s="230"/>
      <c r="R897" s="395"/>
    </row>
    <row r="898" spans="2:18" x14ac:dyDescent="0.25">
      <c r="B898" s="394"/>
      <c r="C898" s="230"/>
      <c r="D898" s="230"/>
      <c r="E898" s="230"/>
      <c r="F898" s="230"/>
      <c r="G898" s="230"/>
      <c r="H898" s="230"/>
      <c r="I898" s="230"/>
      <c r="J898" s="230"/>
      <c r="K898" s="230"/>
      <c r="L898" s="230"/>
      <c r="M898" s="230"/>
      <c r="N898" s="230"/>
      <c r="O898" s="230"/>
      <c r="P898" s="230"/>
      <c r="Q898" s="230"/>
      <c r="R898" s="395"/>
    </row>
    <row r="899" spans="2:18" x14ac:dyDescent="0.25">
      <c r="B899" s="394"/>
      <c r="C899" s="230"/>
      <c r="D899" s="230"/>
      <c r="E899" s="230"/>
      <c r="F899" s="230"/>
      <c r="G899" s="230"/>
      <c r="H899" s="230"/>
      <c r="I899" s="230"/>
      <c r="J899" s="230"/>
      <c r="K899" s="230"/>
      <c r="L899" s="230"/>
      <c r="M899" s="230"/>
      <c r="N899" s="230"/>
      <c r="O899" s="230"/>
      <c r="P899" s="230"/>
      <c r="Q899" s="230"/>
      <c r="R899" s="395"/>
    </row>
    <row r="900" spans="2:18" x14ac:dyDescent="0.25">
      <c r="B900" s="394"/>
      <c r="C900" s="230"/>
      <c r="D900" s="230"/>
      <c r="E900" s="230"/>
      <c r="F900" s="230"/>
      <c r="G900" s="230"/>
      <c r="H900" s="230"/>
      <c r="I900" s="230"/>
      <c r="J900" s="230"/>
      <c r="K900" s="230"/>
      <c r="L900" s="230"/>
      <c r="M900" s="230"/>
      <c r="N900" s="230"/>
      <c r="O900" s="230"/>
      <c r="P900" s="230"/>
      <c r="Q900" s="230"/>
      <c r="R900" s="395"/>
    </row>
    <row r="901" spans="2:18" x14ac:dyDescent="0.25">
      <c r="B901" s="394"/>
      <c r="C901" s="230"/>
      <c r="D901" s="230"/>
      <c r="E901" s="230"/>
      <c r="F901" s="230"/>
      <c r="G901" s="230"/>
      <c r="H901" s="230"/>
      <c r="I901" s="230"/>
      <c r="J901" s="230"/>
      <c r="K901" s="230"/>
      <c r="L901" s="230"/>
      <c r="M901" s="230"/>
      <c r="N901" s="230"/>
      <c r="O901" s="230"/>
      <c r="P901" s="230"/>
      <c r="Q901" s="230"/>
      <c r="R901" s="395"/>
    </row>
    <row r="902" spans="2:18" x14ac:dyDescent="0.25">
      <c r="B902" s="394"/>
      <c r="C902" s="230"/>
      <c r="D902" s="230"/>
      <c r="E902" s="230"/>
      <c r="F902" s="230"/>
      <c r="G902" s="230"/>
      <c r="H902" s="230"/>
      <c r="I902" s="230"/>
      <c r="J902" s="230"/>
      <c r="K902" s="230"/>
      <c r="L902" s="230"/>
      <c r="M902" s="230"/>
      <c r="N902" s="230"/>
      <c r="O902" s="230"/>
      <c r="P902" s="230"/>
      <c r="Q902" s="230"/>
      <c r="R902" s="395"/>
    </row>
    <row r="903" spans="2:18" x14ac:dyDescent="0.25">
      <c r="B903" s="394"/>
      <c r="C903" s="230"/>
      <c r="D903" s="230"/>
      <c r="E903" s="230"/>
      <c r="F903" s="230"/>
      <c r="G903" s="230"/>
      <c r="H903" s="230"/>
      <c r="I903" s="230"/>
      <c r="J903" s="230"/>
      <c r="K903" s="230"/>
      <c r="L903" s="230"/>
      <c r="M903" s="230"/>
      <c r="N903" s="230"/>
      <c r="O903" s="230"/>
      <c r="P903" s="230"/>
      <c r="Q903" s="230"/>
      <c r="R903" s="395"/>
    </row>
    <row r="904" spans="2:18" x14ac:dyDescent="0.25">
      <c r="B904" s="394"/>
      <c r="C904" s="230"/>
      <c r="D904" s="230"/>
      <c r="E904" s="230"/>
      <c r="F904" s="230"/>
      <c r="G904" s="230"/>
      <c r="H904" s="230"/>
      <c r="I904" s="230"/>
      <c r="J904" s="230"/>
      <c r="K904" s="230"/>
      <c r="L904" s="230"/>
      <c r="M904" s="230"/>
      <c r="N904" s="230"/>
      <c r="O904" s="230"/>
      <c r="P904" s="230"/>
      <c r="Q904" s="230"/>
      <c r="R904" s="395"/>
    </row>
    <row r="905" spans="2:18" x14ac:dyDescent="0.25">
      <c r="B905" s="394"/>
      <c r="C905" s="230"/>
      <c r="D905" s="230"/>
      <c r="E905" s="230"/>
      <c r="F905" s="230"/>
      <c r="G905" s="230"/>
      <c r="H905" s="230"/>
      <c r="I905" s="230"/>
      <c r="J905" s="230"/>
      <c r="K905" s="230"/>
      <c r="L905" s="230"/>
      <c r="M905" s="230"/>
      <c r="N905" s="230"/>
      <c r="O905" s="230"/>
      <c r="P905" s="230"/>
      <c r="Q905" s="230"/>
      <c r="R905" s="395"/>
    </row>
    <row r="906" spans="2:18" x14ac:dyDescent="0.25">
      <c r="B906" s="394"/>
      <c r="C906" s="230"/>
      <c r="D906" s="230"/>
      <c r="E906" s="230"/>
      <c r="F906" s="230"/>
      <c r="G906" s="230"/>
      <c r="H906" s="230"/>
      <c r="I906" s="230"/>
      <c r="J906" s="230"/>
      <c r="K906" s="230"/>
      <c r="L906" s="230"/>
      <c r="M906" s="230"/>
      <c r="N906" s="230"/>
      <c r="O906" s="230"/>
      <c r="P906" s="230"/>
      <c r="Q906" s="230"/>
      <c r="R906" s="395"/>
    </row>
    <row r="907" spans="2:18" x14ac:dyDescent="0.25">
      <c r="B907" s="394"/>
      <c r="C907" s="230"/>
      <c r="D907" s="230"/>
      <c r="E907" s="230"/>
      <c r="F907" s="230"/>
      <c r="G907" s="230"/>
      <c r="H907" s="230"/>
      <c r="I907" s="230"/>
      <c r="J907" s="230"/>
      <c r="K907" s="230"/>
      <c r="L907" s="230"/>
      <c r="M907" s="230"/>
      <c r="N907" s="230"/>
      <c r="O907" s="230"/>
      <c r="P907" s="230"/>
      <c r="Q907" s="230"/>
      <c r="R907" s="395"/>
    </row>
    <row r="908" spans="2:18" x14ac:dyDescent="0.25">
      <c r="B908" s="394"/>
      <c r="C908" s="230"/>
      <c r="D908" s="230"/>
      <c r="E908" s="230"/>
      <c r="F908" s="230"/>
      <c r="G908" s="230"/>
      <c r="H908" s="230"/>
      <c r="I908" s="230"/>
      <c r="J908" s="230"/>
      <c r="K908" s="230"/>
      <c r="L908" s="230"/>
      <c r="M908" s="230"/>
      <c r="N908" s="230"/>
      <c r="O908" s="230"/>
      <c r="P908" s="230"/>
      <c r="Q908" s="230"/>
      <c r="R908" s="395"/>
    </row>
    <row r="909" spans="2:18" x14ac:dyDescent="0.25">
      <c r="B909" s="394"/>
      <c r="C909" s="230"/>
      <c r="D909" s="230"/>
      <c r="E909" s="230"/>
      <c r="F909" s="230"/>
      <c r="G909" s="230"/>
      <c r="H909" s="230"/>
      <c r="I909" s="230"/>
      <c r="J909" s="230"/>
      <c r="K909" s="230"/>
      <c r="L909" s="230"/>
      <c r="M909" s="230"/>
      <c r="N909" s="230"/>
      <c r="O909" s="230"/>
      <c r="P909" s="230"/>
      <c r="Q909" s="230"/>
      <c r="R909" s="395"/>
    </row>
    <row r="910" spans="2:18" x14ac:dyDescent="0.25">
      <c r="B910" s="394"/>
      <c r="C910" s="230"/>
      <c r="D910" s="230"/>
      <c r="E910" s="230"/>
      <c r="F910" s="230"/>
      <c r="G910" s="230"/>
      <c r="H910" s="230"/>
      <c r="I910" s="230"/>
      <c r="J910" s="230"/>
      <c r="K910" s="230"/>
      <c r="L910" s="230"/>
      <c r="M910" s="230"/>
      <c r="N910" s="230"/>
      <c r="O910" s="230"/>
      <c r="P910" s="230"/>
      <c r="Q910" s="230"/>
      <c r="R910" s="395"/>
    </row>
    <row r="911" spans="2:18" x14ac:dyDescent="0.25">
      <c r="B911" s="394"/>
      <c r="C911" s="230"/>
      <c r="D911" s="230"/>
      <c r="E911" s="230"/>
      <c r="F911" s="230"/>
      <c r="G911" s="230"/>
      <c r="H911" s="230"/>
      <c r="I911" s="230"/>
      <c r="J911" s="230"/>
      <c r="K911" s="230"/>
      <c r="L911" s="230"/>
      <c r="M911" s="230"/>
      <c r="N911" s="230"/>
      <c r="O911" s="230"/>
      <c r="P911" s="230"/>
      <c r="Q911" s="230"/>
      <c r="R911" s="395"/>
    </row>
    <row r="912" spans="2:18" x14ac:dyDescent="0.25">
      <c r="B912" s="394"/>
      <c r="C912" s="230"/>
      <c r="D912" s="230"/>
      <c r="E912" s="230"/>
      <c r="F912" s="230"/>
      <c r="G912" s="230"/>
      <c r="H912" s="230"/>
      <c r="I912" s="230"/>
      <c r="J912" s="230"/>
      <c r="K912" s="230"/>
      <c r="L912" s="230"/>
      <c r="M912" s="230"/>
      <c r="N912" s="230"/>
      <c r="O912" s="230"/>
      <c r="P912" s="230"/>
      <c r="Q912" s="230"/>
      <c r="R912" s="395"/>
    </row>
    <row r="913" spans="2:18" x14ac:dyDescent="0.25">
      <c r="B913" s="394"/>
      <c r="C913" s="230"/>
      <c r="D913" s="230"/>
      <c r="E913" s="230"/>
      <c r="F913" s="230"/>
      <c r="G913" s="230"/>
      <c r="H913" s="230"/>
      <c r="I913" s="230"/>
      <c r="J913" s="230"/>
      <c r="K913" s="230"/>
      <c r="L913" s="230"/>
      <c r="M913" s="230"/>
      <c r="N913" s="230"/>
      <c r="O913" s="230"/>
      <c r="P913" s="230"/>
      <c r="Q913" s="230"/>
      <c r="R913" s="395"/>
    </row>
    <row r="914" spans="2:18" x14ac:dyDescent="0.25">
      <c r="B914" s="394"/>
      <c r="C914" s="230"/>
      <c r="D914" s="230"/>
      <c r="E914" s="230"/>
      <c r="F914" s="230"/>
      <c r="G914" s="230"/>
      <c r="H914" s="230"/>
      <c r="I914" s="230"/>
      <c r="J914" s="230"/>
      <c r="K914" s="230"/>
      <c r="L914" s="230"/>
      <c r="M914" s="230"/>
      <c r="N914" s="230"/>
      <c r="O914" s="230"/>
      <c r="P914" s="230"/>
      <c r="Q914" s="230"/>
      <c r="R914" s="395"/>
    </row>
    <row r="915" spans="2:18" x14ac:dyDescent="0.25">
      <c r="B915" s="394"/>
      <c r="C915" s="230"/>
      <c r="D915" s="230"/>
      <c r="E915" s="230"/>
      <c r="F915" s="230"/>
      <c r="G915" s="230"/>
      <c r="H915" s="230"/>
      <c r="I915" s="230"/>
      <c r="J915" s="230"/>
      <c r="K915" s="230"/>
      <c r="L915" s="230"/>
      <c r="M915" s="230"/>
      <c r="N915" s="230"/>
      <c r="O915" s="230"/>
      <c r="P915" s="230"/>
      <c r="Q915" s="230"/>
      <c r="R915" s="395"/>
    </row>
    <row r="916" spans="2:18" x14ac:dyDescent="0.25">
      <c r="B916" s="394"/>
      <c r="C916" s="230"/>
      <c r="D916" s="230"/>
      <c r="E916" s="230"/>
      <c r="F916" s="230"/>
      <c r="G916" s="230"/>
      <c r="H916" s="230"/>
      <c r="I916" s="230"/>
      <c r="J916" s="230"/>
      <c r="K916" s="230"/>
      <c r="L916" s="230"/>
      <c r="M916" s="230"/>
      <c r="N916" s="230"/>
      <c r="O916" s="230"/>
      <c r="P916" s="230"/>
      <c r="Q916" s="230"/>
      <c r="R916" s="395"/>
    </row>
    <row r="917" spans="2:18" x14ac:dyDescent="0.25">
      <c r="B917" s="394"/>
      <c r="C917" s="230"/>
      <c r="D917" s="230"/>
      <c r="E917" s="230"/>
      <c r="F917" s="230"/>
      <c r="G917" s="230"/>
      <c r="H917" s="230"/>
      <c r="I917" s="230"/>
      <c r="J917" s="230"/>
      <c r="K917" s="230"/>
      <c r="L917" s="230"/>
      <c r="M917" s="230"/>
      <c r="N917" s="230"/>
      <c r="O917" s="230"/>
      <c r="P917" s="230"/>
      <c r="Q917" s="230"/>
      <c r="R917" s="395"/>
    </row>
    <row r="918" spans="2:18" x14ac:dyDescent="0.25">
      <c r="B918" s="394"/>
      <c r="C918" s="230"/>
      <c r="D918" s="230"/>
      <c r="E918" s="230"/>
      <c r="F918" s="230"/>
      <c r="G918" s="230"/>
      <c r="H918" s="230"/>
      <c r="I918" s="230"/>
      <c r="J918" s="230"/>
      <c r="K918" s="230"/>
      <c r="L918" s="230"/>
      <c r="M918" s="230"/>
      <c r="N918" s="230"/>
      <c r="O918" s="230"/>
      <c r="P918" s="230"/>
      <c r="Q918" s="230"/>
      <c r="R918" s="395"/>
    </row>
    <row r="919" spans="2:18" x14ac:dyDescent="0.25">
      <c r="B919" s="394"/>
      <c r="C919" s="230"/>
      <c r="D919" s="230"/>
      <c r="E919" s="230"/>
      <c r="F919" s="230"/>
      <c r="G919" s="230"/>
      <c r="H919" s="230"/>
      <c r="I919" s="230"/>
      <c r="J919" s="230"/>
      <c r="K919" s="230"/>
      <c r="L919" s="230"/>
      <c r="M919" s="230"/>
      <c r="N919" s="230"/>
      <c r="O919" s="230"/>
      <c r="P919" s="230"/>
      <c r="Q919" s="230"/>
      <c r="R919" s="395"/>
    </row>
    <row r="920" spans="2:18" x14ac:dyDescent="0.25">
      <c r="B920" s="394"/>
      <c r="C920" s="230"/>
      <c r="D920" s="230"/>
      <c r="E920" s="230"/>
      <c r="F920" s="230"/>
      <c r="G920" s="230"/>
      <c r="H920" s="230"/>
      <c r="I920" s="230"/>
      <c r="J920" s="230"/>
      <c r="K920" s="230"/>
      <c r="L920" s="230"/>
      <c r="M920" s="230"/>
      <c r="N920" s="230"/>
      <c r="O920" s="230"/>
      <c r="P920" s="230"/>
      <c r="Q920" s="230"/>
      <c r="R920" s="395"/>
    </row>
    <row r="921" spans="2:18" x14ac:dyDescent="0.25">
      <c r="B921" s="394"/>
      <c r="C921" s="230"/>
      <c r="D921" s="230"/>
      <c r="E921" s="230"/>
      <c r="F921" s="230"/>
      <c r="G921" s="230"/>
      <c r="H921" s="230"/>
      <c r="I921" s="230"/>
      <c r="J921" s="230"/>
      <c r="K921" s="230"/>
      <c r="L921" s="230"/>
      <c r="M921" s="230"/>
      <c r="N921" s="230"/>
      <c r="O921" s="230"/>
      <c r="P921" s="230"/>
      <c r="Q921" s="230"/>
      <c r="R921" s="395"/>
    </row>
    <row r="922" spans="2:18" x14ac:dyDescent="0.25">
      <c r="B922" s="394"/>
      <c r="C922" s="230"/>
      <c r="D922" s="230"/>
      <c r="E922" s="230"/>
      <c r="F922" s="230"/>
      <c r="G922" s="230"/>
      <c r="H922" s="230"/>
      <c r="I922" s="230"/>
      <c r="J922" s="230"/>
      <c r="K922" s="230"/>
      <c r="L922" s="230"/>
      <c r="M922" s="230"/>
      <c r="N922" s="230"/>
      <c r="O922" s="230"/>
      <c r="P922" s="230"/>
      <c r="Q922" s="230"/>
      <c r="R922" s="395"/>
    </row>
    <row r="923" spans="2:18" x14ac:dyDescent="0.25">
      <c r="B923" s="394"/>
      <c r="C923" s="230"/>
      <c r="D923" s="230"/>
      <c r="E923" s="230"/>
      <c r="F923" s="230"/>
      <c r="G923" s="230"/>
      <c r="H923" s="230"/>
      <c r="I923" s="230"/>
      <c r="J923" s="230"/>
      <c r="K923" s="230"/>
      <c r="L923" s="230"/>
      <c r="M923" s="230"/>
      <c r="N923" s="230"/>
      <c r="O923" s="230"/>
      <c r="P923" s="230"/>
      <c r="Q923" s="230"/>
      <c r="R923" s="395"/>
    </row>
    <row r="924" spans="2:18" x14ac:dyDescent="0.25">
      <c r="B924" s="394"/>
      <c r="C924" s="230"/>
      <c r="D924" s="230"/>
      <c r="E924" s="230"/>
      <c r="F924" s="230"/>
      <c r="G924" s="230"/>
      <c r="H924" s="230"/>
      <c r="I924" s="230"/>
      <c r="J924" s="230"/>
      <c r="K924" s="230"/>
      <c r="L924" s="230"/>
      <c r="M924" s="230"/>
      <c r="N924" s="230"/>
      <c r="O924" s="230"/>
      <c r="P924" s="230"/>
      <c r="Q924" s="230"/>
      <c r="R924" s="395"/>
    </row>
    <row r="925" spans="2:18" x14ac:dyDescent="0.25">
      <c r="B925" s="394"/>
      <c r="C925" s="230"/>
      <c r="D925" s="230"/>
      <c r="E925" s="230"/>
      <c r="F925" s="230"/>
      <c r="G925" s="230"/>
      <c r="H925" s="230"/>
      <c r="I925" s="230"/>
      <c r="J925" s="230"/>
      <c r="K925" s="230"/>
      <c r="L925" s="230"/>
      <c r="M925" s="230"/>
      <c r="N925" s="230"/>
      <c r="O925" s="230"/>
      <c r="P925" s="230"/>
      <c r="Q925" s="230"/>
      <c r="R925" s="395"/>
    </row>
    <row r="926" spans="2:18" x14ac:dyDescent="0.25">
      <c r="B926" s="394"/>
      <c r="C926" s="230"/>
      <c r="D926" s="230"/>
      <c r="E926" s="230"/>
      <c r="F926" s="230"/>
      <c r="G926" s="230"/>
      <c r="H926" s="230"/>
      <c r="I926" s="230"/>
      <c r="J926" s="230"/>
      <c r="K926" s="230"/>
      <c r="L926" s="230"/>
      <c r="M926" s="230"/>
      <c r="N926" s="230"/>
      <c r="O926" s="230"/>
      <c r="P926" s="230"/>
      <c r="Q926" s="230"/>
      <c r="R926" s="395"/>
    </row>
    <row r="927" spans="2:18" x14ac:dyDescent="0.25">
      <c r="B927" s="394"/>
      <c r="C927" s="230"/>
      <c r="D927" s="230"/>
      <c r="E927" s="230"/>
      <c r="F927" s="230"/>
      <c r="G927" s="230"/>
      <c r="H927" s="230"/>
      <c r="I927" s="230"/>
      <c r="J927" s="230"/>
      <c r="K927" s="230"/>
      <c r="L927" s="230"/>
      <c r="M927" s="230"/>
      <c r="N927" s="230"/>
      <c r="O927" s="230"/>
      <c r="P927" s="230"/>
      <c r="Q927" s="230"/>
      <c r="R927" s="395"/>
    </row>
    <row r="928" spans="2:18" x14ac:dyDescent="0.25">
      <c r="B928" s="394"/>
      <c r="C928" s="230"/>
      <c r="D928" s="230"/>
      <c r="E928" s="230"/>
      <c r="F928" s="230"/>
      <c r="G928" s="230"/>
      <c r="H928" s="230"/>
      <c r="I928" s="230"/>
      <c r="J928" s="230"/>
      <c r="K928" s="230"/>
      <c r="L928" s="230"/>
      <c r="M928" s="230"/>
      <c r="N928" s="230"/>
      <c r="O928" s="230"/>
      <c r="P928" s="230"/>
      <c r="Q928" s="230"/>
      <c r="R928" s="395"/>
    </row>
    <row r="929" spans="2:18" x14ac:dyDescent="0.25">
      <c r="B929" s="394"/>
      <c r="C929" s="230"/>
      <c r="D929" s="230"/>
      <c r="E929" s="230"/>
      <c r="F929" s="230"/>
      <c r="G929" s="230"/>
      <c r="H929" s="230"/>
      <c r="I929" s="230"/>
      <c r="J929" s="230"/>
      <c r="K929" s="230"/>
      <c r="L929" s="230"/>
      <c r="M929" s="230"/>
      <c r="N929" s="230"/>
      <c r="O929" s="230"/>
      <c r="P929" s="230"/>
      <c r="Q929" s="230"/>
      <c r="R929" s="395"/>
    </row>
    <row r="930" spans="2:18" x14ac:dyDescent="0.25">
      <c r="B930" s="394"/>
      <c r="C930" s="230"/>
      <c r="D930" s="230"/>
      <c r="E930" s="230"/>
      <c r="F930" s="230"/>
      <c r="G930" s="230"/>
      <c r="H930" s="230"/>
      <c r="I930" s="230"/>
      <c r="J930" s="230"/>
      <c r="K930" s="230"/>
      <c r="L930" s="230"/>
      <c r="M930" s="230"/>
      <c r="N930" s="230"/>
      <c r="O930" s="230"/>
      <c r="P930" s="230"/>
      <c r="Q930" s="230"/>
      <c r="R930" s="395"/>
    </row>
    <row r="931" spans="2:18" x14ac:dyDescent="0.25">
      <c r="B931" s="394"/>
      <c r="C931" s="230"/>
      <c r="D931" s="230"/>
      <c r="E931" s="230"/>
      <c r="F931" s="230"/>
      <c r="G931" s="230"/>
      <c r="H931" s="230"/>
      <c r="I931" s="230"/>
      <c r="J931" s="230"/>
      <c r="K931" s="230"/>
      <c r="L931" s="230"/>
      <c r="M931" s="230"/>
      <c r="N931" s="230"/>
      <c r="O931" s="230"/>
      <c r="P931" s="230"/>
      <c r="Q931" s="230"/>
      <c r="R931" s="395"/>
    </row>
    <row r="932" spans="2:18" x14ac:dyDescent="0.25">
      <c r="B932" s="394"/>
      <c r="C932" s="230"/>
      <c r="D932" s="230"/>
      <c r="E932" s="230"/>
      <c r="F932" s="230"/>
      <c r="G932" s="230"/>
      <c r="H932" s="230"/>
      <c r="I932" s="230"/>
      <c r="J932" s="230"/>
      <c r="K932" s="230"/>
      <c r="L932" s="230"/>
      <c r="M932" s="230"/>
      <c r="N932" s="230"/>
      <c r="O932" s="230"/>
      <c r="P932" s="230"/>
      <c r="Q932" s="230"/>
      <c r="R932" s="395"/>
    </row>
    <row r="933" spans="2:18" x14ac:dyDescent="0.25">
      <c r="B933" s="394"/>
      <c r="C933" s="230"/>
      <c r="D933" s="230"/>
      <c r="E933" s="230"/>
      <c r="F933" s="230"/>
      <c r="G933" s="230"/>
      <c r="H933" s="230"/>
      <c r="I933" s="230"/>
      <c r="J933" s="230"/>
      <c r="K933" s="230"/>
      <c r="L933" s="230"/>
      <c r="M933" s="230"/>
      <c r="N933" s="230"/>
      <c r="O933" s="230"/>
      <c r="P933" s="230"/>
      <c r="Q933" s="230"/>
      <c r="R933" s="395"/>
    </row>
    <row r="934" spans="2:18" x14ac:dyDescent="0.25">
      <c r="B934" s="394"/>
      <c r="C934" s="230"/>
      <c r="D934" s="230"/>
      <c r="E934" s="230"/>
      <c r="F934" s="230"/>
      <c r="G934" s="230"/>
      <c r="H934" s="230"/>
      <c r="I934" s="230"/>
      <c r="J934" s="230"/>
      <c r="K934" s="230"/>
      <c r="L934" s="230"/>
      <c r="M934" s="230"/>
      <c r="N934" s="230"/>
      <c r="O934" s="230"/>
      <c r="P934" s="230"/>
      <c r="Q934" s="230"/>
      <c r="R934" s="395"/>
    </row>
    <row r="935" spans="2:18" x14ac:dyDescent="0.25">
      <c r="B935" s="394"/>
      <c r="C935" s="230"/>
      <c r="D935" s="230"/>
      <c r="E935" s="230"/>
      <c r="F935" s="230"/>
      <c r="G935" s="230"/>
      <c r="H935" s="230"/>
      <c r="I935" s="230"/>
      <c r="J935" s="230"/>
      <c r="K935" s="230"/>
      <c r="L935" s="230"/>
      <c r="M935" s="230"/>
      <c r="N935" s="230"/>
      <c r="O935" s="230"/>
      <c r="P935" s="230"/>
      <c r="Q935" s="230"/>
      <c r="R935" s="395"/>
    </row>
    <row r="936" spans="2:18" x14ac:dyDescent="0.25">
      <c r="B936" s="394"/>
      <c r="C936" s="230"/>
      <c r="D936" s="230"/>
      <c r="E936" s="230"/>
      <c r="F936" s="230"/>
      <c r="G936" s="230"/>
      <c r="H936" s="230"/>
      <c r="I936" s="230"/>
      <c r="J936" s="230"/>
      <c r="K936" s="230"/>
      <c r="L936" s="230"/>
      <c r="M936" s="230"/>
      <c r="N936" s="230"/>
      <c r="O936" s="230"/>
      <c r="P936" s="230"/>
      <c r="Q936" s="230"/>
      <c r="R936" s="395"/>
    </row>
    <row r="937" spans="2:18" x14ac:dyDescent="0.25">
      <c r="B937" s="394"/>
      <c r="C937" s="230"/>
      <c r="D937" s="230"/>
      <c r="E937" s="230"/>
      <c r="F937" s="230"/>
      <c r="G937" s="230"/>
      <c r="H937" s="230"/>
      <c r="I937" s="230"/>
      <c r="J937" s="230"/>
      <c r="K937" s="230"/>
      <c r="L937" s="230"/>
      <c r="M937" s="230"/>
      <c r="N937" s="230"/>
      <c r="O937" s="230"/>
      <c r="P937" s="230"/>
      <c r="Q937" s="230"/>
      <c r="R937" s="395"/>
    </row>
    <row r="938" spans="2:18" x14ac:dyDescent="0.25">
      <c r="B938" s="394"/>
      <c r="C938" s="230"/>
      <c r="D938" s="230"/>
      <c r="E938" s="230"/>
      <c r="F938" s="230"/>
      <c r="G938" s="230"/>
      <c r="H938" s="230"/>
      <c r="I938" s="230"/>
      <c r="J938" s="230"/>
      <c r="K938" s="230"/>
      <c r="L938" s="230"/>
      <c r="M938" s="230"/>
      <c r="N938" s="230"/>
      <c r="O938" s="230"/>
      <c r="P938" s="230"/>
      <c r="Q938" s="230"/>
      <c r="R938" s="395"/>
    </row>
    <row r="939" spans="2:18" x14ac:dyDescent="0.25">
      <c r="B939" s="394"/>
      <c r="C939" s="230"/>
      <c r="D939" s="230"/>
      <c r="E939" s="230"/>
      <c r="F939" s="230"/>
      <c r="G939" s="230"/>
      <c r="H939" s="230"/>
      <c r="I939" s="230"/>
      <c r="J939" s="230"/>
      <c r="K939" s="230"/>
      <c r="L939" s="230"/>
      <c r="M939" s="230"/>
      <c r="N939" s="230"/>
      <c r="O939" s="230"/>
      <c r="P939" s="230"/>
      <c r="Q939" s="230"/>
      <c r="R939" s="395"/>
    </row>
    <row r="940" spans="2:18" x14ac:dyDescent="0.25">
      <c r="B940" s="394"/>
      <c r="C940" s="230"/>
      <c r="D940" s="230"/>
      <c r="E940" s="230"/>
      <c r="F940" s="230"/>
      <c r="G940" s="230"/>
      <c r="H940" s="230"/>
      <c r="I940" s="230"/>
      <c r="J940" s="230"/>
      <c r="K940" s="230"/>
      <c r="L940" s="230"/>
      <c r="M940" s="230"/>
      <c r="N940" s="230"/>
      <c r="O940" s="230"/>
      <c r="P940" s="230"/>
      <c r="Q940" s="230"/>
      <c r="R940" s="395"/>
    </row>
    <row r="941" spans="2:18" x14ac:dyDescent="0.25">
      <c r="B941" s="394"/>
      <c r="C941" s="230"/>
      <c r="D941" s="230"/>
      <c r="E941" s="230"/>
      <c r="F941" s="230"/>
      <c r="G941" s="230"/>
      <c r="H941" s="230"/>
      <c r="I941" s="230"/>
      <c r="J941" s="230"/>
      <c r="K941" s="230"/>
      <c r="L941" s="230"/>
      <c r="M941" s="230"/>
      <c r="N941" s="230"/>
      <c r="O941" s="230"/>
      <c r="P941" s="230"/>
      <c r="Q941" s="230"/>
      <c r="R941" s="395"/>
    </row>
    <row r="942" spans="2:18" x14ac:dyDescent="0.25">
      <c r="B942" s="394"/>
      <c r="C942" s="230"/>
      <c r="D942" s="230"/>
      <c r="E942" s="230"/>
      <c r="F942" s="230"/>
      <c r="G942" s="230"/>
      <c r="H942" s="230"/>
      <c r="I942" s="230"/>
      <c r="J942" s="230"/>
      <c r="K942" s="230"/>
      <c r="L942" s="230"/>
      <c r="M942" s="230"/>
      <c r="N942" s="230"/>
      <c r="O942" s="230"/>
      <c r="P942" s="230"/>
      <c r="Q942" s="230"/>
      <c r="R942" s="395"/>
    </row>
    <row r="943" spans="2:18" x14ac:dyDescent="0.25">
      <c r="B943" s="394"/>
      <c r="C943" s="230"/>
      <c r="D943" s="230"/>
      <c r="E943" s="230"/>
      <c r="F943" s="230"/>
      <c r="G943" s="230"/>
      <c r="H943" s="230"/>
      <c r="I943" s="230"/>
      <c r="J943" s="230"/>
      <c r="K943" s="230"/>
      <c r="L943" s="230"/>
      <c r="M943" s="230"/>
      <c r="N943" s="230"/>
      <c r="O943" s="230"/>
      <c r="P943" s="230"/>
      <c r="Q943" s="230"/>
      <c r="R943" s="395"/>
    </row>
    <row r="944" spans="2:18" x14ac:dyDescent="0.25">
      <c r="B944" s="394"/>
      <c r="C944" s="230"/>
      <c r="D944" s="230"/>
      <c r="E944" s="230"/>
      <c r="F944" s="230"/>
      <c r="G944" s="230"/>
      <c r="H944" s="230"/>
      <c r="I944" s="230"/>
      <c r="J944" s="230"/>
      <c r="K944" s="230"/>
      <c r="L944" s="230"/>
      <c r="M944" s="230"/>
      <c r="N944" s="230"/>
      <c r="O944" s="230"/>
      <c r="P944" s="230"/>
      <c r="Q944" s="230"/>
      <c r="R944" s="395"/>
    </row>
    <row r="945" spans="2:18" x14ac:dyDescent="0.25">
      <c r="B945" s="394"/>
      <c r="C945" s="230"/>
      <c r="D945" s="230"/>
      <c r="E945" s="230"/>
      <c r="F945" s="230"/>
      <c r="G945" s="230"/>
      <c r="H945" s="230"/>
      <c r="I945" s="230"/>
      <c r="J945" s="230"/>
      <c r="K945" s="230"/>
      <c r="L945" s="230"/>
      <c r="M945" s="230"/>
      <c r="N945" s="230"/>
      <c r="O945" s="230"/>
      <c r="P945" s="230"/>
      <c r="Q945" s="230"/>
      <c r="R945" s="395"/>
    </row>
    <row r="946" spans="2:18" x14ac:dyDescent="0.25">
      <c r="B946" s="394"/>
      <c r="C946" s="230"/>
      <c r="D946" s="230"/>
      <c r="E946" s="230"/>
      <c r="F946" s="230"/>
      <c r="G946" s="230"/>
      <c r="H946" s="230"/>
      <c r="I946" s="230"/>
      <c r="J946" s="230"/>
      <c r="K946" s="230"/>
      <c r="L946" s="230"/>
      <c r="M946" s="230"/>
      <c r="N946" s="230"/>
      <c r="O946" s="230"/>
      <c r="P946" s="230"/>
      <c r="Q946" s="230"/>
      <c r="R946" s="395"/>
    </row>
    <row r="947" spans="2:18" x14ac:dyDescent="0.25">
      <c r="B947" s="394"/>
      <c r="C947" s="230"/>
      <c r="D947" s="230"/>
      <c r="E947" s="230"/>
      <c r="F947" s="230"/>
      <c r="G947" s="230"/>
      <c r="H947" s="230"/>
      <c r="I947" s="230"/>
      <c r="J947" s="230"/>
      <c r="K947" s="230"/>
      <c r="L947" s="230"/>
      <c r="M947" s="230"/>
      <c r="N947" s="230"/>
      <c r="O947" s="230"/>
      <c r="P947" s="230"/>
      <c r="Q947" s="230"/>
      <c r="R947" s="395"/>
    </row>
    <row r="948" spans="2:18" x14ac:dyDescent="0.25">
      <c r="B948" s="394"/>
      <c r="C948" s="230"/>
      <c r="D948" s="230"/>
      <c r="E948" s="230"/>
      <c r="F948" s="230"/>
      <c r="G948" s="230"/>
      <c r="H948" s="230"/>
      <c r="I948" s="230"/>
      <c r="J948" s="230"/>
      <c r="K948" s="230"/>
      <c r="L948" s="230"/>
      <c r="M948" s="230"/>
      <c r="N948" s="230"/>
      <c r="O948" s="230"/>
      <c r="P948" s="230"/>
      <c r="Q948" s="230"/>
      <c r="R948" s="395"/>
    </row>
    <row r="949" spans="2:18" x14ac:dyDescent="0.25">
      <c r="B949" s="394"/>
      <c r="C949" s="230"/>
      <c r="D949" s="230"/>
      <c r="E949" s="230"/>
      <c r="F949" s="230"/>
      <c r="G949" s="230"/>
      <c r="H949" s="230"/>
      <c r="I949" s="230"/>
      <c r="J949" s="230"/>
      <c r="K949" s="230"/>
      <c r="L949" s="230"/>
      <c r="M949" s="230"/>
      <c r="N949" s="230"/>
      <c r="O949" s="230"/>
      <c r="P949" s="230"/>
      <c r="Q949" s="230"/>
      <c r="R949" s="395"/>
    </row>
    <row r="950" spans="2:18" x14ac:dyDescent="0.25">
      <c r="B950" s="394"/>
      <c r="C950" s="230"/>
      <c r="D950" s="230"/>
      <c r="E950" s="230"/>
      <c r="F950" s="230"/>
      <c r="G950" s="230"/>
      <c r="H950" s="230"/>
      <c r="I950" s="230"/>
      <c r="J950" s="230"/>
      <c r="K950" s="230"/>
      <c r="L950" s="230"/>
      <c r="M950" s="230"/>
      <c r="N950" s="230"/>
      <c r="O950" s="230"/>
      <c r="P950" s="230"/>
      <c r="Q950" s="230"/>
      <c r="R950" s="395"/>
    </row>
    <row r="951" spans="2:18" x14ac:dyDescent="0.25">
      <c r="B951" s="394"/>
      <c r="C951" s="230"/>
      <c r="D951" s="230"/>
      <c r="E951" s="230"/>
      <c r="F951" s="230"/>
      <c r="G951" s="230"/>
      <c r="H951" s="230"/>
      <c r="I951" s="230"/>
      <c r="J951" s="230"/>
      <c r="K951" s="230"/>
      <c r="L951" s="230"/>
      <c r="M951" s="230"/>
      <c r="N951" s="230"/>
      <c r="O951" s="230"/>
      <c r="P951" s="230"/>
      <c r="Q951" s="230"/>
      <c r="R951" s="395"/>
    </row>
    <row r="952" spans="2:18" x14ac:dyDescent="0.25">
      <c r="B952" s="394"/>
      <c r="C952" s="230"/>
      <c r="D952" s="230"/>
      <c r="E952" s="230"/>
      <c r="F952" s="230"/>
      <c r="G952" s="230"/>
      <c r="H952" s="230"/>
      <c r="I952" s="230"/>
      <c r="J952" s="230"/>
      <c r="K952" s="230"/>
      <c r="L952" s="230"/>
      <c r="M952" s="230"/>
      <c r="N952" s="230"/>
      <c r="O952" s="230"/>
      <c r="P952" s="230"/>
      <c r="Q952" s="230"/>
      <c r="R952" s="395"/>
    </row>
    <row r="953" spans="2:18" x14ac:dyDescent="0.25">
      <c r="B953" s="394"/>
      <c r="C953" s="230"/>
      <c r="D953" s="230"/>
      <c r="E953" s="230"/>
      <c r="F953" s="230"/>
      <c r="G953" s="230"/>
      <c r="H953" s="230"/>
      <c r="I953" s="230"/>
      <c r="J953" s="230"/>
      <c r="K953" s="230"/>
      <c r="L953" s="230"/>
      <c r="M953" s="230"/>
      <c r="N953" s="230"/>
      <c r="O953" s="230"/>
      <c r="P953" s="230"/>
      <c r="Q953" s="230"/>
      <c r="R953" s="395"/>
    </row>
    <row r="954" spans="2:18" x14ac:dyDescent="0.25">
      <c r="B954" s="394"/>
      <c r="C954" s="230"/>
      <c r="D954" s="230"/>
      <c r="E954" s="230"/>
      <c r="F954" s="230"/>
      <c r="G954" s="230"/>
      <c r="H954" s="230"/>
      <c r="I954" s="230"/>
      <c r="J954" s="230"/>
      <c r="K954" s="230"/>
      <c r="L954" s="230"/>
      <c r="M954" s="230"/>
      <c r="N954" s="230"/>
      <c r="O954" s="230"/>
      <c r="P954" s="230"/>
      <c r="Q954" s="230"/>
      <c r="R954" s="395"/>
    </row>
    <row r="955" spans="2:18" x14ac:dyDescent="0.25">
      <c r="B955" s="394"/>
      <c r="C955" s="230"/>
      <c r="D955" s="230"/>
      <c r="E955" s="230"/>
      <c r="F955" s="230"/>
      <c r="G955" s="230"/>
      <c r="H955" s="230"/>
      <c r="I955" s="230"/>
      <c r="J955" s="230"/>
      <c r="K955" s="230"/>
      <c r="L955" s="230"/>
      <c r="M955" s="230"/>
      <c r="N955" s="230"/>
      <c r="O955" s="230"/>
      <c r="P955" s="230"/>
      <c r="Q955" s="230"/>
      <c r="R955" s="395"/>
    </row>
    <row r="956" spans="2:18" x14ac:dyDescent="0.25">
      <c r="B956" s="394"/>
      <c r="C956" s="230"/>
      <c r="D956" s="230"/>
      <c r="E956" s="230"/>
      <c r="F956" s="230"/>
      <c r="G956" s="230"/>
      <c r="H956" s="230"/>
      <c r="I956" s="230"/>
      <c r="J956" s="230"/>
      <c r="K956" s="230"/>
      <c r="L956" s="230"/>
      <c r="M956" s="230"/>
      <c r="N956" s="230"/>
      <c r="O956" s="230"/>
      <c r="P956" s="230"/>
      <c r="Q956" s="230"/>
      <c r="R956" s="395"/>
    </row>
    <row r="957" spans="2:18" x14ac:dyDescent="0.25">
      <c r="B957" s="394"/>
      <c r="C957" s="230"/>
      <c r="D957" s="230"/>
      <c r="E957" s="230"/>
      <c r="F957" s="230"/>
      <c r="G957" s="230"/>
      <c r="H957" s="230"/>
      <c r="I957" s="230"/>
      <c r="J957" s="230"/>
      <c r="K957" s="230"/>
      <c r="L957" s="230"/>
      <c r="M957" s="230"/>
      <c r="N957" s="230"/>
      <c r="O957" s="230"/>
      <c r="P957" s="230"/>
      <c r="Q957" s="230"/>
      <c r="R957" s="395"/>
    </row>
    <row r="958" spans="2:18" x14ac:dyDescent="0.25">
      <c r="B958" s="394"/>
      <c r="C958" s="230"/>
      <c r="D958" s="230"/>
      <c r="E958" s="230"/>
      <c r="F958" s="230"/>
      <c r="G958" s="230"/>
      <c r="H958" s="230"/>
      <c r="I958" s="230"/>
      <c r="J958" s="230"/>
      <c r="K958" s="230"/>
      <c r="L958" s="230"/>
      <c r="M958" s="230"/>
      <c r="N958" s="230"/>
      <c r="O958" s="230"/>
      <c r="P958" s="230"/>
      <c r="Q958" s="230"/>
      <c r="R958" s="395"/>
    </row>
    <row r="959" spans="2:18" x14ac:dyDescent="0.25">
      <c r="B959" s="394"/>
      <c r="C959" s="230"/>
      <c r="D959" s="230"/>
      <c r="E959" s="230"/>
      <c r="F959" s="230"/>
      <c r="G959" s="230"/>
      <c r="H959" s="230"/>
      <c r="I959" s="230"/>
      <c r="J959" s="230"/>
      <c r="K959" s="230"/>
      <c r="L959" s="230"/>
      <c r="M959" s="230"/>
      <c r="N959" s="230"/>
      <c r="O959" s="230"/>
      <c r="P959" s="230"/>
      <c r="Q959" s="230"/>
      <c r="R959" s="395"/>
    </row>
    <row r="960" spans="2:18" x14ac:dyDescent="0.25">
      <c r="B960" s="394"/>
      <c r="C960" s="230"/>
      <c r="D960" s="230"/>
      <c r="E960" s="230"/>
      <c r="F960" s="230"/>
      <c r="G960" s="230"/>
      <c r="H960" s="230"/>
      <c r="I960" s="230"/>
      <c r="J960" s="230"/>
      <c r="K960" s="230"/>
      <c r="L960" s="230"/>
      <c r="M960" s="230"/>
      <c r="N960" s="230"/>
      <c r="O960" s="230"/>
      <c r="P960" s="230"/>
      <c r="Q960" s="230"/>
      <c r="R960" s="395"/>
    </row>
    <row r="961" spans="2:18" x14ac:dyDescent="0.25">
      <c r="B961" s="394"/>
      <c r="C961" s="230"/>
      <c r="D961" s="230"/>
      <c r="E961" s="230"/>
      <c r="F961" s="230"/>
      <c r="G961" s="230"/>
      <c r="H961" s="230"/>
      <c r="I961" s="230"/>
      <c r="J961" s="230"/>
      <c r="K961" s="230"/>
      <c r="L961" s="230"/>
      <c r="M961" s="230"/>
      <c r="N961" s="230"/>
      <c r="O961" s="230"/>
      <c r="P961" s="230"/>
      <c r="Q961" s="230"/>
      <c r="R961" s="395"/>
    </row>
    <row r="962" spans="2:18" x14ac:dyDescent="0.25">
      <c r="B962" s="394"/>
      <c r="C962" s="230"/>
      <c r="D962" s="230"/>
      <c r="E962" s="230"/>
      <c r="F962" s="230"/>
      <c r="G962" s="230"/>
      <c r="H962" s="230"/>
      <c r="I962" s="230"/>
      <c r="J962" s="230"/>
      <c r="K962" s="230"/>
      <c r="L962" s="230"/>
      <c r="M962" s="230"/>
      <c r="N962" s="230"/>
      <c r="O962" s="230"/>
      <c r="P962" s="230"/>
      <c r="Q962" s="230"/>
      <c r="R962" s="395"/>
    </row>
    <row r="963" spans="2:18" x14ac:dyDescent="0.25">
      <c r="B963" s="394"/>
      <c r="C963" s="230"/>
      <c r="D963" s="230"/>
      <c r="E963" s="230"/>
      <c r="F963" s="230"/>
      <c r="G963" s="230"/>
      <c r="H963" s="230"/>
      <c r="I963" s="230"/>
      <c r="J963" s="230"/>
      <c r="K963" s="230"/>
      <c r="L963" s="230"/>
      <c r="M963" s="230"/>
      <c r="N963" s="230"/>
      <c r="O963" s="230"/>
      <c r="P963" s="230"/>
      <c r="Q963" s="230"/>
      <c r="R963" s="395"/>
    </row>
    <row r="964" spans="2:18" x14ac:dyDescent="0.25">
      <c r="B964" s="394"/>
      <c r="C964" s="230"/>
      <c r="D964" s="230"/>
      <c r="E964" s="230"/>
      <c r="F964" s="230"/>
      <c r="G964" s="230"/>
      <c r="H964" s="230"/>
      <c r="I964" s="230"/>
      <c r="J964" s="230"/>
      <c r="K964" s="230"/>
      <c r="L964" s="230"/>
      <c r="M964" s="230"/>
      <c r="N964" s="230"/>
      <c r="O964" s="230"/>
      <c r="P964" s="230"/>
      <c r="Q964" s="230"/>
      <c r="R964" s="395"/>
    </row>
    <row r="965" spans="2:18" x14ac:dyDescent="0.25">
      <c r="B965" s="394"/>
      <c r="C965" s="230"/>
      <c r="D965" s="230"/>
      <c r="E965" s="230"/>
      <c r="F965" s="230"/>
      <c r="G965" s="230"/>
      <c r="H965" s="230"/>
      <c r="I965" s="230"/>
      <c r="J965" s="230"/>
      <c r="K965" s="230"/>
      <c r="L965" s="230"/>
      <c r="M965" s="230"/>
      <c r="N965" s="230"/>
      <c r="O965" s="230"/>
      <c r="P965" s="230"/>
      <c r="Q965" s="230"/>
      <c r="R965" s="395"/>
    </row>
    <row r="966" spans="2:18" x14ac:dyDescent="0.25">
      <c r="B966" s="394"/>
      <c r="C966" s="230"/>
      <c r="D966" s="230"/>
      <c r="E966" s="230"/>
      <c r="F966" s="230"/>
      <c r="G966" s="230"/>
      <c r="H966" s="230"/>
      <c r="I966" s="230"/>
      <c r="J966" s="230"/>
      <c r="K966" s="230"/>
      <c r="L966" s="230"/>
      <c r="M966" s="230"/>
      <c r="N966" s="230"/>
      <c r="O966" s="230"/>
      <c r="P966" s="230"/>
      <c r="Q966" s="230"/>
      <c r="R966" s="395"/>
    </row>
    <row r="967" spans="2:18" x14ac:dyDescent="0.25">
      <c r="B967" s="394"/>
      <c r="C967" s="230"/>
      <c r="D967" s="230"/>
      <c r="E967" s="230"/>
      <c r="F967" s="230"/>
      <c r="G967" s="230"/>
      <c r="H967" s="230"/>
      <c r="I967" s="230"/>
      <c r="J967" s="230"/>
      <c r="K967" s="230"/>
      <c r="L967" s="230"/>
      <c r="M967" s="230"/>
      <c r="N967" s="230"/>
      <c r="O967" s="230"/>
      <c r="P967" s="230"/>
      <c r="Q967" s="230"/>
      <c r="R967" s="395"/>
    </row>
    <row r="968" spans="2:18" x14ac:dyDescent="0.25">
      <c r="B968" s="394"/>
      <c r="C968" s="230"/>
      <c r="D968" s="230"/>
      <c r="E968" s="230"/>
      <c r="F968" s="230"/>
      <c r="G968" s="230"/>
      <c r="H968" s="230"/>
      <c r="I968" s="230"/>
      <c r="J968" s="230"/>
      <c r="K968" s="230"/>
      <c r="L968" s="230"/>
      <c r="M968" s="230"/>
      <c r="N968" s="230"/>
      <c r="O968" s="230"/>
      <c r="P968" s="230"/>
      <c r="Q968" s="230"/>
      <c r="R968" s="395"/>
    </row>
    <row r="969" spans="2:18" x14ac:dyDescent="0.25">
      <c r="B969" s="394"/>
      <c r="C969" s="230"/>
      <c r="D969" s="230"/>
      <c r="E969" s="230"/>
      <c r="F969" s="230"/>
      <c r="G969" s="230"/>
      <c r="H969" s="230"/>
      <c r="I969" s="230"/>
      <c r="J969" s="230"/>
      <c r="K969" s="230"/>
      <c r="L969" s="230"/>
      <c r="M969" s="230"/>
      <c r="N969" s="230"/>
      <c r="O969" s="230"/>
      <c r="P969" s="230"/>
      <c r="Q969" s="230"/>
      <c r="R969" s="395"/>
    </row>
    <row r="970" spans="2:18" x14ac:dyDescent="0.25">
      <c r="B970" s="394"/>
      <c r="C970" s="230"/>
      <c r="D970" s="230"/>
      <c r="E970" s="230"/>
      <c r="F970" s="230"/>
      <c r="G970" s="230"/>
      <c r="H970" s="230"/>
      <c r="I970" s="230"/>
      <c r="J970" s="230"/>
      <c r="K970" s="230"/>
      <c r="L970" s="230"/>
      <c r="M970" s="230"/>
      <c r="N970" s="230"/>
      <c r="O970" s="230"/>
      <c r="P970" s="230"/>
      <c r="Q970" s="230"/>
      <c r="R970" s="395"/>
    </row>
    <row r="971" spans="2:18" x14ac:dyDescent="0.25">
      <c r="B971" s="394"/>
      <c r="C971" s="230"/>
      <c r="D971" s="230"/>
      <c r="E971" s="230"/>
      <c r="F971" s="230"/>
      <c r="G971" s="230"/>
      <c r="H971" s="230"/>
      <c r="I971" s="230"/>
      <c r="J971" s="230"/>
      <c r="K971" s="230"/>
      <c r="L971" s="230"/>
      <c r="M971" s="230"/>
      <c r="N971" s="230"/>
      <c r="O971" s="230"/>
      <c r="P971" s="230"/>
      <c r="Q971" s="230"/>
      <c r="R971" s="395"/>
    </row>
    <row r="972" spans="2:18" x14ac:dyDescent="0.25">
      <c r="B972" s="394"/>
      <c r="C972" s="230"/>
      <c r="D972" s="230"/>
      <c r="E972" s="230"/>
      <c r="F972" s="230"/>
      <c r="G972" s="230"/>
      <c r="H972" s="230"/>
      <c r="I972" s="230"/>
      <c r="J972" s="230"/>
      <c r="K972" s="230"/>
      <c r="L972" s="230"/>
      <c r="M972" s="230"/>
      <c r="N972" s="230"/>
      <c r="O972" s="230"/>
      <c r="P972" s="230"/>
      <c r="Q972" s="230"/>
      <c r="R972" s="395"/>
    </row>
    <row r="973" spans="2:18" x14ac:dyDescent="0.25">
      <c r="B973" s="394"/>
      <c r="C973" s="230"/>
      <c r="D973" s="230"/>
      <c r="E973" s="230"/>
      <c r="F973" s="230"/>
      <c r="G973" s="230"/>
      <c r="H973" s="230"/>
      <c r="I973" s="230"/>
      <c r="J973" s="230"/>
      <c r="K973" s="230"/>
      <c r="L973" s="230"/>
      <c r="M973" s="230"/>
      <c r="N973" s="230"/>
      <c r="O973" s="230"/>
      <c r="P973" s="230"/>
      <c r="Q973" s="230"/>
      <c r="R973" s="395"/>
    </row>
    <row r="974" spans="2:18" x14ac:dyDescent="0.25">
      <c r="B974" s="394"/>
      <c r="C974" s="230"/>
      <c r="D974" s="230"/>
      <c r="E974" s="230"/>
      <c r="F974" s="230"/>
      <c r="G974" s="230"/>
      <c r="H974" s="230"/>
      <c r="I974" s="230"/>
      <c r="J974" s="230"/>
      <c r="K974" s="230"/>
      <c r="L974" s="230"/>
      <c r="M974" s="230"/>
      <c r="N974" s="230"/>
      <c r="O974" s="230"/>
      <c r="P974" s="230"/>
      <c r="Q974" s="230"/>
      <c r="R974" s="395"/>
    </row>
    <row r="975" spans="2:18" x14ac:dyDescent="0.25">
      <c r="B975" s="394"/>
      <c r="C975" s="230"/>
      <c r="D975" s="230"/>
      <c r="E975" s="230"/>
      <c r="F975" s="230"/>
      <c r="G975" s="230"/>
      <c r="H975" s="230"/>
      <c r="I975" s="230"/>
      <c r="J975" s="230"/>
      <c r="K975" s="230"/>
      <c r="L975" s="230"/>
      <c r="M975" s="230"/>
      <c r="N975" s="230"/>
      <c r="O975" s="230"/>
      <c r="P975" s="230"/>
      <c r="Q975" s="230"/>
      <c r="R975" s="395"/>
    </row>
    <row r="976" spans="2:18" x14ac:dyDescent="0.25">
      <c r="B976" s="394"/>
      <c r="C976" s="230"/>
      <c r="D976" s="230"/>
      <c r="E976" s="230"/>
      <c r="F976" s="230"/>
      <c r="G976" s="230"/>
      <c r="H976" s="230"/>
      <c r="I976" s="230"/>
      <c r="J976" s="230"/>
      <c r="K976" s="230"/>
      <c r="L976" s="230"/>
      <c r="M976" s="230"/>
      <c r="N976" s="230"/>
      <c r="O976" s="230"/>
      <c r="P976" s="230"/>
      <c r="Q976" s="230"/>
      <c r="R976" s="395"/>
    </row>
    <row r="977" spans="2:18" x14ac:dyDescent="0.25">
      <c r="B977" s="394"/>
      <c r="C977" s="230"/>
      <c r="D977" s="230"/>
      <c r="E977" s="230"/>
      <c r="F977" s="230"/>
      <c r="G977" s="230"/>
      <c r="H977" s="230"/>
      <c r="I977" s="230"/>
      <c r="J977" s="230"/>
      <c r="K977" s="230"/>
      <c r="L977" s="230"/>
      <c r="M977" s="230"/>
      <c r="N977" s="230"/>
      <c r="O977" s="230"/>
      <c r="P977" s="230"/>
      <c r="Q977" s="230"/>
      <c r="R977" s="395"/>
    </row>
    <row r="978" spans="2:18" x14ac:dyDescent="0.25">
      <c r="B978" s="394"/>
      <c r="C978" s="230"/>
      <c r="D978" s="230"/>
      <c r="E978" s="230"/>
      <c r="F978" s="230"/>
      <c r="G978" s="230"/>
      <c r="H978" s="230"/>
      <c r="I978" s="230"/>
      <c r="J978" s="230"/>
      <c r="K978" s="230"/>
      <c r="L978" s="230"/>
      <c r="M978" s="230"/>
      <c r="N978" s="230"/>
      <c r="O978" s="230"/>
      <c r="P978" s="230"/>
      <c r="Q978" s="230"/>
      <c r="R978" s="395"/>
    </row>
    <row r="979" spans="2:18" x14ac:dyDescent="0.25">
      <c r="B979" s="394"/>
      <c r="C979" s="230"/>
      <c r="D979" s="230"/>
      <c r="E979" s="230"/>
      <c r="F979" s="230"/>
      <c r="G979" s="230"/>
      <c r="H979" s="230"/>
      <c r="I979" s="230"/>
      <c r="J979" s="230"/>
      <c r="K979" s="230"/>
      <c r="L979" s="230"/>
      <c r="M979" s="230"/>
      <c r="N979" s="230"/>
      <c r="O979" s="230"/>
      <c r="P979" s="230"/>
      <c r="Q979" s="230"/>
      <c r="R979" s="395"/>
    </row>
    <row r="980" spans="2:18" x14ac:dyDescent="0.25">
      <c r="B980" s="394"/>
      <c r="C980" s="230"/>
      <c r="D980" s="230"/>
      <c r="E980" s="230"/>
      <c r="F980" s="230"/>
      <c r="G980" s="230"/>
      <c r="H980" s="230"/>
      <c r="I980" s="230"/>
      <c r="J980" s="230"/>
      <c r="K980" s="230"/>
      <c r="L980" s="230"/>
      <c r="M980" s="230"/>
      <c r="N980" s="230"/>
      <c r="O980" s="230"/>
      <c r="P980" s="230"/>
      <c r="Q980" s="230"/>
      <c r="R980" s="395"/>
    </row>
    <row r="981" spans="2:18" x14ac:dyDescent="0.25">
      <c r="B981" s="394"/>
      <c r="C981" s="230"/>
      <c r="D981" s="230"/>
      <c r="E981" s="230"/>
      <c r="F981" s="230"/>
      <c r="G981" s="230"/>
      <c r="H981" s="230"/>
      <c r="I981" s="230"/>
      <c r="J981" s="230"/>
      <c r="K981" s="230"/>
      <c r="L981" s="230"/>
      <c r="M981" s="230"/>
      <c r="N981" s="230"/>
      <c r="O981" s="230"/>
      <c r="P981" s="230"/>
      <c r="Q981" s="230"/>
      <c r="R981" s="395"/>
    </row>
    <row r="982" spans="2:18" x14ac:dyDescent="0.25">
      <c r="B982" s="394"/>
      <c r="C982" s="230"/>
      <c r="D982" s="230"/>
      <c r="E982" s="230"/>
      <c r="F982" s="230"/>
      <c r="G982" s="230"/>
      <c r="H982" s="230"/>
      <c r="I982" s="230"/>
      <c r="J982" s="230"/>
      <c r="K982" s="230"/>
      <c r="L982" s="230"/>
      <c r="M982" s="230"/>
      <c r="N982" s="230"/>
      <c r="O982" s="230"/>
      <c r="P982" s="230"/>
      <c r="Q982" s="230"/>
      <c r="R982" s="395"/>
    </row>
    <row r="983" spans="2:18" x14ac:dyDescent="0.25">
      <c r="B983" s="394"/>
      <c r="C983" s="230"/>
      <c r="D983" s="230"/>
      <c r="E983" s="230"/>
      <c r="F983" s="230"/>
      <c r="G983" s="230"/>
      <c r="H983" s="230"/>
      <c r="I983" s="230"/>
      <c r="J983" s="230"/>
      <c r="K983" s="230"/>
      <c r="L983" s="230"/>
      <c r="M983" s="230"/>
      <c r="N983" s="230"/>
      <c r="O983" s="230"/>
      <c r="P983" s="230"/>
      <c r="Q983" s="230"/>
      <c r="R983" s="395"/>
    </row>
    <row r="984" spans="2:18" x14ac:dyDescent="0.25">
      <c r="B984" s="394"/>
      <c r="C984" s="230"/>
      <c r="D984" s="230"/>
      <c r="E984" s="230"/>
      <c r="F984" s="230"/>
      <c r="G984" s="230"/>
      <c r="H984" s="230"/>
      <c r="I984" s="230"/>
      <c r="J984" s="230"/>
      <c r="K984" s="230"/>
      <c r="L984" s="230"/>
      <c r="M984" s="230"/>
      <c r="N984" s="230"/>
      <c r="O984" s="230"/>
      <c r="P984" s="230"/>
      <c r="Q984" s="230"/>
      <c r="R984" s="395"/>
    </row>
    <row r="985" spans="2:18" x14ac:dyDescent="0.25">
      <c r="B985" s="394"/>
      <c r="C985" s="230"/>
      <c r="D985" s="230"/>
      <c r="E985" s="230"/>
      <c r="F985" s="230"/>
      <c r="G985" s="230"/>
      <c r="H985" s="230"/>
      <c r="I985" s="230"/>
      <c r="J985" s="230"/>
      <c r="K985" s="230"/>
      <c r="L985" s="230"/>
      <c r="M985" s="230"/>
      <c r="N985" s="230"/>
      <c r="O985" s="230"/>
      <c r="P985" s="230"/>
      <c r="Q985" s="230"/>
      <c r="R985" s="395"/>
    </row>
    <row r="986" spans="2:18" x14ac:dyDescent="0.25">
      <c r="B986" s="394"/>
      <c r="C986" s="230"/>
      <c r="D986" s="230"/>
      <c r="E986" s="230"/>
      <c r="F986" s="230"/>
      <c r="G986" s="230"/>
      <c r="H986" s="230"/>
      <c r="I986" s="230"/>
      <c r="J986" s="230"/>
      <c r="K986" s="230"/>
      <c r="L986" s="230"/>
      <c r="M986" s="230"/>
      <c r="N986" s="230"/>
      <c r="O986" s="230"/>
      <c r="P986" s="230"/>
      <c r="Q986" s="230"/>
      <c r="R986" s="395"/>
    </row>
    <row r="987" spans="2:18" x14ac:dyDescent="0.25">
      <c r="B987" s="394"/>
      <c r="C987" s="230"/>
      <c r="D987" s="230"/>
      <c r="E987" s="230"/>
      <c r="F987" s="230"/>
      <c r="G987" s="230"/>
      <c r="H987" s="230"/>
      <c r="I987" s="230"/>
      <c r="J987" s="230"/>
      <c r="K987" s="230"/>
      <c r="L987" s="230"/>
      <c r="M987" s="230"/>
      <c r="N987" s="230"/>
      <c r="O987" s="230"/>
      <c r="P987" s="230"/>
      <c r="Q987" s="230"/>
      <c r="R987" s="395"/>
    </row>
    <row r="988" spans="2:18" x14ac:dyDescent="0.25">
      <c r="B988" s="394"/>
      <c r="C988" s="230"/>
      <c r="D988" s="230"/>
      <c r="E988" s="230"/>
      <c r="F988" s="230"/>
      <c r="G988" s="230"/>
      <c r="H988" s="230"/>
      <c r="I988" s="230"/>
      <c r="J988" s="230"/>
      <c r="K988" s="230"/>
      <c r="L988" s="230"/>
      <c r="M988" s="230"/>
      <c r="N988" s="230"/>
      <c r="O988" s="230"/>
      <c r="P988" s="230"/>
      <c r="Q988" s="230"/>
      <c r="R988" s="395"/>
    </row>
    <row r="989" spans="2:18" x14ac:dyDescent="0.25">
      <c r="B989" s="394"/>
      <c r="C989" s="230"/>
      <c r="D989" s="230"/>
      <c r="E989" s="230"/>
      <c r="F989" s="230"/>
      <c r="G989" s="230"/>
      <c r="H989" s="230"/>
      <c r="I989" s="230"/>
      <c r="J989" s="230"/>
      <c r="K989" s="230"/>
      <c r="L989" s="230"/>
      <c r="M989" s="230"/>
      <c r="N989" s="230"/>
      <c r="O989" s="230"/>
      <c r="P989" s="230"/>
      <c r="Q989" s="230"/>
      <c r="R989" s="395"/>
    </row>
    <row r="990" spans="2:18" x14ac:dyDescent="0.25">
      <c r="B990" s="394"/>
      <c r="C990" s="230"/>
      <c r="D990" s="230"/>
      <c r="E990" s="230"/>
      <c r="F990" s="230"/>
      <c r="G990" s="230"/>
      <c r="H990" s="230"/>
      <c r="I990" s="230"/>
      <c r="J990" s="230"/>
      <c r="K990" s="230"/>
      <c r="L990" s="230"/>
      <c r="M990" s="230"/>
      <c r="N990" s="230"/>
      <c r="O990" s="230"/>
      <c r="P990" s="230"/>
      <c r="Q990" s="230"/>
      <c r="R990" s="395"/>
    </row>
    <row r="991" spans="2:18" x14ac:dyDescent="0.25">
      <c r="B991" s="394"/>
      <c r="C991" s="230"/>
      <c r="D991" s="230"/>
      <c r="E991" s="230"/>
      <c r="F991" s="230"/>
      <c r="G991" s="230"/>
      <c r="H991" s="230"/>
      <c r="I991" s="230"/>
      <c r="J991" s="230"/>
      <c r="K991" s="230"/>
      <c r="L991" s="230"/>
      <c r="M991" s="230"/>
      <c r="N991" s="230"/>
      <c r="O991" s="230"/>
      <c r="P991" s="230"/>
      <c r="Q991" s="230"/>
      <c r="R991" s="395"/>
    </row>
    <row r="992" spans="2:18" x14ac:dyDescent="0.25">
      <c r="B992" s="394"/>
      <c r="C992" s="230"/>
      <c r="D992" s="230"/>
      <c r="E992" s="230"/>
      <c r="F992" s="230"/>
      <c r="G992" s="230"/>
      <c r="H992" s="230"/>
      <c r="I992" s="230"/>
      <c r="J992" s="230"/>
      <c r="K992" s="230"/>
      <c r="L992" s="230"/>
      <c r="M992" s="230"/>
      <c r="N992" s="230"/>
      <c r="O992" s="230"/>
      <c r="P992" s="230"/>
      <c r="Q992" s="230"/>
      <c r="R992" s="395"/>
    </row>
    <row r="993" spans="2:18" x14ac:dyDescent="0.25">
      <c r="B993" s="394"/>
      <c r="C993" s="230"/>
      <c r="D993" s="230"/>
      <c r="E993" s="230"/>
      <c r="F993" s="230"/>
      <c r="G993" s="230"/>
      <c r="H993" s="230"/>
      <c r="I993" s="230"/>
      <c r="J993" s="230"/>
      <c r="K993" s="230"/>
      <c r="L993" s="230"/>
      <c r="M993" s="230"/>
      <c r="N993" s="230"/>
      <c r="O993" s="230"/>
      <c r="P993" s="230"/>
      <c r="Q993" s="230"/>
      <c r="R993" s="395"/>
    </row>
    <row r="994" spans="2:18" x14ac:dyDescent="0.25">
      <c r="B994" s="394"/>
      <c r="C994" s="230"/>
      <c r="D994" s="230"/>
      <c r="E994" s="230"/>
      <c r="F994" s="230"/>
      <c r="G994" s="230"/>
      <c r="H994" s="230"/>
      <c r="I994" s="230"/>
      <c r="J994" s="230"/>
      <c r="K994" s="230"/>
      <c r="L994" s="230"/>
      <c r="M994" s="230"/>
      <c r="N994" s="230"/>
      <c r="O994" s="230"/>
      <c r="P994" s="230"/>
      <c r="Q994" s="230"/>
      <c r="R994" s="395"/>
    </row>
    <row r="995" spans="2:18" x14ac:dyDescent="0.25">
      <c r="B995" s="394"/>
      <c r="C995" s="230"/>
      <c r="D995" s="230"/>
      <c r="E995" s="230"/>
      <c r="F995" s="230"/>
      <c r="G995" s="230"/>
      <c r="H995" s="230"/>
      <c r="I995" s="230"/>
      <c r="J995" s="230"/>
      <c r="K995" s="230"/>
      <c r="L995" s="230"/>
      <c r="M995" s="230"/>
      <c r="N995" s="230"/>
      <c r="O995" s="230"/>
      <c r="P995" s="230"/>
      <c r="Q995" s="230"/>
      <c r="R995" s="395"/>
    </row>
    <row r="996" spans="2:18" x14ac:dyDescent="0.25">
      <c r="B996" s="394"/>
      <c r="C996" s="230"/>
      <c r="D996" s="230"/>
      <c r="E996" s="230"/>
      <c r="F996" s="230"/>
      <c r="G996" s="230"/>
      <c r="H996" s="230"/>
      <c r="I996" s="230"/>
      <c r="J996" s="230"/>
      <c r="K996" s="230"/>
      <c r="L996" s="230"/>
      <c r="M996" s="230"/>
      <c r="N996" s="230"/>
      <c r="O996" s="230"/>
      <c r="P996" s="230"/>
      <c r="Q996" s="230"/>
      <c r="R996" s="395"/>
    </row>
    <row r="997" spans="2:18" x14ac:dyDescent="0.25">
      <c r="B997" s="394"/>
      <c r="C997" s="230"/>
      <c r="D997" s="230"/>
      <c r="E997" s="230"/>
      <c r="F997" s="230"/>
      <c r="G997" s="230"/>
      <c r="H997" s="230"/>
      <c r="I997" s="230"/>
      <c r="J997" s="230"/>
      <c r="K997" s="230"/>
      <c r="L997" s="230"/>
      <c r="M997" s="230"/>
      <c r="N997" s="230"/>
      <c r="O997" s="230"/>
      <c r="P997" s="230"/>
      <c r="Q997" s="230"/>
      <c r="R997" s="395"/>
    </row>
    <row r="998" spans="2:18" x14ac:dyDescent="0.25">
      <c r="B998" s="394"/>
      <c r="C998" s="230"/>
      <c r="D998" s="230"/>
      <c r="E998" s="230"/>
      <c r="F998" s="230"/>
      <c r="G998" s="230"/>
      <c r="H998" s="230"/>
      <c r="I998" s="230"/>
      <c r="J998" s="230"/>
      <c r="K998" s="230"/>
      <c r="L998" s="230"/>
      <c r="M998" s="230"/>
      <c r="N998" s="230"/>
      <c r="O998" s="230"/>
      <c r="P998" s="230"/>
      <c r="Q998" s="230"/>
      <c r="R998" s="395"/>
    </row>
    <row r="999" spans="2:18" x14ac:dyDescent="0.25">
      <c r="B999" s="394"/>
      <c r="C999" s="230"/>
      <c r="D999" s="230"/>
      <c r="E999" s="230"/>
      <c r="F999" s="230"/>
      <c r="G999" s="230"/>
      <c r="H999" s="230"/>
      <c r="I999" s="230"/>
      <c r="J999" s="230"/>
      <c r="K999" s="230"/>
      <c r="L999" s="230"/>
      <c r="M999" s="230"/>
      <c r="N999" s="230"/>
      <c r="O999" s="230"/>
      <c r="P999" s="230"/>
      <c r="Q999" s="230"/>
      <c r="R999" s="395"/>
    </row>
    <row r="1000" spans="2:18" ht="15.75" thickBot="1" x14ac:dyDescent="0.3">
      <c r="B1000" s="396"/>
      <c r="C1000" s="397"/>
      <c r="D1000" s="397"/>
      <c r="E1000" s="397"/>
      <c r="F1000" s="397"/>
      <c r="G1000" s="397"/>
      <c r="H1000" s="397"/>
      <c r="I1000" s="397"/>
      <c r="J1000" s="397"/>
      <c r="K1000" s="397"/>
      <c r="L1000" s="397"/>
      <c r="M1000" s="397"/>
      <c r="N1000" s="397"/>
      <c r="O1000" s="397"/>
      <c r="P1000" s="397"/>
      <c r="Q1000" s="397"/>
      <c r="R1000" s="39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summaryRight="0"/>
  </sheetPr>
  <dimension ref="A1:S23"/>
  <sheetViews>
    <sheetView showGridLines="0" zoomScale="115" zoomScaleNormal="115" workbookViewId="0">
      <selection activeCell="B23" sqref="B23"/>
    </sheetView>
  </sheetViews>
  <sheetFormatPr defaultRowHeight="15" outlineLevelRow="1" outlineLevelCol="1" x14ac:dyDescent="0.25"/>
  <cols>
    <col min="1" max="1" width="1.7109375" customWidth="1"/>
    <col min="2" max="2" width="38.140625" bestFit="1" customWidth="1" collapsed="1"/>
    <col min="3" max="3" width="12.28515625" hidden="1" customWidth="1" outlineLevel="1"/>
    <col min="4" max="5" width="6.28515625" hidden="1" customWidth="1" outlineLevel="1"/>
    <col min="6" max="6" width="10" customWidth="1"/>
    <col min="7" max="7" width="6.140625" customWidth="1"/>
    <col min="8" max="10" width="10.7109375" customWidth="1"/>
    <col min="11" max="11" width="11.140625" customWidth="1"/>
    <col min="12" max="18" width="10.7109375" customWidth="1"/>
    <col min="19" max="19" width="11.140625" customWidth="1"/>
    <col min="20" max="20" width="9.140625" customWidth="1"/>
  </cols>
  <sheetData>
    <row r="1" spans="1:19" ht="39.75" customHeight="1" x14ac:dyDescent="0.25">
      <c r="A1" s="7"/>
      <c r="B1" s="223" t="s">
        <v>0</v>
      </c>
      <c r="C1" s="224"/>
      <c r="D1" s="224"/>
      <c r="E1" s="225"/>
      <c r="F1" s="219"/>
      <c r="G1" s="219"/>
      <c r="H1" s="434" t="s">
        <v>2</v>
      </c>
      <c r="I1" s="435"/>
      <c r="J1" s="435"/>
      <c r="K1" s="436"/>
      <c r="L1" s="434" t="s">
        <v>7</v>
      </c>
      <c r="M1" s="435"/>
      <c r="N1" s="435"/>
      <c r="O1" s="436"/>
      <c r="P1" s="240" t="s">
        <v>3</v>
      </c>
      <c r="Q1" s="437" t="s">
        <v>5</v>
      </c>
      <c r="R1" s="437"/>
      <c r="S1" s="240" t="s">
        <v>4</v>
      </c>
    </row>
    <row r="2" spans="1:19" ht="39.75" customHeight="1" outlineLevel="1" x14ac:dyDescent="0.25">
      <c r="A2" s="7"/>
      <c r="B2" s="215" t="s">
        <v>6</v>
      </c>
      <c r="C2" s="313" t="s">
        <v>250</v>
      </c>
      <c r="D2" s="313" t="s">
        <v>248</v>
      </c>
      <c r="E2" s="313" t="s">
        <v>249</v>
      </c>
      <c r="F2" s="314" t="s">
        <v>9</v>
      </c>
      <c r="G2" s="312" t="s">
        <v>246</v>
      </c>
      <c r="H2" s="315" t="s">
        <v>397</v>
      </c>
      <c r="I2" s="316" t="s">
        <v>398</v>
      </c>
      <c r="J2" s="316" t="s">
        <v>384</v>
      </c>
      <c r="K2" s="316" t="s">
        <v>399</v>
      </c>
      <c r="L2" s="316" t="s">
        <v>388</v>
      </c>
      <c r="M2" s="316" t="s">
        <v>400</v>
      </c>
      <c r="N2" s="316" t="s">
        <v>401</v>
      </c>
      <c r="O2" s="316" t="s">
        <v>391</v>
      </c>
      <c r="P2" s="316" t="s">
        <v>392</v>
      </c>
      <c r="Q2" s="316" t="s">
        <v>402</v>
      </c>
      <c r="R2" s="316" t="s">
        <v>403</v>
      </c>
      <c r="S2" s="316" t="s">
        <v>404</v>
      </c>
    </row>
    <row r="3" spans="1:19" ht="26.1" customHeight="1" x14ac:dyDescent="0.25">
      <c r="A3" s="11"/>
      <c r="B3" s="238" t="s">
        <v>254</v>
      </c>
      <c r="C3" s="235" t="s">
        <v>255</v>
      </c>
      <c r="D3" s="235" t="s">
        <v>256</v>
      </c>
      <c r="E3" s="235" t="s">
        <v>253</v>
      </c>
      <c r="F3" s="236"/>
      <c r="G3" s="237" t="s">
        <v>131</v>
      </c>
      <c r="H3" s="239" t="str">
        <f t="shared" ref="H3:S3" si="0">IF(NOT(ISNA(MATCH("Critical",H4:H7,0))),"Critical",IF(NOT(ISNA(MATCH("Not OK",H4:H7,0))),"Not OK",IF(ISNA(MATCH("tbd",H4:H7,0)),"OK","tbd")))</f>
        <v>tbd</v>
      </c>
      <c r="I3" s="239" t="str">
        <f t="shared" si="0"/>
        <v>tbd</v>
      </c>
      <c r="J3" s="239" t="str">
        <f t="shared" si="0"/>
        <v>tbd</v>
      </c>
      <c r="K3" s="239" t="str">
        <f t="shared" si="0"/>
        <v>tbd</v>
      </c>
      <c r="L3" s="239" t="str">
        <f t="shared" si="0"/>
        <v>tbd</v>
      </c>
      <c r="M3" s="239" t="str">
        <f t="shared" si="0"/>
        <v>tbd</v>
      </c>
      <c r="N3" s="239" t="str">
        <f t="shared" si="0"/>
        <v>tbd</v>
      </c>
      <c r="O3" s="239" t="str">
        <f t="shared" si="0"/>
        <v>tbd</v>
      </c>
      <c r="P3" s="239" t="str">
        <f t="shared" si="0"/>
        <v>tbd</v>
      </c>
      <c r="Q3" s="239" t="str">
        <f t="shared" si="0"/>
        <v>tbd</v>
      </c>
      <c r="R3" s="239" t="str">
        <f t="shared" si="0"/>
        <v>tbd</v>
      </c>
      <c r="S3" s="239" t="str">
        <f t="shared" si="0"/>
        <v>tbd</v>
      </c>
    </row>
    <row r="4" spans="1:19" ht="12.95" customHeight="1" outlineLevel="1" x14ac:dyDescent="0.25">
      <c r="A4" s="11"/>
      <c r="B4" s="233" t="s">
        <v>257</v>
      </c>
      <c r="C4" s="232" t="s">
        <v>255</v>
      </c>
      <c r="D4" s="232" t="s">
        <v>256</v>
      </c>
      <c r="E4" s="232" t="s">
        <v>258</v>
      </c>
      <c r="F4" s="234" t="s">
        <v>259</v>
      </c>
      <c r="G4" s="18" t="s">
        <v>131</v>
      </c>
      <c r="H4" s="17" t="s">
        <v>8</v>
      </c>
      <c r="I4" s="3" t="s">
        <v>8</v>
      </c>
      <c r="J4" s="3" t="s">
        <v>8</v>
      </c>
      <c r="K4" s="3" t="s">
        <v>8</v>
      </c>
      <c r="L4" s="3" t="s">
        <v>8</v>
      </c>
      <c r="M4" s="3" t="s">
        <v>8</v>
      </c>
      <c r="N4" s="3" t="s">
        <v>8</v>
      </c>
      <c r="O4" s="3" t="s">
        <v>8</v>
      </c>
      <c r="P4" s="3" t="s">
        <v>8</v>
      </c>
      <c r="Q4" s="3" t="s">
        <v>8</v>
      </c>
      <c r="R4" s="3" t="s">
        <v>8</v>
      </c>
      <c r="S4" s="3" t="s">
        <v>8</v>
      </c>
    </row>
    <row r="5" spans="1:19" ht="12.95" customHeight="1" outlineLevel="1" x14ac:dyDescent="0.25">
      <c r="A5" s="11"/>
      <c r="B5" s="233" t="s">
        <v>260</v>
      </c>
      <c r="C5" s="232" t="s">
        <v>255</v>
      </c>
      <c r="D5" s="232" t="s">
        <v>256</v>
      </c>
      <c r="E5" s="232" t="s">
        <v>261</v>
      </c>
      <c r="F5" s="234" t="s">
        <v>259</v>
      </c>
      <c r="G5" s="18" t="s">
        <v>131</v>
      </c>
      <c r="H5" s="17" t="s">
        <v>8</v>
      </c>
      <c r="I5" s="3" t="s">
        <v>8</v>
      </c>
      <c r="J5" s="3" t="s">
        <v>8</v>
      </c>
      <c r="K5" s="3" t="s">
        <v>8</v>
      </c>
      <c r="L5" s="3" t="s">
        <v>8</v>
      </c>
      <c r="M5" s="3" t="s">
        <v>8</v>
      </c>
      <c r="N5" s="3" t="s">
        <v>8</v>
      </c>
      <c r="O5" s="3" t="s">
        <v>8</v>
      </c>
      <c r="P5" s="3" t="s">
        <v>8</v>
      </c>
      <c r="Q5" s="3" t="s">
        <v>8</v>
      </c>
      <c r="R5" s="3" t="s">
        <v>8</v>
      </c>
      <c r="S5" s="3" t="s">
        <v>8</v>
      </c>
    </row>
    <row r="6" spans="1:19" ht="12.95" customHeight="1" outlineLevel="1" x14ac:dyDescent="0.25">
      <c r="A6" s="11"/>
      <c r="B6" s="233" t="s">
        <v>262</v>
      </c>
      <c r="C6" s="232" t="s">
        <v>255</v>
      </c>
      <c r="D6" s="232" t="s">
        <v>256</v>
      </c>
      <c r="E6" s="232" t="s">
        <v>263</v>
      </c>
      <c r="F6" s="234" t="s">
        <v>259</v>
      </c>
      <c r="G6" s="18" t="s">
        <v>131</v>
      </c>
      <c r="H6" s="17" t="s">
        <v>8</v>
      </c>
      <c r="I6" s="3" t="s">
        <v>8</v>
      </c>
      <c r="J6" s="3" t="s">
        <v>8</v>
      </c>
      <c r="K6" s="3" t="s">
        <v>8</v>
      </c>
      <c r="L6" s="3" t="s">
        <v>8</v>
      </c>
      <c r="M6" s="3" t="s">
        <v>8</v>
      </c>
      <c r="N6" s="3" t="s">
        <v>8</v>
      </c>
      <c r="O6" s="3" t="s">
        <v>8</v>
      </c>
      <c r="P6" s="3" t="s">
        <v>8</v>
      </c>
      <c r="Q6" s="3" t="s">
        <v>8</v>
      </c>
      <c r="R6" s="3" t="s">
        <v>8</v>
      </c>
      <c r="S6" s="3" t="s">
        <v>8</v>
      </c>
    </row>
    <row r="7" spans="1:19" ht="12.95" customHeight="1" outlineLevel="1" x14ac:dyDescent="0.25">
      <c r="A7" s="11"/>
      <c r="B7" s="233" t="s">
        <v>264</v>
      </c>
      <c r="C7" s="232" t="s">
        <v>255</v>
      </c>
      <c r="D7" s="232" t="s">
        <v>256</v>
      </c>
      <c r="E7" s="232" t="s">
        <v>265</v>
      </c>
      <c r="F7" s="234" t="s">
        <v>259</v>
      </c>
      <c r="G7" s="18" t="s">
        <v>131</v>
      </c>
      <c r="H7" s="17" t="s">
        <v>8</v>
      </c>
      <c r="I7" s="3" t="s">
        <v>8</v>
      </c>
      <c r="J7" s="3" t="s">
        <v>8</v>
      </c>
      <c r="K7" s="3" t="s">
        <v>8</v>
      </c>
      <c r="L7" s="3" t="s">
        <v>8</v>
      </c>
      <c r="M7" s="3" t="s">
        <v>8</v>
      </c>
      <c r="N7" s="3" t="s">
        <v>8</v>
      </c>
      <c r="O7" s="3" t="s">
        <v>8</v>
      </c>
      <c r="P7" s="3" t="s">
        <v>8</v>
      </c>
      <c r="Q7" s="3" t="s">
        <v>8</v>
      </c>
      <c r="R7" s="3" t="s">
        <v>8</v>
      </c>
      <c r="S7" s="3" t="s">
        <v>8</v>
      </c>
    </row>
    <row r="8" spans="1:19" ht="26.1" customHeight="1" x14ac:dyDescent="0.25">
      <c r="A8" s="11"/>
      <c r="B8" s="238" t="s">
        <v>266</v>
      </c>
      <c r="C8" s="235" t="s">
        <v>255</v>
      </c>
      <c r="D8" s="235" t="s">
        <v>267</v>
      </c>
      <c r="E8" s="235" t="s">
        <v>253</v>
      </c>
      <c r="F8" s="236"/>
      <c r="G8" s="237" t="s">
        <v>131</v>
      </c>
      <c r="H8" s="239" t="str">
        <f t="shared" ref="H8:S8" si="1">IF(NOT(ISNA(MATCH("Critical",H9:H18,0))),"Critical",IF(NOT(ISNA(MATCH("Not OK",H9:H18,0))),"Not OK",IF(ISNA(MATCH("tbd",H9:H18,0)),"OK","tbd")))</f>
        <v>tbd</v>
      </c>
      <c r="I8" s="239" t="str">
        <f t="shared" si="1"/>
        <v>tbd</v>
      </c>
      <c r="J8" s="239" t="str">
        <f t="shared" si="1"/>
        <v>tbd</v>
      </c>
      <c r="K8" s="239" t="str">
        <f t="shared" si="1"/>
        <v>tbd</v>
      </c>
      <c r="L8" s="239" t="str">
        <f t="shared" si="1"/>
        <v>tbd</v>
      </c>
      <c r="M8" s="239" t="str">
        <f t="shared" si="1"/>
        <v>tbd</v>
      </c>
      <c r="N8" s="239" t="str">
        <f t="shared" si="1"/>
        <v>tbd</v>
      </c>
      <c r="O8" s="239" t="str">
        <f t="shared" si="1"/>
        <v>tbd</v>
      </c>
      <c r="P8" s="239" t="str">
        <f t="shared" si="1"/>
        <v>tbd</v>
      </c>
      <c r="Q8" s="239" t="str">
        <f t="shared" si="1"/>
        <v>tbd</v>
      </c>
      <c r="R8" s="239" t="str">
        <f t="shared" si="1"/>
        <v>tbd</v>
      </c>
      <c r="S8" s="239" t="str">
        <f t="shared" si="1"/>
        <v>tbd</v>
      </c>
    </row>
    <row r="9" spans="1:19" ht="12.95" customHeight="1" outlineLevel="1" x14ac:dyDescent="0.25">
      <c r="A9" s="11"/>
      <c r="B9" s="233" t="s">
        <v>268</v>
      </c>
      <c r="C9" s="232" t="s">
        <v>255</v>
      </c>
      <c r="D9" s="232" t="s">
        <v>267</v>
      </c>
      <c r="E9" s="232" t="s">
        <v>269</v>
      </c>
      <c r="F9" s="234" t="s">
        <v>259</v>
      </c>
      <c r="G9" s="18" t="s">
        <v>131</v>
      </c>
      <c r="H9" s="17" t="s">
        <v>8</v>
      </c>
      <c r="I9" s="3" t="s">
        <v>8</v>
      </c>
      <c r="J9" s="3" t="s">
        <v>8</v>
      </c>
      <c r="K9" s="3" t="s">
        <v>8</v>
      </c>
      <c r="L9" s="3" t="s">
        <v>8</v>
      </c>
      <c r="M9" s="3" t="s">
        <v>8</v>
      </c>
      <c r="N9" s="3" t="s">
        <v>8</v>
      </c>
      <c r="O9" s="3" t="s">
        <v>8</v>
      </c>
      <c r="P9" s="3" t="s">
        <v>8</v>
      </c>
      <c r="Q9" s="3" t="s">
        <v>8</v>
      </c>
      <c r="R9" s="3" t="s">
        <v>8</v>
      </c>
      <c r="S9" s="3" t="s">
        <v>8</v>
      </c>
    </row>
    <row r="10" spans="1:19" ht="12.95" customHeight="1" outlineLevel="1" x14ac:dyDescent="0.25">
      <c r="A10" s="11"/>
      <c r="B10" s="233" t="s">
        <v>270</v>
      </c>
      <c r="C10" s="232" t="s">
        <v>255</v>
      </c>
      <c r="D10" s="232" t="s">
        <v>267</v>
      </c>
      <c r="E10" s="232" t="s">
        <v>271</v>
      </c>
      <c r="F10" s="234" t="s">
        <v>272</v>
      </c>
      <c r="G10" s="18" t="s">
        <v>131</v>
      </c>
      <c r="H10" s="17" t="s">
        <v>8</v>
      </c>
      <c r="I10" s="3" t="s">
        <v>8</v>
      </c>
      <c r="J10" s="3" t="s">
        <v>8</v>
      </c>
      <c r="K10" s="3" t="s">
        <v>8</v>
      </c>
      <c r="L10" s="3" t="s">
        <v>8</v>
      </c>
      <c r="M10" s="3" t="s">
        <v>8</v>
      </c>
      <c r="N10" s="3" t="s">
        <v>8</v>
      </c>
      <c r="O10" s="3" t="s">
        <v>8</v>
      </c>
      <c r="P10" s="3" t="s">
        <v>8</v>
      </c>
      <c r="Q10" s="3" t="s">
        <v>8</v>
      </c>
      <c r="R10" s="3" t="s">
        <v>8</v>
      </c>
      <c r="S10" s="3" t="s">
        <v>8</v>
      </c>
    </row>
    <row r="11" spans="1:19" ht="12.95" customHeight="1" outlineLevel="1" x14ac:dyDescent="0.25">
      <c r="A11" s="11"/>
      <c r="B11" s="233" t="s">
        <v>273</v>
      </c>
      <c r="C11" s="232" t="s">
        <v>255</v>
      </c>
      <c r="D11" s="232" t="s">
        <v>267</v>
      </c>
      <c r="E11" s="232" t="s">
        <v>274</v>
      </c>
      <c r="F11" s="234" t="s">
        <v>259</v>
      </c>
      <c r="G11" s="18" t="s">
        <v>131</v>
      </c>
      <c r="H11" s="17" t="s">
        <v>8</v>
      </c>
      <c r="I11" s="3" t="s">
        <v>8</v>
      </c>
      <c r="J11" s="3" t="s">
        <v>8</v>
      </c>
      <c r="K11" s="3" t="s">
        <v>8</v>
      </c>
      <c r="L11" s="3" t="s">
        <v>8</v>
      </c>
      <c r="M11" s="3" t="s">
        <v>8</v>
      </c>
      <c r="N11" s="3" t="s">
        <v>8</v>
      </c>
      <c r="O11" s="3" t="s">
        <v>8</v>
      </c>
      <c r="P11" s="3" t="s">
        <v>8</v>
      </c>
      <c r="Q11" s="3" t="s">
        <v>8</v>
      </c>
      <c r="R11" s="3" t="s">
        <v>8</v>
      </c>
      <c r="S11" s="3" t="s">
        <v>8</v>
      </c>
    </row>
    <row r="12" spans="1:19" ht="12.95" customHeight="1" outlineLevel="1" x14ac:dyDescent="0.25">
      <c r="A12" s="11"/>
      <c r="B12" s="233" t="s">
        <v>275</v>
      </c>
      <c r="C12" s="232" t="s">
        <v>255</v>
      </c>
      <c r="D12" s="232" t="s">
        <v>267</v>
      </c>
      <c r="E12" s="232" t="s">
        <v>276</v>
      </c>
      <c r="F12" s="234" t="s">
        <v>259</v>
      </c>
      <c r="G12" s="18" t="s">
        <v>131</v>
      </c>
      <c r="H12" s="17" t="s">
        <v>8</v>
      </c>
      <c r="I12" s="3" t="s">
        <v>8</v>
      </c>
      <c r="J12" s="3" t="s">
        <v>8</v>
      </c>
      <c r="K12" s="3" t="s">
        <v>8</v>
      </c>
      <c r="L12" s="3" t="s">
        <v>8</v>
      </c>
      <c r="M12" s="3" t="s">
        <v>8</v>
      </c>
      <c r="N12" s="3" t="s">
        <v>8</v>
      </c>
      <c r="O12" s="3" t="s">
        <v>8</v>
      </c>
      <c r="P12" s="3" t="s">
        <v>8</v>
      </c>
      <c r="Q12" s="3" t="s">
        <v>8</v>
      </c>
      <c r="R12" s="3" t="s">
        <v>8</v>
      </c>
      <c r="S12" s="3" t="s">
        <v>8</v>
      </c>
    </row>
    <row r="13" spans="1:19" ht="12.95" customHeight="1" outlineLevel="1" x14ac:dyDescent="0.25">
      <c r="A13" s="11"/>
      <c r="B13" s="233" t="s">
        <v>277</v>
      </c>
      <c r="C13" s="232" t="s">
        <v>255</v>
      </c>
      <c r="D13" s="232" t="s">
        <v>267</v>
      </c>
      <c r="E13" s="232" t="s">
        <v>278</v>
      </c>
      <c r="F13" s="234" t="s">
        <v>259</v>
      </c>
      <c r="G13" s="18" t="s">
        <v>131</v>
      </c>
      <c r="H13" s="17" t="s">
        <v>8</v>
      </c>
      <c r="I13" s="3" t="s">
        <v>8</v>
      </c>
      <c r="J13" s="3" t="s">
        <v>8</v>
      </c>
      <c r="K13" s="3" t="s">
        <v>8</v>
      </c>
      <c r="L13" s="3" t="s">
        <v>8</v>
      </c>
      <c r="M13" s="3" t="s">
        <v>8</v>
      </c>
      <c r="N13" s="3" t="s">
        <v>8</v>
      </c>
      <c r="O13" s="3" t="s">
        <v>8</v>
      </c>
      <c r="P13" s="3" t="s">
        <v>8</v>
      </c>
      <c r="Q13" s="3" t="s">
        <v>8</v>
      </c>
      <c r="R13" s="3" t="s">
        <v>8</v>
      </c>
      <c r="S13" s="3" t="s">
        <v>8</v>
      </c>
    </row>
    <row r="14" spans="1:19" ht="12.95" customHeight="1" outlineLevel="1" x14ac:dyDescent="0.25">
      <c r="A14" s="11"/>
      <c r="B14" s="233" t="s">
        <v>279</v>
      </c>
      <c r="C14" s="232" t="s">
        <v>255</v>
      </c>
      <c r="D14" s="232" t="s">
        <v>267</v>
      </c>
      <c r="E14" s="232" t="s">
        <v>280</v>
      </c>
      <c r="F14" s="234" t="s">
        <v>259</v>
      </c>
      <c r="G14" s="18" t="s">
        <v>131</v>
      </c>
      <c r="H14" s="17" t="s">
        <v>8</v>
      </c>
      <c r="I14" s="3" t="s">
        <v>8</v>
      </c>
      <c r="J14" s="3" t="s">
        <v>8</v>
      </c>
      <c r="K14" s="3" t="s">
        <v>8</v>
      </c>
      <c r="L14" s="3" t="s">
        <v>8</v>
      </c>
      <c r="M14" s="3" t="s">
        <v>8</v>
      </c>
      <c r="N14" s="3" t="s">
        <v>8</v>
      </c>
      <c r="O14" s="3" t="s">
        <v>8</v>
      </c>
      <c r="P14" s="3" t="s">
        <v>8</v>
      </c>
      <c r="Q14" s="3" t="s">
        <v>8</v>
      </c>
      <c r="R14" s="3" t="s">
        <v>8</v>
      </c>
      <c r="S14" s="3" t="s">
        <v>8</v>
      </c>
    </row>
    <row r="15" spans="1:19" ht="12.95" customHeight="1" outlineLevel="1" x14ac:dyDescent="0.25">
      <c r="A15" s="11"/>
      <c r="B15" s="233" t="s">
        <v>281</v>
      </c>
      <c r="C15" s="232" t="s">
        <v>255</v>
      </c>
      <c r="D15" s="232" t="s">
        <v>267</v>
      </c>
      <c r="E15" s="232" t="s">
        <v>282</v>
      </c>
      <c r="F15" s="234" t="s">
        <v>259</v>
      </c>
      <c r="G15" s="18" t="s">
        <v>131</v>
      </c>
      <c r="H15" s="17" t="s">
        <v>8</v>
      </c>
      <c r="I15" s="3" t="s">
        <v>8</v>
      </c>
      <c r="J15" s="3" t="s">
        <v>8</v>
      </c>
      <c r="K15" s="3" t="s">
        <v>8</v>
      </c>
      <c r="L15" s="3" t="s">
        <v>8</v>
      </c>
      <c r="M15" s="3" t="s">
        <v>8</v>
      </c>
      <c r="N15" s="3" t="s">
        <v>8</v>
      </c>
      <c r="O15" s="3" t="s">
        <v>8</v>
      </c>
      <c r="P15" s="3" t="s">
        <v>8</v>
      </c>
      <c r="Q15" s="3" t="s">
        <v>8</v>
      </c>
      <c r="R15" s="3" t="s">
        <v>8</v>
      </c>
      <c r="S15" s="3" t="s">
        <v>8</v>
      </c>
    </row>
    <row r="16" spans="1:19" ht="12.95" customHeight="1" outlineLevel="1" x14ac:dyDescent="0.25">
      <c r="A16" s="11"/>
      <c r="B16" s="233" t="s">
        <v>262</v>
      </c>
      <c r="C16" s="232" t="s">
        <v>255</v>
      </c>
      <c r="D16" s="232" t="s">
        <v>267</v>
      </c>
      <c r="E16" s="232" t="s">
        <v>283</v>
      </c>
      <c r="F16" s="234" t="s">
        <v>259</v>
      </c>
      <c r="G16" s="18" t="s">
        <v>131</v>
      </c>
      <c r="H16" s="17" t="s">
        <v>8</v>
      </c>
      <c r="I16" s="3" t="s">
        <v>8</v>
      </c>
      <c r="J16" s="3" t="s">
        <v>8</v>
      </c>
      <c r="K16" s="3" t="s">
        <v>8</v>
      </c>
      <c r="L16" s="3" t="s">
        <v>8</v>
      </c>
      <c r="M16" s="3" t="s">
        <v>8</v>
      </c>
      <c r="N16" s="3" t="s">
        <v>8</v>
      </c>
      <c r="O16" s="3" t="s">
        <v>8</v>
      </c>
      <c r="P16" s="3" t="s">
        <v>8</v>
      </c>
      <c r="Q16" s="3" t="s">
        <v>8</v>
      </c>
      <c r="R16" s="3" t="s">
        <v>8</v>
      </c>
      <c r="S16" s="3" t="s">
        <v>8</v>
      </c>
    </row>
    <row r="17" spans="1:19" ht="12.95" customHeight="1" outlineLevel="1" x14ac:dyDescent="0.25">
      <c r="A17" s="11"/>
      <c r="B17" s="233" t="s">
        <v>284</v>
      </c>
      <c r="C17" s="232" t="s">
        <v>255</v>
      </c>
      <c r="D17" s="232" t="s">
        <v>267</v>
      </c>
      <c r="E17" s="232" t="s">
        <v>285</v>
      </c>
      <c r="F17" s="234" t="s">
        <v>259</v>
      </c>
      <c r="G17" s="18" t="s">
        <v>131</v>
      </c>
      <c r="H17" s="17" t="s">
        <v>8</v>
      </c>
      <c r="I17" s="3" t="s">
        <v>8</v>
      </c>
      <c r="J17" s="3" t="s">
        <v>8</v>
      </c>
      <c r="K17" s="3" t="s">
        <v>8</v>
      </c>
      <c r="L17" s="3" t="s">
        <v>8</v>
      </c>
      <c r="M17" s="3" t="s">
        <v>8</v>
      </c>
      <c r="N17" s="3" t="s">
        <v>8</v>
      </c>
      <c r="O17" s="3" t="s">
        <v>8</v>
      </c>
      <c r="P17" s="3" t="s">
        <v>8</v>
      </c>
      <c r="Q17" s="3" t="s">
        <v>8</v>
      </c>
      <c r="R17" s="3" t="s">
        <v>8</v>
      </c>
      <c r="S17" s="3" t="s">
        <v>8</v>
      </c>
    </row>
    <row r="18" spans="1:19" ht="12.95" customHeight="1" outlineLevel="1" x14ac:dyDescent="0.25">
      <c r="A18" s="11"/>
      <c r="B18" s="233" t="s">
        <v>286</v>
      </c>
      <c r="C18" s="232" t="s">
        <v>255</v>
      </c>
      <c r="D18" s="232" t="s">
        <v>267</v>
      </c>
      <c r="E18" s="232" t="s">
        <v>287</v>
      </c>
      <c r="F18" s="234" t="s">
        <v>259</v>
      </c>
      <c r="G18" s="18" t="s">
        <v>131</v>
      </c>
      <c r="H18" s="17" t="s">
        <v>8</v>
      </c>
      <c r="I18" s="3" t="s">
        <v>8</v>
      </c>
      <c r="J18" s="3" t="s">
        <v>8</v>
      </c>
      <c r="K18" s="3" t="s">
        <v>8</v>
      </c>
      <c r="L18" s="3" t="s">
        <v>8</v>
      </c>
      <c r="M18" s="3" t="s">
        <v>8</v>
      </c>
      <c r="N18" s="3" t="s">
        <v>8</v>
      </c>
      <c r="O18" s="3" t="s">
        <v>8</v>
      </c>
      <c r="P18" s="3" t="s">
        <v>8</v>
      </c>
      <c r="Q18" s="3" t="s">
        <v>8</v>
      </c>
      <c r="R18" s="3" t="s">
        <v>8</v>
      </c>
      <c r="S18" s="3" t="s">
        <v>8</v>
      </c>
    </row>
    <row r="19" spans="1:19" ht="26.1" customHeight="1" x14ac:dyDescent="0.25">
      <c r="A19" s="11"/>
      <c r="B19" s="238" t="s">
        <v>288</v>
      </c>
      <c r="C19" s="235" t="s">
        <v>255</v>
      </c>
      <c r="D19" s="235" t="s">
        <v>289</v>
      </c>
      <c r="E19" s="235" t="s">
        <v>253</v>
      </c>
      <c r="F19" s="236"/>
      <c r="G19" s="237" t="s">
        <v>131</v>
      </c>
      <c r="H19" s="239" t="str">
        <f t="shared" ref="H19:S19" si="2">IF(NOT(ISNA(MATCH("Critical",H20:H23,0))),"Critical",IF(NOT(ISNA(MATCH("Not OK",H20:H23,0))),"Not OK",IF(ISNA(MATCH("tbd",H20:H23,0)),"OK","tbd")))</f>
        <v>tbd</v>
      </c>
      <c r="I19" s="239" t="str">
        <f t="shared" si="2"/>
        <v>tbd</v>
      </c>
      <c r="J19" s="239" t="str">
        <f t="shared" si="2"/>
        <v>tbd</v>
      </c>
      <c r="K19" s="239" t="str">
        <f t="shared" si="2"/>
        <v>tbd</v>
      </c>
      <c r="L19" s="239" t="str">
        <f t="shared" si="2"/>
        <v>tbd</v>
      </c>
      <c r="M19" s="239" t="str">
        <f t="shared" si="2"/>
        <v>tbd</v>
      </c>
      <c r="N19" s="239" t="str">
        <f t="shared" si="2"/>
        <v>tbd</v>
      </c>
      <c r="O19" s="239" t="str">
        <f t="shared" si="2"/>
        <v>tbd</v>
      </c>
      <c r="P19" s="239" t="str">
        <f t="shared" si="2"/>
        <v>tbd</v>
      </c>
      <c r="Q19" s="239" t="str">
        <f t="shared" si="2"/>
        <v>tbd</v>
      </c>
      <c r="R19" s="239" t="str">
        <f t="shared" si="2"/>
        <v>tbd</v>
      </c>
      <c r="S19" s="239" t="str">
        <f t="shared" si="2"/>
        <v>tbd</v>
      </c>
    </row>
    <row r="20" spans="1:19" ht="12.95" customHeight="1" outlineLevel="1" x14ac:dyDescent="0.25">
      <c r="A20" s="11"/>
      <c r="B20" s="233" t="s">
        <v>290</v>
      </c>
      <c r="C20" s="232" t="s">
        <v>255</v>
      </c>
      <c r="D20" s="232" t="s">
        <v>289</v>
      </c>
      <c r="E20" s="232" t="s">
        <v>291</v>
      </c>
      <c r="F20" s="234" t="s">
        <v>259</v>
      </c>
      <c r="G20" s="18" t="s">
        <v>131</v>
      </c>
      <c r="H20" s="17" t="s">
        <v>8</v>
      </c>
      <c r="I20" s="3" t="s">
        <v>8</v>
      </c>
      <c r="J20" s="3" t="s">
        <v>8</v>
      </c>
      <c r="K20" s="3" t="s">
        <v>8</v>
      </c>
      <c r="L20" s="3" t="s">
        <v>8</v>
      </c>
      <c r="M20" s="3" t="s">
        <v>8</v>
      </c>
      <c r="N20" s="3" t="s">
        <v>8</v>
      </c>
      <c r="O20" s="3" t="s">
        <v>8</v>
      </c>
      <c r="P20" s="3" t="s">
        <v>8</v>
      </c>
      <c r="Q20" s="3" t="s">
        <v>8</v>
      </c>
      <c r="R20" s="3" t="s">
        <v>8</v>
      </c>
      <c r="S20" s="3" t="s">
        <v>8</v>
      </c>
    </row>
    <row r="21" spans="1:19" ht="12.95" customHeight="1" outlineLevel="1" x14ac:dyDescent="0.25">
      <c r="A21" s="11"/>
      <c r="B21" s="233" t="s">
        <v>292</v>
      </c>
      <c r="C21" s="232" t="s">
        <v>255</v>
      </c>
      <c r="D21" s="232" t="s">
        <v>289</v>
      </c>
      <c r="E21" s="232" t="s">
        <v>293</v>
      </c>
      <c r="F21" s="234" t="s">
        <v>259</v>
      </c>
      <c r="G21" s="18" t="s">
        <v>131</v>
      </c>
      <c r="H21" s="17" t="s">
        <v>8</v>
      </c>
      <c r="I21" s="3" t="s">
        <v>8</v>
      </c>
      <c r="J21" s="3" t="s">
        <v>8</v>
      </c>
      <c r="K21" s="3" t="s">
        <v>8</v>
      </c>
      <c r="L21" s="3" t="s">
        <v>8</v>
      </c>
      <c r="M21" s="3" t="s">
        <v>8</v>
      </c>
      <c r="N21" s="3" t="s">
        <v>8</v>
      </c>
      <c r="O21" s="3" t="s">
        <v>8</v>
      </c>
      <c r="P21" s="3" t="s">
        <v>8</v>
      </c>
      <c r="Q21" s="3" t="s">
        <v>8</v>
      </c>
      <c r="R21" s="3" t="s">
        <v>8</v>
      </c>
      <c r="S21" s="3" t="s">
        <v>8</v>
      </c>
    </row>
    <row r="22" spans="1:19" ht="12.95" customHeight="1" outlineLevel="1" x14ac:dyDescent="0.25">
      <c r="A22" s="11"/>
      <c r="B22" s="233" t="s">
        <v>294</v>
      </c>
      <c r="C22" s="232" t="s">
        <v>255</v>
      </c>
      <c r="D22" s="232" t="s">
        <v>289</v>
      </c>
      <c r="E22" s="232" t="s">
        <v>295</v>
      </c>
      <c r="F22" s="234" t="s">
        <v>259</v>
      </c>
      <c r="G22" s="18" t="s">
        <v>131</v>
      </c>
      <c r="H22" s="17" t="s">
        <v>8</v>
      </c>
      <c r="I22" s="3" t="s">
        <v>8</v>
      </c>
      <c r="J22" s="3" t="s">
        <v>8</v>
      </c>
      <c r="K22" s="3" t="s">
        <v>8</v>
      </c>
      <c r="L22" s="3" t="s">
        <v>8</v>
      </c>
      <c r="M22" s="3" t="s">
        <v>8</v>
      </c>
      <c r="N22" s="3" t="s">
        <v>8</v>
      </c>
      <c r="O22" s="3" t="s">
        <v>8</v>
      </c>
      <c r="P22" s="3" t="s">
        <v>8</v>
      </c>
      <c r="Q22" s="3" t="s">
        <v>8</v>
      </c>
      <c r="R22" s="3" t="s">
        <v>8</v>
      </c>
      <c r="S22" s="3" t="s">
        <v>8</v>
      </c>
    </row>
    <row r="23" spans="1:19" ht="12.95" customHeight="1" outlineLevel="1" x14ac:dyDescent="0.25">
      <c r="A23" s="11"/>
      <c r="B23" s="233" t="s">
        <v>296</v>
      </c>
      <c r="C23" s="232" t="s">
        <v>255</v>
      </c>
      <c r="D23" s="232" t="s">
        <v>289</v>
      </c>
      <c r="E23" s="232" t="s">
        <v>297</v>
      </c>
      <c r="F23" s="234" t="s">
        <v>259</v>
      </c>
      <c r="G23" s="18" t="s">
        <v>131</v>
      </c>
      <c r="H23" s="17" t="s">
        <v>8</v>
      </c>
      <c r="I23" s="3" t="s">
        <v>8</v>
      </c>
      <c r="J23" s="3" t="s">
        <v>8</v>
      </c>
      <c r="K23" s="3" t="s">
        <v>8</v>
      </c>
      <c r="L23" s="3" t="s">
        <v>8</v>
      </c>
      <c r="M23" s="3" t="s">
        <v>8</v>
      </c>
      <c r="N23" s="3" t="s">
        <v>8</v>
      </c>
      <c r="O23" s="3" t="s">
        <v>8</v>
      </c>
      <c r="P23" s="3" t="s">
        <v>8</v>
      </c>
      <c r="Q23" s="3" t="s">
        <v>8</v>
      </c>
      <c r="R23" s="3" t="s">
        <v>8</v>
      </c>
      <c r="S23" s="3" t="s">
        <v>8</v>
      </c>
    </row>
  </sheetData>
  <mergeCells count="3">
    <mergeCell ref="H1:K1"/>
    <mergeCell ref="L1:O1"/>
    <mergeCell ref="Q1:R1"/>
  </mergeCells>
  <conditionalFormatting sqref="H3:S23">
    <cfRule type="cellIs" dxfId="50" priority="673" operator="equal">
      <formula>"Critical"</formula>
    </cfRule>
    <cfRule type="cellIs" dxfId="49" priority="674" operator="equal">
      <formula>"OK"</formula>
    </cfRule>
    <cfRule type="cellIs" dxfId="48" priority="675" operator="equal">
      <formula>"Not OK"</formula>
    </cfRule>
    <cfRule type="cellIs" dxfId="47" priority="676" operator="equal">
      <formula>"tbd"</formula>
    </cfRule>
  </conditionalFormatting>
  <dataValidations count="2">
    <dataValidation type="list" allowBlank="1" showInputMessage="1" showErrorMessage="1" sqref="H4:S7 H9:S18 H20:S23">
      <formula1>"OK,Critical,Not OK,tbd"</formula1>
    </dataValidation>
    <dataValidation type="list" allowBlank="1" showInputMessage="1" showErrorMessage="1" sqref="G3:G23">
      <formula1>"Yes,No"</formula1>
    </dataValidation>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S8"/>
  <sheetViews>
    <sheetView showGridLines="0" zoomScale="115" zoomScaleNormal="115" workbookViewId="0">
      <selection activeCell="B8" sqref="B8"/>
    </sheetView>
  </sheetViews>
  <sheetFormatPr defaultRowHeight="15" outlineLevelRow="1" outlineLevelCol="1" x14ac:dyDescent="0.25"/>
  <cols>
    <col min="1" max="1" width="1.7109375" customWidth="1"/>
    <col min="2" max="2" width="52.85546875" customWidth="1" collapsed="1"/>
    <col min="3" max="5" width="15.28515625" hidden="1" customWidth="1" outlineLevel="1"/>
    <col min="6" max="6" width="10" customWidth="1"/>
    <col min="7" max="7" width="6.140625" customWidth="1"/>
    <col min="8" max="10" width="10.7109375" customWidth="1"/>
    <col min="11" max="11" width="11.140625" customWidth="1"/>
    <col min="12" max="18" width="10.7109375" customWidth="1"/>
    <col min="19" max="19" width="11.140625" customWidth="1"/>
  </cols>
  <sheetData>
    <row r="1" spans="1:19" ht="9.9499999999999993" customHeight="1" x14ac:dyDescent="0.25">
      <c r="A1" s="7"/>
      <c r="B1" s="7"/>
      <c r="C1" s="7"/>
      <c r="D1" s="7"/>
      <c r="E1" s="7"/>
      <c r="F1" s="7"/>
      <c r="G1" s="7"/>
      <c r="H1" s="11"/>
      <c r="I1" s="11"/>
      <c r="J1" s="11"/>
      <c r="K1" s="11"/>
      <c r="L1" s="11"/>
      <c r="M1" s="11"/>
      <c r="N1" s="11"/>
      <c r="O1" s="11"/>
      <c r="P1" s="11"/>
      <c r="Q1" s="11"/>
      <c r="R1" s="11"/>
      <c r="S1" s="11"/>
    </row>
    <row r="2" spans="1:19" ht="5.25" customHeight="1" x14ac:dyDescent="0.25">
      <c r="A2" s="7"/>
      <c r="B2" s="8"/>
      <c r="C2" s="9"/>
      <c r="D2" s="9"/>
      <c r="E2" s="10"/>
      <c r="F2" s="10"/>
      <c r="G2" s="10"/>
      <c r="H2" s="12"/>
      <c r="I2" s="12"/>
      <c r="J2" s="12"/>
      <c r="K2" s="12"/>
      <c r="L2" s="12"/>
      <c r="M2" s="12"/>
      <c r="N2" s="12"/>
      <c r="O2" s="12"/>
      <c r="P2" s="12"/>
      <c r="Q2" s="12"/>
      <c r="R2" s="12"/>
      <c r="S2" s="12"/>
    </row>
    <row r="3" spans="1:19" ht="57" customHeight="1" x14ac:dyDescent="0.25">
      <c r="A3" s="7"/>
      <c r="B3" s="223" t="s">
        <v>0</v>
      </c>
      <c r="C3" s="224"/>
      <c r="D3" s="224"/>
      <c r="E3" s="225"/>
      <c r="F3" s="219"/>
      <c r="G3" s="219"/>
      <c r="H3" s="434" t="s">
        <v>2</v>
      </c>
      <c r="I3" s="435"/>
      <c r="J3" s="435"/>
      <c r="K3" s="436"/>
      <c r="L3" s="434" t="s">
        <v>7</v>
      </c>
      <c r="M3" s="435"/>
      <c r="N3" s="435"/>
      <c r="O3" s="436"/>
      <c r="P3" s="220" t="s">
        <v>3</v>
      </c>
      <c r="Q3" s="437" t="s">
        <v>5</v>
      </c>
      <c r="R3" s="437"/>
      <c r="S3" s="220" t="s">
        <v>4</v>
      </c>
    </row>
    <row r="4" spans="1:19" ht="7.5" customHeight="1" x14ac:dyDescent="0.25">
      <c r="A4" s="7"/>
      <c r="B4" s="229"/>
      <c r="C4" s="230"/>
      <c r="D4" s="230"/>
      <c r="E4" s="231"/>
      <c r="F4" s="218"/>
      <c r="G4" s="218"/>
      <c r="H4" s="437"/>
      <c r="I4" s="437"/>
      <c r="J4" s="434"/>
      <c r="K4" s="222"/>
      <c r="L4" s="13"/>
      <c r="M4" s="436"/>
      <c r="N4" s="437"/>
      <c r="O4" s="437"/>
      <c r="P4" s="220"/>
      <c r="Q4" s="437"/>
      <c r="R4" s="437"/>
      <c r="S4" s="220"/>
    </row>
    <row r="5" spans="1:19" ht="27" customHeight="1" x14ac:dyDescent="0.25">
      <c r="A5" s="7"/>
      <c r="B5" s="229"/>
      <c r="C5" s="230"/>
      <c r="D5" s="230"/>
      <c r="E5" s="231"/>
      <c r="F5" s="218"/>
      <c r="G5" s="218"/>
      <c r="H5" s="438"/>
      <c r="I5" s="439"/>
      <c r="J5" s="439"/>
      <c r="K5" s="440"/>
      <c r="L5" s="14"/>
      <c r="M5" s="439"/>
      <c r="N5" s="439"/>
      <c r="O5" s="440"/>
      <c r="P5" s="15"/>
      <c r="Q5" s="438"/>
      <c r="R5" s="440"/>
      <c r="S5" s="15"/>
    </row>
    <row r="6" spans="1:19" ht="63" customHeight="1" outlineLevel="1" x14ac:dyDescent="0.25">
      <c r="A6" s="7"/>
      <c r="B6" s="226" t="s">
        <v>247</v>
      </c>
      <c r="C6" s="227"/>
      <c r="D6" s="227"/>
      <c r="E6" s="228"/>
      <c r="F6" s="221" t="s">
        <v>9</v>
      </c>
      <c r="G6" s="221" t="s">
        <v>246</v>
      </c>
      <c r="H6" s="16" t="s">
        <v>84</v>
      </c>
      <c r="I6" s="16" t="s">
        <v>76</v>
      </c>
      <c r="J6" s="16" t="s">
        <v>77</v>
      </c>
      <c r="K6" s="16" t="s">
        <v>78</v>
      </c>
      <c r="L6" s="16" t="s">
        <v>79</v>
      </c>
      <c r="M6" s="16" t="s">
        <v>80</v>
      </c>
      <c r="N6" s="16" t="s">
        <v>81</v>
      </c>
      <c r="O6" s="16" t="s">
        <v>82</v>
      </c>
      <c r="P6" s="16" t="s">
        <v>83</v>
      </c>
      <c r="Q6" s="16" t="s">
        <v>85</v>
      </c>
      <c r="R6" s="16" t="s">
        <v>86</v>
      </c>
      <c r="S6" s="16" t="s">
        <v>87</v>
      </c>
    </row>
    <row r="7" spans="1:19" ht="28.5" customHeight="1" x14ac:dyDescent="0.25">
      <c r="A7" s="7"/>
      <c r="B7" s="215" t="s">
        <v>6</v>
      </c>
      <c r="C7" s="217" t="s">
        <v>250</v>
      </c>
      <c r="D7" s="217" t="s">
        <v>248</v>
      </c>
      <c r="E7" s="217" t="s">
        <v>249</v>
      </c>
      <c r="F7" s="216"/>
      <c r="G7" s="214"/>
      <c r="H7" s="1"/>
      <c r="I7" s="1"/>
      <c r="J7" s="1"/>
      <c r="K7" s="2"/>
      <c r="L7" s="2"/>
      <c r="M7" s="2"/>
      <c r="N7" s="2"/>
      <c r="O7" s="2"/>
      <c r="P7" s="2"/>
      <c r="Q7" s="2"/>
      <c r="R7" s="2"/>
      <c r="S7" s="2"/>
    </row>
    <row r="8" spans="1:19" ht="12.95" customHeight="1" outlineLevel="1" x14ac:dyDescent="0.25">
      <c r="A8" s="11"/>
      <c r="B8" s="233" t="s">
        <v>251</v>
      </c>
      <c r="C8" s="232"/>
      <c r="D8" s="232"/>
      <c r="E8" s="232"/>
      <c r="F8" s="234" t="s">
        <v>252</v>
      </c>
      <c r="G8" s="18" t="s">
        <v>131</v>
      </c>
      <c r="H8" s="17" t="s">
        <v>8</v>
      </c>
      <c r="I8" s="3" t="s">
        <v>8</v>
      </c>
      <c r="J8" s="3" t="s">
        <v>8</v>
      </c>
      <c r="K8" s="3" t="s">
        <v>8</v>
      </c>
      <c r="L8" s="3" t="s">
        <v>8</v>
      </c>
      <c r="M8" s="3" t="s">
        <v>8</v>
      </c>
      <c r="N8" s="3" t="s">
        <v>8</v>
      </c>
      <c r="O8" s="3" t="s">
        <v>8</v>
      </c>
      <c r="P8" s="3" t="s">
        <v>8</v>
      </c>
      <c r="Q8" s="3" t="s">
        <v>8</v>
      </c>
      <c r="R8" s="3" t="s">
        <v>8</v>
      </c>
      <c r="S8" s="3" t="s">
        <v>8</v>
      </c>
    </row>
  </sheetData>
  <mergeCells count="9">
    <mergeCell ref="H5:K5"/>
    <mergeCell ref="M5:O5"/>
    <mergeCell ref="Q5:R5"/>
    <mergeCell ref="H3:K3"/>
    <mergeCell ref="L3:O3"/>
    <mergeCell ref="Q3:R3"/>
    <mergeCell ref="H4:J4"/>
    <mergeCell ref="M4:O4"/>
    <mergeCell ref="Q4:R4"/>
  </mergeCells>
  <conditionalFormatting sqref="H8:S8">
    <cfRule type="cellIs" dxfId="46" priority="6" operator="equal">
      <formula>"Critical"</formula>
    </cfRule>
    <cfRule type="cellIs" dxfId="45" priority="7" operator="equal">
      <formula>"OK"</formula>
    </cfRule>
    <cfRule type="cellIs" dxfId="44" priority="8" operator="equal">
      <formula>"Not OK"</formula>
    </cfRule>
    <cfRule type="cellIs" dxfId="43" priority="9" operator="equal">
      <formula>"tbd"</formula>
    </cfRule>
  </conditionalFormatting>
  <dataValidations count="2">
    <dataValidation type="list" allowBlank="1" showInputMessage="1" showErrorMessage="1" sqref="G8">
      <formula1>"Yes,No"</formula1>
    </dataValidation>
    <dataValidation type="list" allowBlank="1" showInputMessage="1" showErrorMessage="1" sqref="H8:S8">
      <formula1>"OK,Critical,Not OK,tbd"</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workbookViewId="0">
      <selection activeCell="I2" sqref="I2"/>
    </sheetView>
  </sheetViews>
  <sheetFormatPr defaultRowHeight="15" x14ac:dyDescent="0.25"/>
  <sheetData>
    <row r="1" spans="1:8" ht="39.75" customHeight="1" x14ac:dyDescent="0.25">
      <c r="A1" s="441" t="s">
        <v>396</v>
      </c>
      <c r="B1" s="441"/>
      <c r="C1" s="441"/>
      <c r="D1" s="441"/>
      <c r="E1" s="441"/>
      <c r="F1" s="441"/>
      <c r="G1" s="441"/>
      <c r="H1" s="441"/>
    </row>
  </sheetData>
  <mergeCells count="1">
    <mergeCell ref="A1:H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P28"/>
  <sheetViews>
    <sheetView zoomScale="65" zoomScaleNormal="65" workbookViewId="0">
      <pane xSplit="5" ySplit="2" topLeftCell="F3" activePane="bottomRight" state="frozen"/>
      <selection activeCell="D10" sqref="D10"/>
      <selection pane="topRight" activeCell="D10" sqref="D10"/>
      <selection pane="bottomLeft" activeCell="D10" sqref="D10"/>
      <selection pane="bottomRight" activeCell="L7" sqref="L7"/>
    </sheetView>
  </sheetViews>
  <sheetFormatPr defaultColWidth="8.85546875" defaultRowHeight="20.25" x14ac:dyDescent="0.25"/>
  <cols>
    <col min="1" max="1" width="11.28515625" style="271" customWidth="1"/>
    <col min="2" max="2" width="4.5703125" style="272" customWidth="1"/>
    <col min="3" max="3" width="13.5703125" style="273" customWidth="1"/>
    <col min="4" max="4" width="9.5703125" style="255" customWidth="1"/>
    <col min="5" max="5" width="21" style="256" customWidth="1"/>
    <col min="6" max="7" width="13.28515625" style="274" customWidth="1"/>
    <col min="8" max="8" width="14" style="249" customWidth="1"/>
    <col min="9" max="9" width="10.7109375" style="249" customWidth="1"/>
    <col min="10" max="10" width="16.5703125" style="249" customWidth="1"/>
    <col min="11" max="11" width="27.5703125" style="273" customWidth="1"/>
    <col min="12" max="12" width="77.42578125" style="258" customWidth="1"/>
    <col min="13" max="13" width="14.5703125" style="258" customWidth="1"/>
    <col min="14" max="15" width="9.7109375" style="273" customWidth="1"/>
    <col min="16" max="16" width="7.140625" style="273" customWidth="1"/>
    <col min="17" max="16384" width="8.85546875" style="273"/>
  </cols>
  <sheetData>
    <row r="1" spans="1:16" s="241" customFormat="1" ht="19.5" customHeight="1" x14ac:dyDescent="0.25">
      <c r="A1" s="442" t="s">
        <v>298</v>
      </c>
      <c r="B1" s="442"/>
      <c r="C1" s="442"/>
      <c r="D1" s="442"/>
      <c r="E1" s="442"/>
      <c r="F1" s="442"/>
      <c r="G1" s="442"/>
      <c r="H1" s="442"/>
      <c r="I1" s="442"/>
      <c r="J1" s="442"/>
      <c r="K1" s="442"/>
      <c r="L1" s="443" t="s">
        <v>299</v>
      </c>
      <c r="M1" s="443"/>
      <c r="N1" s="443"/>
      <c r="O1" s="443"/>
      <c r="P1" s="443"/>
    </row>
    <row r="2" spans="1:16" s="241" customFormat="1" ht="51" x14ac:dyDescent="0.25">
      <c r="A2" s="242" t="s">
        <v>356</v>
      </c>
      <c r="B2" s="324" t="s">
        <v>300</v>
      </c>
      <c r="C2" s="242" t="s">
        <v>409</v>
      </c>
      <c r="D2" s="324" t="s">
        <v>406</v>
      </c>
      <c r="E2" s="325" t="s">
        <v>301</v>
      </c>
      <c r="F2" s="324" t="s">
        <v>407</v>
      </c>
      <c r="G2" s="324" t="s">
        <v>408</v>
      </c>
      <c r="H2" s="324" t="s">
        <v>410</v>
      </c>
      <c r="I2" s="324" t="s">
        <v>411</v>
      </c>
      <c r="J2" s="324" t="s">
        <v>412</v>
      </c>
      <c r="K2" s="324" t="s">
        <v>413</v>
      </c>
      <c r="L2" s="243" t="s">
        <v>302</v>
      </c>
      <c r="M2" s="243" t="s">
        <v>303</v>
      </c>
      <c r="N2" s="244" t="s">
        <v>419</v>
      </c>
      <c r="O2" s="244" t="s">
        <v>420</v>
      </c>
      <c r="P2" s="244" t="s">
        <v>304</v>
      </c>
    </row>
    <row r="3" spans="1:16" s="249" customFormat="1" ht="50.25" customHeight="1" x14ac:dyDescent="0.25">
      <c r="A3" s="326" t="s">
        <v>414</v>
      </c>
      <c r="B3" s="339" t="s">
        <v>306</v>
      </c>
      <c r="C3" s="328" t="s">
        <v>422</v>
      </c>
      <c r="D3" s="329">
        <v>100</v>
      </c>
      <c r="E3" s="330" t="s">
        <v>308</v>
      </c>
      <c r="F3" s="331">
        <v>1234567</v>
      </c>
      <c r="G3" s="331" t="s">
        <v>309</v>
      </c>
      <c r="H3" s="332" t="s">
        <v>310</v>
      </c>
      <c r="I3" s="332" t="s">
        <v>311</v>
      </c>
      <c r="J3" s="333" t="s">
        <v>109</v>
      </c>
      <c r="K3" s="334" t="s">
        <v>109</v>
      </c>
      <c r="L3" s="335" t="s">
        <v>312</v>
      </c>
      <c r="M3" s="247"/>
      <c r="N3" s="248" t="s">
        <v>90</v>
      </c>
      <c r="O3" s="248" t="s">
        <v>90</v>
      </c>
      <c r="P3" s="248" t="s">
        <v>90</v>
      </c>
    </row>
    <row r="4" spans="1:16" s="249" customFormat="1" ht="50.25" customHeight="1" x14ac:dyDescent="0.25">
      <c r="A4" s="326" t="s">
        <v>414</v>
      </c>
      <c r="B4" s="339" t="s">
        <v>313</v>
      </c>
      <c r="C4" s="337" t="s">
        <v>423</v>
      </c>
      <c r="D4" s="329">
        <v>101</v>
      </c>
      <c r="E4" s="330" t="s">
        <v>314</v>
      </c>
      <c r="F4" s="331">
        <v>1234568</v>
      </c>
      <c r="G4" s="331" t="s">
        <v>315</v>
      </c>
      <c r="H4" s="332" t="s">
        <v>316</v>
      </c>
      <c r="I4" s="332" t="s">
        <v>317</v>
      </c>
      <c r="J4" s="338" t="s">
        <v>104</v>
      </c>
      <c r="K4" s="334" t="s">
        <v>318</v>
      </c>
      <c r="L4" s="335" t="s">
        <v>319</v>
      </c>
      <c r="M4" s="247"/>
      <c r="N4" s="248" t="s">
        <v>90</v>
      </c>
      <c r="O4" s="248" t="s">
        <v>90</v>
      </c>
      <c r="P4" s="248" t="s">
        <v>90</v>
      </c>
    </row>
    <row r="5" spans="1:16" s="249" customFormat="1" ht="50.25" customHeight="1" x14ac:dyDescent="0.25">
      <c r="A5" s="326" t="s">
        <v>414</v>
      </c>
      <c r="B5" s="339" t="s">
        <v>320</v>
      </c>
      <c r="C5" s="340" t="s">
        <v>162</v>
      </c>
      <c r="D5" s="329">
        <v>102</v>
      </c>
      <c r="E5" s="330" t="s">
        <v>321</v>
      </c>
      <c r="F5" s="331">
        <v>1234569</v>
      </c>
      <c r="G5" s="331" t="s">
        <v>90</v>
      </c>
      <c r="H5" s="332" t="s">
        <v>322</v>
      </c>
      <c r="I5" s="332" t="s">
        <v>323</v>
      </c>
      <c r="J5" s="337" t="s">
        <v>106</v>
      </c>
      <c r="K5" s="334" t="s">
        <v>324</v>
      </c>
      <c r="L5" s="335" t="s">
        <v>325</v>
      </c>
      <c r="M5" s="247" t="s">
        <v>90</v>
      </c>
      <c r="N5" s="248" t="s">
        <v>90</v>
      </c>
      <c r="O5" s="248" t="s">
        <v>90</v>
      </c>
      <c r="P5" s="248" t="s">
        <v>90</v>
      </c>
    </row>
    <row r="6" spans="1:16" s="249" customFormat="1" ht="50.25" customHeight="1" x14ac:dyDescent="0.25">
      <c r="A6" s="341" t="s">
        <v>415</v>
      </c>
      <c r="B6" s="327" t="s">
        <v>306</v>
      </c>
      <c r="C6" s="342" t="s">
        <v>124</v>
      </c>
      <c r="D6" s="329">
        <v>201</v>
      </c>
      <c r="E6" s="330" t="s">
        <v>327</v>
      </c>
      <c r="F6" s="331">
        <v>1234570</v>
      </c>
      <c r="G6" s="331" t="s">
        <v>90</v>
      </c>
      <c r="H6" s="332" t="s">
        <v>310</v>
      </c>
      <c r="I6" s="332" t="s">
        <v>311</v>
      </c>
      <c r="J6" s="343" t="s">
        <v>107</v>
      </c>
      <c r="K6" s="334" t="s">
        <v>328</v>
      </c>
      <c r="L6" s="335" t="s">
        <v>329</v>
      </c>
      <c r="M6" s="247" t="s">
        <v>90</v>
      </c>
      <c r="N6" s="248" t="s">
        <v>90</v>
      </c>
      <c r="O6" s="248" t="s">
        <v>90</v>
      </c>
      <c r="P6" s="248" t="s">
        <v>90</v>
      </c>
    </row>
    <row r="7" spans="1:16" s="249" customFormat="1" ht="50.25" customHeight="1" x14ac:dyDescent="0.25">
      <c r="A7" s="341" t="s">
        <v>415</v>
      </c>
      <c r="B7" s="336" t="s">
        <v>313</v>
      </c>
      <c r="C7" s="344" t="s">
        <v>161</v>
      </c>
      <c r="D7" s="329">
        <v>202</v>
      </c>
      <c r="E7" s="330" t="s">
        <v>330</v>
      </c>
      <c r="F7" s="331">
        <v>1234571</v>
      </c>
      <c r="G7" s="331" t="s">
        <v>331</v>
      </c>
      <c r="H7" s="332" t="s">
        <v>316</v>
      </c>
      <c r="I7" s="332" t="s">
        <v>317</v>
      </c>
      <c r="J7" s="321" t="str">
        <f>CUST</f>
        <v>&lt;&lt;Customer&gt;&gt; Action</v>
      </c>
      <c r="K7" s="334" t="s">
        <v>332</v>
      </c>
      <c r="L7" s="335" t="s">
        <v>333</v>
      </c>
      <c r="M7" s="247" t="s">
        <v>90</v>
      </c>
      <c r="N7" s="248" t="s">
        <v>90</v>
      </c>
      <c r="O7" s="248" t="s">
        <v>90</v>
      </c>
      <c r="P7" s="248" t="s">
        <v>90</v>
      </c>
    </row>
    <row r="8" spans="1:16" s="249" customFormat="1" ht="50.25" customHeight="1" x14ac:dyDescent="0.25">
      <c r="A8" s="351" t="s">
        <v>416</v>
      </c>
      <c r="B8" s="336" t="s">
        <v>313</v>
      </c>
      <c r="C8" s="344" t="s">
        <v>161</v>
      </c>
      <c r="D8" s="329">
        <v>301</v>
      </c>
      <c r="E8" s="330" t="s">
        <v>335</v>
      </c>
      <c r="F8" s="331">
        <v>1234573</v>
      </c>
      <c r="G8" s="331" t="s">
        <v>90</v>
      </c>
      <c r="H8" s="332" t="s">
        <v>316</v>
      </c>
      <c r="I8" s="332" t="s">
        <v>317</v>
      </c>
      <c r="J8" s="321" t="str">
        <f>CUST</f>
        <v>&lt;&lt;Customer&gt;&gt; Action</v>
      </c>
      <c r="K8" s="334" t="s">
        <v>336</v>
      </c>
      <c r="L8" s="335" t="s">
        <v>333</v>
      </c>
      <c r="M8" s="247" t="s">
        <v>90</v>
      </c>
      <c r="N8" s="248" t="s">
        <v>90</v>
      </c>
      <c r="O8" s="248" t="s">
        <v>90</v>
      </c>
      <c r="P8" s="248" t="s">
        <v>90</v>
      </c>
    </row>
    <row r="9" spans="1:16" s="249" customFormat="1" ht="50.25" customHeight="1" x14ac:dyDescent="0.25">
      <c r="A9" s="345" t="s">
        <v>416</v>
      </c>
      <c r="B9" s="336" t="s">
        <v>313</v>
      </c>
      <c r="C9" s="340" t="s">
        <v>162</v>
      </c>
      <c r="D9" s="329">
        <v>302</v>
      </c>
      <c r="E9" s="330" t="s">
        <v>337</v>
      </c>
      <c r="F9" s="331">
        <v>12345734</v>
      </c>
      <c r="G9" s="331" t="s">
        <v>90</v>
      </c>
      <c r="H9" s="332" t="s">
        <v>316</v>
      </c>
      <c r="I9" s="332" t="s">
        <v>317</v>
      </c>
      <c r="J9" s="321" t="str">
        <f>CUST</f>
        <v>&lt;&lt;Customer&gt;&gt; Action</v>
      </c>
      <c r="K9" s="334" t="s">
        <v>338</v>
      </c>
      <c r="L9" s="335" t="s">
        <v>339</v>
      </c>
      <c r="M9" s="247" t="s">
        <v>90</v>
      </c>
      <c r="N9" s="248" t="s">
        <v>90</v>
      </c>
      <c r="O9" s="248" t="s">
        <v>90</v>
      </c>
      <c r="P9" s="248" t="s">
        <v>90</v>
      </c>
    </row>
    <row r="10" spans="1:16" s="249" customFormat="1" ht="50.25" customHeight="1" x14ac:dyDescent="0.25">
      <c r="A10" s="346" t="s">
        <v>417</v>
      </c>
      <c r="B10" s="327" t="s">
        <v>306</v>
      </c>
      <c r="C10" s="328" t="s">
        <v>422</v>
      </c>
      <c r="D10" s="329">
        <v>401</v>
      </c>
      <c r="E10" s="330" t="s">
        <v>341</v>
      </c>
      <c r="F10" s="331">
        <v>1234572</v>
      </c>
      <c r="G10" s="331" t="s">
        <v>90</v>
      </c>
      <c r="H10" s="332" t="s">
        <v>310</v>
      </c>
      <c r="I10" s="332" t="s">
        <v>323</v>
      </c>
      <c r="J10" s="347" t="s">
        <v>105</v>
      </c>
      <c r="K10" s="334" t="s">
        <v>342</v>
      </c>
      <c r="L10" s="335" t="s">
        <v>343</v>
      </c>
      <c r="M10" s="247" t="s">
        <v>344</v>
      </c>
      <c r="N10" s="248">
        <v>6</v>
      </c>
      <c r="O10" s="252">
        <v>0.2</v>
      </c>
      <c r="P10" s="248" t="s">
        <v>345</v>
      </c>
    </row>
    <row r="11" spans="1:16" s="249" customFormat="1" ht="50.25" customHeight="1" x14ac:dyDescent="0.25">
      <c r="A11" s="346" t="s">
        <v>417</v>
      </c>
      <c r="B11" s="327" t="s">
        <v>306</v>
      </c>
      <c r="C11" s="328" t="s">
        <v>422</v>
      </c>
      <c r="D11" s="329">
        <v>402</v>
      </c>
      <c r="E11" s="330" t="s">
        <v>346</v>
      </c>
      <c r="F11" s="331">
        <v>1234572</v>
      </c>
      <c r="G11" s="331" t="s">
        <v>347</v>
      </c>
      <c r="H11" s="332" t="s">
        <v>310</v>
      </c>
      <c r="I11" s="332" t="s">
        <v>323</v>
      </c>
      <c r="J11" s="343" t="s">
        <v>107</v>
      </c>
      <c r="K11" s="334" t="s">
        <v>328</v>
      </c>
      <c r="L11" s="335" t="s">
        <v>343</v>
      </c>
      <c r="M11" s="247" t="s">
        <v>344</v>
      </c>
      <c r="N11" s="248">
        <v>6</v>
      </c>
      <c r="O11" s="252">
        <v>0.2</v>
      </c>
      <c r="P11" s="248" t="s">
        <v>345</v>
      </c>
    </row>
    <row r="12" spans="1:16" s="249" customFormat="1" ht="50.25" customHeight="1" x14ac:dyDescent="0.25">
      <c r="A12" s="346" t="s">
        <v>417</v>
      </c>
      <c r="B12" s="327" t="s">
        <v>306</v>
      </c>
      <c r="C12" s="340" t="s">
        <v>162</v>
      </c>
      <c r="D12" s="329">
        <v>403</v>
      </c>
      <c r="E12" s="330" t="s">
        <v>348</v>
      </c>
      <c r="F12" s="331">
        <v>1234578</v>
      </c>
      <c r="G12" s="331" t="s">
        <v>90</v>
      </c>
      <c r="H12" s="332" t="s">
        <v>316</v>
      </c>
      <c r="I12" s="332" t="s">
        <v>317</v>
      </c>
      <c r="J12" s="321" t="str">
        <f>CUST</f>
        <v>&lt;&lt;Customer&gt;&gt; Action</v>
      </c>
      <c r="K12" s="334" t="s">
        <v>349</v>
      </c>
      <c r="L12" s="335"/>
      <c r="M12" s="247" t="s">
        <v>344</v>
      </c>
      <c r="N12" s="248">
        <v>6</v>
      </c>
      <c r="O12" s="252">
        <v>0.2</v>
      </c>
      <c r="P12" s="248" t="s">
        <v>345</v>
      </c>
    </row>
    <row r="13" spans="1:16" s="249" customFormat="1" ht="50.25" customHeight="1" x14ac:dyDescent="0.25">
      <c r="A13" s="348" t="s">
        <v>418</v>
      </c>
      <c r="B13" s="336" t="s">
        <v>313</v>
      </c>
      <c r="C13" s="328" t="s">
        <v>422</v>
      </c>
      <c r="D13" s="329">
        <v>501</v>
      </c>
      <c r="E13" s="330" t="s">
        <v>351</v>
      </c>
      <c r="F13" s="331">
        <v>1234575</v>
      </c>
      <c r="G13" s="331" t="s">
        <v>90</v>
      </c>
      <c r="H13" s="332" t="s">
        <v>310</v>
      </c>
      <c r="I13" s="332" t="s">
        <v>323</v>
      </c>
      <c r="J13" s="347" t="s">
        <v>105</v>
      </c>
      <c r="K13" s="334" t="s">
        <v>352</v>
      </c>
      <c r="L13" s="335"/>
      <c r="M13" s="247" t="s">
        <v>344</v>
      </c>
      <c r="N13" s="248">
        <v>6</v>
      </c>
      <c r="O13" s="252">
        <v>0.2</v>
      </c>
      <c r="P13" s="248" t="s">
        <v>345</v>
      </c>
    </row>
    <row r="14" spans="1:16" s="249" customFormat="1" ht="50.25" customHeight="1" x14ac:dyDescent="0.25">
      <c r="A14" s="348" t="s">
        <v>418</v>
      </c>
      <c r="B14" s="336" t="s">
        <v>313</v>
      </c>
      <c r="C14" s="328" t="s">
        <v>422</v>
      </c>
      <c r="D14" s="329">
        <v>502</v>
      </c>
      <c r="E14" s="330" t="s">
        <v>353</v>
      </c>
      <c r="F14" s="331">
        <v>1234576</v>
      </c>
      <c r="G14" s="331" t="s">
        <v>90</v>
      </c>
      <c r="H14" s="332" t="s">
        <v>310</v>
      </c>
      <c r="I14" s="332" t="s">
        <v>323</v>
      </c>
      <c r="J14" s="347" t="s">
        <v>105</v>
      </c>
      <c r="K14" s="334" t="s">
        <v>354</v>
      </c>
      <c r="L14" s="335"/>
      <c r="M14" s="247" t="s">
        <v>344</v>
      </c>
      <c r="N14" s="248">
        <v>6</v>
      </c>
      <c r="O14" s="252">
        <v>0.2</v>
      </c>
      <c r="P14" s="248" t="s">
        <v>345</v>
      </c>
    </row>
    <row r="15" spans="1:16" ht="50.25" customHeight="1" x14ac:dyDescent="0.25">
      <c r="A15" s="357"/>
      <c r="B15" s="259"/>
      <c r="C15" s="265"/>
      <c r="E15" s="352"/>
      <c r="F15" s="356"/>
      <c r="G15" s="356"/>
      <c r="H15" s="358"/>
      <c r="I15" s="358"/>
      <c r="J15" s="265"/>
      <c r="K15" s="355"/>
      <c r="L15" s="353"/>
      <c r="M15" s="279"/>
      <c r="N15" s="354"/>
      <c r="O15" s="359"/>
      <c r="P15" s="354"/>
    </row>
    <row r="16" spans="1:16" s="249" customFormat="1" ht="50.25" customHeight="1" x14ac:dyDescent="0.25">
      <c r="A16" s="357"/>
      <c r="B16" s="259"/>
      <c r="C16" s="265"/>
      <c r="D16" s="255"/>
      <c r="E16" s="352"/>
      <c r="F16" s="356"/>
      <c r="G16" s="356"/>
      <c r="H16" s="358"/>
      <c r="I16" s="358"/>
      <c r="J16" s="265"/>
      <c r="K16" s="355"/>
      <c r="L16" s="353"/>
      <c r="M16" s="279"/>
      <c r="N16" s="354"/>
      <c r="O16" s="359"/>
      <c r="P16" s="354"/>
    </row>
    <row r="17" spans="1:16" s="249" customFormat="1" ht="15.75" customHeight="1" x14ac:dyDescent="0.25">
      <c r="A17" s="444" t="s">
        <v>228</v>
      </c>
      <c r="B17" s="444"/>
      <c r="C17" s="444"/>
      <c r="D17" s="444"/>
      <c r="E17" s="444"/>
      <c r="F17" s="444"/>
      <c r="G17" s="444"/>
      <c r="H17" s="444"/>
      <c r="I17" s="444"/>
      <c r="J17" s="444"/>
      <c r="K17" s="444"/>
      <c r="L17" s="444"/>
      <c r="M17" s="444"/>
      <c r="N17" s="444"/>
      <c r="O17" s="444"/>
      <c r="P17" s="444"/>
    </row>
    <row r="18" spans="1:16" s="249" customFormat="1" ht="9" customHeight="1" x14ac:dyDescent="0.25">
      <c r="A18" s="253"/>
      <c r="B18" s="254"/>
      <c r="D18" s="255"/>
      <c r="E18" s="256"/>
      <c r="F18" s="257"/>
      <c r="G18" s="257"/>
      <c r="L18" s="258"/>
      <c r="M18" s="258"/>
    </row>
    <row r="19" spans="1:16" s="249" customFormat="1" ht="27" customHeight="1" x14ac:dyDescent="0.25">
      <c r="A19" s="365" t="s">
        <v>414</v>
      </c>
      <c r="B19" s="245" t="s">
        <v>306</v>
      </c>
      <c r="C19" s="156" t="s">
        <v>422</v>
      </c>
      <c r="D19" s="259"/>
      <c r="E19" s="260"/>
      <c r="F19" s="261"/>
      <c r="G19" s="261"/>
      <c r="J19" s="262" t="s">
        <v>355</v>
      </c>
      <c r="L19" s="445" t="s">
        <v>429</v>
      </c>
      <c r="M19" s="258"/>
    </row>
    <row r="20" spans="1:16" s="263" customFormat="1" ht="27" customHeight="1" x14ac:dyDescent="0.25">
      <c r="A20" s="367" t="s">
        <v>415</v>
      </c>
      <c r="B20" s="250" t="s">
        <v>313</v>
      </c>
      <c r="C20" s="157" t="s">
        <v>160</v>
      </c>
      <c r="D20" s="259"/>
      <c r="E20" s="260"/>
      <c r="F20" s="261"/>
      <c r="G20" s="261"/>
      <c r="H20" s="249"/>
      <c r="I20" s="249"/>
      <c r="J20" s="246" t="s">
        <v>109</v>
      </c>
      <c r="L20" s="445"/>
      <c r="M20" s="264"/>
    </row>
    <row r="21" spans="1:16" s="263" customFormat="1" ht="27" customHeight="1" x14ac:dyDescent="0.25">
      <c r="A21" s="369" t="s">
        <v>416</v>
      </c>
      <c r="B21" s="251" t="s">
        <v>320</v>
      </c>
      <c r="C21" s="384" t="s">
        <v>124</v>
      </c>
      <c r="D21" s="259"/>
      <c r="E21" s="260"/>
      <c r="F21" s="261"/>
      <c r="G21" s="261"/>
      <c r="H21" s="249"/>
      <c r="I21" s="249"/>
      <c r="J21" s="319" t="s">
        <v>108</v>
      </c>
      <c r="L21" s="445"/>
      <c r="M21" s="264"/>
    </row>
    <row r="22" spans="1:16" s="263" customFormat="1" ht="27" customHeight="1" x14ac:dyDescent="0.25">
      <c r="A22" s="371" t="s">
        <v>417</v>
      </c>
      <c r="C22" s="319" t="s">
        <v>161</v>
      </c>
      <c r="D22" s="259"/>
      <c r="E22" s="260"/>
      <c r="F22" s="261"/>
      <c r="G22" s="261"/>
      <c r="H22" s="249"/>
      <c r="I22" s="249"/>
      <c r="J22" s="320" t="s">
        <v>107</v>
      </c>
      <c r="L22" s="445"/>
      <c r="M22" s="264"/>
    </row>
    <row r="23" spans="1:16" s="263" customFormat="1" ht="27" customHeight="1" x14ac:dyDescent="0.25">
      <c r="A23" s="373" t="s">
        <v>418</v>
      </c>
      <c r="B23" s="265"/>
      <c r="C23" s="160" t="s">
        <v>163</v>
      </c>
      <c r="D23" s="259"/>
      <c r="E23" s="260"/>
      <c r="F23" s="261"/>
      <c r="G23" s="261"/>
      <c r="H23" s="249"/>
      <c r="I23" s="249"/>
      <c r="J23" s="321" t="str">
        <f>CONCATENATE((LEFT('Engagement Plan'!$A$3,SEARCH("Project Plan",'Engagement Plan'!$A$3)-2))," Action")</f>
        <v>&lt;&lt;Customer&gt;&gt; Action</v>
      </c>
      <c r="L23" s="445"/>
      <c r="M23" s="264"/>
    </row>
    <row r="24" spans="1:16" s="263" customFormat="1" ht="27" customHeight="1" x14ac:dyDescent="0.25">
      <c r="B24" s="265"/>
      <c r="C24" s="159" t="s">
        <v>162</v>
      </c>
      <c r="D24" s="259"/>
      <c r="E24" s="260"/>
      <c r="H24" s="249"/>
      <c r="I24" s="249"/>
      <c r="J24" s="157" t="s">
        <v>106</v>
      </c>
      <c r="L24" s="445"/>
      <c r="M24" s="264"/>
    </row>
    <row r="25" spans="1:16" s="263" customFormat="1" ht="27" customHeight="1" x14ac:dyDescent="0.25">
      <c r="A25" s="266"/>
      <c r="B25" s="267"/>
      <c r="D25" s="268"/>
      <c r="E25" s="269"/>
      <c r="F25" s="270"/>
      <c r="G25" s="270"/>
      <c r="H25" s="249"/>
      <c r="I25" s="249"/>
      <c r="J25" s="322" t="s">
        <v>105</v>
      </c>
      <c r="L25" s="445"/>
      <c r="M25" s="264"/>
    </row>
    <row r="26" spans="1:16" s="263" customFormat="1" ht="27" customHeight="1" x14ac:dyDescent="0.25">
      <c r="A26" s="266"/>
      <c r="B26" s="267"/>
      <c r="D26" s="268"/>
      <c r="E26" s="269"/>
      <c r="F26" s="270"/>
      <c r="G26" s="270"/>
      <c r="H26" s="249"/>
      <c r="I26" s="249"/>
      <c r="J26" s="323" t="s">
        <v>104</v>
      </c>
      <c r="L26" s="445"/>
      <c r="M26" s="264"/>
    </row>
    <row r="27" spans="1:16" x14ac:dyDescent="0.25">
      <c r="L27" s="445"/>
    </row>
    <row r="28" spans="1:16" x14ac:dyDescent="0.25">
      <c r="L28" s="445"/>
    </row>
  </sheetData>
  <autoFilter ref="A2:P14"/>
  <mergeCells count="4">
    <mergeCell ref="A1:K1"/>
    <mergeCell ref="L1:P1"/>
    <mergeCell ref="A17:P17"/>
    <mergeCell ref="L19:L28"/>
  </mergeCells>
  <conditionalFormatting sqref="A3:A16">
    <cfRule type="cellIs" dxfId="42" priority="12" operator="equal">
      <formula>JOB_VOL</formula>
    </cfRule>
    <cfRule type="cellIs" dxfId="41" priority="13" operator="equal">
      <formula>PERF_SCAL</formula>
    </cfRule>
    <cfRule type="cellIs" dxfId="40" priority="14" operator="equal">
      <formula>INTGR_QUE</formula>
    </cfRule>
    <cfRule type="cellIs" dxfId="39" priority="16" operator="equal">
      <formula>EXCP_MGT</formula>
    </cfRule>
    <cfRule type="cellIs" dxfId="38" priority="17" operator="equal">
      <formula>DATA_CONS</formula>
    </cfRule>
  </conditionalFormatting>
  <conditionalFormatting sqref="B3:B16">
    <cfRule type="cellIs" dxfId="37" priority="9" operator="equal">
      <formula>MED</formula>
    </cfRule>
    <cfRule type="cellIs" dxfId="36" priority="10" operator="equal">
      <formula>HIGH</formula>
    </cfRule>
    <cfRule type="cellIs" dxfId="35" priority="11" operator="equal">
      <formula>VH</formula>
    </cfRule>
  </conditionalFormatting>
  <conditionalFormatting sqref="J3:J16">
    <cfRule type="cellIs" dxfId="34" priority="1" operator="equal">
      <formula>CLOSE</formula>
    </cfRule>
    <cfRule type="cellIs" dxfId="33" priority="2" operator="equal">
      <formula>TEST</formula>
    </cfRule>
    <cfRule type="cellIs" dxfId="32" priority="3" operator="equal">
      <formula>REC</formula>
    </cfRule>
    <cfRule type="cellIs" dxfId="31" priority="4" operator="equal">
      <formula>CUST</formula>
    </cfRule>
    <cfRule type="cellIs" dxfId="30" priority="5" operator="equal">
      <formula>SAP</formula>
    </cfRule>
    <cfRule type="cellIs" dxfId="29" priority="6" operator="equal">
      <formula>POST</formula>
    </cfRule>
    <cfRule type="cellIs" dxfId="28" priority="7" operator="equal">
      <formula>NEW</formula>
    </cfRule>
    <cfRule type="cellIs" dxfId="27" priority="8" operator="equal">
      <formula>OBS</formula>
    </cfRule>
  </conditionalFormatting>
  <dataValidations count="3">
    <dataValidation type="list" allowBlank="1" showInputMessage="1" showErrorMessage="1" sqref="A3:A16">
      <formula1>WORK_STREAMS</formula1>
    </dataValidation>
    <dataValidation type="list" allowBlank="1" showInputMessage="1" showErrorMessage="1" sqref="B3:B16">
      <formula1>PRIOS</formula1>
    </dataValidation>
    <dataValidation type="list" allowBlank="1" showInputMessage="1" showErrorMessage="1" sqref="J3:J16">
      <formula1>STATUS_LIST</formula1>
    </dataValidation>
  </dataValidations>
  <pageMargins left="0.70866141732283472" right="0.70866141732283472" top="0.74803149606299213" bottom="0.74803149606299213" header="0.31496062992125984" footer="0.31496062992125984"/>
  <pageSetup paperSize="9" scale="81" fitToHeight="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7"/>
  <sheetViews>
    <sheetView workbookViewId="0">
      <selection activeCell="L15" sqref="L15"/>
    </sheetView>
  </sheetViews>
  <sheetFormatPr defaultRowHeight="15" outlineLevelCol="1" x14ac:dyDescent="0.25"/>
  <cols>
    <col min="1" max="1" width="1.28515625" style="35" customWidth="1"/>
    <col min="2" max="2" width="3.42578125" style="42" bestFit="1" customWidth="1"/>
    <col min="3" max="3" width="25" style="150" bestFit="1" customWidth="1"/>
    <col min="4" max="4" width="13.42578125" style="150" hidden="1" customWidth="1" outlineLevel="1"/>
    <col min="5" max="5" width="13.42578125" style="151" hidden="1" customWidth="1" outlineLevel="1"/>
    <col min="6" max="6" width="6.42578125" style="35" bestFit="1" customWidth="1" collapsed="1"/>
    <col min="7" max="7" width="4.85546875" style="35" bestFit="1" customWidth="1"/>
    <col min="8" max="8" width="6.42578125" style="35" bestFit="1" customWidth="1"/>
    <col min="9" max="9" width="5.85546875" style="35" bestFit="1" customWidth="1"/>
    <col min="10" max="10" width="8.42578125" style="42" customWidth="1"/>
    <col min="11" max="11" width="6.42578125" style="35" bestFit="1" customWidth="1"/>
    <col min="12" max="12" width="5.7109375" style="35" bestFit="1" customWidth="1"/>
    <col min="13" max="13" width="6.42578125" style="35" bestFit="1" customWidth="1"/>
    <col min="14" max="14" width="5.85546875" style="35" bestFit="1" customWidth="1"/>
    <col min="15" max="15" width="8.42578125" style="42" bestFit="1" customWidth="1"/>
    <col min="16" max="16" width="7.42578125" style="35" bestFit="1" customWidth="1"/>
    <col min="17" max="17" width="6.85546875" style="35" bestFit="1" customWidth="1"/>
    <col min="18" max="18" width="7.42578125" style="35" bestFit="1" customWidth="1"/>
    <col min="19" max="19" width="35.5703125" style="35" customWidth="1"/>
    <col min="20" max="16384" width="9.140625" style="35"/>
  </cols>
  <sheetData>
    <row r="1" spans="1:19" ht="9" customHeight="1" thickBot="1" x14ac:dyDescent="0.3">
      <c r="A1" s="85"/>
      <c r="B1" s="86"/>
      <c r="C1" s="87"/>
      <c r="D1" s="87"/>
      <c r="E1" s="88"/>
      <c r="F1" s="89"/>
      <c r="G1" s="89"/>
      <c r="H1" s="89"/>
      <c r="I1" s="89"/>
      <c r="J1" s="86"/>
      <c r="K1" s="89"/>
      <c r="L1" s="89"/>
      <c r="M1" s="89"/>
      <c r="N1" s="89"/>
      <c r="O1" s="86"/>
      <c r="P1" s="89"/>
      <c r="Q1" s="89"/>
      <c r="R1" s="89"/>
      <c r="S1" s="89"/>
    </row>
    <row r="2" spans="1:19" ht="30.75" thickBot="1" x14ac:dyDescent="0.3">
      <c r="A2" s="90"/>
      <c r="B2" s="454" t="s">
        <v>124</v>
      </c>
      <c r="C2" s="455"/>
      <c r="D2" s="91" t="s">
        <v>125</v>
      </c>
      <c r="E2" s="91" t="s">
        <v>125</v>
      </c>
      <c r="F2" s="456" t="s">
        <v>126</v>
      </c>
      <c r="G2" s="457"/>
      <c r="H2" s="446" t="s">
        <v>127</v>
      </c>
      <c r="I2" s="447"/>
      <c r="J2" s="448"/>
      <c r="K2" s="456" t="s">
        <v>128</v>
      </c>
      <c r="L2" s="457"/>
      <c r="M2" s="446" t="s">
        <v>129</v>
      </c>
      <c r="N2" s="447"/>
      <c r="O2" s="448"/>
      <c r="P2" s="449" t="s">
        <v>130</v>
      </c>
      <c r="Q2" s="450"/>
      <c r="R2" s="451"/>
      <c r="S2" s="92"/>
    </row>
    <row r="3" spans="1:19" ht="37.5" customHeight="1" thickBot="1" x14ac:dyDescent="0.3">
      <c r="A3" s="93"/>
      <c r="B3" s="94" t="s">
        <v>131</v>
      </c>
      <c r="C3" s="95" t="s">
        <v>132</v>
      </c>
      <c r="D3" s="96" t="s">
        <v>133</v>
      </c>
      <c r="E3" s="97" t="s">
        <v>134</v>
      </c>
      <c r="F3" s="98" t="s">
        <v>135</v>
      </c>
      <c r="G3" s="99" t="s">
        <v>136</v>
      </c>
      <c r="H3" s="100" t="s">
        <v>135</v>
      </c>
      <c r="I3" s="101" t="s">
        <v>136</v>
      </c>
      <c r="J3" s="102" t="s">
        <v>137</v>
      </c>
      <c r="K3" s="98" t="s">
        <v>135</v>
      </c>
      <c r="L3" s="99" t="s">
        <v>136</v>
      </c>
      <c r="M3" s="100" t="s">
        <v>135</v>
      </c>
      <c r="N3" s="101" t="s">
        <v>136</v>
      </c>
      <c r="O3" s="102" t="s">
        <v>137</v>
      </c>
      <c r="P3" s="103" t="s">
        <v>138</v>
      </c>
      <c r="Q3" s="104" t="s">
        <v>139</v>
      </c>
      <c r="R3" s="105" t="s">
        <v>140</v>
      </c>
      <c r="S3" s="106" t="s">
        <v>141</v>
      </c>
    </row>
    <row r="4" spans="1:19" ht="21" customHeight="1" x14ac:dyDescent="0.25">
      <c r="A4" s="107"/>
      <c r="B4" s="108">
        <v>1</v>
      </c>
      <c r="C4" s="109" t="s">
        <v>142</v>
      </c>
      <c r="D4" s="110"/>
      <c r="E4" s="111"/>
      <c r="F4" s="112">
        <v>20</v>
      </c>
      <c r="G4" s="113">
        <v>41281</v>
      </c>
      <c r="H4" s="114">
        <v>20</v>
      </c>
      <c r="I4" s="115">
        <v>41281</v>
      </c>
      <c r="J4" s="116">
        <f t="shared" ref="J4:J11" si="0">((F4-H4)/F4)</f>
        <v>0</v>
      </c>
      <c r="K4" s="117">
        <v>290</v>
      </c>
      <c r="L4" s="118">
        <v>41298</v>
      </c>
      <c r="M4" s="114">
        <v>119</v>
      </c>
      <c r="N4" s="119">
        <v>41333</v>
      </c>
      <c r="O4" s="116">
        <f t="shared" ref="O4:O11" si="1">((K4-M4)/K4)</f>
        <v>0.58965517241379306</v>
      </c>
      <c r="P4" s="120">
        <v>5</v>
      </c>
      <c r="Q4" s="121">
        <f t="shared" ref="Q4:Q10" si="2">H4/P4</f>
        <v>4</v>
      </c>
      <c r="R4" s="122">
        <f t="shared" ref="R4:R10" si="3">M4/P4</f>
        <v>23.8</v>
      </c>
      <c r="S4" s="123" t="s">
        <v>143</v>
      </c>
    </row>
    <row r="5" spans="1:19" ht="20.25" customHeight="1" x14ac:dyDescent="0.25">
      <c r="A5" s="93"/>
      <c r="B5" s="124">
        <v>2</v>
      </c>
      <c r="C5" s="109" t="s">
        <v>144</v>
      </c>
      <c r="D5" s="125"/>
      <c r="E5" s="111"/>
      <c r="F5" s="117">
        <v>52</v>
      </c>
      <c r="G5" s="118">
        <v>41281</v>
      </c>
      <c r="H5" s="126">
        <v>4</v>
      </c>
      <c r="I5" s="119">
        <v>41298</v>
      </c>
      <c r="J5" s="127">
        <f t="shared" si="0"/>
        <v>0.92307692307692313</v>
      </c>
      <c r="K5" s="117">
        <v>3.6</v>
      </c>
      <c r="L5" s="118">
        <v>41298</v>
      </c>
      <c r="M5" s="126">
        <v>3.5</v>
      </c>
      <c r="N5" s="119">
        <v>41333</v>
      </c>
      <c r="O5" s="127">
        <f t="shared" si="1"/>
        <v>2.7777777777777801E-2</v>
      </c>
      <c r="P5" s="120">
        <v>5</v>
      </c>
      <c r="Q5" s="121">
        <f t="shared" si="2"/>
        <v>0.8</v>
      </c>
      <c r="R5" s="122">
        <f t="shared" si="3"/>
        <v>0.7</v>
      </c>
      <c r="S5" s="128" t="s">
        <v>145</v>
      </c>
    </row>
    <row r="6" spans="1:19" ht="15" customHeight="1" x14ac:dyDescent="0.25">
      <c r="A6" s="93"/>
      <c r="B6" s="124">
        <v>3</v>
      </c>
      <c r="C6" s="109" t="s">
        <v>146</v>
      </c>
      <c r="D6" s="125"/>
      <c r="E6" s="111"/>
      <c r="F6" s="117">
        <v>130</v>
      </c>
      <c r="G6" s="118">
        <v>41281</v>
      </c>
      <c r="H6" s="126">
        <v>3</v>
      </c>
      <c r="I6" s="119">
        <v>41316</v>
      </c>
      <c r="J6" s="127">
        <f t="shared" si="0"/>
        <v>0.97692307692307689</v>
      </c>
      <c r="K6" s="117">
        <v>13</v>
      </c>
      <c r="L6" s="118">
        <v>41298</v>
      </c>
      <c r="M6" s="126">
        <v>4.5999999999999996</v>
      </c>
      <c r="N6" s="119">
        <v>41333</v>
      </c>
      <c r="O6" s="127">
        <f t="shared" si="1"/>
        <v>0.64615384615384619</v>
      </c>
      <c r="P6" s="120">
        <v>5</v>
      </c>
      <c r="Q6" s="121">
        <f t="shared" si="2"/>
        <v>0.6</v>
      </c>
      <c r="R6" s="122">
        <f t="shared" si="3"/>
        <v>0.91999999999999993</v>
      </c>
      <c r="S6" s="129" t="s">
        <v>147</v>
      </c>
    </row>
    <row r="7" spans="1:19" ht="21" customHeight="1" x14ac:dyDescent="0.25">
      <c r="A7" s="93"/>
      <c r="B7" s="124">
        <v>4</v>
      </c>
      <c r="C7" s="109" t="s">
        <v>148</v>
      </c>
      <c r="D7" s="125" t="s">
        <v>149</v>
      </c>
      <c r="E7" s="111" t="s">
        <v>150</v>
      </c>
      <c r="F7" s="117">
        <v>145</v>
      </c>
      <c r="G7" s="118">
        <v>41281</v>
      </c>
      <c r="H7" s="126">
        <v>3</v>
      </c>
      <c r="I7" s="119">
        <v>41309</v>
      </c>
      <c r="J7" s="127">
        <f t="shared" si="0"/>
        <v>0.97931034482758617</v>
      </c>
      <c r="K7" s="117">
        <v>88</v>
      </c>
      <c r="L7" s="118">
        <v>41298</v>
      </c>
      <c r="M7" s="126">
        <v>6</v>
      </c>
      <c r="N7" s="119">
        <v>41333</v>
      </c>
      <c r="O7" s="127">
        <f t="shared" si="1"/>
        <v>0.93181818181818177</v>
      </c>
      <c r="P7" s="120">
        <v>40</v>
      </c>
      <c r="Q7" s="121">
        <f t="shared" si="2"/>
        <v>7.4999999999999997E-2</v>
      </c>
      <c r="R7" s="122">
        <f t="shared" si="3"/>
        <v>0.15</v>
      </c>
      <c r="S7" s="128" t="s">
        <v>145</v>
      </c>
    </row>
    <row r="8" spans="1:19" ht="21" customHeight="1" x14ac:dyDescent="0.25">
      <c r="A8" s="93"/>
      <c r="B8" s="124">
        <v>5</v>
      </c>
      <c r="C8" s="109" t="s">
        <v>151</v>
      </c>
      <c r="D8" s="125"/>
      <c r="E8" s="111"/>
      <c r="F8" s="130">
        <v>5</v>
      </c>
      <c r="G8" s="118">
        <v>41281</v>
      </c>
      <c r="H8" s="126">
        <v>0.6</v>
      </c>
      <c r="I8" s="119">
        <v>41309</v>
      </c>
      <c r="J8" s="127">
        <f t="shared" si="0"/>
        <v>0.88000000000000012</v>
      </c>
      <c r="K8" s="117">
        <v>4.4000000000000004</v>
      </c>
      <c r="L8" s="118">
        <v>41298</v>
      </c>
      <c r="M8" s="126">
        <v>0.5</v>
      </c>
      <c r="N8" s="119">
        <v>41333</v>
      </c>
      <c r="O8" s="127">
        <f t="shared" si="1"/>
        <v>0.88636363636363635</v>
      </c>
      <c r="P8" s="120">
        <v>2.5</v>
      </c>
      <c r="Q8" s="121">
        <f t="shared" si="2"/>
        <v>0.24</v>
      </c>
      <c r="R8" s="122">
        <f t="shared" si="3"/>
        <v>0.2</v>
      </c>
      <c r="S8" s="128" t="s">
        <v>145</v>
      </c>
    </row>
    <row r="9" spans="1:19" ht="21" customHeight="1" x14ac:dyDescent="0.25">
      <c r="A9" s="93"/>
      <c r="B9" s="124">
        <v>6</v>
      </c>
      <c r="C9" s="109" t="s">
        <v>152</v>
      </c>
      <c r="D9" s="125"/>
      <c r="E9" s="111"/>
      <c r="F9" s="117">
        <v>4.5999999999999996</v>
      </c>
      <c r="G9" s="118">
        <v>41281</v>
      </c>
      <c r="H9" s="126">
        <v>1</v>
      </c>
      <c r="I9" s="119">
        <v>41309</v>
      </c>
      <c r="J9" s="127">
        <f t="shared" si="0"/>
        <v>0.78260869565217395</v>
      </c>
      <c r="K9" s="117">
        <v>2.9</v>
      </c>
      <c r="L9" s="118">
        <v>41298</v>
      </c>
      <c r="M9" s="126">
        <v>1.7</v>
      </c>
      <c r="N9" s="119">
        <v>41333</v>
      </c>
      <c r="O9" s="127">
        <f t="shared" si="1"/>
        <v>0.41379310344827586</v>
      </c>
      <c r="P9" s="120">
        <v>3</v>
      </c>
      <c r="Q9" s="121">
        <f t="shared" si="2"/>
        <v>0.33333333333333331</v>
      </c>
      <c r="R9" s="122">
        <f t="shared" si="3"/>
        <v>0.56666666666666665</v>
      </c>
      <c r="S9" s="128" t="s">
        <v>145</v>
      </c>
    </row>
    <row r="10" spans="1:19" ht="15.75" customHeight="1" thickBot="1" x14ac:dyDescent="0.3">
      <c r="A10" s="93"/>
      <c r="B10" s="124">
        <v>7</v>
      </c>
      <c r="C10" s="109" t="s">
        <v>153</v>
      </c>
      <c r="D10" s="125" t="s">
        <v>164</v>
      </c>
      <c r="E10" s="111"/>
      <c r="F10" s="117">
        <v>51</v>
      </c>
      <c r="G10" s="118">
        <v>41281</v>
      </c>
      <c r="H10" s="126">
        <v>8</v>
      </c>
      <c r="I10" s="119">
        <v>41317</v>
      </c>
      <c r="J10" s="127">
        <f t="shared" si="0"/>
        <v>0.84313725490196079</v>
      </c>
      <c r="K10" s="117">
        <v>21</v>
      </c>
      <c r="L10" s="118">
        <v>41298</v>
      </c>
      <c r="M10" s="126">
        <v>8</v>
      </c>
      <c r="N10" s="119">
        <v>41333</v>
      </c>
      <c r="O10" s="127">
        <f t="shared" si="1"/>
        <v>0.61904761904761907</v>
      </c>
      <c r="P10" s="120">
        <v>2</v>
      </c>
      <c r="Q10" s="121">
        <f t="shared" si="2"/>
        <v>4</v>
      </c>
      <c r="R10" s="122">
        <f t="shared" si="3"/>
        <v>4</v>
      </c>
      <c r="S10" s="131" t="s">
        <v>154</v>
      </c>
    </row>
    <row r="11" spans="1:19" ht="16.5" thickBot="1" x14ac:dyDescent="0.3">
      <c r="A11" s="93"/>
      <c r="B11" s="452" t="s">
        <v>103</v>
      </c>
      <c r="C11" s="453"/>
      <c r="D11" s="132"/>
      <c r="E11" s="133"/>
      <c r="F11" s="134">
        <f>SUM(F4:F10)</f>
        <v>407.6</v>
      </c>
      <c r="G11" s="135"/>
      <c r="H11" s="136">
        <f>SUM(H4:H10)</f>
        <v>39.6</v>
      </c>
      <c r="I11" s="137"/>
      <c r="J11" s="138">
        <f t="shared" si="0"/>
        <v>0.90284592737978409</v>
      </c>
      <c r="K11" s="134">
        <f>SUM(K4:K10)</f>
        <v>422.9</v>
      </c>
      <c r="L11" s="135"/>
      <c r="M11" s="136">
        <f>SUM(M4:M10)</f>
        <v>143.29999999999998</v>
      </c>
      <c r="N11" s="137"/>
      <c r="O11" s="138">
        <f t="shared" si="1"/>
        <v>0.66114920785055575</v>
      </c>
      <c r="P11" s="139" t="s">
        <v>90</v>
      </c>
      <c r="Q11" s="140">
        <f>COUNTIF(Q4:Q10,"&lt;1.001")</f>
        <v>5</v>
      </c>
      <c r="R11" s="141">
        <f>COUNTIF(R4:R10,"&lt;1.001")</f>
        <v>5</v>
      </c>
      <c r="S11" s="142"/>
    </row>
    <row r="12" spans="1:19" ht="16.5" thickBot="1" x14ac:dyDescent="0.3">
      <c r="A12" s="143"/>
      <c r="B12" s="85"/>
      <c r="C12" s="144"/>
      <c r="D12" s="144"/>
      <c r="E12" s="145"/>
      <c r="F12" s="146"/>
      <c r="G12" s="146"/>
      <c r="H12" s="146"/>
      <c r="I12" s="146"/>
      <c r="J12" s="85"/>
      <c r="K12" s="146"/>
      <c r="L12" s="146"/>
      <c r="M12" s="146"/>
      <c r="N12" s="146"/>
      <c r="O12" s="85"/>
      <c r="P12" s="147"/>
      <c r="Q12" s="148">
        <f>COUNTIF(Q5:Q11,"&gt;1.001")</f>
        <v>2</v>
      </c>
      <c r="R12" s="149">
        <f>COUNTIF(R5:R11,"&gt;1.001")</f>
        <v>2</v>
      </c>
      <c r="S12" s="144"/>
    </row>
    <row r="13" spans="1:19" x14ac:dyDescent="0.25">
      <c r="S13" s="150"/>
    </row>
    <row r="14" spans="1:19" ht="21.75" customHeight="1" x14ac:dyDescent="0.25">
      <c r="S14" s="152" t="s">
        <v>155</v>
      </c>
    </row>
    <row r="15" spans="1:19" ht="21.75" customHeight="1" x14ac:dyDescent="0.25">
      <c r="S15" s="153" t="s">
        <v>156</v>
      </c>
    </row>
    <row r="16" spans="1:19" ht="21.75" customHeight="1" x14ac:dyDescent="0.25">
      <c r="S16" s="154" t="s">
        <v>157</v>
      </c>
    </row>
    <row r="17" spans="2:19" ht="21.75" customHeight="1" x14ac:dyDescent="0.25">
      <c r="S17" s="155" t="s">
        <v>158</v>
      </c>
    </row>
    <row r="18" spans="2:19" x14ac:dyDescent="0.25">
      <c r="C18" s="328" t="s">
        <v>159</v>
      </c>
    </row>
    <row r="19" spans="2:19" x14ac:dyDescent="0.25">
      <c r="C19" s="337" t="s">
        <v>160</v>
      </c>
    </row>
    <row r="20" spans="2:19" x14ac:dyDescent="0.25">
      <c r="C20" s="342" t="s">
        <v>124</v>
      </c>
    </row>
    <row r="21" spans="2:19" x14ac:dyDescent="0.25">
      <c r="C21" s="344" t="s">
        <v>161</v>
      </c>
    </row>
    <row r="22" spans="2:19" x14ac:dyDescent="0.25">
      <c r="B22" s="35"/>
      <c r="C22" s="340" t="s">
        <v>162</v>
      </c>
    </row>
    <row r="23" spans="2:19" x14ac:dyDescent="0.25">
      <c r="B23" s="35"/>
      <c r="C23" s="349" t="s">
        <v>163</v>
      </c>
    </row>
    <row r="24" spans="2:19" x14ac:dyDescent="0.25">
      <c r="B24" s="35"/>
    </row>
    <row r="25" spans="2:19" x14ac:dyDescent="0.25">
      <c r="B25" s="35"/>
    </row>
    <row r="26" spans="2:19" x14ac:dyDescent="0.25">
      <c r="B26" s="35"/>
    </row>
    <row r="27" spans="2:19" x14ac:dyDescent="0.25">
      <c r="B27" s="35"/>
    </row>
  </sheetData>
  <mergeCells count="7">
    <mergeCell ref="M2:O2"/>
    <mergeCell ref="P2:R2"/>
    <mergeCell ref="B11:C11"/>
    <mergeCell ref="B2:C2"/>
    <mergeCell ref="F2:G2"/>
    <mergeCell ref="H2:J2"/>
    <mergeCell ref="K2:L2"/>
  </mergeCells>
  <conditionalFormatting sqref="J11">
    <cfRule type="iconSet" priority="13">
      <iconSet iconSet="3Arrows">
        <cfvo type="percent" val="0"/>
        <cfvo type="num" val="-1"/>
        <cfvo type="num" val="0" gte="0"/>
      </iconSet>
    </cfRule>
    <cfRule type="cellIs" dxfId="26" priority="14" operator="equal">
      <formula>0</formula>
    </cfRule>
    <cfRule type="cellIs" dxfId="25" priority="15" operator="lessThan">
      <formula>0</formula>
    </cfRule>
    <cfRule type="cellIs" dxfId="24" priority="16" operator="greaterThan">
      <formula>0</formula>
    </cfRule>
  </conditionalFormatting>
  <conditionalFormatting sqref="Q4:R10">
    <cfRule type="cellIs" priority="9" stopIfTrue="1" operator="equal">
      <formula>0</formula>
    </cfRule>
    <cfRule type="cellIs" dxfId="23" priority="10" operator="lessThanOrEqual">
      <formula>1</formula>
    </cfRule>
    <cfRule type="cellIs" dxfId="22" priority="11" operator="between">
      <formula>1</formula>
      <formula>2</formula>
    </cfRule>
    <cfRule type="cellIs" dxfId="21" priority="12" operator="greaterThan">
      <formula>2</formula>
    </cfRule>
  </conditionalFormatting>
  <conditionalFormatting sqref="O11">
    <cfRule type="iconSet" priority="5">
      <iconSet iconSet="3Arrows">
        <cfvo type="percent" val="0"/>
        <cfvo type="num" val="-1"/>
        <cfvo type="num" val="0" gte="0"/>
      </iconSet>
    </cfRule>
    <cfRule type="cellIs" dxfId="20" priority="6" operator="equal">
      <formula>0</formula>
    </cfRule>
    <cfRule type="cellIs" dxfId="19" priority="7" operator="lessThan">
      <formula>0</formula>
    </cfRule>
    <cfRule type="cellIs" dxfId="18" priority="8" operator="greaterThan">
      <formula>0</formula>
    </cfRule>
  </conditionalFormatting>
  <conditionalFormatting sqref="O4">
    <cfRule type="iconSet" priority="1">
      <iconSet iconSet="3Arrows">
        <cfvo type="percent" val="0"/>
        <cfvo type="num" val="-1"/>
        <cfvo type="num" val="0" gte="0"/>
      </iconSet>
    </cfRule>
    <cfRule type="cellIs" dxfId="17" priority="2" operator="equal">
      <formula>0</formula>
    </cfRule>
    <cfRule type="cellIs" dxfId="16" priority="3" operator="lessThan">
      <formula>0</formula>
    </cfRule>
    <cfRule type="cellIs" dxfId="15" priority="4" operator="greaterThan">
      <formula>0</formula>
    </cfRule>
  </conditionalFormatting>
  <conditionalFormatting sqref="O5:O6">
    <cfRule type="iconSet" priority="17">
      <iconSet iconSet="3Arrows">
        <cfvo type="percent" val="0"/>
        <cfvo type="num" val="-1"/>
        <cfvo type="num" val="0" gte="0"/>
      </iconSet>
    </cfRule>
    <cfRule type="cellIs" dxfId="14" priority="18" operator="equal">
      <formula>0</formula>
    </cfRule>
    <cfRule type="cellIs" dxfId="13" priority="19" operator="lessThan">
      <formula>0</formula>
    </cfRule>
    <cfRule type="cellIs" dxfId="12" priority="20" operator="greaterThan">
      <formula>0</formula>
    </cfRule>
  </conditionalFormatting>
  <conditionalFormatting sqref="O7:O10">
    <cfRule type="iconSet" priority="21">
      <iconSet iconSet="3Arrows">
        <cfvo type="percent" val="0"/>
        <cfvo type="num" val="-1"/>
        <cfvo type="num" val="0" gte="0"/>
      </iconSet>
    </cfRule>
    <cfRule type="cellIs" dxfId="11" priority="22" operator="equal">
      <formula>0</formula>
    </cfRule>
    <cfRule type="cellIs" dxfId="10" priority="23" operator="lessThan">
      <formula>0</formula>
    </cfRule>
    <cfRule type="cellIs" dxfId="9" priority="24" operator="greaterThan">
      <formula>0</formula>
    </cfRule>
  </conditionalFormatting>
  <conditionalFormatting sqref="J4:J10">
    <cfRule type="iconSet" priority="25">
      <iconSet iconSet="3Arrows">
        <cfvo type="percent" val="0"/>
        <cfvo type="num" val="-1"/>
        <cfvo type="num" val="0" gte="0"/>
      </iconSet>
    </cfRule>
    <cfRule type="cellIs" dxfId="8" priority="26" operator="equal">
      <formula>0</formula>
    </cfRule>
    <cfRule type="cellIs" dxfId="7" priority="27" operator="lessThan">
      <formula>0</formula>
    </cfRule>
    <cfRule type="cellIs" dxfId="6" priority="28" operator="greater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77"/>
  <sheetViews>
    <sheetView zoomScale="115" zoomScaleNormal="115" workbookViewId="0">
      <selection activeCell="U2" sqref="U2:U9"/>
    </sheetView>
  </sheetViews>
  <sheetFormatPr defaultRowHeight="15" outlineLevelCol="4" x14ac:dyDescent="0.25"/>
  <cols>
    <col min="1" max="1" width="22.7109375" customWidth="1"/>
    <col min="2" max="2" width="6.42578125" customWidth="1"/>
    <col min="3" max="3" width="6.5703125" bestFit="1" customWidth="1"/>
    <col min="4" max="4" width="8" customWidth="1" outlineLevel="4"/>
    <col min="5" max="5" width="4.5703125" customWidth="1" outlineLevel="4"/>
    <col min="6" max="6" width="4.7109375" customWidth="1" outlineLevel="4"/>
    <col min="7" max="7" width="8" customWidth="1" outlineLevel="3"/>
    <col min="8" max="8" width="4.5703125" customWidth="1" outlineLevel="3"/>
    <col min="9" max="9" width="4.7109375" customWidth="1" outlineLevel="3"/>
    <col min="10" max="10" width="8" customWidth="1" outlineLevel="2"/>
    <col min="11" max="11" width="4.5703125" customWidth="1" outlineLevel="2"/>
    <col min="12" max="12" width="4.7109375" customWidth="1" outlineLevel="2"/>
    <col min="13" max="13" width="8.42578125" customWidth="1" outlineLevel="1"/>
    <col min="14" max="15" width="5.140625" customWidth="1" outlineLevel="1"/>
    <col min="16" max="16" width="8" customWidth="1"/>
    <col min="17" max="17" width="4.5703125" customWidth="1"/>
    <col min="18" max="18" width="4.7109375" customWidth="1"/>
    <col min="19" max="19" width="6.42578125" bestFit="1" customWidth="1"/>
    <col min="21" max="21" width="78.85546875" customWidth="1"/>
  </cols>
  <sheetData>
    <row r="1" spans="1:21" ht="43.5" customHeight="1" x14ac:dyDescent="0.25">
      <c r="A1" s="458" t="s">
        <v>102</v>
      </c>
      <c r="B1" s="469" t="s">
        <v>101</v>
      </c>
      <c r="C1" s="466" t="s">
        <v>100</v>
      </c>
      <c r="D1" s="475" t="s">
        <v>99</v>
      </c>
      <c r="E1" s="476"/>
      <c r="F1" s="477"/>
      <c r="G1" s="478" t="s">
        <v>98</v>
      </c>
      <c r="H1" s="476"/>
      <c r="I1" s="477"/>
      <c r="J1" s="478" t="s">
        <v>97</v>
      </c>
      <c r="K1" s="476"/>
      <c r="L1" s="477"/>
      <c r="M1" s="478" t="s">
        <v>96</v>
      </c>
      <c r="N1" s="476"/>
      <c r="O1" s="477"/>
      <c r="P1" s="478" t="s">
        <v>95</v>
      </c>
      <c r="Q1" s="476"/>
      <c r="R1" s="479"/>
      <c r="S1" s="480" t="s">
        <v>94</v>
      </c>
    </row>
    <row r="2" spans="1:21" ht="16.5" customHeight="1" x14ac:dyDescent="0.25">
      <c r="A2" s="459"/>
      <c r="B2" s="470"/>
      <c r="C2" s="467"/>
      <c r="D2" s="462" t="s">
        <v>88</v>
      </c>
      <c r="E2" s="460" t="s">
        <v>93</v>
      </c>
      <c r="F2" s="461"/>
      <c r="G2" s="464" t="s">
        <v>88</v>
      </c>
      <c r="H2" s="473" t="s">
        <v>93</v>
      </c>
      <c r="I2" s="474"/>
      <c r="J2" s="464" t="s">
        <v>88</v>
      </c>
      <c r="K2" s="473" t="s">
        <v>93</v>
      </c>
      <c r="L2" s="474"/>
      <c r="M2" s="464" t="s">
        <v>88</v>
      </c>
      <c r="N2" s="473" t="s">
        <v>93</v>
      </c>
      <c r="O2" s="474"/>
      <c r="P2" s="464" t="s">
        <v>88</v>
      </c>
      <c r="Q2" s="473" t="s">
        <v>93</v>
      </c>
      <c r="R2" s="482"/>
      <c r="S2" s="481"/>
      <c r="U2" s="472" t="s">
        <v>425</v>
      </c>
    </row>
    <row r="3" spans="1:21" ht="18" customHeight="1" x14ac:dyDescent="0.25">
      <c r="A3" s="459"/>
      <c r="B3" s="471"/>
      <c r="C3" s="468"/>
      <c r="D3" s="463"/>
      <c r="E3" s="34" t="s">
        <v>92</v>
      </c>
      <c r="F3" s="33" t="s">
        <v>91</v>
      </c>
      <c r="G3" s="465"/>
      <c r="H3" s="34" t="s">
        <v>92</v>
      </c>
      <c r="I3" s="33" t="s">
        <v>91</v>
      </c>
      <c r="J3" s="465"/>
      <c r="K3" s="34" t="s">
        <v>92</v>
      </c>
      <c r="L3" s="33" t="s">
        <v>91</v>
      </c>
      <c r="M3" s="465"/>
      <c r="N3" s="34" t="s">
        <v>92</v>
      </c>
      <c r="O3" s="33" t="s">
        <v>91</v>
      </c>
      <c r="P3" s="465"/>
      <c r="Q3" s="34" t="s">
        <v>92</v>
      </c>
      <c r="R3" s="33" t="s">
        <v>91</v>
      </c>
      <c r="S3" s="481"/>
      <c r="U3" s="472"/>
    </row>
    <row r="4" spans="1:21" ht="17.100000000000001" customHeight="1" x14ac:dyDescent="0.25">
      <c r="A4" s="283" t="s">
        <v>161</v>
      </c>
      <c r="B4" s="284">
        <v>40</v>
      </c>
      <c r="C4" s="32">
        <v>0.63</v>
      </c>
      <c r="D4" s="32">
        <v>1</v>
      </c>
      <c r="E4" s="300">
        <f>COUNTIFS('Issue List'!$A:$A,DATA_CONS,'Issue List'!$C:$C,'IV Progress (Issues)'!$A4,'Issue List'!$D:$D,"&gt;0")</f>
        <v>0</v>
      </c>
      <c r="F4" s="301">
        <f>COUNTIFS('Issue List'!$A:$A,DATA_CONS,'Issue List'!$C:$C,'IV Progress (Issues)'!$A4,'Issue List'!$J:$J,"&lt;&gt;Closed",'Issue List'!$J:$J,"&lt;&gt;Obsolete",'Issue List'!$D:$D,"&gt;0")</f>
        <v>0</v>
      </c>
      <c r="G4" s="302">
        <v>0.8</v>
      </c>
      <c r="H4" s="300">
        <f>COUNTIFS('Issue List'!$A:$A,EXCP_MGT,'Issue List'!$C:$C,'IV Progress (Issues)'!$A4,'Issue List'!$D:$D,"&gt;0")</f>
        <v>1</v>
      </c>
      <c r="I4" s="301">
        <f>COUNTIFS('Issue List'!$A:$A,EXCP_MGT,'Issue List'!$C:$C,'IV Progress (Issues)'!$A4,'Issue List'!$J:$J,"&lt;&gt;Closed",'Issue List'!$J:$J,"&lt;&gt;Obsolete",'Issue List'!$D:$D,"&gt;0")</f>
        <v>1</v>
      </c>
      <c r="J4" s="302">
        <v>1</v>
      </c>
      <c r="K4" s="300">
        <f>COUNTIFS('Issue List'!$A:$A,PERF_SCAL,'Issue List'!$C:$C,'IV Progress (Issues)'!$A4,'Issue List'!$D:$D,"&gt;0")</f>
        <v>0</v>
      </c>
      <c r="L4" s="301">
        <f>COUNTIFS('Issue List'!$A:$A,PERF_SCAL,'Issue List'!$C:$C,'IV Progress (Issues)'!$A4,'Issue List'!$J:$J,"&lt;&gt;Closed",'Issue List'!$J:$J,"&lt;&gt;Obsolete",'Issue List'!$D:$D,"&gt;0")</f>
        <v>0</v>
      </c>
      <c r="M4" s="302">
        <v>1</v>
      </c>
      <c r="N4" s="300">
        <f>COUNTIFS('Issue List'!$A:$A,INTGR_QUE,'Issue List'!$C:$C,'IV Progress (Issues)'!$A4,'Issue List'!$D:$D,"&gt;0")</f>
        <v>1</v>
      </c>
      <c r="O4" s="301">
        <f>COUNTIFS('Issue List'!$A:$A,INTGR_QUE,'Issue List'!$C:$C,'IV Progress (Issues)'!$A4,'Issue List'!$J:$J,"&lt;&gt;Closed",'Issue List'!$J:$J,"&lt;&gt;Obsolete",'Issue List'!$D:$D,"&gt;0")</f>
        <v>1</v>
      </c>
      <c r="P4" s="302">
        <v>0</v>
      </c>
      <c r="Q4" s="300">
        <f>COUNTIFS('Issue List'!$A:$A,JOB_VOL,'Issue List'!$C:$C,'IV Progress (Issues)'!$A4,'Issue List'!$D:$D,"&gt;0")</f>
        <v>0</v>
      </c>
      <c r="R4" s="301">
        <f>COUNTIFS('Issue List'!$A:$A,JOB_VOL,'Issue List'!$C:$C,'IV Progress (Issues)'!$A4,'Issue List'!$J:$J,"&lt;&gt;Closed",'Issue List'!$J:$J,"&lt;&gt;Obsolete",'Issue List'!$D:$D,"&gt;0")</f>
        <v>0</v>
      </c>
      <c r="S4" s="292">
        <f>E4+H4+K4+N4+Q4</f>
        <v>2</v>
      </c>
      <c r="U4" s="472"/>
    </row>
    <row r="5" spans="1:21" ht="17.100000000000001" customHeight="1" x14ac:dyDescent="0.25">
      <c r="A5" s="285" t="s">
        <v>422</v>
      </c>
      <c r="B5" s="286">
        <v>57</v>
      </c>
      <c r="C5" s="30">
        <v>1</v>
      </c>
      <c r="D5" s="30">
        <v>0.5</v>
      </c>
      <c r="E5" s="303">
        <f>COUNTIFS('Issue List'!$A:$A,DATA_CONS,'Issue List'!$C:$C,'IV Progress (Issues)'!$A5,'Issue List'!$D:$D,"&gt;0")</f>
        <v>1</v>
      </c>
      <c r="F5" s="304">
        <f>COUNTIFS('Issue List'!$A:$A,DATA_CONS,'Issue List'!$C:$C,'IV Progress (Issues)'!$A5,'Issue List'!$J:$J,"&lt;&gt;Closed",'Issue List'!$J:$J,"&lt;&gt;Obsolete",'Issue List'!$D:$D,"&gt;0")</f>
        <v>1</v>
      </c>
      <c r="G5" s="305">
        <v>0.5</v>
      </c>
      <c r="H5" s="303">
        <f>COUNTIFS('Issue List'!$A:$A,EXCP_MGT,'Issue List'!$C:$C,'IV Progress (Issues)'!$A5,'Issue List'!$D:$D,"&gt;0")</f>
        <v>0</v>
      </c>
      <c r="I5" s="304">
        <f>COUNTIFS('Issue List'!$A:$A,EXCP_MGT,'Issue List'!$C:$C,'IV Progress (Issues)'!$A5,'Issue List'!$J:$J,"&lt;&gt;Closed",'Issue List'!$J:$J,"&lt;&gt;Obsolete",'Issue List'!$D:$D,"&gt;0")</f>
        <v>0</v>
      </c>
      <c r="J5" s="305">
        <v>0.5</v>
      </c>
      <c r="K5" s="303">
        <f>COUNTIFS('Issue List'!$A:$A,PERF_SCAL,'Issue List'!$C:$C,'IV Progress (Issues)'!$A5,'Issue List'!$D:$D,"&gt;0")</f>
        <v>2</v>
      </c>
      <c r="L5" s="304">
        <f>COUNTIFS('Issue List'!$A:$A,PERF_SCAL,'Issue List'!$C:$C,'IV Progress (Issues)'!$A5,'Issue List'!$J:$J,"&lt;&gt;Closed",'Issue List'!$J:$J,"&lt;&gt;Obsolete",'Issue List'!$D:$D,"&gt;0")</f>
        <v>2</v>
      </c>
      <c r="M5" s="305">
        <v>0.5</v>
      </c>
      <c r="N5" s="303">
        <f>COUNTIFS('Issue List'!$A:$A,INTGR_QUE,'Issue List'!$C:$C,'IV Progress (Issues)'!$A5,'Issue List'!$D:$D,"&gt;0")</f>
        <v>0</v>
      </c>
      <c r="O5" s="304">
        <f>COUNTIFS('Issue List'!$A:$A,INTGR_QUE,'Issue List'!$C:$C,'IV Progress (Issues)'!$A5,'Issue List'!$J:$J,"&lt;&gt;Closed",'Issue List'!$J:$J,"&lt;&gt;Obsolete",'Issue List'!$D:$D,"&gt;0")</f>
        <v>0</v>
      </c>
      <c r="P5" s="305">
        <v>0.5</v>
      </c>
      <c r="Q5" s="303">
        <f>COUNTIFS('Issue List'!$A:$A,JOB_VOL,'Issue List'!$C:$C,'IV Progress (Issues)'!$A5,'Issue List'!$D:$D,"&gt;0")</f>
        <v>2</v>
      </c>
      <c r="R5" s="304">
        <f>COUNTIFS('Issue List'!$A:$A,JOB_VOL,'Issue List'!$C:$C,'IV Progress (Issues)'!$A5,'Issue List'!$J:$J,"&lt;&gt;Closed",'Issue List'!$J:$J,"&lt;&gt;Obsolete",'Issue List'!$D:$D,"&gt;0")</f>
        <v>2</v>
      </c>
      <c r="S5" s="293">
        <f t="shared" ref="S5:S9" si="0">E5+H5+K5+N5+Q5</f>
        <v>5</v>
      </c>
      <c r="U5" s="472"/>
    </row>
    <row r="6" spans="1:21" ht="17.100000000000001" customHeight="1" x14ac:dyDescent="0.25">
      <c r="A6" s="285" t="s">
        <v>124</v>
      </c>
      <c r="B6" s="286">
        <v>41</v>
      </c>
      <c r="C6" s="31">
        <v>0.5</v>
      </c>
      <c r="D6" s="31">
        <v>0.1</v>
      </c>
      <c r="E6" s="303">
        <f>COUNTIFS('Issue List'!$A:$A,DATA_CONS,'Issue List'!$C:$C,'IV Progress (Issues)'!$A6,'Issue List'!$D:$D,"&gt;0")</f>
        <v>0</v>
      </c>
      <c r="F6" s="304">
        <f>COUNTIFS('Issue List'!$A:$A,DATA_CONS,'Issue List'!$C:$C,'IV Progress (Issues)'!$A6,'Issue List'!$J:$J,"&lt;&gt;Closed",'Issue List'!$J:$J,"&lt;&gt;Obsolete",'Issue List'!$D:$D,"&gt;0")</f>
        <v>0</v>
      </c>
      <c r="G6" s="305">
        <v>0.1</v>
      </c>
      <c r="H6" s="303">
        <f>COUNTIFS('Issue List'!$A:$A,EXCP_MGT,'Issue List'!$C:$C,'IV Progress (Issues)'!$A6,'Issue List'!$D:$D,"&gt;0")</f>
        <v>1</v>
      </c>
      <c r="I6" s="304">
        <f>COUNTIFS('Issue List'!$A:$A,EXCP_MGT,'Issue List'!$C:$C,'IV Progress (Issues)'!$A6,'Issue List'!$J:$J,"&lt;&gt;Closed",'Issue List'!$J:$J,"&lt;&gt;Obsolete",'Issue List'!$D:$D,"&gt;0")</f>
        <v>1</v>
      </c>
      <c r="J6" s="305">
        <v>0.1</v>
      </c>
      <c r="K6" s="303">
        <f>COUNTIFS('Issue List'!$A:$A,PERF_SCAL,'Issue List'!$C:$C,'IV Progress (Issues)'!$A6,'Issue List'!$D:$D,"&gt;0")</f>
        <v>0</v>
      </c>
      <c r="L6" s="304">
        <f>COUNTIFS('Issue List'!$A:$A,PERF_SCAL,'Issue List'!$C:$C,'IV Progress (Issues)'!$A6,'Issue List'!$J:$J,"&lt;&gt;Closed",'Issue List'!$J:$J,"&lt;&gt;Obsolete",'Issue List'!$D:$D,"&gt;0")</f>
        <v>0</v>
      </c>
      <c r="M6" s="305">
        <v>0.1</v>
      </c>
      <c r="N6" s="303">
        <f>COUNTIFS('Issue List'!$A:$A,INTGR_QUE,'Issue List'!$C:$C,'IV Progress (Issues)'!$A6,'Issue List'!$D:$D,"&gt;0")</f>
        <v>0</v>
      </c>
      <c r="O6" s="304">
        <f>COUNTIFS('Issue List'!$A:$A,INTGR_QUE,'Issue List'!$C:$C,'IV Progress (Issues)'!$A6,'Issue List'!$J:$J,"&lt;&gt;Closed",'Issue List'!$J:$J,"&lt;&gt;Obsolete",'Issue List'!$D:$D,"&gt;0")</f>
        <v>0</v>
      </c>
      <c r="P6" s="305">
        <v>0.1</v>
      </c>
      <c r="Q6" s="303">
        <f>COUNTIFS('Issue List'!$A:$A,JOB_VOL,'Issue List'!$C:$C,'IV Progress (Issues)'!$A6,'Issue List'!$D:$D,"&gt;0")</f>
        <v>0</v>
      </c>
      <c r="R6" s="304">
        <f>COUNTIFS('Issue List'!$A:$A,JOB_VOL,'Issue List'!$C:$C,'IV Progress (Issues)'!$A6,'Issue List'!$J:$J,"&lt;&gt;Closed",'Issue List'!$J:$J,"&lt;&gt;Obsolete",'Issue List'!$D:$D,"&gt;0")</f>
        <v>0</v>
      </c>
      <c r="S6" s="293">
        <f t="shared" si="0"/>
        <v>1</v>
      </c>
      <c r="U6" s="472"/>
    </row>
    <row r="7" spans="1:21" ht="17.100000000000001" customHeight="1" x14ac:dyDescent="0.25">
      <c r="A7" s="285" t="s">
        <v>423</v>
      </c>
      <c r="B7" s="286">
        <v>25</v>
      </c>
      <c r="C7" s="30">
        <v>0.8</v>
      </c>
      <c r="D7" s="30">
        <v>1</v>
      </c>
      <c r="E7" s="303">
        <f>COUNTIFS('Issue List'!$A:$A,DATA_CONS,'Issue List'!$C:$C,'IV Progress (Issues)'!$A7,'Issue List'!$D:$D,"&gt;0")</f>
        <v>1</v>
      </c>
      <c r="F7" s="304">
        <f>COUNTIFS('Issue List'!$A:$A,DATA_CONS,'Issue List'!$C:$C,'IV Progress (Issues)'!$A7,'Issue List'!$J:$J,"&lt;&gt;Closed",'Issue List'!$J:$J,"&lt;&gt;Obsolete",'Issue List'!$D:$D,"&gt;0")</f>
        <v>0</v>
      </c>
      <c r="G7" s="305">
        <v>1</v>
      </c>
      <c r="H7" s="303">
        <f>COUNTIFS('Issue List'!$A:$A,EXCP_MGT,'Issue List'!$C:$C,'IV Progress (Issues)'!$A7,'Issue List'!$D:$D,"&gt;0")</f>
        <v>0</v>
      </c>
      <c r="I7" s="304">
        <f>COUNTIFS('Issue List'!$A:$A,EXCP_MGT,'Issue List'!$C:$C,'IV Progress (Issues)'!$A7,'Issue List'!$J:$J,"&lt;&gt;Closed",'Issue List'!$J:$J,"&lt;&gt;Obsolete",'Issue List'!$D:$D,"&gt;0")</f>
        <v>0</v>
      </c>
      <c r="J7" s="305">
        <v>0.3</v>
      </c>
      <c r="K7" s="303">
        <f>COUNTIFS('Issue List'!$A:$A,PERF_SCAL,'Issue List'!$C:$C,'IV Progress (Issues)'!$A7,'Issue List'!$D:$D,"&gt;0")</f>
        <v>0</v>
      </c>
      <c r="L7" s="304">
        <f>COUNTIFS('Issue List'!$A:$A,PERF_SCAL,'Issue List'!$C:$C,'IV Progress (Issues)'!$A7,'Issue List'!$J:$J,"&lt;&gt;Closed",'Issue List'!$J:$J,"&lt;&gt;Obsolete",'Issue List'!$D:$D,"&gt;0")</f>
        <v>0</v>
      </c>
      <c r="M7" s="305">
        <v>1</v>
      </c>
      <c r="N7" s="303">
        <f>COUNTIFS('Issue List'!$A:$A,INTGR_QUE,'Issue List'!$C:$C,'IV Progress (Issues)'!$A7,'Issue List'!$D:$D,"&gt;0")</f>
        <v>0</v>
      </c>
      <c r="O7" s="304">
        <f>COUNTIFS('Issue List'!$A:$A,INTGR_QUE,'Issue List'!$C:$C,'IV Progress (Issues)'!$A7,'Issue List'!$J:$J,"&lt;&gt;Closed",'Issue List'!$J:$J,"&lt;&gt;Obsolete",'Issue List'!$D:$D,"&gt;0")</f>
        <v>0</v>
      </c>
      <c r="P7" s="305">
        <v>0.5</v>
      </c>
      <c r="Q7" s="303">
        <f>COUNTIFS('Issue List'!$A:$A,JOB_VOL,'Issue List'!$C:$C,'IV Progress (Issues)'!$A7,'Issue List'!$D:$D,"&gt;0")</f>
        <v>0</v>
      </c>
      <c r="R7" s="304">
        <f>COUNTIFS('Issue List'!$A:$A,JOB_VOL,'Issue List'!$C:$C,'IV Progress (Issues)'!$A7,'Issue List'!$J:$J,"&lt;&gt;Closed",'Issue List'!$J:$J,"&lt;&gt;Obsolete",'Issue List'!$D:$D,"&gt;0")</f>
        <v>0</v>
      </c>
      <c r="S7" s="293">
        <f t="shared" si="0"/>
        <v>1</v>
      </c>
      <c r="U7" s="472"/>
    </row>
    <row r="8" spans="1:21" ht="17.100000000000001" customHeight="1" x14ac:dyDescent="0.25">
      <c r="A8" s="285" t="s">
        <v>163</v>
      </c>
      <c r="B8" s="287">
        <v>3</v>
      </c>
      <c r="C8" s="29">
        <v>0</v>
      </c>
      <c r="D8" s="29">
        <v>0</v>
      </c>
      <c r="E8" s="303">
        <f>COUNTIFS('Issue List'!$A:$A,DATA_CONS,'Issue List'!$C:$C,'IV Progress (Issues)'!$A8,'Issue List'!$D:$D,"&gt;0")</f>
        <v>0</v>
      </c>
      <c r="F8" s="304">
        <f>COUNTIFS('Issue List'!$A:$A,DATA_CONS,'Issue List'!$C:$C,'IV Progress (Issues)'!$A8,'Issue List'!$J:$J,"&lt;&gt;Closed",'Issue List'!$J:$J,"&lt;&gt;Obsolete",'Issue List'!$D:$D,"&gt;0")</f>
        <v>0</v>
      </c>
      <c r="G8" s="306">
        <v>0</v>
      </c>
      <c r="H8" s="303">
        <f>COUNTIFS('Issue List'!$A:$A,EXCP_MGT,'Issue List'!$C:$C,'IV Progress (Issues)'!$A8,'Issue List'!$D:$D,"&gt;0")</f>
        <v>0</v>
      </c>
      <c r="I8" s="304">
        <f>COUNTIFS('Issue List'!$A:$A,EXCP_MGT,'Issue List'!$C:$C,'IV Progress (Issues)'!$A8,'Issue List'!$J:$J,"&lt;&gt;Closed",'Issue List'!$J:$J,"&lt;&gt;Obsolete",'Issue List'!$D:$D,"&gt;0")</f>
        <v>0</v>
      </c>
      <c r="J8" s="306">
        <v>0</v>
      </c>
      <c r="K8" s="303">
        <f>COUNTIFS('Issue List'!$A:$A,PERF_SCAL,'Issue List'!$C:$C,'IV Progress (Issues)'!$A8,'Issue List'!$D:$D,"&gt;0")</f>
        <v>0</v>
      </c>
      <c r="L8" s="304">
        <f>COUNTIFS('Issue List'!$A:$A,PERF_SCAL,'Issue List'!$C:$C,'IV Progress (Issues)'!$A8,'Issue List'!$J:$J,"&lt;&gt;Closed",'Issue List'!$J:$J,"&lt;&gt;Obsolete",'Issue List'!$D:$D,"&gt;0")</f>
        <v>0</v>
      </c>
      <c r="M8" s="306">
        <v>0</v>
      </c>
      <c r="N8" s="303">
        <f>COUNTIFS('Issue List'!$A:$A,INTGR_QUE,'Issue List'!$C:$C,'IV Progress (Issues)'!$A8,'Issue List'!$D:$D,"&gt;0")</f>
        <v>0</v>
      </c>
      <c r="O8" s="304">
        <f>COUNTIFS('Issue List'!$A:$A,INTGR_QUE,'Issue List'!$C:$C,'IV Progress (Issues)'!$A8,'Issue List'!$J:$J,"&lt;&gt;Closed",'Issue List'!$J:$J,"&lt;&gt;Obsolete",'Issue List'!$D:$D,"&gt;0")</f>
        <v>0</v>
      </c>
      <c r="P8" s="306">
        <v>0</v>
      </c>
      <c r="Q8" s="303">
        <f>COUNTIFS('Issue List'!$A:$A,JOB_VOL,'Issue List'!$C:$C,'IV Progress (Issues)'!$A8,'Issue List'!$D:$D,"&gt;0")</f>
        <v>0</v>
      </c>
      <c r="R8" s="304">
        <f>COUNTIFS('Issue List'!$A:$A,JOB_VOL,'Issue List'!$C:$C,'IV Progress (Issues)'!$A8,'Issue List'!$J:$J,"&lt;&gt;Closed",'Issue List'!$J:$J,"&lt;&gt;Obsolete",'Issue List'!$D:$D,"&gt;0")</f>
        <v>0</v>
      </c>
      <c r="S8" s="293">
        <f t="shared" si="0"/>
        <v>0</v>
      </c>
      <c r="U8" s="472"/>
    </row>
    <row r="9" spans="1:21" ht="17.100000000000001" customHeight="1" thickBot="1" x14ac:dyDescent="0.3">
      <c r="A9" s="288" t="s">
        <v>424</v>
      </c>
      <c r="B9" s="289"/>
      <c r="C9" s="295"/>
      <c r="D9" s="296" t="s">
        <v>90</v>
      </c>
      <c r="E9" s="297">
        <f>COUNTIFS('Issue List'!$A:$A,DATA_CONS,'Issue List'!$C:$C,"ALL",'Issue List'!$D:$D,"&gt;0")</f>
        <v>1</v>
      </c>
      <c r="F9" s="298">
        <f>COUNTIFS('Issue List'!$A:$A,DATA_CONS,'Issue List'!$C:$C,"ALL",'Issue List'!$J:$J,"&lt;&gt;Closed",'Issue List'!$J:$J,"&lt;&gt;Obsolete",'Issue List'!$D:$D,"&gt;0")</f>
        <v>1</v>
      </c>
      <c r="G9" s="299" t="s">
        <v>90</v>
      </c>
      <c r="H9" s="297">
        <f>COUNTIFS('Issue List'!$A:$A,EXCP_MGT,'Issue List'!$C:$C,"ALL",'Issue List'!$D:$D,"&gt;0")</f>
        <v>0</v>
      </c>
      <c r="I9" s="298">
        <f>COUNTIFS('Issue List'!$A:$A,EXCP_MGT,'Issue List'!$C:$C,"ALL",'Issue List'!$J:$J,"&lt;&gt;Closed",'Issue List'!$J:$J,"&lt;&gt;Obsolete",'Issue List'!$D:$D,"&gt;0")</f>
        <v>0</v>
      </c>
      <c r="J9" s="296" t="s">
        <v>90</v>
      </c>
      <c r="K9" s="297">
        <f>COUNTIFS('Issue List'!$A:$A,PERF_SCAL,'Issue List'!$C:$C,"ALL",'Issue List'!$D:$D,"&gt;0")</f>
        <v>1</v>
      </c>
      <c r="L9" s="298">
        <f>COUNTIFS('Issue List'!$A:$A,PERF_SCAL,'Issue List'!$C:$C,"ALL",'Issue List'!$J:$J,"&lt;&gt;Closed",'Issue List'!$J:$J,"&lt;&gt;Obsolete",'Issue List'!$D:$D,"&gt;0")</f>
        <v>1</v>
      </c>
      <c r="M9" s="299" t="s">
        <v>90</v>
      </c>
      <c r="N9" s="297">
        <f>COUNTIFS('Issue List'!$A:$A,INTGR_QUE,'Issue List'!$C:$C,"ALL",'Issue List'!$D:$D,"&gt;0")</f>
        <v>1</v>
      </c>
      <c r="O9" s="298">
        <f>COUNTIFS('Issue List'!$A:$A,INTGR_QUE,'Issue List'!$C:$C,"ALL",'Issue List'!$J:$J,"&lt;&gt;Closed",'Issue List'!$J:$J,"&lt;&gt;Obsolete",'Issue List'!$D:$D,"&gt;0")</f>
        <v>1</v>
      </c>
      <c r="P9" s="299" t="s">
        <v>90</v>
      </c>
      <c r="Q9" s="297">
        <f>COUNTIFS('Issue List'!$A:$A,JOB_VOL,'Issue List'!$C:$C,"ALL",'Issue List'!$D:$D,"&gt;0")</f>
        <v>0</v>
      </c>
      <c r="R9" s="298">
        <f>COUNTIFS('Issue List'!$A:$A,JOB_VOL,'Issue List'!$C:$C,"ALL",'Issue List'!$J:$J,"&lt;&gt;Closed",'Issue List'!$J:$J,"&lt;&gt;Obsolete",'Issue List'!$D:$D,"&gt;0")</f>
        <v>0</v>
      </c>
      <c r="S9" s="294">
        <f t="shared" si="0"/>
        <v>3</v>
      </c>
      <c r="U9" s="472"/>
    </row>
    <row r="10" spans="1:21" ht="30.75" customHeight="1" x14ac:dyDescent="0.25">
      <c r="A10" s="290" t="s">
        <v>89</v>
      </c>
      <c r="B10" s="291">
        <f>SUM(B4:B9)</f>
        <v>166</v>
      </c>
      <c r="C10" s="307">
        <f>AVERAGE(C4:C8)</f>
        <v>0.58599999999999997</v>
      </c>
      <c r="D10" s="308">
        <f>AVERAGE(D4:D8)</f>
        <v>0.52</v>
      </c>
      <c r="E10" s="309">
        <f>SUM(E4:E9)</f>
        <v>3</v>
      </c>
      <c r="F10" s="310">
        <f>SUM(F4:F9)</f>
        <v>2</v>
      </c>
      <c r="G10" s="308">
        <f>AVERAGE(G4:G8)</f>
        <v>0.48000000000000009</v>
      </c>
      <c r="H10" s="309">
        <f>SUM(H4:H9)</f>
        <v>2</v>
      </c>
      <c r="I10" s="310">
        <f>SUM(I4:I9)</f>
        <v>2</v>
      </c>
      <c r="J10" s="311">
        <f>AVERAGE(J4:J8)</f>
        <v>0.38</v>
      </c>
      <c r="K10" s="309">
        <f>SUM(K4:K9)</f>
        <v>3</v>
      </c>
      <c r="L10" s="310">
        <f>SUM(L4:L9)</f>
        <v>3</v>
      </c>
      <c r="M10" s="308">
        <f>AVERAGE(M4:M8)</f>
        <v>0.52</v>
      </c>
      <c r="N10" s="309">
        <f>SUM(N4:N9)</f>
        <v>2</v>
      </c>
      <c r="O10" s="310">
        <f>SUM(O4:O9)</f>
        <v>2</v>
      </c>
      <c r="P10" s="308">
        <f>AVERAGE(P4:P8)</f>
        <v>0.22000000000000003</v>
      </c>
      <c r="Q10" s="309">
        <f>SUM(Q4:Q9)</f>
        <v>2</v>
      </c>
      <c r="R10" s="310">
        <f>SUM(R4:R9)</f>
        <v>2</v>
      </c>
      <c r="S10" s="318">
        <f>SUM(S4:S9)</f>
        <v>12</v>
      </c>
    </row>
    <row r="11" spans="1:21" ht="23.25" x14ac:dyDescent="0.25">
      <c r="A11" s="28"/>
      <c r="B11" s="27"/>
      <c r="C11" s="27"/>
      <c r="D11" s="27"/>
      <c r="E11" s="27"/>
      <c r="F11" s="27"/>
      <c r="G11" s="27"/>
      <c r="H11" s="27"/>
      <c r="I11" s="27"/>
      <c r="J11" s="27"/>
      <c r="K11" s="27"/>
      <c r="L11" s="27"/>
      <c r="M11" s="27"/>
      <c r="N11" s="27"/>
      <c r="O11" s="27"/>
      <c r="P11" s="27"/>
      <c r="Q11" s="27"/>
      <c r="R11" s="27"/>
      <c r="S11" s="27"/>
    </row>
    <row r="12" spans="1:21" ht="15.75" customHeight="1" x14ac:dyDescent="0.25">
      <c r="A12" t="s">
        <v>395</v>
      </c>
      <c r="B12" t="s">
        <v>104</v>
      </c>
      <c r="C12" t="s">
        <v>91</v>
      </c>
      <c r="G12" s="27"/>
      <c r="H12" s="27"/>
      <c r="I12" s="27"/>
      <c r="J12" s="27"/>
      <c r="K12" s="27"/>
      <c r="L12" s="27"/>
      <c r="M12" s="27"/>
      <c r="N12" s="27"/>
      <c r="O12" s="27"/>
      <c r="P12" s="27"/>
      <c r="Q12" s="27"/>
      <c r="R12" s="27"/>
      <c r="S12" s="27"/>
    </row>
    <row r="13" spans="1:21" ht="16.5" customHeight="1" x14ac:dyDescent="0.25">
      <c r="A13" t="str">
        <f>A4</f>
        <v>Plan to Supply</v>
      </c>
      <c r="B13">
        <f>E4-F4</f>
        <v>0</v>
      </c>
      <c r="C13">
        <f t="shared" ref="C13:C18" si="1">F4</f>
        <v>0</v>
      </c>
      <c r="G13" s="27"/>
      <c r="H13" s="27"/>
      <c r="I13" s="27"/>
      <c r="J13" s="27"/>
      <c r="K13" s="27"/>
      <c r="L13" s="27"/>
      <c r="M13" s="27"/>
      <c r="N13" s="27"/>
      <c r="O13" s="27"/>
      <c r="P13" s="27"/>
      <c r="Q13" s="27"/>
      <c r="R13" s="27"/>
      <c r="S13" s="27"/>
    </row>
    <row r="14" spans="1:21" ht="13.5" customHeight="1" x14ac:dyDescent="0.25">
      <c r="A14" t="str">
        <f t="shared" ref="A14:A18" si="2">A5</f>
        <v>Quote to Cash</v>
      </c>
      <c r="B14">
        <f t="shared" ref="B14:B18" si="3">E5-F5</f>
        <v>0</v>
      </c>
      <c r="C14">
        <f t="shared" si="1"/>
        <v>1</v>
      </c>
      <c r="G14" s="27"/>
      <c r="H14" s="27"/>
      <c r="I14" s="27"/>
      <c r="J14" s="27"/>
      <c r="K14" s="27"/>
      <c r="L14" s="27"/>
      <c r="M14" s="27"/>
      <c r="N14" s="27"/>
      <c r="O14" s="27"/>
      <c r="P14" s="27"/>
      <c r="Q14" s="27"/>
      <c r="R14" s="27"/>
      <c r="S14" s="27"/>
    </row>
    <row r="15" spans="1:21" ht="13.5" customHeight="1" x14ac:dyDescent="0.25">
      <c r="A15" t="str">
        <f>A6</f>
        <v>Account Origination</v>
      </c>
      <c r="B15">
        <f>E6-F6</f>
        <v>0</v>
      </c>
      <c r="C15">
        <f t="shared" si="1"/>
        <v>0</v>
      </c>
      <c r="G15" s="27"/>
      <c r="H15" s="27"/>
      <c r="I15" s="27"/>
      <c r="J15" s="27"/>
      <c r="K15" s="27"/>
      <c r="L15" s="27"/>
      <c r="M15" s="27"/>
      <c r="N15" s="27"/>
      <c r="O15" s="27"/>
      <c r="P15" s="27"/>
      <c r="Q15" s="27"/>
      <c r="R15" s="27"/>
      <c r="S15" s="27"/>
    </row>
    <row r="16" spans="1:21" ht="13.5" customHeight="1" x14ac:dyDescent="0.25">
      <c r="A16" t="str">
        <f t="shared" si="2"/>
        <v>Procure to Pay</v>
      </c>
      <c r="B16">
        <f t="shared" si="3"/>
        <v>1</v>
      </c>
      <c r="C16">
        <f t="shared" si="1"/>
        <v>0</v>
      </c>
      <c r="G16" s="27"/>
      <c r="H16" s="27"/>
      <c r="I16" s="27"/>
      <c r="J16" s="27"/>
      <c r="K16" s="27"/>
      <c r="L16" s="27"/>
      <c r="M16" s="27"/>
      <c r="N16" s="27"/>
      <c r="O16" s="27"/>
      <c r="P16" s="27"/>
      <c r="Q16" s="27"/>
      <c r="R16" s="27"/>
      <c r="S16" s="27"/>
    </row>
    <row r="17" spans="1:19" ht="13.5" customHeight="1" x14ac:dyDescent="0.25">
      <c r="A17" t="str">
        <f>A8</f>
        <v>BI Reporting</v>
      </c>
      <c r="B17">
        <f>E8-F8</f>
        <v>0</v>
      </c>
      <c r="C17">
        <f t="shared" si="1"/>
        <v>0</v>
      </c>
      <c r="G17" s="27"/>
      <c r="H17" s="27"/>
      <c r="I17" s="27"/>
      <c r="J17" s="27"/>
      <c r="K17" s="27"/>
      <c r="L17" s="27"/>
      <c r="M17" s="27"/>
      <c r="N17" s="27"/>
      <c r="O17" s="27"/>
      <c r="P17" s="27"/>
      <c r="Q17" s="27"/>
      <c r="R17" s="27"/>
      <c r="S17" s="27"/>
    </row>
    <row r="18" spans="1:19" ht="14.25" customHeight="1" x14ac:dyDescent="0.25">
      <c r="A18" t="str">
        <f t="shared" si="2"/>
        <v>Miscellaneous</v>
      </c>
      <c r="B18">
        <f t="shared" si="3"/>
        <v>0</v>
      </c>
      <c r="C18">
        <f t="shared" si="1"/>
        <v>1</v>
      </c>
      <c r="G18" s="27"/>
      <c r="H18" s="27"/>
      <c r="I18" s="27"/>
      <c r="J18" s="27"/>
      <c r="K18" s="27"/>
      <c r="L18" s="27"/>
      <c r="M18" s="27"/>
      <c r="N18" s="27"/>
      <c r="O18" s="27"/>
      <c r="P18" s="27"/>
      <c r="Q18" s="27"/>
      <c r="R18" s="27"/>
      <c r="S18" s="27"/>
    </row>
    <row r="26" spans="1:19" ht="15" customHeight="1" x14ac:dyDescent="0.25">
      <c r="A26" t="s">
        <v>395</v>
      </c>
      <c r="B26" t="s">
        <v>104</v>
      </c>
      <c r="C26" t="s">
        <v>91</v>
      </c>
      <c r="G26" s="27"/>
      <c r="H26" s="27"/>
      <c r="I26" s="27"/>
      <c r="J26" s="27"/>
      <c r="K26" s="27"/>
      <c r="L26" s="27"/>
      <c r="M26" s="27"/>
      <c r="N26" s="27"/>
      <c r="O26" s="27"/>
      <c r="P26" s="27"/>
      <c r="Q26" s="27"/>
      <c r="R26" s="27"/>
    </row>
    <row r="27" spans="1:19" ht="15" customHeight="1" x14ac:dyDescent="0.25">
      <c r="A27" t="str">
        <f t="shared" ref="A27:A32" si="4">A4</f>
        <v>Plan to Supply</v>
      </c>
      <c r="B27">
        <f t="shared" ref="B27:B32" si="5">H4-I4</f>
        <v>0</v>
      </c>
      <c r="C27">
        <f t="shared" ref="C27:C32" si="6">I4</f>
        <v>1</v>
      </c>
      <c r="G27" s="27"/>
      <c r="H27" s="27"/>
      <c r="I27" s="27"/>
      <c r="J27" s="27"/>
      <c r="K27" s="27"/>
      <c r="L27" s="27"/>
      <c r="M27" s="27"/>
      <c r="N27" s="27"/>
      <c r="O27" s="27"/>
      <c r="P27" s="27"/>
      <c r="Q27" s="27"/>
      <c r="R27" s="27"/>
    </row>
    <row r="28" spans="1:19" ht="15" customHeight="1" x14ac:dyDescent="0.25">
      <c r="A28" t="str">
        <f t="shared" si="4"/>
        <v>Quote to Cash</v>
      </c>
      <c r="B28">
        <f t="shared" si="5"/>
        <v>0</v>
      </c>
      <c r="C28">
        <f t="shared" si="6"/>
        <v>0</v>
      </c>
      <c r="G28" s="27"/>
      <c r="H28" s="27"/>
      <c r="I28" s="27"/>
      <c r="J28" s="27"/>
      <c r="K28" s="27"/>
      <c r="L28" s="27"/>
      <c r="M28" s="27"/>
      <c r="N28" s="27"/>
      <c r="O28" s="27"/>
      <c r="P28" s="27"/>
      <c r="Q28" s="27"/>
      <c r="R28" s="27"/>
    </row>
    <row r="29" spans="1:19" ht="15" customHeight="1" x14ac:dyDescent="0.25">
      <c r="A29" t="str">
        <f>A6</f>
        <v>Account Origination</v>
      </c>
      <c r="B29">
        <f t="shared" si="5"/>
        <v>0</v>
      </c>
      <c r="C29">
        <f t="shared" si="6"/>
        <v>1</v>
      </c>
      <c r="G29" s="27"/>
      <c r="H29" s="27"/>
      <c r="I29" s="27"/>
      <c r="J29" s="27"/>
      <c r="K29" s="27"/>
      <c r="L29" s="27"/>
      <c r="M29" s="27"/>
      <c r="N29" s="27"/>
      <c r="O29" s="27"/>
      <c r="P29" s="27"/>
      <c r="Q29" s="27"/>
      <c r="R29" s="27"/>
    </row>
    <row r="30" spans="1:19" ht="15" customHeight="1" x14ac:dyDescent="0.25">
      <c r="A30" t="str">
        <f t="shared" si="4"/>
        <v>Procure to Pay</v>
      </c>
      <c r="B30">
        <f t="shared" si="5"/>
        <v>0</v>
      </c>
      <c r="C30">
        <f t="shared" si="6"/>
        <v>0</v>
      </c>
      <c r="G30" s="27"/>
      <c r="H30" s="27"/>
      <c r="I30" s="27"/>
      <c r="J30" s="27"/>
      <c r="K30" s="27"/>
      <c r="L30" s="27"/>
      <c r="M30" s="27"/>
      <c r="N30" s="27"/>
      <c r="O30" s="27"/>
      <c r="P30" s="27"/>
      <c r="Q30" s="27"/>
      <c r="R30" s="27"/>
    </row>
    <row r="31" spans="1:19" ht="15" customHeight="1" x14ac:dyDescent="0.25">
      <c r="A31" t="str">
        <f>A8</f>
        <v>BI Reporting</v>
      </c>
      <c r="B31">
        <f t="shared" si="5"/>
        <v>0</v>
      </c>
      <c r="C31">
        <f t="shared" si="6"/>
        <v>0</v>
      </c>
      <c r="G31" s="27"/>
      <c r="H31" s="27"/>
      <c r="I31" s="27"/>
      <c r="J31" s="27"/>
      <c r="K31" s="27"/>
      <c r="L31" s="27"/>
      <c r="M31" s="27"/>
      <c r="N31" s="27"/>
      <c r="O31" s="27"/>
      <c r="P31" s="27"/>
      <c r="Q31" s="27"/>
      <c r="R31" s="27"/>
    </row>
    <row r="32" spans="1:19" ht="15" customHeight="1" x14ac:dyDescent="0.25">
      <c r="A32" t="str">
        <f t="shared" si="4"/>
        <v>Miscellaneous</v>
      </c>
      <c r="B32">
        <f t="shared" si="5"/>
        <v>0</v>
      </c>
      <c r="C32">
        <f t="shared" si="6"/>
        <v>0</v>
      </c>
      <c r="G32" s="27"/>
      <c r="H32" s="27"/>
      <c r="I32" s="27"/>
      <c r="J32" s="27"/>
      <c r="K32" s="27"/>
      <c r="L32" s="27"/>
      <c r="M32" s="27"/>
      <c r="N32" s="27"/>
      <c r="O32" s="27"/>
      <c r="P32" s="27"/>
      <c r="Q32" s="27"/>
      <c r="R32" s="27"/>
    </row>
    <row r="33" spans="1:18" ht="15" customHeight="1" x14ac:dyDescent="0.25"/>
    <row r="34" spans="1:18" ht="15" customHeight="1" x14ac:dyDescent="0.25"/>
    <row r="35" spans="1:18" ht="15" customHeight="1" x14ac:dyDescent="0.25"/>
    <row r="36" spans="1:18" ht="15" customHeight="1" x14ac:dyDescent="0.25"/>
    <row r="37" spans="1:18" ht="15" customHeight="1" x14ac:dyDescent="0.25"/>
    <row r="38" spans="1:18" ht="15" customHeight="1" x14ac:dyDescent="0.25"/>
    <row r="40" spans="1:18" ht="15" customHeight="1" x14ac:dyDescent="0.25"/>
    <row r="41" spans="1:18" ht="15" customHeight="1" x14ac:dyDescent="0.25">
      <c r="A41" t="s">
        <v>395</v>
      </c>
      <c r="B41" t="s">
        <v>104</v>
      </c>
      <c r="C41" t="s">
        <v>91</v>
      </c>
      <c r="G41" s="27"/>
      <c r="H41" s="27"/>
      <c r="I41" s="27"/>
      <c r="J41" s="27"/>
      <c r="K41" s="27"/>
      <c r="L41" s="27"/>
      <c r="M41" s="27"/>
      <c r="N41" s="27"/>
      <c r="O41" s="27"/>
      <c r="P41" s="27"/>
      <c r="Q41" s="27"/>
      <c r="R41" s="27"/>
    </row>
    <row r="42" spans="1:18" ht="15" customHeight="1" x14ac:dyDescent="0.25">
      <c r="A42" t="str">
        <f>A4</f>
        <v>Plan to Supply</v>
      </c>
      <c r="B42">
        <f t="shared" ref="B42:B47" si="7">N4-O4</f>
        <v>0</v>
      </c>
      <c r="C42">
        <f t="shared" ref="C42:C47" si="8">O4</f>
        <v>1</v>
      </c>
      <c r="G42" s="27"/>
      <c r="H42" s="27"/>
      <c r="I42" s="27"/>
      <c r="J42" s="27"/>
      <c r="K42" s="27"/>
      <c r="L42" s="27"/>
      <c r="M42" s="27"/>
      <c r="N42" s="27"/>
      <c r="O42" s="27"/>
      <c r="P42" s="27"/>
      <c r="Q42" s="27"/>
      <c r="R42" s="27"/>
    </row>
    <row r="43" spans="1:18" ht="15" customHeight="1" x14ac:dyDescent="0.25">
      <c r="A43" t="str">
        <f t="shared" ref="A43:A47" si="9">A5</f>
        <v>Quote to Cash</v>
      </c>
      <c r="B43">
        <f t="shared" si="7"/>
        <v>0</v>
      </c>
      <c r="C43">
        <f t="shared" si="8"/>
        <v>0</v>
      </c>
      <c r="G43" s="27"/>
      <c r="H43" s="27"/>
      <c r="I43" s="27"/>
      <c r="J43" s="27"/>
      <c r="K43" s="27"/>
      <c r="L43" s="27"/>
      <c r="M43" s="27"/>
      <c r="N43" s="27"/>
      <c r="O43" s="27"/>
      <c r="P43" s="27"/>
      <c r="Q43" s="27"/>
      <c r="R43" s="27"/>
    </row>
    <row r="44" spans="1:18" ht="15" customHeight="1" x14ac:dyDescent="0.25">
      <c r="A44" t="str">
        <f>A6</f>
        <v>Account Origination</v>
      </c>
      <c r="B44">
        <f t="shared" si="7"/>
        <v>0</v>
      </c>
      <c r="C44">
        <f t="shared" si="8"/>
        <v>0</v>
      </c>
      <c r="G44" s="27"/>
      <c r="H44" s="27"/>
      <c r="I44" s="27"/>
      <c r="J44" s="27"/>
      <c r="K44" s="27"/>
      <c r="L44" s="27"/>
      <c r="M44" s="27"/>
      <c r="N44" s="27"/>
      <c r="O44" s="27"/>
      <c r="P44" s="27"/>
      <c r="Q44" s="27"/>
      <c r="R44" s="27"/>
    </row>
    <row r="45" spans="1:18" ht="15" customHeight="1" x14ac:dyDescent="0.25">
      <c r="A45" t="str">
        <f t="shared" si="9"/>
        <v>Procure to Pay</v>
      </c>
      <c r="B45">
        <f t="shared" si="7"/>
        <v>0</v>
      </c>
      <c r="C45">
        <f t="shared" si="8"/>
        <v>0</v>
      </c>
      <c r="G45" s="27"/>
      <c r="H45" s="27"/>
      <c r="I45" s="27"/>
      <c r="J45" s="27"/>
      <c r="K45" s="27"/>
      <c r="L45" s="27"/>
      <c r="M45" s="27"/>
      <c r="N45" s="27"/>
      <c r="O45" s="27"/>
      <c r="P45" s="27"/>
      <c r="Q45" s="27"/>
      <c r="R45" s="27"/>
    </row>
    <row r="46" spans="1:18" ht="15" customHeight="1" x14ac:dyDescent="0.25">
      <c r="A46" t="str">
        <f>A8</f>
        <v>BI Reporting</v>
      </c>
      <c r="B46">
        <f t="shared" si="7"/>
        <v>0</v>
      </c>
      <c r="C46">
        <f t="shared" si="8"/>
        <v>0</v>
      </c>
      <c r="G46" s="27"/>
      <c r="H46" s="27"/>
      <c r="I46" s="27"/>
      <c r="J46" s="27"/>
      <c r="K46" s="27"/>
      <c r="L46" s="27"/>
      <c r="M46" s="27"/>
      <c r="N46" s="27"/>
      <c r="O46" s="27"/>
      <c r="P46" s="27"/>
      <c r="Q46" s="27"/>
      <c r="R46" s="27"/>
    </row>
    <row r="47" spans="1:18" ht="15" customHeight="1" x14ac:dyDescent="0.25">
      <c r="A47" t="str">
        <f t="shared" si="9"/>
        <v>Miscellaneous</v>
      </c>
      <c r="B47">
        <f t="shared" si="7"/>
        <v>0</v>
      </c>
      <c r="C47">
        <f t="shared" si="8"/>
        <v>1</v>
      </c>
      <c r="G47" s="27"/>
      <c r="H47" s="27"/>
      <c r="I47" s="27"/>
      <c r="J47" s="27"/>
      <c r="K47" s="27"/>
      <c r="L47" s="27"/>
      <c r="M47" s="27"/>
      <c r="N47" s="27"/>
      <c r="O47" s="27"/>
      <c r="P47" s="27"/>
      <c r="Q47" s="27"/>
      <c r="R47" s="27"/>
    </row>
    <row r="48" spans="1:18" ht="15" customHeight="1" x14ac:dyDescent="0.25"/>
    <row r="49" spans="1:18" ht="15" customHeight="1" x14ac:dyDescent="0.25"/>
    <row r="50" spans="1:18" ht="15" customHeight="1" x14ac:dyDescent="0.25"/>
    <row r="51" spans="1:18" ht="15" customHeight="1" x14ac:dyDescent="0.25"/>
    <row r="52" spans="1:18" ht="15" customHeight="1" x14ac:dyDescent="0.25"/>
    <row r="54" spans="1:18" ht="17.100000000000001" customHeight="1" x14ac:dyDescent="0.25"/>
    <row r="55" spans="1:18" ht="17.100000000000001" customHeight="1" x14ac:dyDescent="0.25"/>
    <row r="56" spans="1:18" ht="17.100000000000001" customHeight="1" x14ac:dyDescent="0.25"/>
    <row r="57" spans="1:18" ht="17.100000000000001" customHeight="1" x14ac:dyDescent="0.25">
      <c r="A57" t="s">
        <v>395</v>
      </c>
      <c r="B57" t="s">
        <v>104</v>
      </c>
      <c r="C57" t="s">
        <v>91</v>
      </c>
      <c r="G57" s="27"/>
      <c r="H57" s="27"/>
      <c r="I57" s="27"/>
      <c r="J57" s="27"/>
      <c r="K57" s="27"/>
      <c r="L57" s="27"/>
      <c r="M57" s="27"/>
      <c r="N57" s="27"/>
      <c r="O57" s="27"/>
      <c r="P57" s="27"/>
      <c r="Q57" s="27"/>
      <c r="R57" s="27"/>
    </row>
    <row r="58" spans="1:18" ht="17.100000000000001" customHeight="1" x14ac:dyDescent="0.25">
      <c r="A58" t="str">
        <f t="shared" ref="A58:A63" si="10">A4</f>
        <v>Plan to Supply</v>
      </c>
      <c r="B58">
        <f t="shared" ref="B58:B63" si="11">K4-L4</f>
        <v>0</v>
      </c>
      <c r="C58">
        <f t="shared" ref="C58:C63" si="12">L4</f>
        <v>0</v>
      </c>
      <c r="G58" s="27"/>
      <c r="H58" s="27"/>
      <c r="I58" s="27"/>
      <c r="J58" s="27"/>
      <c r="K58" s="27"/>
      <c r="L58" s="27"/>
      <c r="M58" s="27"/>
      <c r="N58" s="27"/>
      <c r="O58" s="27"/>
      <c r="P58" s="27"/>
      <c r="Q58" s="27"/>
      <c r="R58" s="27"/>
    </row>
    <row r="59" spans="1:18" ht="17.100000000000001" customHeight="1" x14ac:dyDescent="0.25">
      <c r="A59" t="str">
        <f t="shared" si="10"/>
        <v>Quote to Cash</v>
      </c>
      <c r="B59">
        <f t="shared" si="11"/>
        <v>0</v>
      </c>
      <c r="C59">
        <f t="shared" si="12"/>
        <v>2</v>
      </c>
      <c r="G59" s="27"/>
      <c r="H59" s="27"/>
      <c r="I59" s="27"/>
      <c r="J59" s="27"/>
      <c r="K59" s="27"/>
      <c r="L59" s="27"/>
      <c r="M59" s="27"/>
      <c r="N59" s="27"/>
      <c r="O59" s="27"/>
      <c r="P59" s="27"/>
      <c r="Q59" s="27"/>
      <c r="R59" s="27"/>
    </row>
    <row r="60" spans="1:18" ht="17.100000000000001" customHeight="1" x14ac:dyDescent="0.25">
      <c r="A60" t="str">
        <f>A6</f>
        <v>Account Origination</v>
      </c>
      <c r="B60">
        <f t="shared" si="11"/>
        <v>0</v>
      </c>
      <c r="C60">
        <f t="shared" si="12"/>
        <v>0</v>
      </c>
      <c r="G60" s="27"/>
      <c r="H60" s="27"/>
      <c r="I60" s="27"/>
      <c r="J60" s="27"/>
      <c r="K60" s="27"/>
      <c r="L60" s="27"/>
      <c r="M60" s="27"/>
      <c r="N60" s="27"/>
      <c r="O60" s="27"/>
      <c r="P60" s="27"/>
      <c r="Q60" s="27"/>
      <c r="R60" s="27"/>
    </row>
    <row r="61" spans="1:18" ht="17.100000000000001" customHeight="1" x14ac:dyDescent="0.25">
      <c r="A61" t="str">
        <f t="shared" si="10"/>
        <v>Procure to Pay</v>
      </c>
      <c r="B61">
        <f t="shared" si="11"/>
        <v>0</v>
      </c>
      <c r="C61">
        <f t="shared" si="12"/>
        <v>0</v>
      </c>
      <c r="G61" s="27"/>
      <c r="H61" s="27"/>
      <c r="I61" s="27"/>
      <c r="J61" s="27"/>
      <c r="K61" s="27"/>
      <c r="L61" s="27"/>
      <c r="M61" s="27"/>
      <c r="N61" s="27"/>
      <c r="O61" s="27"/>
      <c r="P61" s="27"/>
      <c r="Q61" s="27"/>
      <c r="R61" s="27"/>
    </row>
    <row r="62" spans="1:18" ht="17.100000000000001" customHeight="1" x14ac:dyDescent="0.25">
      <c r="A62" t="str">
        <f>A8</f>
        <v>BI Reporting</v>
      </c>
      <c r="B62">
        <f t="shared" si="11"/>
        <v>0</v>
      </c>
      <c r="C62">
        <f t="shared" si="12"/>
        <v>0</v>
      </c>
      <c r="G62" s="27"/>
      <c r="H62" s="27"/>
      <c r="I62" s="27"/>
      <c r="J62" s="27"/>
      <c r="K62" s="27"/>
      <c r="L62" s="27"/>
      <c r="M62" s="27"/>
      <c r="N62" s="27"/>
      <c r="O62" s="27"/>
      <c r="P62" s="27"/>
      <c r="Q62" s="27"/>
      <c r="R62" s="27"/>
    </row>
    <row r="63" spans="1:18" ht="17.100000000000001" customHeight="1" x14ac:dyDescent="0.25">
      <c r="A63" t="str">
        <f t="shared" si="10"/>
        <v>Miscellaneous</v>
      </c>
      <c r="B63">
        <f t="shared" si="11"/>
        <v>0</v>
      </c>
      <c r="C63">
        <f t="shared" si="12"/>
        <v>1</v>
      </c>
      <c r="G63" s="27"/>
      <c r="H63" s="27"/>
      <c r="I63" s="27"/>
      <c r="J63" s="27"/>
      <c r="K63" s="27"/>
      <c r="L63" s="27"/>
      <c r="M63" s="27"/>
      <c r="N63" s="27"/>
      <c r="O63" s="27"/>
      <c r="P63" s="27"/>
      <c r="Q63" s="27"/>
      <c r="R63" s="27"/>
    </row>
    <row r="71" spans="1:18" ht="17.100000000000001" customHeight="1" x14ac:dyDescent="0.25">
      <c r="A71" t="s">
        <v>395</v>
      </c>
      <c r="B71" t="s">
        <v>104</v>
      </c>
      <c r="C71" t="s">
        <v>91</v>
      </c>
      <c r="G71" s="27"/>
      <c r="H71" s="27"/>
      <c r="I71" s="27"/>
      <c r="J71" s="27"/>
      <c r="K71" s="27"/>
      <c r="L71" s="27"/>
      <c r="M71" s="27"/>
      <c r="N71" s="27"/>
      <c r="O71" s="27"/>
      <c r="P71" s="27"/>
      <c r="Q71" s="27"/>
      <c r="R71" s="27"/>
    </row>
    <row r="72" spans="1:18" ht="17.100000000000001" customHeight="1" x14ac:dyDescent="0.25">
      <c r="A72" t="str">
        <f t="shared" ref="A72:A77" si="13">A4</f>
        <v>Plan to Supply</v>
      </c>
      <c r="B72">
        <f t="shared" ref="B72:B77" si="14">Q4-R4</f>
        <v>0</v>
      </c>
      <c r="C72">
        <f t="shared" ref="C72:C77" si="15">R4</f>
        <v>0</v>
      </c>
      <c r="G72" s="27"/>
      <c r="H72" s="27"/>
      <c r="I72" s="27"/>
      <c r="J72" s="27"/>
      <c r="K72" s="27"/>
      <c r="L72" s="27"/>
      <c r="M72" s="27"/>
      <c r="N72" s="27"/>
      <c r="O72" s="27"/>
      <c r="P72" s="27"/>
      <c r="Q72" s="27"/>
      <c r="R72" s="27"/>
    </row>
    <row r="73" spans="1:18" ht="17.100000000000001" customHeight="1" x14ac:dyDescent="0.25">
      <c r="A73" t="str">
        <f t="shared" si="13"/>
        <v>Quote to Cash</v>
      </c>
      <c r="B73">
        <f t="shared" si="14"/>
        <v>0</v>
      </c>
      <c r="C73">
        <f t="shared" si="15"/>
        <v>2</v>
      </c>
      <c r="G73" s="27"/>
      <c r="H73" s="27"/>
      <c r="I73" s="27"/>
      <c r="J73" s="27"/>
      <c r="K73" s="27"/>
      <c r="L73" s="27"/>
      <c r="M73" s="27"/>
      <c r="N73" s="27"/>
      <c r="O73" s="27"/>
      <c r="P73" s="27"/>
      <c r="Q73" s="27"/>
      <c r="R73" s="27"/>
    </row>
    <row r="74" spans="1:18" ht="17.100000000000001" customHeight="1" x14ac:dyDescent="0.25">
      <c r="A74" t="str">
        <f>A6</f>
        <v>Account Origination</v>
      </c>
      <c r="B74">
        <f t="shared" si="14"/>
        <v>0</v>
      </c>
      <c r="C74">
        <f t="shared" si="15"/>
        <v>0</v>
      </c>
      <c r="G74" s="27"/>
      <c r="H74" s="27"/>
      <c r="I74" s="27"/>
      <c r="J74" s="27"/>
      <c r="K74" s="27"/>
      <c r="L74" s="27"/>
      <c r="M74" s="27"/>
      <c r="N74" s="27"/>
      <c r="O74" s="27"/>
      <c r="P74" s="27"/>
      <c r="Q74" s="27"/>
      <c r="R74" s="27"/>
    </row>
    <row r="75" spans="1:18" ht="17.100000000000001" customHeight="1" x14ac:dyDescent="0.25">
      <c r="A75" t="str">
        <f t="shared" si="13"/>
        <v>Procure to Pay</v>
      </c>
      <c r="B75">
        <f t="shared" si="14"/>
        <v>0</v>
      </c>
      <c r="C75">
        <f t="shared" si="15"/>
        <v>0</v>
      </c>
      <c r="G75" s="27"/>
      <c r="H75" s="27"/>
      <c r="I75" s="27"/>
      <c r="J75" s="27"/>
      <c r="K75" s="27"/>
      <c r="L75" s="27"/>
      <c r="M75" s="27"/>
      <c r="N75" s="27"/>
      <c r="O75" s="27"/>
      <c r="P75" s="27"/>
      <c r="Q75" s="27"/>
      <c r="R75" s="27"/>
    </row>
    <row r="76" spans="1:18" ht="17.100000000000001" customHeight="1" x14ac:dyDescent="0.25">
      <c r="A76" t="str">
        <f>A8</f>
        <v>BI Reporting</v>
      </c>
      <c r="B76">
        <f t="shared" si="14"/>
        <v>0</v>
      </c>
      <c r="C76">
        <f t="shared" si="15"/>
        <v>0</v>
      </c>
      <c r="G76" s="27"/>
      <c r="H76" s="27"/>
      <c r="I76" s="27"/>
      <c r="J76" s="27"/>
      <c r="K76" s="27"/>
      <c r="L76" s="27"/>
      <c r="M76" s="27"/>
      <c r="N76" s="27"/>
      <c r="O76" s="27"/>
      <c r="P76" s="27"/>
      <c r="Q76" s="27"/>
      <c r="R76" s="27"/>
    </row>
    <row r="77" spans="1:18" ht="17.100000000000001" customHeight="1" x14ac:dyDescent="0.25">
      <c r="A77" t="str">
        <f t="shared" si="13"/>
        <v>Miscellaneous</v>
      </c>
      <c r="B77">
        <f t="shared" si="14"/>
        <v>0</v>
      </c>
      <c r="C77">
        <f t="shared" si="15"/>
        <v>0</v>
      </c>
      <c r="G77" s="27"/>
      <c r="H77" s="27"/>
      <c r="I77" s="27"/>
      <c r="J77" s="27"/>
      <c r="K77" s="27"/>
      <c r="L77" s="27"/>
      <c r="M77" s="27"/>
      <c r="N77" s="27"/>
      <c r="O77" s="27"/>
      <c r="P77" s="27"/>
      <c r="Q77" s="27"/>
      <c r="R77" s="27"/>
    </row>
  </sheetData>
  <mergeCells count="20">
    <mergeCell ref="U2:U9"/>
    <mergeCell ref="H2:I2"/>
    <mergeCell ref="D1:F1"/>
    <mergeCell ref="G1:I1"/>
    <mergeCell ref="J2:J3"/>
    <mergeCell ref="K2:L2"/>
    <mergeCell ref="J1:L1"/>
    <mergeCell ref="M1:O1"/>
    <mergeCell ref="P1:R1"/>
    <mergeCell ref="S1:S3"/>
    <mergeCell ref="M2:M3"/>
    <mergeCell ref="N2:O2"/>
    <mergeCell ref="P2:P3"/>
    <mergeCell ref="Q2:R2"/>
    <mergeCell ref="A1:A3"/>
    <mergeCell ref="E2:F2"/>
    <mergeCell ref="D2:D3"/>
    <mergeCell ref="G2:G3"/>
    <mergeCell ref="C1:C3"/>
    <mergeCell ref="B1:B3"/>
  </mergeCells>
  <conditionalFormatting sqref="C4:C8 C10">
    <cfRule type="colorScale" priority="6">
      <colorScale>
        <cfvo type="min"/>
        <cfvo type="percentile" val="50"/>
        <cfvo type="max"/>
        <color theme="9"/>
        <color rgb="FFFFEB84"/>
        <color rgb="FFFCFCFF"/>
      </colorScale>
    </cfRule>
  </conditionalFormatting>
  <conditionalFormatting sqref="D4:D8 D10">
    <cfRule type="colorScale" priority="5">
      <colorScale>
        <cfvo type="min"/>
        <cfvo type="percentile" val="50"/>
        <cfvo type="max"/>
        <color theme="9"/>
        <color rgb="FFFFEB84"/>
        <color rgb="FFFCFCFF"/>
      </colorScale>
    </cfRule>
  </conditionalFormatting>
  <conditionalFormatting sqref="G4:G8 G10">
    <cfRule type="colorScale" priority="4">
      <colorScale>
        <cfvo type="min"/>
        <cfvo type="percentile" val="50"/>
        <cfvo type="max"/>
        <color theme="9"/>
        <color rgb="FFFFEB84"/>
        <color rgb="FFFCFCFF"/>
      </colorScale>
    </cfRule>
  </conditionalFormatting>
  <conditionalFormatting sqref="J4:J8 J10">
    <cfRule type="colorScale" priority="3">
      <colorScale>
        <cfvo type="min"/>
        <cfvo type="percentile" val="50"/>
        <cfvo type="max"/>
        <color theme="9"/>
        <color rgb="FFFFEB84"/>
        <color rgb="FFFCFCFF"/>
      </colorScale>
    </cfRule>
  </conditionalFormatting>
  <conditionalFormatting sqref="M4:M8 M10">
    <cfRule type="colorScale" priority="2">
      <colorScale>
        <cfvo type="min"/>
        <cfvo type="percentile" val="50"/>
        <cfvo type="max"/>
        <color theme="9"/>
        <color rgb="FFFFEB84"/>
        <color rgb="FFFCFCFF"/>
      </colorScale>
    </cfRule>
  </conditionalFormatting>
  <conditionalFormatting sqref="P4:P8 P10">
    <cfRule type="colorScale" priority="1">
      <colorScale>
        <cfvo type="min"/>
        <cfvo type="percentile" val="50"/>
        <cfvo type="max"/>
        <color theme="9"/>
        <color rgb="FFFFEB84"/>
        <color rgb="FFFCFCFF"/>
      </colorScale>
    </cfRule>
  </conditionalFormatting>
  <dataValidations count="1">
    <dataValidation type="decimal" allowBlank="1" showInputMessage="1" showErrorMessage="1" sqref="C4:D8 G4:G8 J4:J8 M4:M8 P4:P8">
      <formula1>0</formula1>
      <formula2>1</formula2>
    </dataValidation>
  </dataValidations>
  <pageMargins left="0.7" right="0.7" top="0.75" bottom="0.75" header="0.3" footer="0.3"/>
  <pageSetup orientation="portrait" horizontalDpi="300" r:id="rId1"/>
  <ignoredErrors>
    <ignoredError sqref="G10 J10 M10 P10"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1"/>
  <sheetViews>
    <sheetView topLeftCell="A4" zoomScaleNormal="100" workbookViewId="0">
      <selection activeCell="E1" sqref="E1:E8"/>
    </sheetView>
  </sheetViews>
  <sheetFormatPr defaultRowHeight="15" x14ac:dyDescent="0.25"/>
  <cols>
    <col min="1" max="1" width="3.7109375" style="36" bestFit="1" customWidth="1"/>
    <col min="2" max="2" width="27.85546875" style="35" bestFit="1" customWidth="1"/>
    <col min="3" max="3" width="8.5703125" style="35" customWidth="1"/>
    <col min="4" max="4" width="9.140625" style="35"/>
    <col min="5" max="5" width="90.28515625" style="35" bestFit="1" customWidth="1"/>
    <col min="6" max="6" width="7.7109375" style="35" bestFit="1" customWidth="1"/>
    <col min="7" max="7" width="9.140625" style="35"/>
    <col min="8" max="8" width="8.28515625" style="35" bestFit="1" customWidth="1"/>
    <col min="9" max="16384" width="9.140625" style="35"/>
  </cols>
  <sheetData>
    <row r="1" spans="1:8" ht="15.75" customHeight="1" x14ac:dyDescent="0.25">
      <c r="B1" s="35" t="s">
        <v>110</v>
      </c>
      <c r="C1" s="50">
        <f ca="1">TODAY()</f>
        <v>42244</v>
      </c>
      <c r="E1" s="472" t="s">
        <v>421</v>
      </c>
      <c r="F1" s="37"/>
      <c r="G1" s="37"/>
      <c r="H1" s="37"/>
    </row>
    <row r="2" spans="1:8" ht="15.75" customHeight="1" x14ac:dyDescent="0.25">
      <c r="A2" s="41"/>
      <c r="B2" s="49" t="s">
        <v>109</v>
      </c>
      <c r="C2" s="38">
        <f>COUNTIFS('Issue List'!$J:$J,NEW,'Issue List'!$D:$D,"&gt;0")</f>
        <v>1</v>
      </c>
      <c r="E2" s="472"/>
    </row>
    <row r="3" spans="1:8" ht="15.75" customHeight="1" x14ac:dyDescent="0.25">
      <c r="A3" s="41"/>
      <c r="B3" s="48" t="s">
        <v>108</v>
      </c>
      <c r="C3" s="38">
        <f>COUNTIFS('Issue List'!$J:$J,POST,'Issue List'!$D:$D,"&gt;0")</f>
        <v>0</v>
      </c>
      <c r="E3" s="472"/>
    </row>
    <row r="4" spans="1:8" ht="15.75" customHeight="1" x14ac:dyDescent="0.25">
      <c r="A4" s="41"/>
      <c r="B4" s="47" t="s">
        <v>107</v>
      </c>
      <c r="C4" s="38">
        <f>COUNTIFS('Issue List'!$J:$J,SAP,'Issue List'!$D:$D,"&gt;0")</f>
        <v>2</v>
      </c>
      <c r="E4" s="472"/>
    </row>
    <row r="5" spans="1:8" ht="15.75" customHeight="1" x14ac:dyDescent="0.25">
      <c r="A5" s="41"/>
      <c r="B5" s="46" t="str">
        <f>CUST</f>
        <v>&lt;&lt;Customer&gt;&gt; Action</v>
      </c>
      <c r="C5" s="38">
        <f>COUNTIFS('Issue List'!$J:$J,CUST,'Issue List'!$D:$D,"&gt;0")</f>
        <v>4</v>
      </c>
      <c r="E5" s="472"/>
    </row>
    <row r="6" spans="1:8" ht="15.75" customHeight="1" x14ac:dyDescent="0.25">
      <c r="A6" s="41"/>
      <c r="B6" s="45" t="s">
        <v>106</v>
      </c>
      <c r="C6" s="38">
        <f>COUNTIFS('Issue List'!$J:$J,REC,'Issue List'!$D:$D,"&gt;0")</f>
        <v>1</v>
      </c>
      <c r="E6" s="472"/>
    </row>
    <row r="7" spans="1:8" ht="15.75" customHeight="1" x14ac:dyDescent="0.25">
      <c r="A7" s="41"/>
      <c r="B7" s="44" t="s">
        <v>105</v>
      </c>
      <c r="C7" s="38">
        <f>COUNTIFS('Issue List'!$J:$J,TEST,'Issue List'!$D:$D,"&gt;0")</f>
        <v>3</v>
      </c>
      <c r="E7" s="472"/>
    </row>
    <row r="8" spans="1:8" ht="15.75" customHeight="1" thickBot="1" x14ac:dyDescent="0.3">
      <c r="A8" s="41"/>
      <c r="B8" s="43" t="s">
        <v>104</v>
      </c>
      <c r="C8" s="38">
        <f>COUNTIFS('Issue List'!$J:$J,CLOSE,'Issue List'!$D:$D,"&gt;0")</f>
        <v>1</v>
      </c>
      <c r="E8" s="472"/>
    </row>
    <row r="9" spans="1:8" ht="15.75" customHeight="1" x14ac:dyDescent="0.25">
      <c r="A9" s="41"/>
      <c r="B9" s="40" t="s">
        <v>103</v>
      </c>
      <c r="C9" s="39">
        <f>SUM(C2:C8)</f>
        <v>12</v>
      </c>
    </row>
    <row r="10" spans="1:8" ht="15.75" customHeight="1" x14ac:dyDescent="0.25">
      <c r="C10" s="38"/>
    </row>
    <row r="31" spans="4:5" x14ac:dyDescent="0.25">
      <c r="D31" s="37"/>
      <c r="E31" s="37"/>
    </row>
  </sheetData>
  <mergeCells count="1">
    <mergeCell ref="E1:E8"/>
  </mergeCells>
  <pageMargins left="0.7" right="0.7" top="0.75" bottom="0.75" header="0.3" footer="0.3"/>
  <pageSetup orientation="portrait" horizont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L14"/>
  <sheetViews>
    <sheetView zoomScale="120" zoomScaleNormal="120" workbookViewId="0">
      <selection activeCell="L3" sqref="L3"/>
    </sheetView>
  </sheetViews>
  <sheetFormatPr defaultRowHeight="15" x14ac:dyDescent="0.25"/>
  <cols>
    <col min="2" max="2" width="30.42578125" customWidth="1"/>
    <col min="3" max="3" width="9.28515625" customWidth="1"/>
    <col min="4" max="5" width="7.140625" customWidth="1"/>
    <col min="6" max="6" width="7.7109375" bestFit="1" customWidth="1"/>
    <col min="7" max="8" width="7.140625" customWidth="1"/>
    <col min="10" max="10" width="8.5703125" bestFit="1" customWidth="1"/>
    <col min="12" max="12" width="68" customWidth="1"/>
  </cols>
  <sheetData>
    <row r="2" spans="2:12" ht="15.75" thickBot="1" x14ac:dyDescent="0.3"/>
    <row r="3" spans="2:12" ht="35.25" thickBot="1" x14ac:dyDescent="0.3">
      <c r="B3" s="84" t="str">
        <f ca="1">CONCATENATE("Issue Status by Area
",TEXT(TODAY(),"dd-mmm-yyyy"))</f>
        <v>Issue Status by Area
28-Aug-2015</v>
      </c>
      <c r="C3" s="83" t="s">
        <v>123</v>
      </c>
      <c r="D3" s="82" t="s">
        <v>122</v>
      </c>
      <c r="E3" s="81" t="s">
        <v>121</v>
      </c>
      <c r="F3" s="80" t="s">
        <v>120</v>
      </c>
      <c r="G3" s="79" t="s">
        <v>119</v>
      </c>
      <c r="H3" s="78" t="s">
        <v>118</v>
      </c>
      <c r="L3" s="350" t="s">
        <v>426</v>
      </c>
    </row>
    <row r="4" spans="2:12" ht="19.5" thickBot="1" x14ac:dyDescent="0.3">
      <c r="B4" s="77" t="s">
        <v>117</v>
      </c>
      <c r="C4" s="76">
        <f t="shared" ref="C4:H4" si="0">SUM(C5:C11)</f>
        <v>12</v>
      </c>
      <c r="D4" s="75">
        <f t="shared" si="0"/>
        <v>3</v>
      </c>
      <c r="E4" s="74">
        <f t="shared" si="0"/>
        <v>2</v>
      </c>
      <c r="F4" s="73">
        <f t="shared" si="0"/>
        <v>2</v>
      </c>
      <c r="G4" s="72">
        <f t="shared" si="0"/>
        <v>3</v>
      </c>
      <c r="H4" s="71">
        <f t="shared" si="0"/>
        <v>2</v>
      </c>
      <c r="J4" s="70" t="s">
        <v>116</v>
      </c>
      <c r="L4" s="350"/>
    </row>
    <row r="5" spans="2:12" ht="17.25" x14ac:dyDescent="0.25">
      <c r="B5" s="69" t="s">
        <v>109</v>
      </c>
      <c r="C5" s="68">
        <f t="shared" ref="C5:C11" si="1">SUM(D5:H5)</f>
        <v>1</v>
      </c>
      <c r="D5" s="57">
        <f>COUNTIFS('Issue List'!$A:$A,DATA_CONS,'Issue List'!$J:$J,NEW,'Issue List'!$D:$D,"&gt;0")</f>
        <v>1</v>
      </c>
      <c r="E5" s="57">
        <f>COUNTIFS('Issue List'!$A:$A,EXCP_MGT,'Issue List'!$J:$J,NEW,'Issue List'!$D:$D,"&gt;0")</f>
        <v>0</v>
      </c>
      <c r="F5" s="57">
        <f>COUNTIFS('Issue List'!$A:$A,INTGR_QUE,'Issue List'!$J:$J,NEW,'Issue List'!$D:$D,"&gt;0")</f>
        <v>0</v>
      </c>
      <c r="G5" s="57">
        <f>COUNTIFS('Issue List'!$A:$A,PERF_SCAL,'Issue List'!$J:$J,NEW,'Issue List'!$D:$D,"&gt;0")</f>
        <v>0</v>
      </c>
      <c r="H5" s="57">
        <f>COUNTIFS('Issue List'!$A:$A,JOB_VOL,'Issue List'!$J:$J,NEW,'Issue List'!$D:$D,"&gt;0")</f>
        <v>0</v>
      </c>
      <c r="J5" s="67" t="s">
        <v>115</v>
      </c>
      <c r="K5" s="60"/>
      <c r="L5" s="350"/>
    </row>
    <row r="6" spans="2:12" ht="17.25" x14ac:dyDescent="0.25">
      <c r="B6" s="66" t="s">
        <v>114</v>
      </c>
      <c r="C6" s="65">
        <f t="shared" si="1"/>
        <v>0</v>
      </c>
      <c r="D6" s="57">
        <f>COUNTIFS('Issue List'!$A:$A,DATA_CONS,'Issue List'!$J:$J,POST,'Issue List'!$D:$D,"&gt;0")</f>
        <v>0</v>
      </c>
      <c r="E6" s="57">
        <f>COUNTIFS('Issue List'!$A:$A,EXCP_MGT,'Issue List'!$J:$J,POST,'Issue List'!$D:$D,"&gt;0")</f>
        <v>0</v>
      </c>
      <c r="F6" s="57">
        <f>COUNTIFS('Issue List'!$A:$A,INTGR_QUE,'Issue List'!$J:$J,POST,'Issue List'!$D:$D,"&gt;0")</f>
        <v>0</v>
      </c>
      <c r="G6" s="57">
        <f>COUNTIFS('Issue List'!$A:$A,PERF_SCAL,'Issue List'!$J:$J,POST,'Issue List'!$D:$D,"&gt;0")</f>
        <v>0</v>
      </c>
      <c r="H6" s="57">
        <f>COUNTIFS('Issue List'!$A:$A,JOB_VOL,'Issue List'!$J:$J,POST,'Issue List'!$D:$D,"&gt;0")</f>
        <v>0</v>
      </c>
      <c r="J6" s="64" t="s">
        <v>113</v>
      </c>
      <c r="K6" s="60"/>
      <c r="L6" s="350"/>
    </row>
    <row r="7" spans="2:12" ht="16.5" customHeight="1" thickBot="1" x14ac:dyDescent="0.3">
      <c r="B7" s="63" t="s">
        <v>107</v>
      </c>
      <c r="C7" s="62">
        <f t="shared" si="1"/>
        <v>2</v>
      </c>
      <c r="D7" s="57">
        <f>COUNTIFS('Issue List'!$A:$A,DATA_CONS,'Issue List'!$J:$J,SAP,'Issue List'!$D:$D,"&gt;0")</f>
        <v>0</v>
      </c>
      <c r="E7" s="57">
        <f>COUNTIFS('Issue List'!$A:$A,EXCP_MGT,'Issue List'!$J:$J,SAP,'Issue List'!$D:$D,"&gt;0")</f>
        <v>1</v>
      </c>
      <c r="F7" s="57">
        <f>COUNTIFS('Issue List'!$A:$A,INTGR_QUE,'Issue List'!$J:$J,SAP,'Issue List'!$D:$D,"&gt;0")</f>
        <v>0</v>
      </c>
      <c r="G7" s="57">
        <f>COUNTIFS('Issue List'!$A:$A,PERF_SCAL,'Issue List'!$J:$J,SAP,'Issue List'!$D:$D,"&gt;0")</f>
        <v>1</v>
      </c>
      <c r="H7" s="57">
        <f>COUNTIFS('Issue List'!$A:$A,JOB_VOL,'Issue List'!$J:$J,SAP,'Issue List'!$D:$D,"&gt;0")</f>
        <v>0</v>
      </c>
      <c r="J7" s="61" t="s">
        <v>112</v>
      </c>
      <c r="K7" s="60"/>
      <c r="L7" s="350"/>
    </row>
    <row r="8" spans="2:12" ht="17.25" x14ac:dyDescent="0.25">
      <c r="B8" s="59" t="str">
        <f>CUST</f>
        <v>&lt;&lt;Customer&gt;&gt; Action</v>
      </c>
      <c r="C8" s="58">
        <f t="shared" si="1"/>
        <v>4</v>
      </c>
      <c r="D8" s="57">
        <f>COUNTIFS('Issue List'!$A:$A,DATA_CONS,'Issue List'!$J:$J,CUST,'Issue List'!$D:$D,"&gt;0")</f>
        <v>0</v>
      </c>
      <c r="E8" s="57">
        <f>COUNTIFS('Issue List'!$A:$A,EXCP_MGT,'Issue List'!$J:$J,CUST,'Issue List'!$D:$D,"&gt;0")</f>
        <v>1</v>
      </c>
      <c r="F8" s="57">
        <f>COUNTIFS('Issue List'!$A:$A,INTGR_QUE,'Issue List'!$J:$J,CUST,'Issue List'!$D:$D,"&gt;0")</f>
        <v>2</v>
      </c>
      <c r="G8" s="57">
        <f>COUNTIFS('Issue List'!$A:$A,PERF_SCAL,'Issue List'!$J:$J,CUST,'Issue List'!$D:$D,"&gt;0")</f>
        <v>1</v>
      </c>
      <c r="H8" s="57">
        <f>COUNTIFS('Issue List'!$A:$A,JOB_VOL,'Issue List'!$J:$J,CUST,'Issue List'!$D:$D,"&gt;0")</f>
        <v>0</v>
      </c>
      <c r="L8" s="350"/>
    </row>
    <row r="9" spans="2:12" ht="17.25" x14ac:dyDescent="0.25">
      <c r="B9" s="56" t="s">
        <v>106</v>
      </c>
      <c r="C9" s="55">
        <f t="shared" si="1"/>
        <v>1</v>
      </c>
      <c r="D9" s="57">
        <f>COUNTIFS('Issue List'!$A:$A,DATA_CONS,'Issue List'!$J:$J,REC,'Issue List'!$D:$D,"&gt;0")</f>
        <v>1</v>
      </c>
      <c r="E9" s="57">
        <f>COUNTIFS('Issue List'!$A:$A,EXCP_MGT,'Issue List'!$J:$J,REC,'Issue List'!$D:$D,"&gt;0")</f>
        <v>0</v>
      </c>
      <c r="F9" s="57">
        <f>COUNTIFS('Issue List'!$A:$A,INTGR_QUE,'Issue List'!$J:$J,REC,'Issue List'!$D:$D,"&gt;0")</f>
        <v>0</v>
      </c>
      <c r="G9" s="57">
        <f>COUNTIFS('Issue List'!$A:$A,PERF_SCAL,'Issue List'!$J:$J,REC,'Issue List'!$D:$D,"&gt;0")</f>
        <v>0</v>
      </c>
      <c r="H9" s="57">
        <f>COUNTIFS('Issue List'!$A:$A,JOB_VOL,'Issue List'!$J:$J,REC,'Issue List'!$D:$D,"&gt;0")</f>
        <v>0</v>
      </c>
      <c r="L9" s="350"/>
    </row>
    <row r="10" spans="2:12" ht="17.25" x14ac:dyDescent="0.25">
      <c r="B10" s="54" t="s">
        <v>111</v>
      </c>
      <c r="C10" s="53">
        <f t="shared" si="1"/>
        <v>3</v>
      </c>
      <c r="D10" s="57">
        <f>COUNTIFS('Issue List'!$A:$A,DATA_CONS,'Issue List'!$J:$J,TEST,'Issue List'!$D:$D,"&gt;0")</f>
        <v>0</v>
      </c>
      <c r="E10" s="57">
        <f>COUNTIFS('Issue List'!$A:$A,EXCP_MGT,'Issue List'!$J:$J,TEST,'Issue List'!$D:$D,"&gt;0")</f>
        <v>0</v>
      </c>
      <c r="F10" s="57">
        <f>COUNTIFS('Issue List'!$A:$A,INTGR_QUE,'Issue List'!$J:$J,TEST,'Issue List'!$D:$D,"&gt;0")</f>
        <v>0</v>
      </c>
      <c r="G10" s="57">
        <f>COUNTIFS('Issue List'!$A:$A,PERF_SCAL,'Issue List'!$J:$J,TEST,'Issue List'!$D:$D,"&gt;0")</f>
        <v>1</v>
      </c>
      <c r="H10" s="57">
        <f>COUNTIFS('Issue List'!$A:$A,JOB_VOL,'Issue List'!$J:$J,TEST,'Issue List'!$D:$D,"&gt;0")</f>
        <v>2</v>
      </c>
      <c r="L10" s="350"/>
    </row>
    <row r="11" spans="2:12" ht="17.25" customHeight="1" thickBot="1" x14ac:dyDescent="0.3">
      <c r="B11" s="52" t="s">
        <v>104</v>
      </c>
      <c r="C11" s="51">
        <f t="shared" si="1"/>
        <v>1</v>
      </c>
      <c r="D11" s="57">
        <f>COUNTIFS('Issue List'!$A:$A,DATA_CONS,'Issue List'!$J:$J,CLOSE,'Issue List'!$D:$D,"&gt;0")</f>
        <v>1</v>
      </c>
      <c r="E11" s="57">
        <f>COUNTIFS('Issue List'!$A:$A,EXCP_MGT,'Issue List'!$J:$J,CLOSE,'Issue List'!$D:$D,"&gt;0")</f>
        <v>0</v>
      </c>
      <c r="F11" s="57">
        <f>COUNTIFS('Issue List'!$A:$A,INTGR_QUE,'Issue List'!$J:$J,CLOSE,'Issue List'!$D:$D,"&gt;0")</f>
        <v>0</v>
      </c>
      <c r="G11" s="57">
        <f>COUNTIFS('Issue List'!$A:$A,PERF_SCAL,'Issue List'!$J:$J,CLOSE,'Issue List'!$D:$D,"&gt;0")</f>
        <v>0</v>
      </c>
      <c r="H11" s="57">
        <f>COUNTIFS('Issue List'!$A:$A,JOB_VOL,'Issue List'!$J:$J,CLOSE,'Issue List'!$D:$D,"&gt;0")</f>
        <v>0</v>
      </c>
    </row>
    <row r="14" spans="2:12" x14ac:dyDescent="0.25">
      <c r="B14" s="317"/>
    </row>
  </sheetData>
  <conditionalFormatting sqref="D5:H11">
    <cfRule type="cellIs" dxfId="5" priority="1" operator="greaterThan">
      <formula>5</formula>
    </cfRule>
    <cfRule type="cellIs" dxfId="4" priority="2" operator="between">
      <formula>1</formula>
      <formula>5</formula>
    </cfRule>
    <cfRule type="cellIs" dxfId="3" priority="3" operator="lessThan">
      <formula>1</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R21"/>
  <sheetViews>
    <sheetView zoomScale="80" zoomScaleNormal="80" workbookViewId="0">
      <pane xSplit="5" ySplit="1" topLeftCell="F2" activePane="bottomRight" state="frozen"/>
      <selection activeCell="D10" sqref="D10"/>
      <selection pane="topRight" activeCell="D10" sqref="D10"/>
      <selection pane="bottomLeft" activeCell="D10" sqref="D10"/>
      <selection pane="bottomRight" activeCell="E12" sqref="E12"/>
    </sheetView>
  </sheetViews>
  <sheetFormatPr defaultColWidth="9.140625" defaultRowHeight="12.75" x14ac:dyDescent="0.25"/>
  <cols>
    <col min="1" max="1" width="10.42578125" style="281" customWidth="1"/>
    <col min="2" max="2" width="12.85546875" style="281" customWidth="1"/>
    <col min="3" max="3" width="12.5703125" style="281" customWidth="1"/>
    <col min="4" max="4" width="9" style="281" customWidth="1"/>
    <col min="5" max="5" width="49.7109375" style="278" customWidth="1"/>
    <col min="6" max="6" width="10.140625" style="281" customWidth="1"/>
    <col min="7" max="7" width="25.42578125" style="281" customWidth="1"/>
    <col min="8" max="8" width="25.28515625" style="281" customWidth="1"/>
    <col min="9" max="9" width="12.140625" style="281" customWidth="1"/>
    <col min="10" max="10" width="11.7109375" style="281" customWidth="1"/>
    <col min="11" max="11" width="62.85546875" style="282" customWidth="1"/>
    <col min="12" max="12" width="14.140625" style="281" customWidth="1"/>
    <col min="13" max="16384" width="9.140625" style="278"/>
  </cols>
  <sheetData>
    <row r="1" spans="1:18" s="277" customFormat="1" ht="45" customHeight="1" x14ac:dyDescent="0.25">
      <c r="A1" s="275" t="s">
        <v>356</v>
      </c>
      <c r="B1" s="275" t="s">
        <v>427</v>
      </c>
      <c r="C1" s="275" t="s">
        <v>357</v>
      </c>
      <c r="D1" s="275" t="s">
        <v>358</v>
      </c>
      <c r="E1" s="275" t="s">
        <v>359</v>
      </c>
      <c r="F1" s="275" t="s">
        <v>360</v>
      </c>
      <c r="G1" s="275" t="s">
        <v>361</v>
      </c>
      <c r="H1" s="275" t="s">
        <v>405</v>
      </c>
      <c r="I1" s="275" t="s">
        <v>117</v>
      </c>
      <c r="J1" s="276" t="s">
        <v>362</v>
      </c>
      <c r="K1" s="276" t="s">
        <v>363</v>
      </c>
      <c r="L1" s="276" t="s">
        <v>364</v>
      </c>
    </row>
    <row r="2" spans="1:18" ht="30" x14ac:dyDescent="0.25">
      <c r="A2" s="365" t="s">
        <v>305</v>
      </c>
      <c r="B2" s="366" t="s">
        <v>365</v>
      </c>
      <c r="C2" s="157" t="s">
        <v>160</v>
      </c>
      <c r="D2" s="375">
        <v>101</v>
      </c>
      <c r="E2" s="376" t="s">
        <v>366</v>
      </c>
      <c r="F2" s="377">
        <v>41313</v>
      </c>
      <c r="G2" s="377">
        <v>41320</v>
      </c>
      <c r="H2" s="378">
        <f>G2-F2</f>
        <v>7</v>
      </c>
      <c r="I2" s="323" t="s">
        <v>104</v>
      </c>
      <c r="J2" s="379" t="s">
        <v>367</v>
      </c>
      <c r="K2" s="380" t="s">
        <v>368</v>
      </c>
      <c r="L2" s="246" t="s">
        <v>369</v>
      </c>
    </row>
    <row r="3" spans="1:18" ht="30" x14ac:dyDescent="0.25">
      <c r="A3" s="365" t="s">
        <v>305</v>
      </c>
      <c r="B3" s="366" t="s">
        <v>370</v>
      </c>
      <c r="C3" s="159" t="s">
        <v>162</v>
      </c>
      <c r="D3" s="375" t="s">
        <v>371</v>
      </c>
      <c r="E3" s="376" t="s">
        <v>372</v>
      </c>
      <c r="F3" s="377">
        <v>41320</v>
      </c>
      <c r="G3" s="377">
        <v>41361</v>
      </c>
      <c r="H3" s="378">
        <f>G3-F3</f>
        <v>41</v>
      </c>
      <c r="I3" s="157" t="s">
        <v>106</v>
      </c>
      <c r="J3" s="379" t="s">
        <v>373</v>
      </c>
      <c r="K3" s="380" t="s">
        <v>374</v>
      </c>
      <c r="L3" s="246" t="s">
        <v>369</v>
      </c>
    </row>
    <row r="4" spans="1:18" ht="30" x14ac:dyDescent="0.25">
      <c r="A4" s="371" t="s">
        <v>340</v>
      </c>
      <c r="B4" s="372" t="s">
        <v>375</v>
      </c>
      <c r="C4" s="156" t="s">
        <v>307</v>
      </c>
      <c r="D4" s="375">
        <v>401</v>
      </c>
      <c r="E4" s="376" t="s">
        <v>376</v>
      </c>
      <c r="F4" s="377">
        <v>41306</v>
      </c>
      <c r="G4" s="377">
        <v>41361</v>
      </c>
      <c r="H4" s="378">
        <f>G4-F4</f>
        <v>55</v>
      </c>
      <c r="I4" s="322" t="s">
        <v>105</v>
      </c>
      <c r="J4" s="379" t="s">
        <v>377</v>
      </c>
      <c r="K4" s="380" t="s">
        <v>374</v>
      </c>
      <c r="L4" s="323" t="s">
        <v>378</v>
      </c>
    </row>
    <row r="5" spans="1:18" ht="30" x14ac:dyDescent="0.25">
      <c r="A5" s="371" t="s">
        <v>340</v>
      </c>
      <c r="B5" s="372" t="s">
        <v>375</v>
      </c>
      <c r="C5" s="156" t="s">
        <v>307</v>
      </c>
      <c r="D5" s="375">
        <v>401</v>
      </c>
      <c r="E5" s="376" t="s">
        <v>379</v>
      </c>
      <c r="F5" s="377">
        <v>41310</v>
      </c>
      <c r="G5" s="377">
        <v>41320</v>
      </c>
      <c r="H5" s="378">
        <f>G5-F5</f>
        <v>10</v>
      </c>
      <c r="I5" s="322" t="s">
        <v>105</v>
      </c>
      <c r="J5" s="379" t="s">
        <v>377</v>
      </c>
      <c r="K5" s="380" t="s">
        <v>380</v>
      </c>
      <c r="L5" s="320" t="s">
        <v>381</v>
      </c>
    </row>
    <row r="7" spans="1:18" s="249" customFormat="1" ht="20.25" x14ac:dyDescent="0.25">
      <c r="A7" s="253"/>
      <c r="B7" s="253"/>
      <c r="C7" s="254"/>
      <c r="F7" s="255"/>
      <c r="G7" s="279"/>
      <c r="L7" s="257"/>
      <c r="M7" s="280"/>
      <c r="N7" s="258"/>
      <c r="O7" s="258"/>
    </row>
    <row r="8" spans="1:18" s="249" customFormat="1" ht="15.75" customHeight="1" x14ac:dyDescent="0.25">
      <c r="A8" s="444" t="s">
        <v>228</v>
      </c>
      <c r="B8" s="444"/>
      <c r="C8" s="444"/>
      <c r="D8" s="444"/>
      <c r="E8" s="444"/>
      <c r="F8" s="444"/>
      <c r="G8" s="444"/>
      <c r="H8" s="444"/>
      <c r="I8" s="444"/>
      <c r="J8" s="444"/>
      <c r="K8" s="444"/>
      <c r="L8" s="444"/>
      <c r="M8" s="483"/>
      <c r="N8" s="444"/>
      <c r="O8" s="444"/>
      <c r="P8" s="444"/>
      <c r="Q8" s="444"/>
      <c r="R8" s="444"/>
    </row>
    <row r="9" spans="1:18" s="249" customFormat="1" ht="9" customHeight="1" x14ac:dyDescent="0.25">
      <c r="A9" s="253"/>
      <c r="B9" s="253"/>
      <c r="C9" s="254"/>
      <c r="F9" s="255"/>
      <c r="G9" s="279"/>
      <c r="L9" s="257"/>
      <c r="M9" s="280"/>
      <c r="N9" s="258"/>
      <c r="O9" s="258"/>
    </row>
    <row r="10" spans="1:18" ht="24.75" customHeight="1" x14ac:dyDescent="0.25">
      <c r="A10" s="365" t="s">
        <v>305</v>
      </c>
      <c r="B10" s="366" t="s">
        <v>365</v>
      </c>
      <c r="C10" s="360" t="s">
        <v>159</v>
      </c>
      <c r="H10" s="381" t="s">
        <v>382</v>
      </c>
      <c r="I10" s="157" t="s">
        <v>106</v>
      </c>
      <c r="L10" s="246" t="s">
        <v>369</v>
      </c>
    </row>
    <row r="11" spans="1:18" ht="24.75" customHeight="1" x14ac:dyDescent="0.25">
      <c r="A11" s="365" t="s">
        <v>305</v>
      </c>
      <c r="B11" s="366" t="s">
        <v>370</v>
      </c>
      <c r="C11" s="361" t="s">
        <v>160</v>
      </c>
      <c r="H11" s="382" t="s">
        <v>383</v>
      </c>
      <c r="I11" s="322" t="s">
        <v>105</v>
      </c>
      <c r="L11" s="320" t="s">
        <v>381</v>
      </c>
    </row>
    <row r="12" spans="1:18" ht="24.75" customHeight="1" x14ac:dyDescent="0.25">
      <c r="A12" s="365" t="s">
        <v>305</v>
      </c>
      <c r="B12" s="366" t="s">
        <v>384</v>
      </c>
      <c r="C12" s="158" t="s">
        <v>124</v>
      </c>
      <c r="H12" s="383" t="s">
        <v>385</v>
      </c>
      <c r="I12" s="323" t="s">
        <v>104</v>
      </c>
      <c r="L12" s="157" t="s">
        <v>386</v>
      </c>
    </row>
    <row r="13" spans="1:18" ht="24.75" customHeight="1" x14ac:dyDescent="0.25">
      <c r="A13" s="365" t="s">
        <v>305</v>
      </c>
      <c r="B13" s="366" t="s">
        <v>387</v>
      </c>
      <c r="C13" s="362" t="s">
        <v>161</v>
      </c>
      <c r="H13" s="278"/>
      <c r="L13" s="323" t="s">
        <v>378</v>
      </c>
    </row>
    <row r="14" spans="1:18" ht="24.75" customHeight="1" x14ac:dyDescent="0.25">
      <c r="A14" s="367" t="s">
        <v>326</v>
      </c>
      <c r="B14" s="368" t="s">
        <v>388</v>
      </c>
      <c r="C14" s="363" t="s">
        <v>162</v>
      </c>
      <c r="H14" s="278"/>
    </row>
    <row r="15" spans="1:18" ht="24.75" customHeight="1" x14ac:dyDescent="0.25">
      <c r="A15" s="367" t="s">
        <v>326</v>
      </c>
      <c r="B15" s="368" t="s">
        <v>389</v>
      </c>
      <c r="C15" s="364" t="s">
        <v>163</v>
      </c>
      <c r="E15" s="277"/>
      <c r="L15" s="278"/>
    </row>
    <row r="16" spans="1:18" ht="24.75" customHeight="1" x14ac:dyDescent="0.25">
      <c r="A16" s="367" t="s">
        <v>326</v>
      </c>
      <c r="B16" s="368" t="s">
        <v>390</v>
      </c>
      <c r="L16" s="278"/>
    </row>
    <row r="17" spans="1:12" ht="24.75" customHeight="1" x14ac:dyDescent="0.25">
      <c r="A17" s="367" t="s">
        <v>326</v>
      </c>
      <c r="B17" s="368" t="s">
        <v>391</v>
      </c>
      <c r="L17" s="278"/>
    </row>
    <row r="18" spans="1:12" ht="24.75" customHeight="1" x14ac:dyDescent="0.25">
      <c r="A18" s="369" t="s">
        <v>334</v>
      </c>
      <c r="B18" s="370" t="s">
        <v>392</v>
      </c>
      <c r="L18" s="278"/>
    </row>
    <row r="19" spans="1:12" ht="24.75" customHeight="1" x14ac:dyDescent="0.25">
      <c r="A19" s="371" t="s">
        <v>340</v>
      </c>
      <c r="B19" s="372" t="s">
        <v>393</v>
      </c>
    </row>
    <row r="20" spans="1:12" ht="24.75" customHeight="1" x14ac:dyDescent="0.25">
      <c r="A20" s="371" t="s">
        <v>340</v>
      </c>
      <c r="B20" s="372" t="s">
        <v>375</v>
      </c>
    </row>
    <row r="21" spans="1:12" ht="24.75" customHeight="1" x14ac:dyDescent="0.25">
      <c r="A21" s="373" t="s">
        <v>350</v>
      </c>
      <c r="B21" s="374" t="s">
        <v>394</v>
      </c>
    </row>
  </sheetData>
  <autoFilter ref="A1:K1"/>
  <mergeCells count="1">
    <mergeCell ref="A8:R8"/>
  </mergeCells>
  <conditionalFormatting sqref="H2:H5">
    <cfRule type="cellIs" dxfId="2" priority="1" operator="lessThanOrEqual">
      <formula>7</formula>
    </cfRule>
    <cfRule type="cellIs" dxfId="1" priority="2" operator="between">
      <formula>7</formula>
      <formula>14</formula>
    </cfRule>
    <cfRule type="cellIs" dxfId="0" priority="3" operator="greaterThan">
      <formula>13</formula>
    </cfRule>
  </conditionalFormatting>
  <dataValidations count="1">
    <dataValidation type="custom" allowBlank="1" showInputMessage="1" showErrorMessage="1" sqref="B2">
      <formula1>IF(A2=DATA_CONS,DATA_CONS_SUB)</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D21"/>
  <sheetViews>
    <sheetView workbookViewId="0">
      <selection activeCell="N22" sqref="N22"/>
    </sheetView>
  </sheetViews>
  <sheetFormatPr defaultRowHeight="15" x14ac:dyDescent="0.25"/>
  <cols>
    <col min="1" max="1" width="31.5703125" bestFit="1" customWidth="1"/>
  </cols>
  <sheetData>
    <row r="1" spans="1:16384" x14ac:dyDescent="0.25">
      <c r="A1" s="485"/>
      <c r="B1" s="485"/>
      <c r="C1" s="485"/>
    </row>
    <row r="2" spans="1:16384" x14ac:dyDescent="0.25">
      <c r="A2" s="485"/>
      <c r="B2" s="485"/>
      <c r="C2" s="485"/>
      <c r="D2" s="484"/>
      <c r="E2" s="484"/>
      <c r="F2" s="484"/>
      <c r="G2" s="484"/>
      <c r="H2" s="484"/>
      <c r="I2" s="484"/>
      <c r="J2" s="484"/>
      <c r="K2" s="484"/>
      <c r="L2" s="484"/>
      <c r="M2" s="484"/>
      <c r="N2" s="484"/>
      <c r="O2" s="484"/>
      <c r="P2" s="484"/>
      <c r="Q2" s="484"/>
      <c r="R2" s="484"/>
      <c r="S2" s="484"/>
      <c r="T2" s="484"/>
      <c r="U2" s="484"/>
      <c r="V2" s="484"/>
      <c r="W2" s="484"/>
      <c r="X2" s="484"/>
      <c r="Y2" s="484"/>
      <c r="Z2" s="484"/>
      <c r="AA2" s="484"/>
      <c r="AB2" s="484"/>
      <c r="AC2" s="484"/>
      <c r="AD2" s="484"/>
      <c r="AE2" s="484"/>
      <c r="AF2" s="484"/>
      <c r="AG2" s="484"/>
      <c r="AH2" s="484"/>
      <c r="AI2" s="484"/>
      <c r="AJ2" s="484"/>
      <c r="AK2" s="484"/>
      <c r="AL2" s="484"/>
      <c r="AM2" s="484"/>
      <c r="AN2" s="484"/>
      <c r="AO2" s="484"/>
      <c r="AP2" s="484"/>
      <c r="AQ2" s="484"/>
      <c r="AR2" s="484"/>
      <c r="AS2" s="484"/>
      <c r="AT2" s="484"/>
      <c r="AU2" s="484"/>
      <c r="AV2" s="484"/>
      <c r="AW2" s="484"/>
      <c r="AX2" s="484"/>
      <c r="AY2" s="484"/>
      <c r="AZ2" s="484"/>
      <c r="BA2" s="484"/>
      <c r="BB2" s="484"/>
      <c r="BC2" s="484"/>
      <c r="BD2" s="484"/>
      <c r="BE2" s="484"/>
      <c r="BF2" s="484"/>
      <c r="BG2" s="484"/>
      <c r="BH2" s="484"/>
      <c r="BI2" s="484"/>
      <c r="BJ2" s="484"/>
      <c r="BK2" s="484"/>
      <c r="BL2" s="484"/>
      <c r="BM2" s="484"/>
      <c r="BN2" s="484"/>
      <c r="BO2" s="484"/>
      <c r="BP2" s="484"/>
      <c r="BQ2" s="484"/>
      <c r="BR2" s="484"/>
      <c r="BS2" s="484"/>
      <c r="BT2" s="484"/>
      <c r="BU2" s="484"/>
      <c r="BV2" s="484"/>
      <c r="BW2" s="484"/>
      <c r="BX2" s="484"/>
      <c r="BY2" s="484"/>
      <c r="BZ2" s="484"/>
      <c r="CA2" s="484"/>
      <c r="CB2" s="484"/>
      <c r="CC2" s="484"/>
      <c r="CD2" s="484"/>
      <c r="CE2" s="484"/>
      <c r="CF2" s="484"/>
      <c r="CG2" s="484"/>
      <c r="CH2" s="484"/>
      <c r="CI2" s="484"/>
      <c r="CJ2" s="484"/>
      <c r="CK2" s="484"/>
      <c r="CL2" s="484"/>
      <c r="CM2" s="484"/>
      <c r="CN2" s="484"/>
      <c r="CO2" s="484"/>
      <c r="CP2" s="484"/>
      <c r="CQ2" s="484"/>
      <c r="CR2" s="484"/>
      <c r="CS2" s="484"/>
      <c r="CT2" s="484"/>
      <c r="CU2" s="484"/>
      <c r="CV2" s="484"/>
      <c r="CW2" s="484"/>
      <c r="CX2" s="484"/>
      <c r="CY2" s="484"/>
      <c r="CZ2" s="484"/>
      <c r="DA2" s="484"/>
      <c r="DB2" s="484"/>
      <c r="DC2" s="484"/>
      <c r="DD2" s="484"/>
      <c r="DE2" s="484"/>
      <c r="DF2" s="484"/>
      <c r="DG2" s="484"/>
      <c r="DH2" s="484"/>
      <c r="DI2" s="484"/>
      <c r="DJ2" s="484"/>
      <c r="DK2" s="484"/>
      <c r="DL2" s="484"/>
      <c r="DM2" s="484"/>
      <c r="DN2" s="484"/>
      <c r="DO2" s="484"/>
      <c r="DP2" s="484"/>
      <c r="DQ2" s="484"/>
      <c r="DR2" s="484"/>
      <c r="DS2" s="484"/>
      <c r="DT2" s="484"/>
      <c r="DU2" s="484"/>
      <c r="DV2" s="484"/>
      <c r="DW2" s="484"/>
      <c r="DX2" s="484"/>
      <c r="DY2" s="484"/>
      <c r="DZ2" s="484"/>
      <c r="EA2" s="484"/>
      <c r="EB2" s="484"/>
      <c r="EC2" s="484"/>
      <c r="ED2" s="484"/>
      <c r="EE2" s="484"/>
      <c r="EF2" s="484"/>
      <c r="EG2" s="484"/>
      <c r="EH2" s="484"/>
      <c r="EI2" s="484"/>
      <c r="EJ2" s="484"/>
      <c r="EK2" s="484"/>
      <c r="EL2" s="484"/>
      <c r="EM2" s="484"/>
      <c r="EN2" s="484"/>
      <c r="EO2" s="484"/>
      <c r="EP2" s="484"/>
      <c r="EQ2" s="484"/>
      <c r="ER2" s="484"/>
      <c r="ES2" s="484"/>
      <c r="ET2" s="484"/>
      <c r="EU2" s="484"/>
      <c r="EV2" s="484"/>
      <c r="EW2" s="484"/>
      <c r="EX2" s="484"/>
      <c r="EY2" s="484"/>
      <c r="EZ2" s="484"/>
      <c r="FA2" s="484"/>
      <c r="FB2" s="484"/>
      <c r="FC2" s="484"/>
      <c r="FD2" s="484"/>
      <c r="FE2" s="484"/>
      <c r="FF2" s="484"/>
      <c r="FG2" s="484"/>
      <c r="FH2" s="484"/>
      <c r="FI2" s="484"/>
      <c r="FJ2" s="484"/>
      <c r="FK2" s="484"/>
      <c r="FL2" s="484"/>
      <c r="FM2" s="484"/>
      <c r="FN2" s="484"/>
      <c r="FO2" s="484"/>
      <c r="FP2" s="484"/>
      <c r="FQ2" s="484"/>
      <c r="FR2" s="484"/>
      <c r="FS2" s="484"/>
      <c r="FT2" s="484"/>
      <c r="FU2" s="484"/>
      <c r="FV2" s="484"/>
      <c r="FW2" s="484"/>
      <c r="FX2" s="484"/>
      <c r="FY2" s="484"/>
      <c r="FZ2" s="484"/>
      <c r="GA2" s="484"/>
      <c r="GB2" s="484"/>
      <c r="GC2" s="484"/>
      <c r="GD2" s="484"/>
      <c r="GE2" s="484"/>
      <c r="GF2" s="484"/>
      <c r="GG2" s="484"/>
      <c r="GH2" s="484"/>
      <c r="GI2" s="484"/>
      <c r="GJ2" s="484"/>
      <c r="GK2" s="484"/>
      <c r="GL2" s="484"/>
      <c r="GM2" s="484"/>
      <c r="GN2" s="484"/>
      <c r="GO2" s="484"/>
      <c r="GP2" s="484"/>
      <c r="GQ2" s="484"/>
      <c r="GR2" s="484"/>
      <c r="GS2" s="484"/>
      <c r="GT2" s="484"/>
      <c r="GU2" s="484"/>
      <c r="GV2" s="484"/>
      <c r="GW2" s="484"/>
      <c r="GX2" s="484"/>
      <c r="GY2" s="484"/>
      <c r="GZ2" s="484"/>
      <c r="HA2" s="484"/>
      <c r="HB2" s="484"/>
      <c r="HC2" s="484"/>
      <c r="HD2" s="484"/>
      <c r="HE2" s="484"/>
      <c r="HF2" s="484"/>
      <c r="HG2" s="484"/>
      <c r="HH2" s="484"/>
      <c r="HI2" s="484"/>
      <c r="HJ2" s="484"/>
      <c r="HK2" s="484"/>
      <c r="HL2" s="484"/>
      <c r="HM2" s="484"/>
      <c r="HN2" s="484"/>
      <c r="HO2" s="484"/>
      <c r="HP2" s="484"/>
      <c r="HQ2" s="484"/>
      <c r="HR2" s="484"/>
      <c r="HS2" s="484"/>
      <c r="HT2" s="484"/>
      <c r="HU2" s="484"/>
      <c r="HV2" s="484"/>
      <c r="HW2" s="484"/>
      <c r="HX2" s="484"/>
      <c r="HY2" s="484"/>
      <c r="HZ2" s="484"/>
      <c r="IA2" s="484"/>
      <c r="IB2" s="484"/>
      <c r="IC2" s="484"/>
      <c r="ID2" s="484"/>
      <c r="IE2" s="484"/>
      <c r="IF2" s="484"/>
      <c r="IG2" s="484"/>
      <c r="IH2" s="484"/>
      <c r="II2" s="484"/>
      <c r="IJ2" s="484"/>
      <c r="IK2" s="484"/>
      <c r="IL2" s="484"/>
      <c r="IM2" s="484"/>
      <c r="IN2" s="484"/>
      <c r="IO2" s="484"/>
      <c r="IP2" s="484"/>
      <c r="IQ2" s="484"/>
      <c r="IR2" s="484"/>
      <c r="IS2" s="484"/>
      <c r="IT2" s="484"/>
      <c r="IU2" s="484"/>
      <c r="IV2" s="484"/>
      <c r="IW2" s="484"/>
      <c r="IX2" s="484"/>
      <c r="IY2" s="484"/>
      <c r="IZ2" s="484"/>
      <c r="JA2" s="484"/>
      <c r="JB2" s="484"/>
      <c r="JC2" s="484"/>
      <c r="JD2" s="484"/>
      <c r="JE2" s="484"/>
      <c r="JF2" s="484"/>
      <c r="JG2" s="484"/>
      <c r="JH2" s="484"/>
      <c r="JI2" s="484"/>
      <c r="JJ2" s="484"/>
      <c r="JK2" s="484"/>
      <c r="JL2" s="484"/>
      <c r="JM2" s="484"/>
      <c r="JN2" s="484"/>
      <c r="JO2" s="484"/>
      <c r="JP2" s="484"/>
      <c r="JQ2" s="484"/>
      <c r="JR2" s="484"/>
      <c r="JS2" s="484"/>
      <c r="JT2" s="484"/>
      <c r="JU2" s="484"/>
      <c r="JV2" s="484"/>
      <c r="JW2" s="484"/>
      <c r="JX2" s="484"/>
      <c r="JY2" s="484"/>
      <c r="JZ2" s="484"/>
      <c r="KA2" s="484"/>
      <c r="KB2" s="484"/>
      <c r="KC2" s="484"/>
      <c r="KD2" s="484"/>
      <c r="KE2" s="484"/>
      <c r="KF2" s="484"/>
      <c r="KG2" s="484"/>
      <c r="KH2" s="484"/>
      <c r="KI2" s="484"/>
      <c r="KJ2" s="484"/>
      <c r="KK2" s="484"/>
      <c r="KL2" s="484"/>
      <c r="KM2" s="484"/>
      <c r="KN2" s="484"/>
      <c r="KO2" s="484"/>
      <c r="KP2" s="484"/>
      <c r="KQ2" s="484"/>
      <c r="KR2" s="484"/>
      <c r="KS2" s="484"/>
      <c r="KT2" s="484"/>
      <c r="KU2" s="484"/>
      <c r="KV2" s="484"/>
      <c r="KW2" s="484"/>
      <c r="KX2" s="484"/>
      <c r="KY2" s="484"/>
      <c r="KZ2" s="484"/>
      <c r="LA2" s="484"/>
      <c r="LB2" s="484"/>
      <c r="LC2" s="484"/>
      <c r="LD2" s="484"/>
      <c r="LE2" s="484"/>
      <c r="LF2" s="484"/>
      <c r="LG2" s="484"/>
      <c r="LH2" s="484"/>
      <c r="LI2" s="484"/>
      <c r="LJ2" s="484"/>
      <c r="LK2" s="484"/>
      <c r="LL2" s="484"/>
      <c r="LM2" s="484"/>
      <c r="LN2" s="484"/>
      <c r="LO2" s="484"/>
      <c r="LP2" s="484"/>
      <c r="LQ2" s="484"/>
      <c r="LR2" s="484"/>
      <c r="LS2" s="484"/>
      <c r="LT2" s="484"/>
      <c r="LU2" s="484"/>
      <c r="LV2" s="484"/>
      <c r="LW2" s="484"/>
      <c r="LX2" s="484"/>
      <c r="LY2" s="484"/>
      <c r="LZ2" s="484"/>
      <c r="MA2" s="484"/>
      <c r="MB2" s="484"/>
      <c r="MC2" s="484"/>
      <c r="MD2" s="484"/>
      <c r="ME2" s="484"/>
      <c r="MF2" s="484"/>
      <c r="MG2" s="484"/>
      <c r="MH2" s="484"/>
      <c r="MI2" s="484"/>
      <c r="MJ2" s="484"/>
      <c r="MK2" s="484"/>
      <c r="ML2" s="484"/>
      <c r="MM2" s="484"/>
      <c r="MN2" s="484"/>
      <c r="MO2" s="484"/>
      <c r="MP2" s="484"/>
      <c r="MQ2" s="484"/>
      <c r="MR2" s="484"/>
      <c r="MS2" s="484"/>
      <c r="MT2" s="484"/>
      <c r="MU2" s="484"/>
      <c r="MV2" s="484"/>
      <c r="MW2" s="484"/>
      <c r="MX2" s="484"/>
      <c r="MY2" s="484"/>
      <c r="MZ2" s="484"/>
      <c r="NA2" s="484"/>
      <c r="NB2" s="484"/>
      <c r="NC2" s="484"/>
      <c r="ND2" s="484"/>
      <c r="NE2" s="484"/>
      <c r="NF2" s="484"/>
      <c r="NG2" s="484"/>
      <c r="NH2" s="484"/>
      <c r="NI2" s="484"/>
      <c r="NJ2" s="484"/>
      <c r="NK2" s="484"/>
      <c r="NL2" s="484"/>
      <c r="NM2" s="484"/>
      <c r="NN2" s="484"/>
      <c r="NO2" s="484"/>
      <c r="NP2" s="484"/>
      <c r="NQ2" s="484"/>
      <c r="NR2" s="484"/>
      <c r="NS2" s="484"/>
      <c r="NT2" s="484"/>
      <c r="NU2" s="484"/>
      <c r="NV2" s="484"/>
      <c r="NW2" s="484"/>
      <c r="NX2" s="484"/>
      <c r="NY2" s="484"/>
      <c r="NZ2" s="484"/>
      <c r="OA2" s="484"/>
      <c r="OB2" s="484"/>
      <c r="OC2" s="484"/>
      <c r="OD2" s="484"/>
      <c r="OE2" s="484"/>
      <c r="OF2" s="484"/>
      <c r="OG2" s="484"/>
      <c r="OH2" s="484"/>
      <c r="OI2" s="484"/>
      <c r="OJ2" s="484"/>
      <c r="OK2" s="484"/>
      <c r="OL2" s="484"/>
      <c r="OM2" s="484"/>
      <c r="ON2" s="484"/>
      <c r="OO2" s="484"/>
      <c r="OP2" s="484"/>
      <c r="OQ2" s="484"/>
      <c r="OR2" s="484"/>
      <c r="OS2" s="484"/>
      <c r="OT2" s="484"/>
      <c r="OU2" s="484"/>
      <c r="OV2" s="484"/>
      <c r="OW2" s="484"/>
      <c r="OX2" s="484"/>
      <c r="OY2" s="484"/>
      <c r="OZ2" s="484"/>
      <c r="PA2" s="484"/>
      <c r="PB2" s="484"/>
      <c r="PC2" s="484"/>
      <c r="PD2" s="484"/>
      <c r="PE2" s="484"/>
      <c r="PF2" s="484"/>
      <c r="PG2" s="484"/>
      <c r="PH2" s="484"/>
      <c r="PI2" s="484"/>
      <c r="PJ2" s="484"/>
      <c r="PK2" s="484"/>
      <c r="PL2" s="484"/>
      <c r="PM2" s="484"/>
      <c r="PN2" s="484"/>
      <c r="PO2" s="484"/>
      <c r="PP2" s="484"/>
      <c r="PQ2" s="484"/>
      <c r="PR2" s="484"/>
      <c r="PS2" s="484"/>
      <c r="PT2" s="484"/>
      <c r="PU2" s="484"/>
      <c r="PV2" s="484"/>
      <c r="PW2" s="484"/>
      <c r="PX2" s="484"/>
      <c r="PY2" s="484"/>
      <c r="PZ2" s="484"/>
      <c r="QA2" s="484"/>
      <c r="QB2" s="484"/>
      <c r="QC2" s="484"/>
      <c r="QD2" s="484"/>
      <c r="QE2" s="484"/>
      <c r="QF2" s="484"/>
      <c r="QG2" s="484"/>
      <c r="QH2" s="484"/>
      <c r="QI2" s="484"/>
      <c r="QJ2" s="484"/>
      <c r="QK2" s="484"/>
      <c r="QL2" s="484"/>
      <c r="QM2" s="484"/>
      <c r="QN2" s="484"/>
      <c r="QO2" s="484"/>
      <c r="QP2" s="484"/>
      <c r="QQ2" s="484"/>
      <c r="QR2" s="484"/>
      <c r="QS2" s="484"/>
      <c r="QT2" s="484"/>
      <c r="QU2" s="484"/>
      <c r="QV2" s="484"/>
      <c r="QW2" s="484"/>
      <c r="QX2" s="484"/>
      <c r="QY2" s="484"/>
      <c r="QZ2" s="484"/>
      <c r="RA2" s="484"/>
      <c r="RB2" s="484"/>
      <c r="RC2" s="484"/>
      <c r="RD2" s="484"/>
      <c r="RE2" s="484"/>
      <c r="RF2" s="484"/>
      <c r="RG2" s="484"/>
      <c r="RH2" s="484"/>
      <c r="RI2" s="484"/>
      <c r="RJ2" s="484"/>
      <c r="RK2" s="484"/>
      <c r="RL2" s="484"/>
      <c r="RM2" s="484"/>
      <c r="RN2" s="484"/>
      <c r="RO2" s="484"/>
      <c r="RP2" s="484"/>
      <c r="RQ2" s="484"/>
      <c r="RR2" s="484"/>
      <c r="RS2" s="484"/>
      <c r="RT2" s="484"/>
      <c r="RU2" s="484"/>
      <c r="RV2" s="484"/>
      <c r="RW2" s="484"/>
      <c r="RX2" s="484"/>
      <c r="RY2" s="484"/>
      <c r="RZ2" s="484"/>
      <c r="SA2" s="484"/>
      <c r="SB2" s="484"/>
      <c r="SC2" s="484"/>
      <c r="SD2" s="484"/>
      <c r="SE2" s="484"/>
      <c r="SF2" s="484"/>
      <c r="SG2" s="484"/>
      <c r="SH2" s="484"/>
      <c r="SI2" s="484"/>
      <c r="SJ2" s="484"/>
      <c r="SK2" s="484"/>
      <c r="SL2" s="484"/>
      <c r="SM2" s="484"/>
      <c r="SN2" s="484"/>
      <c r="SO2" s="484"/>
      <c r="SP2" s="484"/>
      <c r="SQ2" s="484"/>
      <c r="SR2" s="484"/>
      <c r="SS2" s="484"/>
      <c r="ST2" s="484"/>
      <c r="SU2" s="484"/>
      <c r="SV2" s="484"/>
      <c r="SW2" s="484"/>
      <c r="SX2" s="484"/>
      <c r="SY2" s="484"/>
      <c r="SZ2" s="484"/>
      <c r="TA2" s="484"/>
      <c r="TB2" s="484"/>
      <c r="TC2" s="484"/>
      <c r="TD2" s="484"/>
      <c r="TE2" s="484"/>
      <c r="TF2" s="484"/>
      <c r="TG2" s="484"/>
      <c r="TH2" s="484"/>
      <c r="TI2" s="484"/>
      <c r="TJ2" s="484"/>
      <c r="TK2" s="484"/>
      <c r="TL2" s="484"/>
      <c r="TM2" s="484"/>
      <c r="TN2" s="484"/>
      <c r="TO2" s="484"/>
      <c r="TP2" s="484"/>
      <c r="TQ2" s="484"/>
      <c r="TR2" s="484"/>
      <c r="TS2" s="484"/>
      <c r="TT2" s="484"/>
      <c r="TU2" s="484"/>
      <c r="TV2" s="484"/>
      <c r="TW2" s="484"/>
      <c r="TX2" s="484"/>
      <c r="TY2" s="484"/>
      <c r="TZ2" s="484"/>
      <c r="UA2" s="484"/>
      <c r="UB2" s="484"/>
      <c r="UC2" s="484"/>
      <c r="UD2" s="484"/>
      <c r="UE2" s="484"/>
      <c r="UF2" s="484"/>
      <c r="UG2" s="484"/>
      <c r="UH2" s="484"/>
      <c r="UI2" s="484"/>
      <c r="UJ2" s="484"/>
      <c r="UK2" s="484"/>
      <c r="UL2" s="484"/>
      <c r="UM2" s="484"/>
      <c r="UN2" s="484"/>
      <c r="UO2" s="484"/>
      <c r="UP2" s="484"/>
      <c r="UQ2" s="484"/>
      <c r="UR2" s="484"/>
      <c r="US2" s="484"/>
      <c r="UT2" s="484"/>
      <c r="UU2" s="484"/>
      <c r="UV2" s="484"/>
      <c r="UW2" s="484"/>
      <c r="UX2" s="484"/>
      <c r="UY2" s="484"/>
      <c r="UZ2" s="484"/>
      <c r="VA2" s="484"/>
      <c r="VB2" s="484"/>
      <c r="VC2" s="484"/>
      <c r="VD2" s="484"/>
      <c r="VE2" s="484"/>
      <c r="VF2" s="484"/>
      <c r="VG2" s="484"/>
      <c r="VH2" s="484"/>
      <c r="VI2" s="484"/>
      <c r="VJ2" s="484"/>
      <c r="VK2" s="484"/>
      <c r="VL2" s="484"/>
      <c r="VM2" s="484"/>
      <c r="VN2" s="484"/>
      <c r="VO2" s="484"/>
      <c r="VP2" s="484"/>
      <c r="VQ2" s="484"/>
      <c r="VR2" s="484"/>
      <c r="VS2" s="484"/>
      <c r="VT2" s="484"/>
      <c r="VU2" s="484"/>
      <c r="VV2" s="484"/>
      <c r="VW2" s="484"/>
      <c r="VX2" s="484"/>
      <c r="VY2" s="484"/>
      <c r="VZ2" s="484"/>
      <c r="WA2" s="484"/>
      <c r="WB2" s="484"/>
      <c r="WC2" s="484"/>
      <c r="WD2" s="484"/>
      <c r="WE2" s="484"/>
      <c r="WF2" s="484"/>
      <c r="WG2" s="484"/>
      <c r="WH2" s="484"/>
      <c r="WI2" s="484"/>
      <c r="WJ2" s="484"/>
      <c r="WK2" s="484"/>
      <c r="WL2" s="484"/>
      <c r="WM2" s="484"/>
      <c r="WN2" s="484"/>
      <c r="WO2" s="484"/>
      <c r="WP2" s="484"/>
      <c r="WQ2" s="484"/>
      <c r="WR2" s="484"/>
      <c r="WS2" s="484"/>
      <c r="WT2" s="484"/>
      <c r="WU2" s="484"/>
      <c r="WV2" s="484"/>
      <c r="WW2" s="484"/>
      <c r="WX2" s="484"/>
      <c r="WY2" s="484"/>
      <c r="WZ2" s="484"/>
      <c r="XA2" s="484"/>
      <c r="XB2" s="484"/>
      <c r="XC2" s="484"/>
      <c r="XD2" s="484"/>
      <c r="XE2" s="484"/>
      <c r="XF2" s="484"/>
      <c r="XG2" s="484"/>
      <c r="XH2" s="484"/>
      <c r="XI2" s="484"/>
      <c r="XJ2" s="484"/>
      <c r="XK2" s="484"/>
      <c r="XL2" s="484"/>
      <c r="XM2" s="484"/>
      <c r="XN2" s="484"/>
      <c r="XO2" s="484"/>
      <c r="XP2" s="484"/>
      <c r="XQ2" s="484"/>
      <c r="XR2" s="484"/>
      <c r="XS2" s="484"/>
      <c r="XT2" s="484"/>
      <c r="XU2" s="484"/>
      <c r="XV2" s="484"/>
      <c r="XW2" s="484"/>
      <c r="XX2" s="484"/>
      <c r="XY2" s="484"/>
      <c r="XZ2" s="484"/>
      <c r="YA2" s="484"/>
      <c r="YB2" s="484"/>
      <c r="YC2" s="484"/>
      <c r="YD2" s="484"/>
      <c r="YE2" s="484"/>
      <c r="YF2" s="484"/>
      <c r="YG2" s="484"/>
      <c r="YH2" s="484"/>
      <c r="YI2" s="484"/>
      <c r="YJ2" s="484"/>
      <c r="YK2" s="484"/>
      <c r="YL2" s="484"/>
      <c r="YM2" s="484"/>
      <c r="YN2" s="484"/>
      <c r="YO2" s="484"/>
      <c r="YP2" s="484"/>
      <c r="YQ2" s="484"/>
      <c r="YR2" s="484"/>
      <c r="YS2" s="484"/>
      <c r="YT2" s="484"/>
      <c r="YU2" s="484"/>
      <c r="YV2" s="484"/>
      <c r="YW2" s="484"/>
      <c r="YX2" s="484"/>
      <c r="YY2" s="484"/>
      <c r="YZ2" s="484"/>
      <c r="ZA2" s="484"/>
      <c r="ZB2" s="484"/>
      <c r="ZC2" s="484"/>
      <c r="ZD2" s="484"/>
      <c r="ZE2" s="484"/>
      <c r="ZF2" s="484"/>
      <c r="ZG2" s="484"/>
      <c r="ZH2" s="484"/>
      <c r="ZI2" s="484"/>
      <c r="ZJ2" s="484"/>
      <c r="ZK2" s="484"/>
      <c r="ZL2" s="484"/>
      <c r="ZM2" s="484"/>
      <c r="ZN2" s="484"/>
      <c r="ZO2" s="484"/>
      <c r="ZP2" s="484"/>
      <c r="ZQ2" s="484"/>
      <c r="ZR2" s="484"/>
      <c r="ZS2" s="484"/>
      <c r="ZT2" s="484"/>
      <c r="ZU2" s="484"/>
      <c r="ZV2" s="484"/>
      <c r="ZW2" s="484"/>
      <c r="ZX2" s="484"/>
      <c r="ZY2" s="484"/>
      <c r="ZZ2" s="484"/>
      <c r="AAA2" s="484"/>
      <c r="AAB2" s="484"/>
      <c r="AAC2" s="484"/>
      <c r="AAD2" s="484"/>
      <c r="AAE2" s="484"/>
      <c r="AAF2" s="484"/>
      <c r="AAG2" s="484"/>
      <c r="AAH2" s="484"/>
      <c r="AAI2" s="484"/>
      <c r="AAJ2" s="484"/>
      <c r="AAK2" s="484"/>
      <c r="AAL2" s="484"/>
      <c r="AAM2" s="484"/>
      <c r="AAN2" s="484"/>
      <c r="AAO2" s="484"/>
      <c r="AAP2" s="484"/>
      <c r="AAQ2" s="484"/>
      <c r="AAR2" s="484"/>
      <c r="AAS2" s="484"/>
      <c r="AAT2" s="484"/>
      <c r="AAU2" s="484"/>
      <c r="AAV2" s="484"/>
      <c r="AAW2" s="484"/>
      <c r="AAX2" s="484"/>
      <c r="AAY2" s="484"/>
      <c r="AAZ2" s="484"/>
      <c r="ABA2" s="484"/>
      <c r="ABB2" s="484"/>
      <c r="ABC2" s="484"/>
      <c r="ABD2" s="484"/>
      <c r="ABE2" s="484"/>
      <c r="ABF2" s="484"/>
      <c r="ABG2" s="484"/>
      <c r="ABH2" s="484"/>
      <c r="ABI2" s="484"/>
      <c r="ABJ2" s="484"/>
      <c r="ABK2" s="484"/>
      <c r="ABL2" s="484"/>
      <c r="ABM2" s="484"/>
      <c r="ABN2" s="484"/>
      <c r="ABO2" s="484"/>
      <c r="ABP2" s="484"/>
      <c r="ABQ2" s="484"/>
      <c r="ABR2" s="484"/>
      <c r="ABS2" s="484"/>
      <c r="ABT2" s="484"/>
      <c r="ABU2" s="484"/>
      <c r="ABV2" s="484"/>
      <c r="ABW2" s="484"/>
      <c r="ABX2" s="484"/>
      <c r="ABY2" s="484"/>
      <c r="ABZ2" s="484"/>
      <c r="ACA2" s="484"/>
      <c r="ACB2" s="484"/>
      <c r="ACC2" s="484"/>
      <c r="ACD2" s="484"/>
      <c r="ACE2" s="484"/>
      <c r="ACF2" s="484"/>
      <c r="ACG2" s="484"/>
      <c r="ACH2" s="484"/>
      <c r="ACI2" s="484"/>
      <c r="ACJ2" s="484"/>
      <c r="ACK2" s="484"/>
      <c r="ACL2" s="484"/>
      <c r="ACM2" s="484"/>
      <c r="ACN2" s="484"/>
      <c r="ACO2" s="484"/>
      <c r="ACP2" s="484"/>
      <c r="ACQ2" s="484"/>
      <c r="ACR2" s="484"/>
      <c r="ACS2" s="484"/>
      <c r="ACT2" s="484"/>
      <c r="ACU2" s="484"/>
      <c r="ACV2" s="484"/>
      <c r="ACW2" s="484"/>
      <c r="ACX2" s="484"/>
      <c r="ACY2" s="484"/>
      <c r="ACZ2" s="484"/>
      <c r="ADA2" s="484"/>
      <c r="ADB2" s="484"/>
      <c r="ADC2" s="484"/>
      <c r="ADD2" s="484"/>
      <c r="ADE2" s="484"/>
      <c r="ADF2" s="484"/>
      <c r="ADG2" s="484"/>
      <c r="ADH2" s="484"/>
      <c r="ADI2" s="484"/>
      <c r="ADJ2" s="484"/>
      <c r="ADK2" s="484"/>
      <c r="ADL2" s="484"/>
      <c r="ADM2" s="484"/>
      <c r="ADN2" s="484"/>
      <c r="ADO2" s="484"/>
      <c r="ADP2" s="484"/>
      <c r="ADQ2" s="484"/>
      <c r="ADR2" s="484"/>
      <c r="ADS2" s="484"/>
      <c r="ADT2" s="484"/>
      <c r="ADU2" s="484"/>
      <c r="ADV2" s="484"/>
      <c r="ADW2" s="484"/>
      <c r="ADX2" s="484"/>
      <c r="ADY2" s="484"/>
      <c r="ADZ2" s="484"/>
      <c r="AEA2" s="484"/>
      <c r="AEB2" s="484"/>
      <c r="AEC2" s="484"/>
      <c r="AED2" s="484"/>
      <c r="AEE2" s="484"/>
      <c r="AEF2" s="484"/>
      <c r="AEG2" s="484"/>
      <c r="AEH2" s="484"/>
      <c r="AEI2" s="484"/>
      <c r="AEJ2" s="484"/>
      <c r="AEK2" s="484"/>
      <c r="AEL2" s="484"/>
      <c r="AEM2" s="484"/>
      <c r="AEN2" s="484"/>
      <c r="AEO2" s="484"/>
      <c r="AEP2" s="484"/>
      <c r="AEQ2" s="484"/>
      <c r="AER2" s="484"/>
      <c r="AES2" s="484"/>
      <c r="AET2" s="484"/>
      <c r="AEU2" s="484"/>
      <c r="AEV2" s="484"/>
      <c r="AEW2" s="484"/>
      <c r="AEX2" s="484"/>
      <c r="AEY2" s="484"/>
      <c r="AEZ2" s="484"/>
      <c r="AFA2" s="484"/>
      <c r="AFB2" s="484"/>
      <c r="AFC2" s="484"/>
      <c r="AFD2" s="484"/>
      <c r="AFE2" s="484"/>
      <c r="AFF2" s="484"/>
      <c r="AFG2" s="484"/>
      <c r="AFH2" s="484"/>
      <c r="AFI2" s="484"/>
      <c r="AFJ2" s="484"/>
      <c r="AFK2" s="484"/>
      <c r="AFL2" s="484"/>
      <c r="AFM2" s="484"/>
      <c r="AFN2" s="484"/>
      <c r="AFO2" s="484"/>
      <c r="AFP2" s="484"/>
      <c r="AFQ2" s="484"/>
      <c r="AFR2" s="484"/>
      <c r="AFS2" s="484"/>
      <c r="AFT2" s="484"/>
      <c r="AFU2" s="484"/>
      <c r="AFV2" s="484"/>
      <c r="AFW2" s="484"/>
      <c r="AFX2" s="484"/>
      <c r="AFY2" s="484"/>
      <c r="AFZ2" s="484"/>
      <c r="AGA2" s="484"/>
      <c r="AGB2" s="484"/>
      <c r="AGC2" s="484"/>
      <c r="AGD2" s="484"/>
      <c r="AGE2" s="484"/>
      <c r="AGF2" s="484"/>
      <c r="AGG2" s="484"/>
      <c r="AGH2" s="484"/>
      <c r="AGI2" s="484"/>
      <c r="AGJ2" s="484"/>
      <c r="AGK2" s="484"/>
      <c r="AGL2" s="484"/>
      <c r="AGM2" s="484"/>
      <c r="AGN2" s="484"/>
      <c r="AGO2" s="484"/>
      <c r="AGP2" s="484"/>
      <c r="AGQ2" s="484"/>
      <c r="AGR2" s="484"/>
      <c r="AGS2" s="484"/>
      <c r="AGT2" s="484"/>
      <c r="AGU2" s="484"/>
      <c r="AGV2" s="484"/>
      <c r="AGW2" s="484"/>
      <c r="AGX2" s="484"/>
      <c r="AGY2" s="484"/>
      <c r="AGZ2" s="484"/>
      <c r="AHA2" s="484"/>
      <c r="AHB2" s="484"/>
      <c r="AHC2" s="484"/>
      <c r="AHD2" s="484"/>
      <c r="AHE2" s="484"/>
      <c r="AHF2" s="484"/>
      <c r="AHG2" s="484"/>
      <c r="AHH2" s="484"/>
      <c r="AHI2" s="484"/>
      <c r="AHJ2" s="484"/>
      <c r="AHK2" s="484"/>
      <c r="AHL2" s="484"/>
      <c r="AHM2" s="484"/>
      <c r="AHN2" s="484"/>
      <c r="AHO2" s="484"/>
      <c r="AHP2" s="484"/>
      <c r="AHQ2" s="484"/>
      <c r="AHR2" s="484"/>
      <c r="AHS2" s="484"/>
      <c r="AHT2" s="484"/>
      <c r="AHU2" s="484"/>
      <c r="AHV2" s="484"/>
      <c r="AHW2" s="484"/>
      <c r="AHX2" s="484"/>
      <c r="AHY2" s="484"/>
      <c r="AHZ2" s="484"/>
      <c r="AIA2" s="484"/>
      <c r="AIB2" s="484"/>
      <c r="AIC2" s="484"/>
      <c r="AID2" s="484"/>
      <c r="AIE2" s="484"/>
      <c r="AIF2" s="484"/>
      <c r="AIG2" s="484"/>
      <c r="AIH2" s="484"/>
      <c r="AII2" s="484"/>
      <c r="AIJ2" s="484"/>
      <c r="AIK2" s="484"/>
      <c r="AIL2" s="484"/>
      <c r="AIM2" s="484"/>
      <c r="AIN2" s="484"/>
      <c r="AIO2" s="484"/>
      <c r="AIP2" s="484"/>
      <c r="AIQ2" s="484"/>
      <c r="AIR2" s="484"/>
      <c r="AIS2" s="484"/>
      <c r="AIT2" s="484"/>
      <c r="AIU2" s="484"/>
      <c r="AIV2" s="484"/>
      <c r="AIW2" s="484"/>
      <c r="AIX2" s="484"/>
      <c r="AIY2" s="484"/>
      <c r="AIZ2" s="484"/>
      <c r="AJA2" s="484"/>
      <c r="AJB2" s="484"/>
      <c r="AJC2" s="484"/>
      <c r="AJD2" s="484"/>
      <c r="AJE2" s="484"/>
      <c r="AJF2" s="484"/>
      <c r="AJG2" s="484"/>
      <c r="AJH2" s="484"/>
      <c r="AJI2" s="484"/>
      <c r="AJJ2" s="484"/>
      <c r="AJK2" s="484"/>
      <c r="AJL2" s="484"/>
      <c r="AJM2" s="484"/>
      <c r="AJN2" s="484"/>
      <c r="AJO2" s="484"/>
      <c r="AJP2" s="484"/>
      <c r="AJQ2" s="484"/>
      <c r="AJR2" s="484"/>
      <c r="AJS2" s="484"/>
      <c r="AJT2" s="484"/>
      <c r="AJU2" s="484"/>
      <c r="AJV2" s="484"/>
      <c r="AJW2" s="484"/>
      <c r="AJX2" s="484"/>
      <c r="AJY2" s="484"/>
      <c r="AJZ2" s="484"/>
      <c r="AKA2" s="484"/>
      <c r="AKB2" s="484"/>
      <c r="AKC2" s="484"/>
      <c r="AKD2" s="484"/>
      <c r="AKE2" s="484"/>
      <c r="AKF2" s="484"/>
      <c r="AKG2" s="484"/>
      <c r="AKH2" s="484"/>
      <c r="AKI2" s="484"/>
      <c r="AKJ2" s="484"/>
      <c r="AKK2" s="484"/>
      <c r="AKL2" s="484"/>
      <c r="AKM2" s="484"/>
      <c r="AKN2" s="484"/>
      <c r="AKO2" s="484"/>
      <c r="AKP2" s="484"/>
      <c r="AKQ2" s="484"/>
      <c r="AKR2" s="484"/>
      <c r="AKS2" s="484"/>
      <c r="AKT2" s="484"/>
      <c r="AKU2" s="484"/>
      <c r="AKV2" s="484"/>
      <c r="AKW2" s="484"/>
      <c r="AKX2" s="484"/>
      <c r="AKY2" s="484"/>
      <c r="AKZ2" s="484"/>
      <c r="ALA2" s="484"/>
      <c r="ALB2" s="484"/>
      <c r="ALC2" s="484"/>
      <c r="ALD2" s="484"/>
      <c r="ALE2" s="484"/>
      <c r="ALF2" s="484"/>
      <c r="ALG2" s="484"/>
      <c r="ALH2" s="484"/>
      <c r="ALI2" s="484"/>
      <c r="ALJ2" s="484"/>
      <c r="ALK2" s="484"/>
      <c r="ALL2" s="484"/>
      <c r="ALM2" s="484"/>
      <c r="ALN2" s="484"/>
      <c r="ALO2" s="484"/>
      <c r="ALP2" s="484"/>
      <c r="ALQ2" s="484"/>
      <c r="ALR2" s="484"/>
      <c r="ALS2" s="484"/>
      <c r="ALT2" s="484"/>
      <c r="ALU2" s="484"/>
      <c r="ALV2" s="484"/>
      <c r="ALW2" s="484"/>
      <c r="ALX2" s="484"/>
      <c r="ALY2" s="484"/>
      <c r="ALZ2" s="484"/>
      <c r="AMA2" s="484"/>
      <c r="AMB2" s="484"/>
      <c r="AMC2" s="484"/>
      <c r="AMD2" s="484"/>
      <c r="AME2" s="484"/>
      <c r="AMF2" s="484"/>
      <c r="AMG2" s="484"/>
      <c r="AMH2" s="484"/>
      <c r="AMI2" s="484"/>
      <c r="AMJ2" s="484"/>
      <c r="AMK2" s="484"/>
      <c r="AML2" s="484"/>
      <c r="AMM2" s="484"/>
      <c r="AMN2" s="484"/>
      <c r="AMO2" s="484"/>
      <c r="AMP2" s="484"/>
      <c r="AMQ2" s="484"/>
      <c r="AMR2" s="484"/>
      <c r="AMS2" s="484"/>
      <c r="AMT2" s="484"/>
      <c r="AMU2" s="484"/>
      <c r="AMV2" s="484"/>
      <c r="AMW2" s="484"/>
      <c r="AMX2" s="484"/>
      <c r="AMY2" s="484"/>
      <c r="AMZ2" s="484"/>
      <c r="ANA2" s="484"/>
      <c r="ANB2" s="484"/>
      <c r="ANC2" s="484"/>
      <c r="AND2" s="484"/>
      <c r="ANE2" s="484"/>
      <c r="ANF2" s="484"/>
      <c r="ANG2" s="484"/>
      <c r="ANH2" s="484"/>
      <c r="ANI2" s="484"/>
      <c r="ANJ2" s="484"/>
      <c r="ANK2" s="484"/>
      <c r="ANL2" s="484"/>
      <c r="ANM2" s="484"/>
      <c r="ANN2" s="484"/>
      <c r="ANO2" s="484"/>
      <c r="ANP2" s="484"/>
      <c r="ANQ2" s="484"/>
      <c r="ANR2" s="484"/>
      <c r="ANS2" s="484"/>
      <c r="ANT2" s="484"/>
      <c r="ANU2" s="484"/>
      <c r="ANV2" s="484"/>
      <c r="ANW2" s="484"/>
      <c r="ANX2" s="484"/>
      <c r="ANY2" s="484"/>
      <c r="ANZ2" s="484"/>
      <c r="AOA2" s="484"/>
      <c r="AOB2" s="484"/>
      <c r="AOC2" s="484"/>
      <c r="AOD2" s="484"/>
      <c r="AOE2" s="484"/>
      <c r="AOF2" s="484"/>
      <c r="AOG2" s="484"/>
      <c r="AOH2" s="484"/>
      <c r="AOI2" s="484"/>
      <c r="AOJ2" s="484"/>
      <c r="AOK2" s="484"/>
      <c r="AOL2" s="484"/>
      <c r="AOM2" s="484"/>
      <c r="AON2" s="484"/>
      <c r="AOO2" s="484"/>
      <c r="AOP2" s="484"/>
      <c r="AOQ2" s="484"/>
      <c r="AOR2" s="484"/>
      <c r="AOS2" s="484"/>
      <c r="AOT2" s="484"/>
      <c r="AOU2" s="484"/>
      <c r="AOV2" s="484"/>
      <c r="AOW2" s="484"/>
      <c r="AOX2" s="484"/>
      <c r="AOY2" s="484"/>
      <c r="AOZ2" s="484"/>
      <c r="APA2" s="484"/>
      <c r="APB2" s="484"/>
      <c r="APC2" s="484"/>
      <c r="APD2" s="484"/>
      <c r="APE2" s="484"/>
      <c r="APF2" s="484"/>
      <c r="APG2" s="484"/>
      <c r="APH2" s="484"/>
      <c r="API2" s="484"/>
      <c r="APJ2" s="484"/>
      <c r="APK2" s="484"/>
      <c r="APL2" s="484"/>
      <c r="APM2" s="484"/>
      <c r="APN2" s="484"/>
      <c r="APO2" s="484"/>
      <c r="APP2" s="484"/>
      <c r="APQ2" s="484"/>
      <c r="APR2" s="484"/>
      <c r="APS2" s="484"/>
      <c r="APT2" s="484"/>
      <c r="APU2" s="484"/>
      <c r="APV2" s="484"/>
      <c r="APW2" s="484"/>
      <c r="APX2" s="484"/>
      <c r="APY2" s="484"/>
      <c r="APZ2" s="484"/>
      <c r="AQA2" s="484"/>
      <c r="AQB2" s="484"/>
      <c r="AQC2" s="484"/>
      <c r="AQD2" s="484"/>
      <c r="AQE2" s="484"/>
      <c r="AQF2" s="484"/>
      <c r="AQG2" s="484"/>
      <c r="AQH2" s="484"/>
      <c r="AQI2" s="484"/>
      <c r="AQJ2" s="484"/>
      <c r="AQK2" s="484"/>
      <c r="AQL2" s="484"/>
      <c r="AQM2" s="484"/>
      <c r="AQN2" s="484"/>
      <c r="AQO2" s="484"/>
      <c r="AQP2" s="484"/>
      <c r="AQQ2" s="484"/>
      <c r="AQR2" s="484"/>
      <c r="AQS2" s="484"/>
      <c r="AQT2" s="484"/>
      <c r="AQU2" s="484"/>
      <c r="AQV2" s="484"/>
      <c r="AQW2" s="484"/>
      <c r="AQX2" s="484"/>
      <c r="AQY2" s="484"/>
      <c r="AQZ2" s="484"/>
      <c r="ARA2" s="484"/>
      <c r="ARB2" s="484"/>
      <c r="ARC2" s="484"/>
      <c r="ARD2" s="484"/>
      <c r="ARE2" s="484"/>
      <c r="ARF2" s="484"/>
      <c r="ARG2" s="484"/>
      <c r="ARH2" s="484"/>
      <c r="ARI2" s="484"/>
      <c r="ARJ2" s="484"/>
      <c r="ARK2" s="484"/>
      <c r="ARL2" s="484"/>
      <c r="ARM2" s="484"/>
      <c r="ARN2" s="484"/>
      <c r="ARO2" s="484"/>
      <c r="ARP2" s="484"/>
      <c r="ARQ2" s="484"/>
      <c r="ARR2" s="484"/>
      <c r="ARS2" s="484"/>
      <c r="ART2" s="484"/>
      <c r="ARU2" s="484"/>
      <c r="ARV2" s="484"/>
      <c r="ARW2" s="484"/>
      <c r="ARX2" s="484"/>
      <c r="ARY2" s="484"/>
      <c r="ARZ2" s="484"/>
      <c r="ASA2" s="484"/>
      <c r="ASB2" s="484"/>
      <c r="ASC2" s="484"/>
      <c r="ASD2" s="484"/>
      <c r="ASE2" s="484"/>
      <c r="ASF2" s="484"/>
      <c r="ASG2" s="484"/>
      <c r="ASH2" s="484"/>
      <c r="ASI2" s="484"/>
      <c r="ASJ2" s="484"/>
      <c r="ASK2" s="484"/>
      <c r="ASL2" s="484"/>
      <c r="ASM2" s="484"/>
      <c r="ASN2" s="484"/>
      <c r="ASO2" s="484"/>
      <c r="ASP2" s="484"/>
      <c r="ASQ2" s="484"/>
      <c r="ASR2" s="484"/>
      <c r="ASS2" s="484"/>
      <c r="AST2" s="484"/>
      <c r="ASU2" s="484"/>
      <c r="ASV2" s="484"/>
      <c r="ASW2" s="484"/>
      <c r="ASX2" s="484"/>
      <c r="ASY2" s="484"/>
      <c r="ASZ2" s="484"/>
      <c r="ATA2" s="484"/>
      <c r="ATB2" s="484"/>
      <c r="ATC2" s="484"/>
      <c r="ATD2" s="484"/>
      <c r="ATE2" s="484"/>
      <c r="ATF2" s="484"/>
      <c r="ATG2" s="484"/>
      <c r="ATH2" s="484"/>
      <c r="ATI2" s="484"/>
      <c r="ATJ2" s="484"/>
      <c r="ATK2" s="484"/>
      <c r="ATL2" s="484"/>
      <c r="ATM2" s="484"/>
      <c r="ATN2" s="484"/>
      <c r="ATO2" s="484"/>
      <c r="ATP2" s="484"/>
      <c r="ATQ2" s="484"/>
      <c r="ATR2" s="484"/>
      <c r="ATS2" s="484"/>
      <c r="ATT2" s="484"/>
      <c r="ATU2" s="484"/>
      <c r="ATV2" s="484"/>
      <c r="ATW2" s="484"/>
      <c r="ATX2" s="484"/>
      <c r="ATY2" s="484"/>
      <c r="ATZ2" s="484"/>
      <c r="AUA2" s="484"/>
      <c r="AUB2" s="484"/>
      <c r="AUC2" s="484"/>
      <c r="AUD2" s="484"/>
      <c r="AUE2" s="484"/>
      <c r="AUF2" s="484"/>
      <c r="AUG2" s="484"/>
      <c r="AUH2" s="484"/>
      <c r="AUI2" s="484"/>
      <c r="AUJ2" s="484"/>
      <c r="AUK2" s="484"/>
      <c r="AUL2" s="484"/>
      <c r="AUM2" s="484"/>
      <c r="AUN2" s="484"/>
      <c r="AUO2" s="484"/>
      <c r="AUP2" s="484"/>
      <c r="AUQ2" s="484"/>
      <c r="AUR2" s="484"/>
      <c r="AUS2" s="484"/>
      <c r="AUT2" s="484"/>
      <c r="AUU2" s="484"/>
      <c r="AUV2" s="484"/>
      <c r="AUW2" s="484"/>
      <c r="AUX2" s="484"/>
      <c r="AUY2" s="484"/>
      <c r="AUZ2" s="484"/>
      <c r="AVA2" s="484"/>
      <c r="AVB2" s="484"/>
      <c r="AVC2" s="484"/>
      <c r="AVD2" s="484"/>
      <c r="AVE2" s="484"/>
      <c r="AVF2" s="484"/>
      <c r="AVG2" s="484"/>
      <c r="AVH2" s="484"/>
      <c r="AVI2" s="484"/>
      <c r="AVJ2" s="484"/>
      <c r="AVK2" s="484"/>
      <c r="AVL2" s="484"/>
      <c r="AVM2" s="484"/>
      <c r="AVN2" s="484"/>
      <c r="AVO2" s="484"/>
      <c r="AVP2" s="484"/>
      <c r="AVQ2" s="484"/>
      <c r="AVR2" s="484"/>
      <c r="AVS2" s="484"/>
      <c r="AVT2" s="484"/>
      <c r="AVU2" s="484"/>
      <c r="AVV2" s="484"/>
      <c r="AVW2" s="484"/>
      <c r="AVX2" s="484"/>
      <c r="AVY2" s="484"/>
      <c r="AVZ2" s="484"/>
      <c r="AWA2" s="484"/>
      <c r="AWB2" s="484"/>
      <c r="AWC2" s="484"/>
      <c r="AWD2" s="484"/>
      <c r="AWE2" s="484"/>
      <c r="AWF2" s="484"/>
      <c r="AWG2" s="484"/>
      <c r="AWH2" s="484"/>
      <c r="AWI2" s="484"/>
      <c r="AWJ2" s="484"/>
      <c r="AWK2" s="484"/>
      <c r="AWL2" s="484"/>
      <c r="AWM2" s="484"/>
      <c r="AWN2" s="484"/>
      <c r="AWO2" s="484"/>
      <c r="AWP2" s="484"/>
      <c r="AWQ2" s="484"/>
      <c r="AWR2" s="484"/>
      <c r="AWS2" s="484"/>
      <c r="AWT2" s="484"/>
      <c r="AWU2" s="484"/>
      <c r="AWV2" s="484"/>
      <c r="AWW2" s="484"/>
      <c r="AWX2" s="484"/>
      <c r="AWY2" s="484"/>
      <c r="AWZ2" s="484"/>
      <c r="AXA2" s="484"/>
      <c r="AXB2" s="484"/>
      <c r="AXC2" s="484"/>
      <c r="AXD2" s="484"/>
      <c r="AXE2" s="484"/>
      <c r="AXF2" s="484"/>
      <c r="AXG2" s="484"/>
      <c r="AXH2" s="484"/>
      <c r="AXI2" s="484"/>
      <c r="AXJ2" s="484"/>
      <c r="AXK2" s="484"/>
      <c r="AXL2" s="484"/>
      <c r="AXM2" s="484"/>
      <c r="AXN2" s="484"/>
      <c r="AXO2" s="484"/>
      <c r="AXP2" s="484"/>
      <c r="AXQ2" s="484"/>
      <c r="AXR2" s="484"/>
      <c r="AXS2" s="484"/>
      <c r="AXT2" s="484"/>
      <c r="AXU2" s="484"/>
      <c r="AXV2" s="484"/>
      <c r="AXW2" s="484"/>
      <c r="AXX2" s="484"/>
      <c r="AXY2" s="484"/>
      <c r="AXZ2" s="484"/>
      <c r="AYA2" s="484"/>
      <c r="AYB2" s="484"/>
      <c r="AYC2" s="484"/>
      <c r="AYD2" s="484"/>
      <c r="AYE2" s="484"/>
      <c r="AYF2" s="484"/>
      <c r="AYG2" s="484"/>
      <c r="AYH2" s="484"/>
      <c r="AYI2" s="484"/>
      <c r="AYJ2" s="484"/>
      <c r="AYK2" s="484"/>
      <c r="AYL2" s="484"/>
      <c r="AYM2" s="484"/>
      <c r="AYN2" s="484"/>
      <c r="AYO2" s="484"/>
      <c r="AYP2" s="484"/>
      <c r="AYQ2" s="484"/>
      <c r="AYR2" s="484"/>
      <c r="AYS2" s="484"/>
      <c r="AYT2" s="484"/>
      <c r="AYU2" s="484"/>
      <c r="AYV2" s="484"/>
      <c r="AYW2" s="484"/>
      <c r="AYX2" s="484"/>
      <c r="AYY2" s="484"/>
      <c r="AYZ2" s="484"/>
      <c r="AZA2" s="484"/>
      <c r="AZB2" s="484"/>
      <c r="AZC2" s="484"/>
      <c r="AZD2" s="484"/>
      <c r="AZE2" s="484"/>
      <c r="AZF2" s="484"/>
      <c r="AZG2" s="484"/>
      <c r="AZH2" s="484"/>
      <c r="AZI2" s="484"/>
      <c r="AZJ2" s="484"/>
      <c r="AZK2" s="484"/>
      <c r="AZL2" s="484"/>
      <c r="AZM2" s="484"/>
      <c r="AZN2" s="484"/>
      <c r="AZO2" s="484"/>
      <c r="AZP2" s="484"/>
      <c r="AZQ2" s="484"/>
      <c r="AZR2" s="484"/>
      <c r="AZS2" s="484"/>
      <c r="AZT2" s="484"/>
      <c r="AZU2" s="484"/>
      <c r="AZV2" s="484"/>
      <c r="AZW2" s="484"/>
      <c r="AZX2" s="484"/>
      <c r="AZY2" s="484"/>
      <c r="AZZ2" s="484"/>
      <c r="BAA2" s="484"/>
      <c r="BAB2" s="484"/>
      <c r="BAC2" s="484"/>
      <c r="BAD2" s="484"/>
      <c r="BAE2" s="484"/>
      <c r="BAF2" s="484"/>
      <c r="BAG2" s="484"/>
      <c r="BAH2" s="484"/>
      <c r="BAI2" s="484"/>
      <c r="BAJ2" s="484"/>
      <c r="BAK2" s="484"/>
      <c r="BAL2" s="484"/>
      <c r="BAM2" s="484"/>
      <c r="BAN2" s="484"/>
      <c r="BAO2" s="484"/>
      <c r="BAP2" s="484"/>
      <c r="BAQ2" s="484"/>
      <c r="BAR2" s="484"/>
      <c r="BAS2" s="484"/>
      <c r="BAT2" s="484"/>
      <c r="BAU2" s="484"/>
      <c r="BAV2" s="484"/>
      <c r="BAW2" s="484"/>
      <c r="BAX2" s="484"/>
      <c r="BAY2" s="484"/>
      <c r="BAZ2" s="484"/>
      <c r="BBA2" s="484"/>
      <c r="BBB2" s="484"/>
      <c r="BBC2" s="484"/>
      <c r="BBD2" s="484"/>
      <c r="BBE2" s="484"/>
      <c r="BBF2" s="484"/>
      <c r="BBG2" s="484"/>
      <c r="BBH2" s="484"/>
      <c r="BBI2" s="484"/>
      <c r="BBJ2" s="484"/>
      <c r="BBK2" s="484"/>
      <c r="BBL2" s="484"/>
      <c r="BBM2" s="484"/>
      <c r="BBN2" s="484"/>
      <c r="BBO2" s="484"/>
      <c r="BBP2" s="484"/>
      <c r="BBQ2" s="484"/>
      <c r="BBR2" s="484"/>
      <c r="BBS2" s="484"/>
      <c r="BBT2" s="484"/>
      <c r="BBU2" s="484"/>
      <c r="BBV2" s="484"/>
      <c r="BBW2" s="484"/>
      <c r="BBX2" s="484"/>
      <c r="BBY2" s="484"/>
      <c r="BBZ2" s="484"/>
      <c r="BCA2" s="484"/>
      <c r="BCB2" s="484"/>
      <c r="BCC2" s="484"/>
      <c r="BCD2" s="484"/>
      <c r="BCE2" s="484"/>
      <c r="BCF2" s="484"/>
      <c r="BCG2" s="484"/>
      <c r="BCH2" s="484"/>
      <c r="BCI2" s="484"/>
      <c r="BCJ2" s="484"/>
      <c r="BCK2" s="484"/>
      <c r="BCL2" s="484"/>
      <c r="BCM2" s="484"/>
      <c r="BCN2" s="484"/>
      <c r="BCO2" s="484"/>
      <c r="BCP2" s="484"/>
      <c r="BCQ2" s="484"/>
      <c r="BCR2" s="484"/>
      <c r="BCS2" s="484"/>
      <c r="BCT2" s="484"/>
      <c r="BCU2" s="484"/>
      <c r="BCV2" s="484"/>
      <c r="BCW2" s="484"/>
      <c r="BCX2" s="484"/>
      <c r="BCY2" s="484"/>
      <c r="BCZ2" s="484"/>
      <c r="BDA2" s="484"/>
      <c r="BDB2" s="484"/>
      <c r="BDC2" s="484"/>
      <c r="BDD2" s="484"/>
      <c r="BDE2" s="484"/>
      <c r="BDF2" s="484"/>
      <c r="BDG2" s="484"/>
      <c r="BDH2" s="484"/>
      <c r="BDI2" s="484"/>
      <c r="BDJ2" s="484"/>
      <c r="BDK2" s="484"/>
      <c r="BDL2" s="484"/>
      <c r="BDM2" s="484"/>
      <c r="BDN2" s="484"/>
      <c r="BDO2" s="484"/>
      <c r="BDP2" s="484"/>
      <c r="BDQ2" s="484"/>
      <c r="BDR2" s="484"/>
      <c r="BDS2" s="484"/>
      <c r="BDT2" s="484"/>
      <c r="BDU2" s="484"/>
      <c r="BDV2" s="484"/>
      <c r="BDW2" s="484"/>
      <c r="BDX2" s="484"/>
      <c r="BDY2" s="484"/>
      <c r="BDZ2" s="484"/>
      <c r="BEA2" s="484"/>
      <c r="BEB2" s="484"/>
      <c r="BEC2" s="484"/>
      <c r="BED2" s="484"/>
      <c r="BEE2" s="484"/>
      <c r="BEF2" s="484"/>
      <c r="BEG2" s="484"/>
      <c r="BEH2" s="484"/>
      <c r="BEI2" s="484"/>
      <c r="BEJ2" s="484"/>
      <c r="BEK2" s="484"/>
      <c r="BEL2" s="484"/>
      <c r="BEM2" s="484"/>
      <c r="BEN2" s="484"/>
      <c r="BEO2" s="484"/>
      <c r="BEP2" s="484"/>
      <c r="BEQ2" s="484"/>
      <c r="BER2" s="484"/>
      <c r="BES2" s="484"/>
      <c r="BET2" s="484"/>
      <c r="BEU2" s="484"/>
      <c r="BEV2" s="484"/>
      <c r="BEW2" s="484"/>
      <c r="BEX2" s="484"/>
      <c r="BEY2" s="484"/>
      <c r="BEZ2" s="484"/>
      <c r="BFA2" s="484"/>
      <c r="BFB2" s="484"/>
      <c r="BFC2" s="484"/>
      <c r="BFD2" s="484"/>
      <c r="BFE2" s="484"/>
      <c r="BFF2" s="484"/>
      <c r="BFG2" s="484"/>
      <c r="BFH2" s="484"/>
      <c r="BFI2" s="484"/>
      <c r="BFJ2" s="484"/>
      <c r="BFK2" s="484"/>
      <c r="BFL2" s="484"/>
      <c r="BFM2" s="484"/>
      <c r="BFN2" s="484"/>
      <c r="BFO2" s="484"/>
      <c r="BFP2" s="484"/>
      <c r="BFQ2" s="484"/>
      <c r="BFR2" s="484"/>
      <c r="BFS2" s="484"/>
      <c r="BFT2" s="484"/>
      <c r="BFU2" s="484"/>
      <c r="BFV2" s="484"/>
      <c r="BFW2" s="484"/>
      <c r="BFX2" s="484"/>
      <c r="BFY2" s="484"/>
      <c r="BFZ2" s="484"/>
      <c r="BGA2" s="484"/>
      <c r="BGB2" s="484"/>
      <c r="BGC2" s="484"/>
      <c r="BGD2" s="484"/>
      <c r="BGE2" s="484"/>
      <c r="BGF2" s="484"/>
      <c r="BGG2" s="484"/>
      <c r="BGH2" s="484"/>
      <c r="BGI2" s="484"/>
      <c r="BGJ2" s="484"/>
      <c r="BGK2" s="484"/>
      <c r="BGL2" s="484"/>
      <c r="BGM2" s="484"/>
      <c r="BGN2" s="484"/>
      <c r="BGO2" s="484"/>
      <c r="BGP2" s="484"/>
      <c r="BGQ2" s="484"/>
      <c r="BGR2" s="484"/>
      <c r="BGS2" s="484"/>
      <c r="BGT2" s="484"/>
      <c r="BGU2" s="484"/>
      <c r="BGV2" s="484"/>
      <c r="BGW2" s="484"/>
      <c r="BGX2" s="484"/>
      <c r="BGY2" s="484"/>
      <c r="BGZ2" s="484"/>
      <c r="BHA2" s="484"/>
      <c r="BHB2" s="484"/>
      <c r="BHC2" s="484"/>
      <c r="BHD2" s="484"/>
      <c r="BHE2" s="484"/>
      <c r="BHF2" s="484"/>
      <c r="BHG2" s="484"/>
      <c r="BHH2" s="484"/>
      <c r="BHI2" s="484"/>
      <c r="BHJ2" s="484"/>
      <c r="BHK2" s="484"/>
      <c r="BHL2" s="484"/>
      <c r="BHM2" s="484"/>
      <c r="BHN2" s="484"/>
      <c r="BHO2" s="484"/>
      <c r="BHP2" s="484"/>
      <c r="BHQ2" s="484"/>
      <c r="BHR2" s="484"/>
      <c r="BHS2" s="484"/>
      <c r="BHT2" s="484"/>
      <c r="BHU2" s="484"/>
      <c r="BHV2" s="484"/>
      <c r="BHW2" s="484"/>
      <c r="BHX2" s="484"/>
      <c r="BHY2" s="484"/>
      <c r="BHZ2" s="484"/>
      <c r="BIA2" s="484"/>
      <c r="BIB2" s="484"/>
      <c r="BIC2" s="484"/>
      <c r="BID2" s="484"/>
      <c r="BIE2" s="484"/>
      <c r="BIF2" s="484"/>
      <c r="BIG2" s="484"/>
      <c r="BIH2" s="484"/>
      <c r="BII2" s="484"/>
      <c r="BIJ2" s="484"/>
      <c r="BIK2" s="484"/>
      <c r="BIL2" s="484"/>
      <c r="BIM2" s="484"/>
      <c r="BIN2" s="484"/>
      <c r="BIO2" s="484"/>
      <c r="BIP2" s="484"/>
      <c r="BIQ2" s="484"/>
      <c r="BIR2" s="484"/>
      <c r="BIS2" s="484"/>
      <c r="BIT2" s="484"/>
      <c r="BIU2" s="484"/>
      <c r="BIV2" s="484"/>
      <c r="BIW2" s="484"/>
      <c r="BIX2" s="484"/>
      <c r="BIY2" s="484"/>
      <c r="BIZ2" s="484"/>
      <c r="BJA2" s="484"/>
      <c r="BJB2" s="484"/>
      <c r="BJC2" s="484"/>
      <c r="BJD2" s="484"/>
      <c r="BJE2" s="484"/>
      <c r="BJF2" s="484"/>
      <c r="BJG2" s="484"/>
      <c r="BJH2" s="484"/>
      <c r="BJI2" s="484"/>
      <c r="BJJ2" s="484"/>
      <c r="BJK2" s="484"/>
      <c r="BJL2" s="484"/>
      <c r="BJM2" s="484"/>
      <c r="BJN2" s="484"/>
      <c r="BJO2" s="484"/>
      <c r="BJP2" s="484"/>
      <c r="BJQ2" s="484"/>
      <c r="BJR2" s="484"/>
      <c r="BJS2" s="484"/>
      <c r="BJT2" s="484"/>
      <c r="BJU2" s="484"/>
      <c r="BJV2" s="484"/>
      <c r="BJW2" s="484"/>
      <c r="BJX2" s="484"/>
      <c r="BJY2" s="484"/>
      <c r="BJZ2" s="484"/>
      <c r="BKA2" s="484"/>
      <c r="BKB2" s="484"/>
      <c r="BKC2" s="484"/>
      <c r="BKD2" s="484"/>
      <c r="BKE2" s="484"/>
      <c r="BKF2" s="484"/>
      <c r="BKG2" s="484"/>
      <c r="BKH2" s="484"/>
      <c r="BKI2" s="484"/>
      <c r="BKJ2" s="484"/>
      <c r="BKK2" s="484"/>
      <c r="BKL2" s="484"/>
      <c r="BKM2" s="484"/>
      <c r="BKN2" s="484"/>
      <c r="BKO2" s="484"/>
      <c r="BKP2" s="484"/>
      <c r="BKQ2" s="484"/>
      <c r="BKR2" s="484"/>
      <c r="BKS2" s="484"/>
      <c r="BKT2" s="484"/>
      <c r="BKU2" s="484"/>
      <c r="BKV2" s="484"/>
      <c r="BKW2" s="484"/>
      <c r="BKX2" s="484"/>
      <c r="BKY2" s="484"/>
      <c r="BKZ2" s="484"/>
      <c r="BLA2" s="484"/>
      <c r="BLB2" s="484"/>
      <c r="BLC2" s="484"/>
      <c r="BLD2" s="484"/>
      <c r="BLE2" s="484"/>
      <c r="BLF2" s="484"/>
      <c r="BLG2" s="484"/>
      <c r="BLH2" s="484"/>
      <c r="BLI2" s="484"/>
      <c r="BLJ2" s="484"/>
      <c r="BLK2" s="484"/>
      <c r="BLL2" s="484"/>
      <c r="BLM2" s="484"/>
      <c r="BLN2" s="484"/>
      <c r="BLO2" s="484"/>
      <c r="BLP2" s="484"/>
      <c r="BLQ2" s="484"/>
      <c r="BLR2" s="484"/>
      <c r="BLS2" s="484"/>
      <c r="BLT2" s="484"/>
      <c r="BLU2" s="484"/>
      <c r="BLV2" s="484"/>
      <c r="BLW2" s="484"/>
      <c r="BLX2" s="484"/>
      <c r="BLY2" s="484"/>
      <c r="BLZ2" s="484"/>
      <c r="BMA2" s="484"/>
      <c r="BMB2" s="484"/>
      <c r="BMC2" s="484"/>
      <c r="BMD2" s="484"/>
      <c r="BME2" s="484"/>
      <c r="BMF2" s="484"/>
      <c r="BMG2" s="484"/>
      <c r="BMH2" s="484"/>
      <c r="BMI2" s="484"/>
      <c r="BMJ2" s="484"/>
      <c r="BMK2" s="484"/>
      <c r="BML2" s="484"/>
      <c r="BMM2" s="484"/>
      <c r="BMN2" s="484"/>
      <c r="BMO2" s="484"/>
      <c r="BMP2" s="484"/>
      <c r="BMQ2" s="484"/>
      <c r="BMR2" s="484"/>
      <c r="BMS2" s="484"/>
      <c r="BMT2" s="484"/>
      <c r="BMU2" s="484"/>
      <c r="BMV2" s="484"/>
      <c r="BMW2" s="484"/>
      <c r="BMX2" s="484"/>
      <c r="BMY2" s="484"/>
      <c r="BMZ2" s="484"/>
      <c r="BNA2" s="484"/>
      <c r="BNB2" s="484"/>
      <c r="BNC2" s="484"/>
      <c r="BND2" s="484"/>
      <c r="BNE2" s="484"/>
      <c r="BNF2" s="484"/>
      <c r="BNG2" s="484"/>
      <c r="BNH2" s="484"/>
      <c r="BNI2" s="484"/>
      <c r="BNJ2" s="484"/>
      <c r="BNK2" s="484"/>
      <c r="BNL2" s="484"/>
      <c r="BNM2" s="484"/>
      <c r="BNN2" s="484"/>
      <c r="BNO2" s="484"/>
      <c r="BNP2" s="484"/>
      <c r="BNQ2" s="484"/>
      <c r="BNR2" s="484"/>
      <c r="BNS2" s="484"/>
      <c r="BNT2" s="484"/>
      <c r="BNU2" s="484"/>
      <c r="BNV2" s="484"/>
      <c r="BNW2" s="484"/>
      <c r="BNX2" s="484"/>
      <c r="BNY2" s="484"/>
      <c r="BNZ2" s="484"/>
      <c r="BOA2" s="484"/>
      <c r="BOB2" s="484"/>
      <c r="BOC2" s="484"/>
      <c r="BOD2" s="484"/>
      <c r="BOE2" s="484"/>
      <c r="BOF2" s="484"/>
      <c r="BOG2" s="484"/>
      <c r="BOH2" s="484"/>
      <c r="BOI2" s="484"/>
      <c r="BOJ2" s="484"/>
      <c r="BOK2" s="484"/>
      <c r="BOL2" s="484"/>
      <c r="BOM2" s="484"/>
      <c r="BON2" s="484"/>
      <c r="BOO2" s="484"/>
      <c r="BOP2" s="484"/>
      <c r="BOQ2" s="484"/>
      <c r="BOR2" s="484"/>
      <c r="BOS2" s="484"/>
      <c r="BOT2" s="484"/>
      <c r="BOU2" s="484"/>
      <c r="BOV2" s="484"/>
      <c r="BOW2" s="484"/>
      <c r="BOX2" s="484"/>
      <c r="BOY2" s="484"/>
      <c r="BOZ2" s="484"/>
      <c r="BPA2" s="484"/>
      <c r="BPB2" s="484"/>
      <c r="BPC2" s="484"/>
      <c r="BPD2" s="484"/>
      <c r="BPE2" s="484"/>
      <c r="BPF2" s="484"/>
      <c r="BPG2" s="484"/>
      <c r="BPH2" s="484"/>
      <c r="BPI2" s="484"/>
      <c r="BPJ2" s="484"/>
      <c r="BPK2" s="484"/>
      <c r="BPL2" s="484"/>
      <c r="BPM2" s="484"/>
      <c r="BPN2" s="484"/>
      <c r="BPO2" s="484"/>
      <c r="BPP2" s="484"/>
      <c r="BPQ2" s="484"/>
      <c r="BPR2" s="484"/>
      <c r="BPS2" s="484"/>
      <c r="BPT2" s="484"/>
      <c r="BPU2" s="484"/>
      <c r="BPV2" s="484"/>
      <c r="BPW2" s="484"/>
      <c r="BPX2" s="484"/>
      <c r="BPY2" s="484"/>
      <c r="BPZ2" s="484"/>
      <c r="BQA2" s="484"/>
      <c r="BQB2" s="484"/>
      <c r="BQC2" s="484"/>
      <c r="BQD2" s="484"/>
      <c r="BQE2" s="484"/>
      <c r="BQF2" s="484"/>
      <c r="BQG2" s="484"/>
      <c r="BQH2" s="484"/>
      <c r="BQI2" s="484"/>
      <c r="BQJ2" s="484"/>
      <c r="BQK2" s="484"/>
      <c r="BQL2" s="484"/>
      <c r="BQM2" s="484"/>
      <c r="BQN2" s="484"/>
      <c r="BQO2" s="484"/>
      <c r="BQP2" s="484"/>
      <c r="BQQ2" s="484"/>
      <c r="BQR2" s="484"/>
      <c r="BQS2" s="484"/>
      <c r="BQT2" s="484"/>
      <c r="BQU2" s="484"/>
      <c r="BQV2" s="484"/>
      <c r="BQW2" s="484"/>
      <c r="BQX2" s="484"/>
      <c r="BQY2" s="484"/>
      <c r="BQZ2" s="484"/>
      <c r="BRA2" s="484"/>
      <c r="BRB2" s="484"/>
      <c r="BRC2" s="484"/>
      <c r="BRD2" s="484"/>
      <c r="BRE2" s="484"/>
      <c r="BRF2" s="484"/>
      <c r="BRG2" s="484"/>
      <c r="BRH2" s="484"/>
      <c r="BRI2" s="484"/>
      <c r="BRJ2" s="484"/>
      <c r="BRK2" s="484"/>
      <c r="BRL2" s="484"/>
      <c r="BRM2" s="484"/>
      <c r="BRN2" s="484"/>
      <c r="BRO2" s="484"/>
      <c r="BRP2" s="484"/>
      <c r="BRQ2" s="484"/>
      <c r="BRR2" s="484"/>
      <c r="BRS2" s="484"/>
      <c r="BRT2" s="484"/>
      <c r="BRU2" s="484"/>
      <c r="BRV2" s="484"/>
      <c r="BRW2" s="484"/>
      <c r="BRX2" s="484"/>
      <c r="BRY2" s="484"/>
      <c r="BRZ2" s="484"/>
      <c r="BSA2" s="484"/>
      <c r="BSB2" s="484"/>
      <c r="BSC2" s="484"/>
      <c r="BSD2" s="484"/>
      <c r="BSE2" s="484"/>
      <c r="BSF2" s="484"/>
      <c r="BSG2" s="484"/>
      <c r="BSH2" s="484"/>
      <c r="BSI2" s="484"/>
      <c r="BSJ2" s="484"/>
      <c r="BSK2" s="484"/>
      <c r="BSL2" s="484"/>
      <c r="BSM2" s="484"/>
      <c r="BSN2" s="484"/>
      <c r="BSO2" s="484"/>
      <c r="BSP2" s="484"/>
      <c r="BSQ2" s="484"/>
      <c r="BSR2" s="484"/>
      <c r="BSS2" s="484"/>
      <c r="BST2" s="484"/>
      <c r="BSU2" s="484"/>
      <c r="BSV2" s="484"/>
      <c r="BSW2" s="484"/>
      <c r="BSX2" s="484"/>
      <c r="BSY2" s="484"/>
      <c r="BSZ2" s="484"/>
      <c r="BTA2" s="484"/>
      <c r="BTB2" s="484"/>
      <c r="BTC2" s="484"/>
      <c r="BTD2" s="484"/>
      <c r="BTE2" s="484"/>
      <c r="BTF2" s="484"/>
      <c r="BTG2" s="484"/>
      <c r="BTH2" s="484"/>
      <c r="BTI2" s="484"/>
      <c r="BTJ2" s="484"/>
      <c r="BTK2" s="484"/>
      <c r="BTL2" s="484"/>
      <c r="BTM2" s="484"/>
      <c r="BTN2" s="484"/>
      <c r="BTO2" s="484"/>
      <c r="BTP2" s="484"/>
      <c r="BTQ2" s="484"/>
      <c r="BTR2" s="484"/>
      <c r="BTS2" s="484"/>
      <c r="BTT2" s="484"/>
      <c r="BTU2" s="484"/>
      <c r="BTV2" s="484"/>
      <c r="BTW2" s="484"/>
      <c r="BTX2" s="484"/>
      <c r="BTY2" s="484"/>
      <c r="BTZ2" s="484"/>
      <c r="BUA2" s="484"/>
      <c r="BUB2" s="484"/>
      <c r="BUC2" s="484"/>
      <c r="BUD2" s="484"/>
      <c r="BUE2" s="484"/>
      <c r="BUF2" s="484"/>
      <c r="BUG2" s="484"/>
      <c r="BUH2" s="484"/>
      <c r="BUI2" s="484"/>
      <c r="BUJ2" s="484"/>
      <c r="BUK2" s="484"/>
      <c r="BUL2" s="484"/>
      <c r="BUM2" s="484"/>
      <c r="BUN2" s="484"/>
      <c r="BUO2" s="484"/>
      <c r="BUP2" s="484"/>
      <c r="BUQ2" s="484"/>
      <c r="BUR2" s="484"/>
      <c r="BUS2" s="484"/>
      <c r="BUT2" s="484"/>
      <c r="BUU2" s="484"/>
      <c r="BUV2" s="484"/>
      <c r="BUW2" s="484"/>
      <c r="BUX2" s="484"/>
      <c r="BUY2" s="484"/>
      <c r="BUZ2" s="484"/>
      <c r="BVA2" s="484"/>
      <c r="BVB2" s="484"/>
      <c r="BVC2" s="484"/>
      <c r="BVD2" s="484"/>
      <c r="BVE2" s="484"/>
      <c r="BVF2" s="484"/>
      <c r="BVG2" s="484"/>
      <c r="BVH2" s="484"/>
      <c r="BVI2" s="484"/>
      <c r="BVJ2" s="484"/>
      <c r="BVK2" s="484"/>
      <c r="BVL2" s="484"/>
      <c r="BVM2" s="484"/>
      <c r="BVN2" s="484"/>
      <c r="BVO2" s="484"/>
      <c r="BVP2" s="484"/>
      <c r="BVQ2" s="484"/>
      <c r="BVR2" s="484"/>
      <c r="BVS2" s="484"/>
      <c r="BVT2" s="484"/>
      <c r="BVU2" s="484"/>
      <c r="BVV2" s="484"/>
      <c r="BVW2" s="484"/>
      <c r="BVX2" s="484"/>
      <c r="BVY2" s="484"/>
      <c r="BVZ2" s="484"/>
      <c r="BWA2" s="484"/>
      <c r="BWB2" s="484"/>
      <c r="BWC2" s="484"/>
      <c r="BWD2" s="484"/>
      <c r="BWE2" s="484"/>
      <c r="BWF2" s="484"/>
      <c r="BWG2" s="484"/>
      <c r="BWH2" s="484"/>
      <c r="BWI2" s="484"/>
      <c r="BWJ2" s="484"/>
      <c r="BWK2" s="484"/>
      <c r="BWL2" s="484"/>
      <c r="BWM2" s="484"/>
      <c r="BWN2" s="484"/>
      <c r="BWO2" s="484"/>
      <c r="BWP2" s="484"/>
      <c r="BWQ2" s="484"/>
      <c r="BWR2" s="484"/>
      <c r="BWS2" s="484"/>
      <c r="BWT2" s="484"/>
      <c r="BWU2" s="484"/>
      <c r="BWV2" s="484"/>
      <c r="BWW2" s="484"/>
      <c r="BWX2" s="484"/>
      <c r="BWY2" s="484"/>
      <c r="BWZ2" s="484"/>
      <c r="BXA2" s="484"/>
      <c r="BXB2" s="484"/>
      <c r="BXC2" s="484"/>
      <c r="BXD2" s="484"/>
      <c r="BXE2" s="484"/>
      <c r="BXF2" s="484"/>
      <c r="BXG2" s="484"/>
      <c r="BXH2" s="484"/>
      <c r="BXI2" s="484"/>
      <c r="BXJ2" s="484"/>
      <c r="BXK2" s="484"/>
      <c r="BXL2" s="484"/>
      <c r="BXM2" s="484"/>
      <c r="BXN2" s="484"/>
      <c r="BXO2" s="484"/>
      <c r="BXP2" s="484"/>
      <c r="BXQ2" s="484"/>
      <c r="BXR2" s="484"/>
      <c r="BXS2" s="484"/>
      <c r="BXT2" s="484"/>
      <c r="BXU2" s="484"/>
      <c r="BXV2" s="484"/>
      <c r="BXW2" s="484"/>
      <c r="BXX2" s="484"/>
      <c r="BXY2" s="484"/>
      <c r="BXZ2" s="484"/>
      <c r="BYA2" s="484"/>
      <c r="BYB2" s="484"/>
      <c r="BYC2" s="484"/>
      <c r="BYD2" s="484"/>
      <c r="BYE2" s="484"/>
      <c r="BYF2" s="484"/>
      <c r="BYG2" s="484"/>
      <c r="BYH2" s="484"/>
      <c r="BYI2" s="484"/>
      <c r="BYJ2" s="484"/>
      <c r="BYK2" s="484"/>
      <c r="BYL2" s="484"/>
      <c r="BYM2" s="484"/>
      <c r="BYN2" s="484"/>
      <c r="BYO2" s="484"/>
      <c r="BYP2" s="484"/>
      <c r="BYQ2" s="484"/>
      <c r="BYR2" s="484"/>
      <c r="BYS2" s="484"/>
      <c r="BYT2" s="484"/>
      <c r="BYU2" s="484"/>
      <c r="BYV2" s="484"/>
      <c r="BYW2" s="484"/>
      <c r="BYX2" s="484"/>
      <c r="BYY2" s="484"/>
      <c r="BYZ2" s="484"/>
      <c r="BZA2" s="484"/>
      <c r="BZB2" s="484"/>
      <c r="BZC2" s="484"/>
      <c r="BZD2" s="484"/>
      <c r="BZE2" s="484"/>
      <c r="BZF2" s="484"/>
      <c r="BZG2" s="484"/>
      <c r="BZH2" s="484"/>
      <c r="BZI2" s="484"/>
      <c r="BZJ2" s="484"/>
      <c r="BZK2" s="484"/>
      <c r="BZL2" s="484"/>
      <c r="BZM2" s="484"/>
      <c r="BZN2" s="484"/>
      <c r="BZO2" s="484"/>
      <c r="BZP2" s="484"/>
      <c r="BZQ2" s="484"/>
      <c r="BZR2" s="484"/>
      <c r="BZS2" s="484"/>
      <c r="BZT2" s="484"/>
      <c r="BZU2" s="484"/>
      <c r="BZV2" s="484"/>
      <c r="BZW2" s="484"/>
      <c r="BZX2" s="484"/>
      <c r="BZY2" s="484"/>
      <c r="BZZ2" s="484"/>
      <c r="CAA2" s="484"/>
      <c r="CAB2" s="484"/>
      <c r="CAC2" s="484"/>
      <c r="CAD2" s="484"/>
      <c r="CAE2" s="484"/>
      <c r="CAF2" s="484"/>
      <c r="CAG2" s="484"/>
      <c r="CAH2" s="484"/>
      <c r="CAI2" s="484"/>
      <c r="CAJ2" s="484"/>
      <c r="CAK2" s="484"/>
      <c r="CAL2" s="484"/>
      <c r="CAM2" s="484"/>
      <c r="CAN2" s="484"/>
      <c r="CAO2" s="484"/>
      <c r="CAP2" s="484"/>
      <c r="CAQ2" s="484"/>
      <c r="CAR2" s="484"/>
      <c r="CAS2" s="484"/>
      <c r="CAT2" s="484"/>
      <c r="CAU2" s="484"/>
      <c r="CAV2" s="484"/>
      <c r="CAW2" s="484"/>
      <c r="CAX2" s="484"/>
      <c r="CAY2" s="484"/>
      <c r="CAZ2" s="484"/>
      <c r="CBA2" s="484"/>
      <c r="CBB2" s="484"/>
      <c r="CBC2" s="484"/>
      <c r="CBD2" s="484"/>
      <c r="CBE2" s="484"/>
      <c r="CBF2" s="484"/>
      <c r="CBG2" s="484"/>
      <c r="CBH2" s="484"/>
      <c r="CBI2" s="484"/>
      <c r="CBJ2" s="484"/>
      <c r="CBK2" s="484"/>
      <c r="CBL2" s="484"/>
      <c r="CBM2" s="484"/>
      <c r="CBN2" s="484"/>
      <c r="CBO2" s="484"/>
      <c r="CBP2" s="484"/>
      <c r="CBQ2" s="484"/>
      <c r="CBR2" s="484"/>
      <c r="CBS2" s="484"/>
      <c r="CBT2" s="484"/>
      <c r="CBU2" s="484"/>
      <c r="CBV2" s="484"/>
      <c r="CBW2" s="484"/>
      <c r="CBX2" s="484"/>
      <c r="CBY2" s="484"/>
      <c r="CBZ2" s="484"/>
      <c r="CCA2" s="484"/>
      <c r="CCB2" s="484"/>
      <c r="CCC2" s="484"/>
      <c r="CCD2" s="484"/>
      <c r="CCE2" s="484"/>
      <c r="CCF2" s="484"/>
      <c r="CCG2" s="484"/>
      <c r="CCH2" s="484"/>
      <c r="CCI2" s="484"/>
      <c r="CCJ2" s="484"/>
      <c r="CCK2" s="484"/>
      <c r="CCL2" s="484"/>
      <c r="CCM2" s="484"/>
      <c r="CCN2" s="484"/>
      <c r="CCO2" s="484"/>
      <c r="CCP2" s="484"/>
      <c r="CCQ2" s="484"/>
      <c r="CCR2" s="484"/>
      <c r="CCS2" s="484"/>
      <c r="CCT2" s="484"/>
      <c r="CCU2" s="484"/>
      <c r="CCV2" s="484"/>
      <c r="CCW2" s="484"/>
      <c r="CCX2" s="484"/>
      <c r="CCY2" s="484"/>
      <c r="CCZ2" s="484"/>
      <c r="CDA2" s="484"/>
      <c r="CDB2" s="484"/>
      <c r="CDC2" s="484"/>
      <c r="CDD2" s="484"/>
      <c r="CDE2" s="484"/>
      <c r="CDF2" s="484"/>
      <c r="CDG2" s="484"/>
      <c r="CDH2" s="484"/>
      <c r="CDI2" s="484"/>
      <c r="CDJ2" s="484"/>
      <c r="CDK2" s="484"/>
      <c r="CDL2" s="484"/>
      <c r="CDM2" s="484"/>
      <c r="CDN2" s="484"/>
      <c r="CDO2" s="484"/>
      <c r="CDP2" s="484"/>
      <c r="CDQ2" s="484"/>
      <c r="CDR2" s="484"/>
      <c r="CDS2" s="484"/>
      <c r="CDT2" s="484"/>
      <c r="CDU2" s="484"/>
      <c r="CDV2" s="484"/>
      <c r="CDW2" s="484"/>
      <c r="CDX2" s="484"/>
      <c r="CDY2" s="484"/>
      <c r="CDZ2" s="484"/>
      <c r="CEA2" s="484"/>
      <c r="CEB2" s="484"/>
      <c r="CEC2" s="484"/>
      <c r="CED2" s="484"/>
      <c r="CEE2" s="484"/>
      <c r="CEF2" s="484"/>
      <c r="CEG2" s="484"/>
      <c r="CEH2" s="484"/>
      <c r="CEI2" s="484"/>
      <c r="CEJ2" s="484"/>
      <c r="CEK2" s="484"/>
      <c r="CEL2" s="484"/>
      <c r="CEM2" s="484"/>
      <c r="CEN2" s="484"/>
      <c r="CEO2" s="484"/>
      <c r="CEP2" s="484"/>
      <c r="CEQ2" s="484"/>
      <c r="CER2" s="484"/>
      <c r="CES2" s="484"/>
      <c r="CET2" s="484"/>
      <c r="CEU2" s="484"/>
      <c r="CEV2" s="484"/>
      <c r="CEW2" s="484"/>
      <c r="CEX2" s="484"/>
      <c r="CEY2" s="484"/>
      <c r="CEZ2" s="484"/>
      <c r="CFA2" s="484"/>
      <c r="CFB2" s="484"/>
      <c r="CFC2" s="484"/>
      <c r="CFD2" s="484"/>
      <c r="CFE2" s="484"/>
      <c r="CFF2" s="484"/>
      <c r="CFG2" s="484"/>
      <c r="CFH2" s="484"/>
      <c r="CFI2" s="484"/>
      <c r="CFJ2" s="484"/>
      <c r="CFK2" s="484"/>
      <c r="CFL2" s="484"/>
      <c r="CFM2" s="484"/>
      <c r="CFN2" s="484"/>
      <c r="CFO2" s="484"/>
      <c r="CFP2" s="484"/>
      <c r="CFQ2" s="484"/>
      <c r="CFR2" s="484"/>
      <c r="CFS2" s="484"/>
      <c r="CFT2" s="484"/>
      <c r="CFU2" s="484"/>
      <c r="CFV2" s="484"/>
      <c r="CFW2" s="484"/>
      <c r="CFX2" s="484"/>
      <c r="CFY2" s="484"/>
      <c r="CFZ2" s="484"/>
      <c r="CGA2" s="484"/>
      <c r="CGB2" s="484"/>
      <c r="CGC2" s="484"/>
      <c r="CGD2" s="484"/>
      <c r="CGE2" s="484"/>
      <c r="CGF2" s="484"/>
      <c r="CGG2" s="484"/>
      <c r="CGH2" s="484"/>
      <c r="CGI2" s="484"/>
      <c r="CGJ2" s="484"/>
      <c r="CGK2" s="484"/>
      <c r="CGL2" s="484"/>
      <c r="CGM2" s="484"/>
      <c r="CGN2" s="484"/>
      <c r="CGO2" s="484"/>
      <c r="CGP2" s="484"/>
      <c r="CGQ2" s="484"/>
      <c r="CGR2" s="484"/>
      <c r="CGS2" s="484"/>
      <c r="CGT2" s="484"/>
      <c r="CGU2" s="484"/>
      <c r="CGV2" s="484"/>
      <c r="CGW2" s="484"/>
      <c r="CGX2" s="484"/>
      <c r="CGY2" s="484"/>
      <c r="CGZ2" s="484"/>
      <c r="CHA2" s="484"/>
      <c r="CHB2" s="484"/>
      <c r="CHC2" s="484"/>
      <c r="CHD2" s="484"/>
      <c r="CHE2" s="484"/>
      <c r="CHF2" s="484"/>
      <c r="CHG2" s="484"/>
      <c r="CHH2" s="484"/>
      <c r="CHI2" s="484"/>
      <c r="CHJ2" s="484"/>
      <c r="CHK2" s="484"/>
      <c r="CHL2" s="484"/>
      <c r="CHM2" s="484"/>
      <c r="CHN2" s="484"/>
      <c r="CHO2" s="484"/>
      <c r="CHP2" s="484"/>
      <c r="CHQ2" s="484"/>
      <c r="CHR2" s="484"/>
      <c r="CHS2" s="484"/>
      <c r="CHT2" s="484"/>
      <c r="CHU2" s="484"/>
      <c r="CHV2" s="484"/>
      <c r="CHW2" s="484"/>
      <c r="CHX2" s="484"/>
      <c r="CHY2" s="484"/>
      <c r="CHZ2" s="484"/>
      <c r="CIA2" s="484"/>
      <c r="CIB2" s="484"/>
      <c r="CIC2" s="484"/>
      <c r="CID2" s="484"/>
      <c r="CIE2" s="484"/>
      <c r="CIF2" s="484"/>
      <c r="CIG2" s="484"/>
      <c r="CIH2" s="484"/>
      <c r="CII2" s="484"/>
      <c r="CIJ2" s="484"/>
      <c r="CIK2" s="484"/>
      <c r="CIL2" s="484"/>
      <c r="CIM2" s="484"/>
      <c r="CIN2" s="484"/>
      <c r="CIO2" s="484"/>
      <c r="CIP2" s="484"/>
      <c r="CIQ2" s="484"/>
      <c r="CIR2" s="484"/>
      <c r="CIS2" s="484"/>
      <c r="CIT2" s="484"/>
      <c r="CIU2" s="484"/>
      <c r="CIV2" s="484"/>
      <c r="CIW2" s="484"/>
      <c r="CIX2" s="484"/>
      <c r="CIY2" s="484"/>
      <c r="CIZ2" s="484"/>
      <c r="CJA2" s="484"/>
      <c r="CJB2" s="484"/>
      <c r="CJC2" s="484"/>
      <c r="CJD2" s="484"/>
      <c r="CJE2" s="484"/>
      <c r="CJF2" s="484"/>
      <c r="CJG2" s="484"/>
      <c r="CJH2" s="484"/>
      <c r="CJI2" s="484"/>
      <c r="CJJ2" s="484"/>
      <c r="CJK2" s="484"/>
      <c r="CJL2" s="484"/>
      <c r="CJM2" s="484"/>
      <c r="CJN2" s="484"/>
      <c r="CJO2" s="484"/>
      <c r="CJP2" s="484"/>
      <c r="CJQ2" s="484"/>
      <c r="CJR2" s="484"/>
      <c r="CJS2" s="484"/>
      <c r="CJT2" s="484"/>
      <c r="CJU2" s="484"/>
      <c r="CJV2" s="484"/>
      <c r="CJW2" s="484"/>
      <c r="CJX2" s="484"/>
      <c r="CJY2" s="484"/>
      <c r="CJZ2" s="484"/>
      <c r="CKA2" s="484"/>
      <c r="CKB2" s="484"/>
      <c r="CKC2" s="484"/>
      <c r="CKD2" s="484"/>
      <c r="CKE2" s="484"/>
      <c r="CKF2" s="484"/>
      <c r="CKG2" s="484"/>
      <c r="CKH2" s="484"/>
      <c r="CKI2" s="484"/>
      <c r="CKJ2" s="484"/>
      <c r="CKK2" s="484"/>
      <c r="CKL2" s="484"/>
      <c r="CKM2" s="484"/>
      <c r="CKN2" s="484"/>
      <c r="CKO2" s="484"/>
      <c r="CKP2" s="484"/>
      <c r="CKQ2" s="484"/>
      <c r="CKR2" s="484"/>
      <c r="CKS2" s="484"/>
      <c r="CKT2" s="484"/>
      <c r="CKU2" s="484"/>
      <c r="CKV2" s="484"/>
      <c r="CKW2" s="484"/>
      <c r="CKX2" s="484"/>
      <c r="CKY2" s="484"/>
      <c r="CKZ2" s="484"/>
      <c r="CLA2" s="484"/>
      <c r="CLB2" s="484"/>
      <c r="CLC2" s="484"/>
      <c r="CLD2" s="484"/>
      <c r="CLE2" s="484"/>
      <c r="CLF2" s="484"/>
      <c r="CLG2" s="484"/>
      <c r="CLH2" s="484"/>
      <c r="CLI2" s="484"/>
      <c r="CLJ2" s="484"/>
      <c r="CLK2" s="484"/>
      <c r="CLL2" s="484"/>
      <c r="CLM2" s="484"/>
      <c r="CLN2" s="484"/>
      <c r="CLO2" s="484"/>
      <c r="CLP2" s="484"/>
      <c r="CLQ2" s="484"/>
      <c r="CLR2" s="484"/>
      <c r="CLS2" s="484"/>
      <c r="CLT2" s="484"/>
      <c r="CLU2" s="484"/>
      <c r="CLV2" s="484"/>
      <c r="CLW2" s="484"/>
      <c r="CLX2" s="484"/>
      <c r="CLY2" s="484"/>
      <c r="CLZ2" s="484"/>
      <c r="CMA2" s="484"/>
      <c r="CMB2" s="484"/>
      <c r="CMC2" s="484"/>
      <c r="CMD2" s="484"/>
      <c r="CME2" s="484"/>
      <c r="CMF2" s="484"/>
      <c r="CMG2" s="484"/>
      <c r="CMH2" s="484"/>
      <c r="CMI2" s="484"/>
      <c r="CMJ2" s="484"/>
      <c r="CMK2" s="484"/>
      <c r="CML2" s="484"/>
      <c r="CMM2" s="484"/>
      <c r="CMN2" s="484"/>
      <c r="CMO2" s="484"/>
      <c r="CMP2" s="484"/>
      <c r="CMQ2" s="484"/>
      <c r="CMR2" s="484"/>
      <c r="CMS2" s="484"/>
      <c r="CMT2" s="484"/>
      <c r="CMU2" s="484"/>
      <c r="CMV2" s="484"/>
      <c r="CMW2" s="484"/>
      <c r="CMX2" s="484"/>
      <c r="CMY2" s="484"/>
      <c r="CMZ2" s="484"/>
      <c r="CNA2" s="484"/>
      <c r="CNB2" s="484"/>
      <c r="CNC2" s="484"/>
      <c r="CND2" s="484"/>
      <c r="CNE2" s="484"/>
      <c r="CNF2" s="484"/>
      <c r="CNG2" s="484"/>
      <c r="CNH2" s="484"/>
      <c r="CNI2" s="484"/>
      <c r="CNJ2" s="484"/>
      <c r="CNK2" s="484"/>
      <c r="CNL2" s="484"/>
      <c r="CNM2" s="484"/>
      <c r="CNN2" s="484"/>
      <c r="CNO2" s="484"/>
      <c r="CNP2" s="484"/>
      <c r="CNQ2" s="484"/>
      <c r="CNR2" s="484"/>
      <c r="CNS2" s="484"/>
      <c r="CNT2" s="484"/>
      <c r="CNU2" s="484"/>
      <c r="CNV2" s="484"/>
      <c r="CNW2" s="484"/>
      <c r="CNX2" s="484"/>
      <c r="CNY2" s="484"/>
      <c r="CNZ2" s="484"/>
      <c r="COA2" s="484"/>
      <c r="COB2" s="484"/>
      <c r="COC2" s="484"/>
      <c r="COD2" s="484"/>
      <c r="COE2" s="484"/>
      <c r="COF2" s="484"/>
      <c r="COG2" s="484"/>
      <c r="COH2" s="484"/>
      <c r="COI2" s="484"/>
      <c r="COJ2" s="484"/>
      <c r="COK2" s="484"/>
      <c r="COL2" s="484"/>
      <c r="COM2" s="484"/>
      <c r="CON2" s="484"/>
      <c r="COO2" s="484"/>
      <c r="COP2" s="484"/>
      <c r="COQ2" s="484"/>
      <c r="COR2" s="484"/>
      <c r="COS2" s="484"/>
      <c r="COT2" s="484"/>
      <c r="COU2" s="484"/>
      <c r="COV2" s="484"/>
      <c r="COW2" s="484"/>
      <c r="COX2" s="484"/>
      <c r="COY2" s="484"/>
      <c r="COZ2" s="484"/>
      <c r="CPA2" s="484"/>
      <c r="CPB2" s="484"/>
      <c r="CPC2" s="484"/>
      <c r="CPD2" s="484"/>
      <c r="CPE2" s="484"/>
      <c r="CPF2" s="484"/>
      <c r="CPG2" s="484"/>
      <c r="CPH2" s="484"/>
      <c r="CPI2" s="484"/>
      <c r="CPJ2" s="484"/>
      <c r="CPK2" s="484"/>
      <c r="CPL2" s="484"/>
      <c r="CPM2" s="484"/>
      <c r="CPN2" s="484"/>
      <c r="CPO2" s="484"/>
      <c r="CPP2" s="484"/>
      <c r="CPQ2" s="484"/>
      <c r="CPR2" s="484"/>
      <c r="CPS2" s="484"/>
      <c r="CPT2" s="484"/>
      <c r="CPU2" s="484"/>
      <c r="CPV2" s="484"/>
      <c r="CPW2" s="484"/>
      <c r="CPX2" s="484"/>
      <c r="CPY2" s="484"/>
      <c r="CPZ2" s="484"/>
      <c r="CQA2" s="484"/>
      <c r="CQB2" s="484"/>
      <c r="CQC2" s="484"/>
      <c r="CQD2" s="484"/>
      <c r="CQE2" s="484"/>
      <c r="CQF2" s="484"/>
      <c r="CQG2" s="484"/>
      <c r="CQH2" s="484"/>
      <c r="CQI2" s="484"/>
      <c r="CQJ2" s="484"/>
      <c r="CQK2" s="484"/>
      <c r="CQL2" s="484"/>
      <c r="CQM2" s="484"/>
      <c r="CQN2" s="484"/>
      <c r="CQO2" s="484"/>
      <c r="CQP2" s="484"/>
      <c r="CQQ2" s="484"/>
      <c r="CQR2" s="484"/>
      <c r="CQS2" s="484"/>
      <c r="CQT2" s="484"/>
      <c r="CQU2" s="484"/>
      <c r="CQV2" s="484"/>
      <c r="CQW2" s="484"/>
      <c r="CQX2" s="484"/>
      <c r="CQY2" s="484"/>
      <c r="CQZ2" s="484"/>
      <c r="CRA2" s="484"/>
      <c r="CRB2" s="484"/>
      <c r="CRC2" s="484"/>
      <c r="CRD2" s="484"/>
      <c r="CRE2" s="484"/>
      <c r="CRF2" s="484"/>
      <c r="CRG2" s="484"/>
      <c r="CRH2" s="484"/>
      <c r="CRI2" s="484"/>
      <c r="CRJ2" s="484"/>
      <c r="CRK2" s="484"/>
      <c r="CRL2" s="484"/>
      <c r="CRM2" s="484"/>
      <c r="CRN2" s="484"/>
      <c r="CRO2" s="484"/>
      <c r="CRP2" s="484"/>
      <c r="CRQ2" s="484"/>
      <c r="CRR2" s="484"/>
      <c r="CRS2" s="484"/>
      <c r="CRT2" s="484"/>
      <c r="CRU2" s="484"/>
      <c r="CRV2" s="484"/>
      <c r="CRW2" s="484"/>
      <c r="CRX2" s="484"/>
      <c r="CRY2" s="484"/>
      <c r="CRZ2" s="484"/>
      <c r="CSA2" s="484"/>
      <c r="CSB2" s="484"/>
      <c r="CSC2" s="484"/>
      <c r="CSD2" s="484"/>
      <c r="CSE2" s="484"/>
      <c r="CSF2" s="484"/>
      <c r="CSG2" s="484"/>
      <c r="CSH2" s="484"/>
      <c r="CSI2" s="484"/>
      <c r="CSJ2" s="484"/>
      <c r="CSK2" s="484"/>
      <c r="CSL2" s="484"/>
      <c r="CSM2" s="484"/>
      <c r="CSN2" s="484"/>
      <c r="CSO2" s="484"/>
      <c r="CSP2" s="484"/>
      <c r="CSQ2" s="484"/>
      <c r="CSR2" s="484"/>
      <c r="CSS2" s="484"/>
      <c r="CST2" s="484"/>
      <c r="CSU2" s="484"/>
      <c r="CSV2" s="484"/>
      <c r="CSW2" s="484"/>
      <c r="CSX2" s="484"/>
      <c r="CSY2" s="484"/>
      <c r="CSZ2" s="484"/>
      <c r="CTA2" s="484"/>
      <c r="CTB2" s="484"/>
      <c r="CTC2" s="484"/>
      <c r="CTD2" s="484"/>
      <c r="CTE2" s="484"/>
      <c r="CTF2" s="484"/>
      <c r="CTG2" s="484"/>
      <c r="CTH2" s="484"/>
      <c r="CTI2" s="484"/>
      <c r="CTJ2" s="484"/>
      <c r="CTK2" s="484"/>
      <c r="CTL2" s="484"/>
      <c r="CTM2" s="484"/>
      <c r="CTN2" s="484"/>
      <c r="CTO2" s="484"/>
      <c r="CTP2" s="484"/>
      <c r="CTQ2" s="484"/>
      <c r="CTR2" s="484"/>
      <c r="CTS2" s="484"/>
      <c r="CTT2" s="484"/>
      <c r="CTU2" s="484"/>
      <c r="CTV2" s="484"/>
      <c r="CTW2" s="484"/>
      <c r="CTX2" s="484"/>
      <c r="CTY2" s="484"/>
      <c r="CTZ2" s="484"/>
      <c r="CUA2" s="484"/>
      <c r="CUB2" s="484"/>
      <c r="CUC2" s="484"/>
      <c r="CUD2" s="484"/>
      <c r="CUE2" s="484"/>
      <c r="CUF2" s="484"/>
      <c r="CUG2" s="484"/>
      <c r="CUH2" s="484"/>
      <c r="CUI2" s="484"/>
      <c r="CUJ2" s="484"/>
      <c r="CUK2" s="484"/>
      <c r="CUL2" s="484"/>
      <c r="CUM2" s="484"/>
      <c r="CUN2" s="484"/>
      <c r="CUO2" s="484"/>
      <c r="CUP2" s="484"/>
      <c r="CUQ2" s="484"/>
      <c r="CUR2" s="484"/>
      <c r="CUS2" s="484"/>
      <c r="CUT2" s="484"/>
      <c r="CUU2" s="484"/>
      <c r="CUV2" s="484"/>
      <c r="CUW2" s="484"/>
      <c r="CUX2" s="484"/>
      <c r="CUY2" s="484"/>
      <c r="CUZ2" s="484"/>
      <c r="CVA2" s="484"/>
      <c r="CVB2" s="484"/>
      <c r="CVC2" s="484"/>
      <c r="CVD2" s="484"/>
      <c r="CVE2" s="484"/>
      <c r="CVF2" s="484"/>
      <c r="CVG2" s="484"/>
      <c r="CVH2" s="484"/>
      <c r="CVI2" s="484"/>
      <c r="CVJ2" s="484"/>
      <c r="CVK2" s="484"/>
      <c r="CVL2" s="484"/>
      <c r="CVM2" s="484"/>
      <c r="CVN2" s="484"/>
      <c r="CVO2" s="484"/>
      <c r="CVP2" s="484"/>
      <c r="CVQ2" s="484"/>
      <c r="CVR2" s="484"/>
      <c r="CVS2" s="484"/>
      <c r="CVT2" s="484"/>
      <c r="CVU2" s="484"/>
      <c r="CVV2" s="484"/>
      <c r="CVW2" s="484"/>
      <c r="CVX2" s="484"/>
      <c r="CVY2" s="484"/>
      <c r="CVZ2" s="484"/>
      <c r="CWA2" s="484"/>
      <c r="CWB2" s="484"/>
      <c r="CWC2" s="484"/>
      <c r="CWD2" s="484"/>
      <c r="CWE2" s="484"/>
      <c r="CWF2" s="484"/>
      <c r="CWG2" s="484"/>
      <c r="CWH2" s="484"/>
      <c r="CWI2" s="484"/>
      <c r="CWJ2" s="484"/>
      <c r="CWK2" s="484"/>
      <c r="CWL2" s="484"/>
      <c r="CWM2" s="484"/>
      <c r="CWN2" s="484"/>
      <c r="CWO2" s="484"/>
      <c r="CWP2" s="484"/>
      <c r="CWQ2" s="484"/>
      <c r="CWR2" s="484"/>
      <c r="CWS2" s="484"/>
      <c r="CWT2" s="484"/>
      <c r="CWU2" s="484"/>
      <c r="CWV2" s="484"/>
      <c r="CWW2" s="484"/>
      <c r="CWX2" s="484"/>
      <c r="CWY2" s="484"/>
      <c r="CWZ2" s="484"/>
      <c r="CXA2" s="484"/>
      <c r="CXB2" s="484"/>
      <c r="CXC2" s="484"/>
      <c r="CXD2" s="484"/>
      <c r="CXE2" s="484"/>
      <c r="CXF2" s="484"/>
      <c r="CXG2" s="484"/>
      <c r="CXH2" s="484"/>
      <c r="CXI2" s="484"/>
      <c r="CXJ2" s="484"/>
      <c r="CXK2" s="484"/>
      <c r="CXL2" s="484"/>
      <c r="CXM2" s="484"/>
      <c r="CXN2" s="484"/>
      <c r="CXO2" s="484"/>
      <c r="CXP2" s="484"/>
      <c r="CXQ2" s="484"/>
      <c r="CXR2" s="484"/>
      <c r="CXS2" s="484"/>
      <c r="CXT2" s="484"/>
      <c r="CXU2" s="484"/>
      <c r="CXV2" s="484"/>
      <c r="CXW2" s="484"/>
      <c r="CXX2" s="484"/>
      <c r="CXY2" s="484"/>
      <c r="CXZ2" s="484"/>
      <c r="CYA2" s="484"/>
      <c r="CYB2" s="484"/>
      <c r="CYC2" s="484"/>
      <c r="CYD2" s="484"/>
      <c r="CYE2" s="484"/>
      <c r="CYF2" s="484"/>
      <c r="CYG2" s="484"/>
      <c r="CYH2" s="484"/>
      <c r="CYI2" s="484"/>
      <c r="CYJ2" s="484"/>
      <c r="CYK2" s="484"/>
      <c r="CYL2" s="484"/>
      <c r="CYM2" s="484"/>
      <c r="CYN2" s="484"/>
      <c r="CYO2" s="484"/>
      <c r="CYP2" s="484"/>
      <c r="CYQ2" s="484"/>
      <c r="CYR2" s="484"/>
      <c r="CYS2" s="484"/>
      <c r="CYT2" s="484"/>
      <c r="CYU2" s="484"/>
      <c r="CYV2" s="484"/>
      <c r="CYW2" s="484"/>
      <c r="CYX2" s="484"/>
      <c r="CYY2" s="484"/>
      <c r="CYZ2" s="484"/>
      <c r="CZA2" s="484"/>
      <c r="CZB2" s="484"/>
      <c r="CZC2" s="484"/>
      <c r="CZD2" s="484"/>
      <c r="CZE2" s="484"/>
      <c r="CZF2" s="484"/>
      <c r="CZG2" s="484"/>
      <c r="CZH2" s="484"/>
      <c r="CZI2" s="484"/>
      <c r="CZJ2" s="484"/>
      <c r="CZK2" s="484"/>
      <c r="CZL2" s="484"/>
      <c r="CZM2" s="484"/>
      <c r="CZN2" s="484"/>
      <c r="CZO2" s="484"/>
      <c r="CZP2" s="484"/>
      <c r="CZQ2" s="484"/>
      <c r="CZR2" s="484"/>
      <c r="CZS2" s="484"/>
      <c r="CZT2" s="484"/>
      <c r="CZU2" s="484"/>
      <c r="CZV2" s="484"/>
      <c r="CZW2" s="484"/>
      <c r="CZX2" s="484"/>
      <c r="CZY2" s="484"/>
      <c r="CZZ2" s="484"/>
      <c r="DAA2" s="484"/>
      <c r="DAB2" s="484"/>
      <c r="DAC2" s="484"/>
      <c r="DAD2" s="484"/>
      <c r="DAE2" s="484"/>
      <c r="DAF2" s="484"/>
      <c r="DAG2" s="484"/>
      <c r="DAH2" s="484"/>
      <c r="DAI2" s="484"/>
      <c r="DAJ2" s="484"/>
      <c r="DAK2" s="484"/>
      <c r="DAL2" s="484"/>
      <c r="DAM2" s="484"/>
      <c r="DAN2" s="484"/>
      <c r="DAO2" s="484"/>
      <c r="DAP2" s="484"/>
      <c r="DAQ2" s="484"/>
      <c r="DAR2" s="484"/>
      <c r="DAS2" s="484"/>
      <c r="DAT2" s="484"/>
      <c r="DAU2" s="484"/>
      <c r="DAV2" s="484"/>
      <c r="DAW2" s="484"/>
      <c r="DAX2" s="484"/>
      <c r="DAY2" s="484"/>
      <c r="DAZ2" s="484"/>
      <c r="DBA2" s="484"/>
      <c r="DBB2" s="484"/>
      <c r="DBC2" s="484"/>
      <c r="DBD2" s="484"/>
      <c r="DBE2" s="484"/>
      <c r="DBF2" s="484"/>
      <c r="DBG2" s="484"/>
      <c r="DBH2" s="484"/>
      <c r="DBI2" s="484"/>
      <c r="DBJ2" s="484"/>
      <c r="DBK2" s="484"/>
      <c r="DBL2" s="484"/>
      <c r="DBM2" s="484"/>
      <c r="DBN2" s="484"/>
      <c r="DBO2" s="484"/>
      <c r="DBP2" s="484"/>
      <c r="DBQ2" s="484"/>
      <c r="DBR2" s="484"/>
      <c r="DBS2" s="484"/>
      <c r="DBT2" s="484"/>
      <c r="DBU2" s="484"/>
      <c r="DBV2" s="484"/>
      <c r="DBW2" s="484"/>
      <c r="DBX2" s="484"/>
      <c r="DBY2" s="484"/>
      <c r="DBZ2" s="484"/>
      <c r="DCA2" s="484"/>
      <c r="DCB2" s="484"/>
      <c r="DCC2" s="484"/>
      <c r="DCD2" s="484"/>
      <c r="DCE2" s="484"/>
      <c r="DCF2" s="484"/>
      <c r="DCG2" s="484"/>
      <c r="DCH2" s="484"/>
      <c r="DCI2" s="484"/>
      <c r="DCJ2" s="484"/>
      <c r="DCK2" s="484"/>
      <c r="DCL2" s="484"/>
      <c r="DCM2" s="484"/>
      <c r="DCN2" s="484"/>
      <c r="DCO2" s="484"/>
      <c r="DCP2" s="484"/>
      <c r="DCQ2" s="484"/>
      <c r="DCR2" s="484"/>
      <c r="DCS2" s="484"/>
      <c r="DCT2" s="484"/>
      <c r="DCU2" s="484"/>
      <c r="DCV2" s="484"/>
      <c r="DCW2" s="484"/>
      <c r="DCX2" s="484"/>
      <c r="DCY2" s="484"/>
      <c r="DCZ2" s="484"/>
      <c r="DDA2" s="484"/>
      <c r="DDB2" s="484"/>
      <c r="DDC2" s="484"/>
      <c r="DDD2" s="484"/>
      <c r="DDE2" s="484"/>
      <c r="DDF2" s="484"/>
      <c r="DDG2" s="484"/>
      <c r="DDH2" s="484"/>
      <c r="DDI2" s="484"/>
      <c r="DDJ2" s="484"/>
      <c r="DDK2" s="484"/>
      <c r="DDL2" s="484"/>
      <c r="DDM2" s="484"/>
      <c r="DDN2" s="484"/>
      <c r="DDO2" s="484"/>
      <c r="DDP2" s="484"/>
      <c r="DDQ2" s="484"/>
      <c r="DDR2" s="484"/>
      <c r="DDS2" s="484"/>
      <c r="DDT2" s="484"/>
      <c r="DDU2" s="484"/>
      <c r="DDV2" s="484"/>
      <c r="DDW2" s="484"/>
      <c r="DDX2" s="484"/>
      <c r="DDY2" s="484"/>
      <c r="DDZ2" s="484"/>
      <c r="DEA2" s="484"/>
      <c r="DEB2" s="484"/>
      <c r="DEC2" s="484"/>
      <c r="DED2" s="484"/>
      <c r="DEE2" s="484"/>
      <c r="DEF2" s="484"/>
      <c r="DEG2" s="484"/>
      <c r="DEH2" s="484"/>
      <c r="DEI2" s="484"/>
      <c r="DEJ2" s="484"/>
      <c r="DEK2" s="484"/>
      <c r="DEL2" s="484"/>
      <c r="DEM2" s="484"/>
      <c r="DEN2" s="484"/>
      <c r="DEO2" s="484"/>
      <c r="DEP2" s="484"/>
      <c r="DEQ2" s="484"/>
      <c r="DER2" s="484"/>
      <c r="DES2" s="484"/>
      <c r="DET2" s="484"/>
      <c r="DEU2" s="484"/>
      <c r="DEV2" s="484"/>
      <c r="DEW2" s="484"/>
      <c r="DEX2" s="484"/>
      <c r="DEY2" s="484"/>
      <c r="DEZ2" s="484"/>
      <c r="DFA2" s="484"/>
      <c r="DFB2" s="484"/>
      <c r="DFC2" s="484"/>
      <c r="DFD2" s="484"/>
      <c r="DFE2" s="484"/>
      <c r="DFF2" s="484"/>
      <c r="DFG2" s="484"/>
      <c r="DFH2" s="484"/>
      <c r="DFI2" s="484"/>
      <c r="DFJ2" s="484"/>
      <c r="DFK2" s="484"/>
      <c r="DFL2" s="484"/>
      <c r="DFM2" s="484"/>
      <c r="DFN2" s="484"/>
      <c r="DFO2" s="484"/>
      <c r="DFP2" s="484"/>
      <c r="DFQ2" s="484"/>
      <c r="DFR2" s="484"/>
      <c r="DFS2" s="484"/>
      <c r="DFT2" s="484"/>
      <c r="DFU2" s="484"/>
      <c r="DFV2" s="484"/>
      <c r="DFW2" s="484"/>
      <c r="DFX2" s="484"/>
      <c r="DFY2" s="484"/>
      <c r="DFZ2" s="484"/>
      <c r="DGA2" s="484"/>
      <c r="DGB2" s="484"/>
      <c r="DGC2" s="484"/>
      <c r="DGD2" s="484"/>
      <c r="DGE2" s="484"/>
      <c r="DGF2" s="484"/>
      <c r="DGG2" s="484"/>
      <c r="DGH2" s="484"/>
      <c r="DGI2" s="484"/>
      <c r="DGJ2" s="484"/>
      <c r="DGK2" s="484"/>
      <c r="DGL2" s="484"/>
      <c r="DGM2" s="484"/>
      <c r="DGN2" s="484"/>
      <c r="DGO2" s="484"/>
      <c r="DGP2" s="484"/>
      <c r="DGQ2" s="484"/>
      <c r="DGR2" s="484"/>
      <c r="DGS2" s="484"/>
      <c r="DGT2" s="484"/>
      <c r="DGU2" s="484"/>
      <c r="DGV2" s="484"/>
      <c r="DGW2" s="484"/>
      <c r="DGX2" s="484"/>
      <c r="DGY2" s="484"/>
      <c r="DGZ2" s="484"/>
      <c r="DHA2" s="484"/>
      <c r="DHB2" s="484"/>
      <c r="DHC2" s="484"/>
      <c r="DHD2" s="484"/>
      <c r="DHE2" s="484"/>
      <c r="DHF2" s="484"/>
      <c r="DHG2" s="484"/>
      <c r="DHH2" s="484"/>
      <c r="DHI2" s="484"/>
      <c r="DHJ2" s="484"/>
      <c r="DHK2" s="484"/>
      <c r="DHL2" s="484"/>
      <c r="DHM2" s="484"/>
      <c r="DHN2" s="484"/>
      <c r="DHO2" s="484"/>
      <c r="DHP2" s="484"/>
      <c r="DHQ2" s="484"/>
      <c r="DHR2" s="484"/>
      <c r="DHS2" s="484"/>
      <c r="DHT2" s="484"/>
      <c r="DHU2" s="484"/>
      <c r="DHV2" s="484"/>
      <c r="DHW2" s="484"/>
      <c r="DHX2" s="484"/>
      <c r="DHY2" s="484"/>
      <c r="DHZ2" s="484"/>
      <c r="DIA2" s="484"/>
      <c r="DIB2" s="484"/>
      <c r="DIC2" s="484"/>
      <c r="DID2" s="484"/>
      <c r="DIE2" s="484"/>
      <c r="DIF2" s="484"/>
      <c r="DIG2" s="484"/>
      <c r="DIH2" s="484"/>
      <c r="DII2" s="484"/>
      <c r="DIJ2" s="484"/>
      <c r="DIK2" s="484"/>
      <c r="DIL2" s="484"/>
      <c r="DIM2" s="484"/>
      <c r="DIN2" s="484"/>
      <c r="DIO2" s="484"/>
      <c r="DIP2" s="484"/>
      <c r="DIQ2" s="484"/>
      <c r="DIR2" s="484"/>
      <c r="DIS2" s="484"/>
      <c r="DIT2" s="484"/>
      <c r="DIU2" s="484"/>
      <c r="DIV2" s="484"/>
      <c r="DIW2" s="484"/>
      <c r="DIX2" s="484"/>
      <c r="DIY2" s="484"/>
      <c r="DIZ2" s="484"/>
      <c r="DJA2" s="484"/>
      <c r="DJB2" s="484"/>
      <c r="DJC2" s="484"/>
      <c r="DJD2" s="484"/>
      <c r="DJE2" s="484"/>
      <c r="DJF2" s="484"/>
      <c r="DJG2" s="484"/>
      <c r="DJH2" s="484"/>
      <c r="DJI2" s="484"/>
      <c r="DJJ2" s="484"/>
      <c r="DJK2" s="484"/>
      <c r="DJL2" s="484"/>
      <c r="DJM2" s="484"/>
      <c r="DJN2" s="484"/>
      <c r="DJO2" s="484"/>
      <c r="DJP2" s="484"/>
      <c r="DJQ2" s="484"/>
      <c r="DJR2" s="484"/>
      <c r="DJS2" s="484"/>
      <c r="DJT2" s="484"/>
      <c r="DJU2" s="484"/>
      <c r="DJV2" s="484"/>
      <c r="DJW2" s="484"/>
      <c r="DJX2" s="484"/>
      <c r="DJY2" s="484"/>
      <c r="DJZ2" s="484"/>
      <c r="DKA2" s="484"/>
      <c r="DKB2" s="484"/>
      <c r="DKC2" s="484"/>
      <c r="DKD2" s="484"/>
      <c r="DKE2" s="484"/>
      <c r="DKF2" s="484"/>
      <c r="DKG2" s="484"/>
      <c r="DKH2" s="484"/>
      <c r="DKI2" s="484"/>
      <c r="DKJ2" s="484"/>
      <c r="DKK2" s="484"/>
      <c r="DKL2" s="484"/>
      <c r="DKM2" s="484"/>
      <c r="DKN2" s="484"/>
      <c r="DKO2" s="484"/>
      <c r="DKP2" s="484"/>
      <c r="DKQ2" s="484"/>
      <c r="DKR2" s="484"/>
      <c r="DKS2" s="484"/>
      <c r="DKT2" s="484"/>
      <c r="DKU2" s="484"/>
      <c r="DKV2" s="484"/>
      <c r="DKW2" s="484"/>
      <c r="DKX2" s="484"/>
      <c r="DKY2" s="484"/>
      <c r="DKZ2" s="484"/>
      <c r="DLA2" s="484"/>
      <c r="DLB2" s="484"/>
      <c r="DLC2" s="484"/>
      <c r="DLD2" s="484"/>
      <c r="DLE2" s="484"/>
      <c r="DLF2" s="484"/>
      <c r="DLG2" s="484"/>
      <c r="DLH2" s="484"/>
      <c r="DLI2" s="484"/>
      <c r="DLJ2" s="484"/>
      <c r="DLK2" s="484"/>
      <c r="DLL2" s="484"/>
      <c r="DLM2" s="484"/>
      <c r="DLN2" s="484"/>
      <c r="DLO2" s="484"/>
      <c r="DLP2" s="484"/>
      <c r="DLQ2" s="484"/>
      <c r="DLR2" s="484"/>
      <c r="DLS2" s="484"/>
      <c r="DLT2" s="484"/>
      <c r="DLU2" s="484"/>
      <c r="DLV2" s="484"/>
      <c r="DLW2" s="484"/>
      <c r="DLX2" s="484"/>
      <c r="DLY2" s="484"/>
      <c r="DLZ2" s="484"/>
      <c r="DMA2" s="484"/>
      <c r="DMB2" s="484"/>
      <c r="DMC2" s="484"/>
      <c r="DMD2" s="484"/>
      <c r="DME2" s="484"/>
      <c r="DMF2" s="484"/>
      <c r="DMG2" s="484"/>
      <c r="DMH2" s="484"/>
      <c r="DMI2" s="484"/>
      <c r="DMJ2" s="484"/>
      <c r="DMK2" s="484"/>
      <c r="DML2" s="484"/>
      <c r="DMM2" s="484"/>
      <c r="DMN2" s="484"/>
      <c r="DMO2" s="484"/>
      <c r="DMP2" s="484"/>
      <c r="DMQ2" s="484"/>
      <c r="DMR2" s="484"/>
      <c r="DMS2" s="484"/>
      <c r="DMT2" s="484"/>
      <c r="DMU2" s="484"/>
      <c r="DMV2" s="484"/>
      <c r="DMW2" s="484"/>
      <c r="DMX2" s="484"/>
      <c r="DMY2" s="484"/>
      <c r="DMZ2" s="484"/>
      <c r="DNA2" s="484"/>
      <c r="DNB2" s="484"/>
      <c r="DNC2" s="484"/>
      <c r="DND2" s="484"/>
      <c r="DNE2" s="484"/>
      <c r="DNF2" s="484"/>
      <c r="DNG2" s="484"/>
      <c r="DNH2" s="484"/>
      <c r="DNI2" s="484"/>
      <c r="DNJ2" s="484"/>
      <c r="DNK2" s="484"/>
      <c r="DNL2" s="484"/>
      <c r="DNM2" s="484"/>
      <c r="DNN2" s="484"/>
      <c r="DNO2" s="484"/>
      <c r="DNP2" s="484"/>
      <c r="DNQ2" s="484"/>
      <c r="DNR2" s="484"/>
      <c r="DNS2" s="484"/>
      <c r="DNT2" s="484"/>
      <c r="DNU2" s="484"/>
      <c r="DNV2" s="484"/>
      <c r="DNW2" s="484"/>
      <c r="DNX2" s="484"/>
      <c r="DNY2" s="484"/>
      <c r="DNZ2" s="484"/>
      <c r="DOA2" s="484"/>
      <c r="DOB2" s="484"/>
      <c r="DOC2" s="484"/>
      <c r="DOD2" s="484"/>
      <c r="DOE2" s="484"/>
      <c r="DOF2" s="484"/>
      <c r="DOG2" s="484"/>
      <c r="DOH2" s="484"/>
      <c r="DOI2" s="484"/>
      <c r="DOJ2" s="484"/>
      <c r="DOK2" s="484"/>
      <c r="DOL2" s="484"/>
      <c r="DOM2" s="484"/>
      <c r="DON2" s="484"/>
      <c r="DOO2" s="484"/>
      <c r="DOP2" s="484"/>
      <c r="DOQ2" s="484"/>
      <c r="DOR2" s="484"/>
      <c r="DOS2" s="484"/>
      <c r="DOT2" s="484"/>
      <c r="DOU2" s="484"/>
      <c r="DOV2" s="484"/>
      <c r="DOW2" s="484"/>
      <c r="DOX2" s="484"/>
      <c r="DOY2" s="484"/>
      <c r="DOZ2" s="484"/>
      <c r="DPA2" s="484"/>
      <c r="DPB2" s="484"/>
      <c r="DPC2" s="484"/>
      <c r="DPD2" s="484"/>
      <c r="DPE2" s="484"/>
      <c r="DPF2" s="484"/>
      <c r="DPG2" s="484"/>
      <c r="DPH2" s="484"/>
      <c r="DPI2" s="484"/>
      <c r="DPJ2" s="484"/>
      <c r="DPK2" s="484"/>
      <c r="DPL2" s="484"/>
      <c r="DPM2" s="484"/>
      <c r="DPN2" s="484"/>
      <c r="DPO2" s="484"/>
      <c r="DPP2" s="484"/>
      <c r="DPQ2" s="484"/>
      <c r="DPR2" s="484"/>
      <c r="DPS2" s="484"/>
      <c r="DPT2" s="484"/>
      <c r="DPU2" s="484"/>
      <c r="DPV2" s="484"/>
      <c r="DPW2" s="484"/>
      <c r="DPX2" s="484"/>
      <c r="DPY2" s="484"/>
      <c r="DPZ2" s="484"/>
      <c r="DQA2" s="484"/>
      <c r="DQB2" s="484"/>
      <c r="DQC2" s="484"/>
      <c r="DQD2" s="484"/>
      <c r="DQE2" s="484"/>
      <c r="DQF2" s="484"/>
      <c r="DQG2" s="484"/>
      <c r="DQH2" s="484"/>
      <c r="DQI2" s="484"/>
      <c r="DQJ2" s="484"/>
      <c r="DQK2" s="484"/>
      <c r="DQL2" s="484"/>
      <c r="DQM2" s="484"/>
      <c r="DQN2" s="484"/>
      <c r="DQO2" s="484"/>
      <c r="DQP2" s="484"/>
      <c r="DQQ2" s="484"/>
      <c r="DQR2" s="484"/>
      <c r="DQS2" s="484"/>
      <c r="DQT2" s="484"/>
      <c r="DQU2" s="484"/>
      <c r="DQV2" s="484"/>
      <c r="DQW2" s="484"/>
      <c r="DQX2" s="484"/>
      <c r="DQY2" s="484"/>
      <c r="DQZ2" s="484"/>
      <c r="DRA2" s="484"/>
      <c r="DRB2" s="484"/>
      <c r="DRC2" s="484"/>
      <c r="DRD2" s="484"/>
      <c r="DRE2" s="484"/>
      <c r="DRF2" s="484"/>
      <c r="DRG2" s="484"/>
      <c r="DRH2" s="484"/>
      <c r="DRI2" s="484"/>
      <c r="DRJ2" s="484"/>
      <c r="DRK2" s="484"/>
      <c r="DRL2" s="484"/>
      <c r="DRM2" s="484"/>
      <c r="DRN2" s="484"/>
      <c r="DRO2" s="484"/>
      <c r="DRP2" s="484"/>
      <c r="DRQ2" s="484"/>
      <c r="DRR2" s="484"/>
      <c r="DRS2" s="484"/>
      <c r="DRT2" s="484"/>
      <c r="DRU2" s="484"/>
      <c r="DRV2" s="484"/>
      <c r="DRW2" s="484"/>
      <c r="DRX2" s="484"/>
      <c r="DRY2" s="484"/>
      <c r="DRZ2" s="484"/>
      <c r="DSA2" s="484"/>
      <c r="DSB2" s="484"/>
      <c r="DSC2" s="484"/>
      <c r="DSD2" s="484"/>
      <c r="DSE2" s="484"/>
      <c r="DSF2" s="484"/>
      <c r="DSG2" s="484"/>
      <c r="DSH2" s="484"/>
      <c r="DSI2" s="484"/>
      <c r="DSJ2" s="484"/>
      <c r="DSK2" s="484"/>
      <c r="DSL2" s="484"/>
      <c r="DSM2" s="484"/>
      <c r="DSN2" s="484"/>
      <c r="DSO2" s="484"/>
      <c r="DSP2" s="484"/>
      <c r="DSQ2" s="484"/>
      <c r="DSR2" s="484"/>
      <c r="DSS2" s="484"/>
      <c r="DST2" s="484"/>
      <c r="DSU2" s="484"/>
      <c r="DSV2" s="484"/>
      <c r="DSW2" s="484"/>
      <c r="DSX2" s="484"/>
      <c r="DSY2" s="484"/>
      <c r="DSZ2" s="484"/>
      <c r="DTA2" s="484"/>
      <c r="DTB2" s="484"/>
      <c r="DTC2" s="484"/>
      <c r="DTD2" s="484"/>
      <c r="DTE2" s="484"/>
      <c r="DTF2" s="484"/>
      <c r="DTG2" s="484"/>
      <c r="DTH2" s="484"/>
      <c r="DTI2" s="484"/>
      <c r="DTJ2" s="484"/>
      <c r="DTK2" s="484"/>
      <c r="DTL2" s="484"/>
      <c r="DTM2" s="484"/>
      <c r="DTN2" s="484"/>
      <c r="DTO2" s="484"/>
      <c r="DTP2" s="484"/>
      <c r="DTQ2" s="484"/>
      <c r="DTR2" s="484"/>
      <c r="DTS2" s="484"/>
      <c r="DTT2" s="484"/>
      <c r="DTU2" s="484"/>
      <c r="DTV2" s="484"/>
      <c r="DTW2" s="484"/>
      <c r="DTX2" s="484"/>
      <c r="DTY2" s="484"/>
      <c r="DTZ2" s="484"/>
      <c r="DUA2" s="484"/>
      <c r="DUB2" s="484"/>
      <c r="DUC2" s="484"/>
      <c r="DUD2" s="484"/>
      <c r="DUE2" s="484"/>
      <c r="DUF2" s="484"/>
      <c r="DUG2" s="484"/>
      <c r="DUH2" s="484"/>
      <c r="DUI2" s="484"/>
      <c r="DUJ2" s="484"/>
      <c r="DUK2" s="484"/>
      <c r="DUL2" s="484"/>
      <c r="DUM2" s="484"/>
      <c r="DUN2" s="484"/>
      <c r="DUO2" s="484"/>
      <c r="DUP2" s="484"/>
      <c r="DUQ2" s="484"/>
      <c r="DUR2" s="484"/>
      <c r="DUS2" s="484"/>
      <c r="DUT2" s="484"/>
      <c r="DUU2" s="484"/>
      <c r="DUV2" s="484"/>
      <c r="DUW2" s="484"/>
      <c r="DUX2" s="484"/>
      <c r="DUY2" s="484"/>
      <c r="DUZ2" s="484"/>
      <c r="DVA2" s="484"/>
      <c r="DVB2" s="484"/>
      <c r="DVC2" s="484"/>
      <c r="DVD2" s="484"/>
      <c r="DVE2" s="484"/>
      <c r="DVF2" s="484"/>
      <c r="DVG2" s="484"/>
      <c r="DVH2" s="484"/>
      <c r="DVI2" s="484"/>
      <c r="DVJ2" s="484"/>
      <c r="DVK2" s="484"/>
      <c r="DVL2" s="484"/>
      <c r="DVM2" s="484"/>
      <c r="DVN2" s="484"/>
      <c r="DVO2" s="484"/>
      <c r="DVP2" s="484"/>
      <c r="DVQ2" s="484"/>
      <c r="DVR2" s="484"/>
      <c r="DVS2" s="484"/>
      <c r="DVT2" s="484"/>
      <c r="DVU2" s="484"/>
      <c r="DVV2" s="484"/>
      <c r="DVW2" s="484"/>
      <c r="DVX2" s="484"/>
      <c r="DVY2" s="484"/>
      <c r="DVZ2" s="484"/>
      <c r="DWA2" s="484"/>
      <c r="DWB2" s="484"/>
      <c r="DWC2" s="484"/>
      <c r="DWD2" s="484"/>
      <c r="DWE2" s="484"/>
      <c r="DWF2" s="484"/>
      <c r="DWG2" s="484"/>
      <c r="DWH2" s="484"/>
      <c r="DWI2" s="484"/>
      <c r="DWJ2" s="484"/>
      <c r="DWK2" s="484"/>
      <c r="DWL2" s="484"/>
      <c r="DWM2" s="484"/>
      <c r="DWN2" s="484"/>
      <c r="DWO2" s="484"/>
      <c r="DWP2" s="484"/>
      <c r="DWQ2" s="484"/>
      <c r="DWR2" s="484"/>
      <c r="DWS2" s="484"/>
      <c r="DWT2" s="484"/>
      <c r="DWU2" s="484"/>
      <c r="DWV2" s="484"/>
      <c r="DWW2" s="484"/>
      <c r="DWX2" s="484"/>
      <c r="DWY2" s="484"/>
      <c r="DWZ2" s="484"/>
      <c r="DXA2" s="484"/>
      <c r="DXB2" s="484"/>
      <c r="DXC2" s="484"/>
      <c r="DXD2" s="484"/>
      <c r="DXE2" s="484"/>
      <c r="DXF2" s="484"/>
      <c r="DXG2" s="484"/>
      <c r="DXH2" s="484"/>
      <c r="DXI2" s="484"/>
      <c r="DXJ2" s="484"/>
      <c r="DXK2" s="484"/>
      <c r="DXL2" s="484"/>
      <c r="DXM2" s="484"/>
      <c r="DXN2" s="484"/>
      <c r="DXO2" s="484"/>
      <c r="DXP2" s="484"/>
      <c r="DXQ2" s="484"/>
      <c r="DXR2" s="484"/>
      <c r="DXS2" s="484"/>
      <c r="DXT2" s="484"/>
      <c r="DXU2" s="484"/>
      <c r="DXV2" s="484"/>
      <c r="DXW2" s="484"/>
      <c r="DXX2" s="484"/>
      <c r="DXY2" s="484"/>
      <c r="DXZ2" s="484"/>
      <c r="DYA2" s="484"/>
      <c r="DYB2" s="484"/>
      <c r="DYC2" s="484"/>
      <c r="DYD2" s="484"/>
      <c r="DYE2" s="484"/>
      <c r="DYF2" s="484"/>
      <c r="DYG2" s="484"/>
      <c r="DYH2" s="484"/>
      <c r="DYI2" s="484"/>
      <c r="DYJ2" s="484"/>
      <c r="DYK2" s="484"/>
      <c r="DYL2" s="484"/>
      <c r="DYM2" s="484"/>
      <c r="DYN2" s="484"/>
      <c r="DYO2" s="484"/>
      <c r="DYP2" s="484"/>
      <c r="DYQ2" s="484"/>
      <c r="DYR2" s="484"/>
      <c r="DYS2" s="484"/>
      <c r="DYT2" s="484"/>
      <c r="DYU2" s="484"/>
      <c r="DYV2" s="484"/>
      <c r="DYW2" s="484"/>
      <c r="DYX2" s="484"/>
      <c r="DYY2" s="484"/>
      <c r="DYZ2" s="484"/>
      <c r="DZA2" s="484"/>
      <c r="DZB2" s="484"/>
      <c r="DZC2" s="484"/>
      <c r="DZD2" s="484"/>
      <c r="DZE2" s="484"/>
      <c r="DZF2" s="484"/>
      <c r="DZG2" s="484"/>
      <c r="DZH2" s="484"/>
      <c r="DZI2" s="484"/>
      <c r="DZJ2" s="484"/>
      <c r="DZK2" s="484"/>
      <c r="DZL2" s="484"/>
      <c r="DZM2" s="484"/>
      <c r="DZN2" s="484"/>
      <c r="DZO2" s="484"/>
      <c r="DZP2" s="484"/>
      <c r="DZQ2" s="484"/>
      <c r="DZR2" s="484"/>
      <c r="DZS2" s="484"/>
      <c r="DZT2" s="484"/>
      <c r="DZU2" s="484"/>
      <c r="DZV2" s="484"/>
      <c r="DZW2" s="484"/>
      <c r="DZX2" s="484"/>
      <c r="DZY2" s="484"/>
      <c r="DZZ2" s="484"/>
      <c r="EAA2" s="484"/>
      <c r="EAB2" s="484"/>
      <c r="EAC2" s="484"/>
      <c r="EAD2" s="484"/>
      <c r="EAE2" s="484"/>
      <c r="EAF2" s="484"/>
      <c r="EAG2" s="484"/>
      <c r="EAH2" s="484"/>
      <c r="EAI2" s="484"/>
      <c r="EAJ2" s="484"/>
      <c r="EAK2" s="484"/>
      <c r="EAL2" s="484"/>
      <c r="EAM2" s="484"/>
      <c r="EAN2" s="484"/>
      <c r="EAO2" s="484"/>
      <c r="EAP2" s="484"/>
      <c r="EAQ2" s="484"/>
      <c r="EAR2" s="484"/>
      <c r="EAS2" s="484"/>
      <c r="EAT2" s="484"/>
      <c r="EAU2" s="484"/>
      <c r="EAV2" s="484"/>
      <c r="EAW2" s="484"/>
      <c r="EAX2" s="484"/>
      <c r="EAY2" s="484"/>
      <c r="EAZ2" s="484"/>
      <c r="EBA2" s="484"/>
      <c r="EBB2" s="484"/>
      <c r="EBC2" s="484"/>
      <c r="EBD2" s="484"/>
      <c r="EBE2" s="484"/>
      <c r="EBF2" s="484"/>
      <c r="EBG2" s="484"/>
      <c r="EBH2" s="484"/>
      <c r="EBI2" s="484"/>
      <c r="EBJ2" s="484"/>
      <c r="EBK2" s="484"/>
      <c r="EBL2" s="484"/>
      <c r="EBM2" s="484"/>
      <c r="EBN2" s="484"/>
      <c r="EBO2" s="484"/>
      <c r="EBP2" s="484"/>
      <c r="EBQ2" s="484"/>
      <c r="EBR2" s="484"/>
      <c r="EBS2" s="484"/>
      <c r="EBT2" s="484"/>
      <c r="EBU2" s="484"/>
      <c r="EBV2" s="484"/>
      <c r="EBW2" s="484"/>
      <c r="EBX2" s="484"/>
      <c r="EBY2" s="484"/>
      <c r="EBZ2" s="484"/>
      <c r="ECA2" s="484"/>
      <c r="ECB2" s="484"/>
      <c r="ECC2" s="484"/>
      <c r="ECD2" s="484"/>
      <c r="ECE2" s="484"/>
      <c r="ECF2" s="484"/>
      <c r="ECG2" s="484"/>
      <c r="ECH2" s="484"/>
      <c r="ECI2" s="484"/>
      <c r="ECJ2" s="484"/>
      <c r="ECK2" s="484"/>
      <c r="ECL2" s="484"/>
      <c r="ECM2" s="484"/>
      <c r="ECN2" s="484"/>
      <c r="ECO2" s="484"/>
      <c r="ECP2" s="484"/>
      <c r="ECQ2" s="484"/>
      <c r="ECR2" s="484"/>
      <c r="ECS2" s="484"/>
      <c r="ECT2" s="484"/>
      <c r="ECU2" s="484"/>
      <c r="ECV2" s="484"/>
      <c r="ECW2" s="484"/>
      <c r="ECX2" s="484"/>
      <c r="ECY2" s="484"/>
      <c r="ECZ2" s="484"/>
      <c r="EDA2" s="484"/>
      <c r="EDB2" s="484"/>
      <c r="EDC2" s="484"/>
      <c r="EDD2" s="484"/>
      <c r="EDE2" s="484"/>
      <c r="EDF2" s="484"/>
      <c r="EDG2" s="484"/>
      <c r="EDH2" s="484"/>
      <c r="EDI2" s="484"/>
      <c r="EDJ2" s="484"/>
      <c r="EDK2" s="484"/>
      <c r="EDL2" s="484"/>
      <c r="EDM2" s="484"/>
      <c r="EDN2" s="484"/>
      <c r="EDO2" s="484"/>
      <c r="EDP2" s="484"/>
      <c r="EDQ2" s="484"/>
      <c r="EDR2" s="484"/>
      <c r="EDS2" s="484"/>
      <c r="EDT2" s="484"/>
      <c r="EDU2" s="484"/>
      <c r="EDV2" s="484"/>
      <c r="EDW2" s="484"/>
      <c r="EDX2" s="484"/>
      <c r="EDY2" s="484"/>
      <c r="EDZ2" s="484"/>
      <c r="EEA2" s="484"/>
      <c r="EEB2" s="484"/>
      <c r="EEC2" s="484"/>
      <c r="EED2" s="484"/>
      <c r="EEE2" s="484"/>
      <c r="EEF2" s="484"/>
      <c r="EEG2" s="484"/>
      <c r="EEH2" s="484"/>
      <c r="EEI2" s="484"/>
      <c r="EEJ2" s="484"/>
      <c r="EEK2" s="484"/>
      <c r="EEL2" s="484"/>
      <c r="EEM2" s="484"/>
      <c r="EEN2" s="484"/>
      <c r="EEO2" s="484"/>
      <c r="EEP2" s="484"/>
      <c r="EEQ2" s="484"/>
      <c r="EER2" s="484"/>
      <c r="EES2" s="484"/>
      <c r="EET2" s="484"/>
      <c r="EEU2" s="484"/>
      <c r="EEV2" s="484"/>
      <c r="EEW2" s="484"/>
      <c r="EEX2" s="484"/>
      <c r="EEY2" s="484"/>
      <c r="EEZ2" s="484"/>
      <c r="EFA2" s="484"/>
      <c r="EFB2" s="484"/>
      <c r="EFC2" s="484"/>
      <c r="EFD2" s="484"/>
      <c r="EFE2" s="484"/>
      <c r="EFF2" s="484"/>
      <c r="EFG2" s="484"/>
      <c r="EFH2" s="484"/>
      <c r="EFI2" s="484"/>
      <c r="EFJ2" s="484"/>
      <c r="EFK2" s="484"/>
      <c r="EFL2" s="484"/>
      <c r="EFM2" s="484"/>
      <c r="EFN2" s="484"/>
      <c r="EFO2" s="484"/>
      <c r="EFP2" s="484"/>
      <c r="EFQ2" s="484"/>
      <c r="EFR2" s="484"/>
      <c r="EFS2" s="484"/>
      <c r="EFT2" s="484"/>
      <c r="EFU2" s="484"/>
      <c r="EFV2" s="484"/>
      <c r="EFW2" s="484"/>
      <c r="EFX2" s="484"/>
      <c r="EFY2" s="484"/>
      <c r="EFZ2" s="484"/>
      <c r="EGA2" s="484"/>
      <c r="EGB2" s="484"/>
      <c r="EGC2" s="484"/>
      <c r="EGD2" s="484"/>
      <c r="EGE2" s="484"/>
      <c r="EGF2" s="484"/>
      <c r="EGG2" s="484"/>
      <c r="EGH2" s="484"/>
      <c r="EGI2" s="484"/>
      <c r="EGJ2" s="484"/>
      <c r="EGK2" s="484"/>
      <c r="EGL2" s="484"/>
      <c r="EGM2" s="484"/>
      <c r="EGN2" s="484"/>
      <c r="EGO2" s="484"/>
      <c r="EGP2" s="484"/>
      <c r="EGQ2" s="484"/>
      <c r="EGR2" s="484"/>
      <c r="EGS2" s="484"/>
      <c r="EGT2" s="484"/>
      <c r="EGU2" s="484"/>
      <c r="EGV2" s="484"/>
      <c r="EGW2" s="484"/>
      <c r="EGX2" s="484"/>
      <c r="EGY2" s="484"/>
      <c r="EGZ2" s="484"/>
      <c r="EHA2" s="484"/>
      <c r="EHB2" s="484"/>
      <c r="EHC2" s="484"/>
      <c r="EHD2" s="484"/>
      <c r="EHE2" s="484"/>
      <c r="EHF2" s="484"/>
      <c r="EHG2" s="484"/>
      <c r="EHH2" s="484"/>
      <c r="EHI2" s="484"/>
      <c r="EHJ2" s="484"/>
      <c r="EHK2" s="484"/>
      <c r="EHL2" s="484"/>
      <c r="EHM2" s="484"/>
      <c r="EHN2" s="484"/>
      <c r="EHO2" s="484"/>
      <c r="EHP2" s="484"/>
      <c r="EHQ2" s="484"/>
      <c r="EHR2" s="484"/>
      <c r="EHS2" s="484"/>
      <c r="EHT2" s="484"/>
      <c r="EHU2" s="484"/>
      <c r="EHV2" s="484"/>
      <c r="EHW2" s="484"/>
      <c r="EHX2" s="484"/>
      <c r="EHY2" s="484"/>
      <c r="EHZ2" s="484"/>
      <c r="EIA2" s="484"/>
      <c r="EIB2" s="484"/>
      <c r="EIC2" s="484"/>
      <c r="EID2" s="484"/>
      <c r="EIE2" s="484"/>
      <c r="EIF2" s="484"/>
      <c r="EIG2" s="484"/>
      <c r="EIH2" s="484"/>
      <c r="EII2" s="484"/>
      <c r="EIJ2" s="484"/>
      <c r="EIK2" s="484"/>
      <c r="EIL2" s="484"/>
      <c r="EIM2" s="484"/>
      <c r="EIN2" s="484"/>
      <c r="EIO2" s="484"/>
      <c r="EIP2" s="484"/>
      <c r="EIQ2" s="484"/>
      <c r="EIR2" s="484"/>
      <c r="EIS2" s="484"/>
      <c r="EIT2" s="484"/>
      <c r="EIU2" s="484"/>
      <c r="EIV2" s="484"/>
      <c r="EIW2" s="484"/>
      <c r="EIX2" s="484"/>
      <c r="EIY2" s="484"/>
      <c r="EIZ2" s="484"/>
      <c r="EJA2" s="484"/>
      <c r="EJB2" s="484"/>
      <c r="EJC2" s="484"/>
      <c r="EJD2" s="484"/>
      <c r="EJE2" s="484"/>
      <c r="EJF2" s="484"/>
      <c r="EJG2" s="484"/>
      <c r="EJH2" s="484"/>
      <c r="EJI2" s="484"/>
      <c r="EJJ2" s="484"/>
      <c r="EJK2" s="484"/>
      <c r="EJL2" s="484"/>
      <c r="EJM2" s="484"/>
      <c r="EJN2" s="484"/>
      <c r="EJO2" s="484"/>
      <c r="EJP2" s="484"/>
      <c r="EJQ2" s="484"/>
      <c r="EJR2" s="484"/>
      <c r="EJS2" s="484"/>
      <c r="EJT2" s="484"/>
      <c r="EJU2" s="484"/>
      <c r="EJV2" s="484"/>
      <c r="EJW2" s="484"/>
      <c r="EJX2" s="484"/>
      <c r="EJY2" s="484"/>
      <c r="EJZ2" s="484"/>
      <c r="EKA2" s="484"/>
      <c r="EKB2" s="484"/>
      <c r="EKC2" s="484"/>
      <c r="EKD2" s="484"/>
      <c r="EKE2" s="484"/>
      <c r="EKF2" s="484"/>
      <c r="EKG2" s="484"/>
      <c r="EKH2" s="484"/>
      <c r="EKI2" s="484"/>
      <c r="EKJ2" s="484"/>
      <c r="EKK2" s="484"/>
      <c r="EKL2" s="484"/>
      <c r="EKM2" s="484"/>
      <c r="EKN2" s="484"/>
      <c r="EKO2" s="484"/>
      <c r="EKP2" s="484"/>
      <c r="EKQ2" s="484"/>
      <c r="EKR2" s="484"/>
      <c r="EKS2" s="484"/>
      <c r="EKT2" s="484"/>
      <c r="EKU2" s="484"/>
      <c r="EKV2" s="484"/>
      <c r="EKW2" s="484"/>
      <c r="EKX2" s="484"/>
      <c r="EKY2" s="484"/>
      <c r="EKZ2" s="484"/>
      <c r="ELA2" s="484"/>
      <c r="ELB2" s="484"/>
      <c r="ELC2" s="484"/>
      <c r="ELD2" s="484"/>
      <c r="ELE2" s="484"/>
      <c r="ELF2" s="484"/>
      <c r="ELG2" s="484"/>
      <c r="ELH2" s="484"/>
      <c r="ELI2" s="484"/>
      <c r="ELJ2" s="484"/>
      <c r="ELK2" s="484"/>
      <c r="ELL2" s="484"/>
      <c r="ELM2" s="484"/>
      <c r="ELN2" s="484"/>
      <c r="ELO2" s="484"/>
      <c r="ELP2" s="484"/>
      <c r="ELQ2" s="484"/>
      <c r="ELR2" s="484"/>
      <c r="ELS2" s="484"/>
      <c r="ELT2" s="484"/>
      <c r="ELU2" s="484"/>
      <c r="ELV2" s="484"/>
      <c r="ELW2" s="484"/>
      <c r="ELX2" s="484"/>
      <c r="ELY2" s="484"/>
      <c r="ELZ2" s="484"/>
      <c r="EMA2" s="484"/>
      <c r="EMB2" s="484"/>
      <c r="EMC2" s="484"/>
      <c r="EMD2" s="484"/>
      <c r="EME2" s="484"/>
      <c r="EMF2" s="484"/>
      <c r="EMG2" s="484"/>
      <c r="EMH2" s="484"/>
      <c r="EMI2" s="484"/>
      <c r="EMJ2" s="484"/>
      <c r="EMK2" s="484"/>
      <c r="EML2" s="484"/>
      <c r="EMM2" s="484"/>
      <c r="EMN2" s="484"/>
      <c r="EMO2" s="484"/>
      <c r="EMP2" s="484"/>
      <c r="EMQ2" s="484"/>
      <c r="EMR2" s="484"/>
      <c r="EMS2" s="484"/>
      <c r="EMT2" s="484"/>
      <c r="EMU2" s="484"/>
      <c r="EMV2" s="484"/>
      <c r="EMW2" s="484"/>
      <c r="EMX2" s="484"/>
      <c r="EMY2" s="484"/>
      <c r="EMZ2" s="484"/>
      <c r="ENA2" s="484"/>
      <c r="ENB2" s="484"/>
      <c r="ENC2" s="484"/>
      <c r="END2" s="484"/>
      <c r="ENE2" s="484"/>
      <c r="ENF2" s="484"/>
      <c r="ENG2" s="484"/>
      <c r="ENH2" s="484"/>
      <c r="ENI2" s="484"/>
      <c r="ENJ2" s="484"/>
      <c r="ENK2" s="484"/>
      <c r="ENL2" s="484"/>
      <c r="ENM2" s="484"/>
      <c r="ENN2" s="484"/>
      <c r="ENO2" s="484"/>
      <c r="ENP2" s="484"/>
      <c r="ENQ2" s="484"/>
      <c r="ENR2" s="484"/>
      <c r="ENS2" s="484"/>
      <c r="ENT2" s="484"/>
      <c r="ENU2" s="484"/>
      <c r="ENV2" s="484"/>
      <c r="ENW2" s="484"/>
      <c r="ENX2" s="484"/>
      <c r="ENY2" s="484"/>
      <c r="ENZ2" s="484"/>
      <c r="EOA2" s="484"/>
      <c r="EOB2" s="484"/>
      <c r="EOC2" s="484"/>
      <c r="EOD2" s="484"/>
      <c r="EOE2" s="484"/>
      <c r="EOF2" s="484"/>
      <c r="EOG2" s="484"/>
      <c r="EOH2" s="484"/>
      <c r="EOI2" s="484"/>
      <c r="EOJ2" s="484"/>
      <c r="EOK2" s="484"/>
      <c r="EOL2" s="484"/>
      <c r="EOM2" s="484"/>
      <c r="EON2" s="484"/>
      <c r="EOO2" s="484"/>
      <c r="EOP2" s="484"/>
      <c r="EOQ2" s="484"/>
      <c r="EOR2" s="484"/>
      <c r="EOS2" s="484"/>
      <c r="EOT2" s="484"/>
      <c r="EOU2" s="484"/>
      <c r="EOV2" s="484"/>
      <c r="EOW2" s="484"/>
      <c r="EOX2" s="484"/>
      <c r="EOY2" s="484"/>
      <c r="EOZ2" s="484"/>
      <c r="EPA2" s="484"/>
      <c r="EPB2" s="484"/>
      <c r="EPC2" s="484"/>
      <c r="EPD2" s="484"/>
      <c r="EPE2" s="484"/>
      <c r="EPF2" s="484"/>
      <c r="EPG2" s="484"/>
      <c r="EPH2" s="484"/>
      <c r="EPI2" s="484"/>
      <c r="EPJ2" s="484"/>
      <c r="EPK2" s="484"/>
      <c r="EPL2" s="484"/>
      <c r="EPM2" s="484"/>
      <c r="EPN2" s="484"/>
      <c r="EPO2" s="484"/>
      <c r="EPP2" s="484"/>
      <c r="EPQ2" s="484"/>
      <c r="EPR2" s="484"/>
      <c r="EPS2" s="484"/>
      <c r="EPT2" s="484"/>
      <c r="EPU2" s="484"/>
      <c r="EPV2" s="484"/>
      <c r="EPW2" s="484"/>
      <c r="EPX2" s="484"/>
      <c r="EPY2" s="484"/>
      <c r="EPZ2" s="484"/>
      <c r="EQA2" s="484"/>
      <c r="EQB2" s="484"/>
      <c r="EQC2" s="484"/>
      <c r="EQD2" s="484"/>
      <c r="EQE2" s="484"/>
      <c r="EQF2" s="484"/>
      <c r="EQG2" s="484"/>
      <c r="EQH2" s="484"/>
      <c r="EQI2" s="484"/>
      <c r="EQJ2" s="484"/>
      <c r="EQK2" s="484"/>
      <c r="EQL2" s="484"/>
      <c r="EQM2" s="484"/>
      <c r="EQN2" s="484"/>
      <c r="EQO2" s="484"/>
      <c r="EQP2" s="484"/>
      <c r="EQQ2" s="484"/>
      <c r="EQR2" s="484"/>
      <c r="EQS2" s="484"/>
      <c r="EQT2" s="484"/>
      <c r="EQU2" s="484"/>
      <c r="EQV2" s="484"/>
      <c r="EQW2" s="484"/>
      <c r="EQX2" s="484"/>
      <c r="EQY2" s="484"/>
      <c r="EQZ2" s="484"/>
      <c r="ERA2" s="484"/>
      <c r="ERB2" s="484"/>
      <c r="ERC2" s="484"/>
      <c r="ERD2" s="484"/>
      <c r="ERE2" s="484"/>
      <c r="ERF2" s="484"/>
      <c r="ERG2" s="484"/>
      <c r="ERH2" s="484"/>
      <c r="ERI2" s="484"/>
      <c r="ERJ2" s="484"/>
      <c r="ERK2" s="484"/>
      <c r="ERL2" s="484"/>
      <c r="ERM2" s="484"/>
      <c r="ERN2" s="484"/>
      <c r="ERO2" s="484"/>
      <c r="ERP2" s="484"/>
      <c r="ERQ2" s="484"/>
      <c r="ERR2" s="484"/>
      <c r="ERS2" s="484"/>
      <c r="ERT2" s="484"/>
      <c r="ERU2" s="484"/>
      <c r="ERV2" s="484"/>
      <c r="ERW2" s="484"/>
      <c r="ERX2" s="484"/>
      <c r="ERY2" s="484"/>
      <c r="ERZ2" s="484"/>
      <c r="ESA2" s="484"/>
      <c r="ESB2" s="484"/>
      <c r="ESC2" s="484"/>
      <c r="ESD2" s="484"/>
      <c r="ESE2" s="484"/>
      <c r="ESF2" s="484"/>
      <c r="ESG2" s="484"/>
      <c r="ESH2" s="484"/>
      <c r="ESI2" s="484"/>
      <c r="ESJ2" s="484"/>
      <c r="ESK2" s="484"/>
      <c r="ESL2" s="484"/>
      <c r="ESM2" s="484"/>
      <c r="ESN2" s="484"/>
      <c r="ESO2" s="484"/>
      <c r="ESP2" s="484"/>
      <c r="ESQ2" s="484"/>
      <c r="ESR2" s="484"/>
      <c r="ESS2" s="484"/>
      <c r="EST2" s="484"/>
      <c r="ESU2" s="484"/>
      <c r="ESV2" s="484"/>
      <c r="ESW2" s="484"/>
      <c r="ESX2" s="484"/>
      <c r="ESY2" s="484"/>
      <c r="ESZ2" s="484"/>
      <c r="ETA2" s="484"/>
      <c r="ETB2" s="484"/>
      <c r="ETC2" s="484"/>
      <c r="ETD2" s="484"/>
      <c r="ETE2" s="484"/>
      <c r="ETF2" s="484"/>
      <c r="ETG2" s="484"/>
      <c r="ETH2" s="484"/>
      <c r="ETI2" s="484"/>
      <c r="ETJ2" s="484"/>
      <c r="ETK2" s="484"/>
      <c r="ETL2" s="484"/>
      <c r="ETM2" s="484"/>
      <c r="ETN2" s="484"/>
      <c r="ETO2" s="484"/>
      <c r="ETP2" s="484"/>
      <c r="ETQ2" s="484"/>
      <c r="ETR2" s="484"/>
      <c r="ETS2" s="484"/>
      <c r="ETT2" s="484"/>
      <c r="ETU2" s="484"/>
      <c r="ETV2" s="484"/>
      <c r="ETW2" s="484"/>
      <c r="ETX2" s="484"/>
      <c r="ETY2" s="484"/>
      <c r="ETZ2" s="484"/>
      <c r="EUA2" s="484"/>
      <c r="EUB2" s="484"/>
      <c r="EUC2" s="484"/>
      <c r="EUD2" s="484"/>
      <c r="EUE2" s="484"/>
      <c r="EUF2" s="484"/>
      <c r="EUG2" s="484"/>
      <c r="EUH2" s="484"/>
      <c r="EUI2" s="484"/>
      <c r="EUJ2" s="484"/>
      <c r="EUK2" s="484"/>
      <c r="EUL2" s="484"/>
      <c r="EUM2" s="484"/>
      <c r="EUN2" s="484"/>
      <c r="EUO2" s="484"/>
      <c r="EUP2" s="484"/>
      <c r="EUQ2" s="484"/>
      <c r="EUR2" s="484"/>
      <c r="EUS2" s="484"/>
      <c r="EUT2" s="484"/>
      <c r="EUU2" s="484"/>
      <c r="EUV2" s="484"/>
      <c r="EUW2" s="484"/>
      <c r="EUX2" s="484"/>
      <c r="EUY2" s="484"/>
      <c r="EUZ2" s="484"/>
      <c r="EVA2" s="484"/>
      <c r="EVB2" s="484"/>
      <c r="EVC2" s="484"/>
      <c r="EVD2" s="484"/>
      <c r="EVE2" s="484"/>
      <c r="EVF2" s="484"/>
      <c r="EVG2" s="484"/>
      <c r="EVH2" s="484"/>
      <c r="EVI2" s="484"/>
      <c r="EVJ2" s="484"/>
      <c r="EVK2" s="484"/>
      <c r="EVL2" s="484"/>
      <c r="EVM2" s="484"/>
      <c r="EVN2" s="484"/>
      <c r="EVO2" s="484"/>
      <c r="EVP2" s="484"/>
      <c r="EVQ2" s="484"/>
      <c r="EVR2" s="484"/>
      <c r="EVS2" s="484"/>
      <c r="EVT2" s="484"/>
      <c r="EVU2" s="484"/>
      <c r="EVV2" s="484"/>
      <c r="EVW2" s="484"/>
      <c r="EVX2" s="484"/>
      <c r="EVY2" s="484"/>
      <c r="EVZ2" s="484"/>
      <c r="EWA2" s="484"/>
      <c r="EWB2" s="484"/>
      <c r="EWC2" s="484"/>
      <c r="EWD2" s="484"/>
      <c r="EWE2" s="484"/>
      <c r="EWF2" s="484"/>
      <c r="EWG2" s="484"/>
      <c r="EWH2" s="484"/>
      <c r="EWI2" s="484"/>
      <c r="EWJ2" s="484"/>
      <c r="EWK2" s="484"/>
      <c r="EWL2" s="484"/>
      <c r="EWM2" s="484"/>
      <c r="EWN2" s="484"/>
      <c r="EWO2" s="484"/>
      <c r="EWP2" s="484"/>
      <c r="EWQ2" s="484"/>
      <c r="EWR2" s="484"/>
      <c r="EWS2" s="484"/>
      <c r="EWT2" s="484"/>
      <c r="EWU2" s="484"/>
      <c r="EWV2" s="484"/>
      <c r="EWW2" s="484"/>
      <c r="EWX2" s="484"/>
      <c r="EWY2" s="484"/>
      <c r="EWZ2" s="484"/>
      <c r="EXA2" s="484"/>
      <c r="EXB2" s="484"/>
      <c r="EXC2" s="484"/>
      <c r="EXD2" s="484"/>
      <c r="EXE2" s="484"/>
      <c r="EXF2" s="484"/>
      <c r="EXG2" s="484"/>
      <c r="EXH2" s="484"/>
      <c r="EXI2" s="484"/>
      <c r="EXJ2" s="484"/>
      <c r="EXK2" s="484"/>
      <c r="EXL2" s="484"/>
      <c r="EXM2" s="484"/>
      <c r="EXN2" s="484"/>
      <c r="EXO2" s="484"/>
      <c r="EXP2" s="484"/>
      <c r="EXQ2" s="484"/>
      <c r="EXR2" s="484"/>
      <c r="EXS2" s="484"/>
      <c r="EXT2" s="484"/>
      <c r="EXU2" s="484"/>
      <c r="EXV2" s="484"/>
      <c r="EXW2" s="484"/>
      <c r="EXX2" s="484"/>
      <c r="EXY2" s="484"/>
      <c r="EXZ2" s="484"/>
      <c r="EYA2" s="484"/>
      <c r="EYB2" s="484"/>
      <c r="EYC2" s="484"/>
      <c r="EYD2" s="484"/>
      <c r="EYE2" s="484"/>
      <c r="EYF2" s="484"/>
      <c r="EYG2" s="484"/>
      <c r="EYH2" s="484"/>
      <c r="EYI2" s="484"/>
      <c r="EYJ2" s="484"/>
      <c r="EYK2" s="484"/>
      <c r="EYL2" s="484"/>
      <c r="EYM2" s="484"/>
      <c r="EYN2" s="484"/>
      <c r="EYO2" s="484"/>
      <c r="EYP2" s="484"/>
      <c r="EYQ2" s="484"/>
      <c r="EYR2" s="484"/>
      <c r="EYS2" s="484"/>
      <c r="EYT2" s="484"/>
      <c r="EYU2" s="484"/>
      <c r="EYV2" s="484"/>
      <c r="EYW2" s="484"/>
      <c r="EYX2" s="484"/>
      <c r="EYY2" s="484"/>
      <c r="EYZ2" s="484"/>
      <c r="EZA2" s="484"/>
      <c r="EZB2" s="484"/>
      <c r="EZC2" s="484"/>
      <c r="EZD2" s="484"/>
      <c r="EZE2" s="484"/>
      <c r="EZF2" s="484"/>
      <c r="EZG2" s="484"/>
      <c r="EZH2" s="484"/>
      <c r="EZI2" s="484"/>
      <c r="EZJ2" s="484"/>
      <c r="EZK2" s="484"/>
      <c r="EZL2" s="484"/>
      <c r="EZM2" s="484"/>
      <c r="EZN2" s="484"/>
      <c r="EZO2" s="484"/>
      <c r="EZP2" s="484"/>
      <c r="EZQ2" s="484"/>
      <c r="EZR2" s="484"/>
      <c r="EZS2" s="484"/>
      <c r="EZT2" s="484"/>
      <c r="EZU2" s="484"/>
      <c r="EZV2" s="484"/>
      <c r="EZW2" s="484"/>
      <c r="EZX2" s="484"/>
      <c r="EZY2" s="484"/>
      <c r="EZZ2" s="484"/>
      <c r="FAA2" s="484"/>
      <c r="FAB2" s="484"/>
      <c r="FAC2" s="484"/>
      <c r="FAD2" s="484"/>
      <c r="FAE2" s="484"/>
      <c r="FAF2" s="484"/>
      <c r="FAG2" s="484"/>
      <c r="FAH2" s="484"/>
      <c r="FAI2" s="484"/>
      <c r="FAJ2" s="484"/>
      <c r="FAK2" s="484"/>
      <c r="FAL2" s="484"/>
      <c r="FAM2" s="484"/>
      <c r="FAN2" s="484"/>
      <c r="FAO2" s="484"/>
      <c r="FAP2" s="484"/>
      <c r="FAQ2" s="484"/>
      <c r="FAR2" s="484"/>
      <c r="FAS2" s="484"/>
      <c r="FAT2" s="484"/>
      <c r="FAU2" s="484"/>
      <c r="FAV2" s="484"/>
      <c r="FAW2" s="484"/>
      <c r="FAX2" s="484"/>
      <c r="FAY2" s="484"/>
      <c r="FAZ2" s="484"/>
      <c r="FBA2" s="484"/>
      <c r="FBB2" s="484"/>
      <c r="FBC2" s="484"/>
      <c r="FBD2" s="484"/>
      <c r="FBE2" s="484"/>
      <c r="FBF2" s="484"/>
      <c r="FBG2" s="484"/>
      <c r="FBH2" s="484"/>
      <c r="FBI2" s="484"/>
      <c r="FBJ2" s="484"/>
      <c r="FBK2" s="484"/>
      <c r="FBL2" s="484"/>
      <c r="FBM2" s="484"/>
      <c r="FBN2" s="484"/>
      <c r="FBO2" s="484"/>
      <c r="FBP2" s="484"/>
      <c r="FBQ2" s="484"/>
      <c r="FBR2" s="484"/>
      <c r="FBS2" s="484"/>
      <c r="FBT2" s="484"/>
      <c r="FBU2" s="484"/>
      <c r="FBV2" s="484"/>
      <c r="FBW2" s="484"/>
      <c r="FBX2" s="484"/>
      <c r="FBY2" s="484"/>
      <c r="FBZ2" s="484"/>
      <c r="FCA2" s="484"/>
      <c r="FCB2" s="484"/>
      <c r="FCC2" s="484"/>
      <c r="FCD2" s="484"/>
      <c r="FCE2" s="484"/>
      <c r="FCF2" s="484"/>
      <c r="FCG2" s="484"/>
      <c r="FCH2" s="484"/>
      <c r="FCI2" s="484"/>
      <c r="FCJ2" s="484"/>
      <c r="FCK2" s="484"/>
      <c r="FCL2" s="484"/>
      <c r="FCM2" s="484"/>
      <c r="FCN2" s="484"/>
      <c r="FCO2" s="484"/>
      <c r="FCP2" s="484"/>
      <c r="FCQ2" s="484"/>
      <c r="FCR2" s="484"/>
      <c r="FCS2" s="484"/>
      <c r="FCT2" s="484"/>
      <c r="FCU2" s="484"/>
      <c r="FCV2" s="484"/>
      <c r="FCW2" s="484"/>
      <c r="FCX2" s="484"/>
      <c r="FCY2" s="484"/>
      <c r="FCZ2" s="484"/>
      <c r="FDA2" s="484"/>
      <c r="FDB2" s="484"/>
      <c r="FDC2" s="484"/>
      <c r="FDD2" s="484"/>
      <c r="FDE2" s="484"/>
      <c r="FDF2" s="484"/>
      <c r="FDG2" s="484"/>
      <c r="FDH2" s="484"/>
      <c r="FDI2" s="484"/>
      <c r="FDJ2" s="484"/>
      <c r="FDK2" s="484"/>
      <c r="FDL2" s="484"/>
      <c r="FDM2" s="484"/>
      <c r="FDN2" s="484"/>
      <c r="FDO2" s="484"/>
      <c r="FDP2" s="484"/>
      <c r="FDQ2" s="484"/>
      <c r="FDR2" s="484"/>
      <c r="FDS2" s="484"/>
      <c r="FDT2" s="484"/>
      <c r="FDU2" s="484"/>
      <c r="FDV2" s="484"/>
      <c r="FDW2" s="484"/>
      <c r="FDX2" s="484"/>
      <c r="FDY2" s="484"/>
      <c r="FDZ2" s="484"/>
      <c r="FEA2" s="484"/>
      <c r="FEB2" s="484"/>
      <c r="FEC2" s="484"/>
      <c r="FED2" s="484"/>
      <c r="FEE2" s="484"/>
      <c r="FEF2" s="484"/>
      <c r="FEG2" s="484"/>
      <c r="FEH2" s="484"/>
      <c r="FEI2" s="484"/>
      <c r="FEJ2" s="484"/>
      <c r="FEK2" s="484"/>
      <c r="FEL2" s="484"/>
      <c r="FEM2" s="484"/>
      <c r="FEN2" s="484"/>
      <c r="FEO2" s="484"/>
      <c r="FEP2" s="484"/>
      <c r="FEQ2" s="484"/>
      <c r="FER2" s="484"/>
      <c r="FES2" s="484"/>
      <c r="FET2" s="484"/>
      <c r="FEU2" s="484"/>
      <c r="FEV2" s="484"/>
      <c r="FEW2" s="484"/>
      <c r="FEX2" s="484"/>
      <c r="FEY2" s="484"/>
      <c r="FEZ2" s="484"/>
      <c r="FFA2" s="484"/>
      <c r="FFB2" s="484"/>
      <c r="FFC2" s="484"/>
      <c r="FFD2" s="484"/>
      <c r="FFE2" s="484"/>
      <c r="FFF2" s="484"/>
      <c r="FFG2" s="484"/>
      <c r="FFH2" s="484"/>
      <c r="FFI2" s="484"/>
      <c r="FFJ2" s="484"/>
      <c r="FFK2" s="484"/>
      <c r="FFL2" s="484"/>
      <c r="FFM2" s="484"/>
      <c r="FFN2" s="484"/>
      <c r="FFO2" s="484"/>
      <c r="FFP2" s="484"/>
      <c r="FFQ2" s="484"/>
      <c r="FFR2" s="484"/>
      <c r="FFS2" s="484"/>
      <c r="FFT2" s="484"/>
      <c r="FFU2" s="484"/>
      <c r="FFV2" s="484"/>
      <c r="FFW2" s="484"/>
      <c r="FFX2" s="484"/>
      <c r="FFY2" s="484"/>
      <c r="FFZ2" s="484"/>
      <c r="FGA2" s="484"/>
      <c r="FGB2" s="484"/>
      <c r="FGC2" s="484"/>
      <c r="FGD2" s="484"/>
      <c r="FGE2" s="484"/>
      <c r="FGF2" s="484"/>
      <c r="FGG2" s="484"/>
      <c r="FGH2" s="484"/>
      <c r="FGI2" s="484"/>
      <c r="FGJ2" s="484"/>
      <c r="FGK2" s="484"/>
      <c r="FGL2" s="484"/>
      <c r="FGM2" s="484"/>
      <c r="FGN2" s="484"/>
      <c r="FGO2" s="484"/>
      <c r="FGP2" s="484"/>
      <c r="FGQ2" s="484"/>
      <c r="FGR2" s="484"/>
      <c r="FGS2" s="484"/>
      <c r="FGT2" s="484"/>
      <c r="FGU2" s="484"/>
      <c r="FGV2" s="484"/>
      <c r="FGW2" s="484"/>
      <c r="FGX2" s="484"/>
      <c r="FGY2" s="484"/>
      <c r="FGZ2" s="484"/>
      <c r="FHA2" s="484"/>
      <c r="FHB2" s="484"/>
      <c r="FHC2" s="484"/>
      <c r="FHD2" s="484"/>
      <c r="FHE2" s="484"/>
      <c r="FHF2" s="484"/>
      <c r="FHG2" s="484"/>
      <c r="FHH2" s="484"/>
      <c r="FHI2" s="484"/>
      <c r="FHJ2" s="484"/>
      <c r="FHK2" s="484"/>
      <c r="FHL2" s="484"/>
      <c r="FHM2" s="484"/>
      <c r="FHN2" s="484"/>
      <c r="FHO2" s="484"/>
      <c r="FHP2" s="484"/>
      <c r="FHQ2" s="484"/>
      <c r="FHR2" s="484"/>
      <c r="FHS2" s="484"/>
      <c r="FHT2" s="484"/>
      <c r="FHU2" s="484"/>
      <c r="FHV2" s="484"/>
      <c r="FHW2" s="484"/>
      <c r="FHX2" s="484"/>
      <c r="FHY2" s="484"/>
      <c r="FHZ2" s="484"/>
      <c r="FIA2" s="484"/>
      <c r="FIB2" s="484"/>
      <c r="FIC2" s="484"/>
      <c r="FID2" s="484"/>
      <c r="FIE2" s="484"/>
      <c r="FIF2" s="484"/>
      <c r="FIG2" s="484"/>
      <c r="FIH2" s="484"/>
      <c r="FII2" s="484"/>
      <c r="FIJ2" s="484"/>
      <c r="FIK2" s="484"/>
      <c r="FIL2" s="484"/>
      <c r="FIM2" s="484"/>
      <c r="FIN2" s="484"/>
      <c r="FIO2" s="484"/>
      <c r="FIP2" s="484"/>
      <c r="FIQ2" s="484"/>
      <c r="FIR2" s="484"/>
      <c r="FIS2" s="484"/>
      <c r="FIT2" s="484"/>
      <c r="FIU2" s="484"/>
      <c r="FIV2" s="484"/>
      <c r="FIW2" s="484"/>
      <c r="FIX2" s="484"/>
      <c r="FIY2" s="484"/>
      <c r="FIZ2" s="484"/>
      <c r="FJA2" s="484"/>
      <c r="FJB2" s="484"/>
      <c r="FJC2" s="484"/>
      <c r="FJD2" s="484"/>
      <c r="FJE2" s="484"/>
      <c r="FJF2" s="484"/>
      <c r="FJG2" s="484"/>
      <c r="FJH2" s="484"/>
      <c r="FJI2" s="484"/>
      <c r="FJJ2" s="484"/>
      <c r="FJK2" s="484"/>
      <c r="FJL2" s="484"/>
      <c r="FJM2" s="484"/>
      <c r="FJN2" s="484"/>
      <c r="FJO2" s="484"/>
      <c r="FJP2" s="484"/>
      <c r="FJQ2" s="484"/>
      <c r="FJR2" s="484"/>
      <c r="FJS2" s="484"/>
      <c r="FJT2" s="484"/>
      <c r="FJU2" s="484"/>
      <c r="FJV2" s="484"/>
      <c r="FJW2" s="484"/>
      <c r="FJX2" s="484"/>
      <c r="FJY2" s="484"/>
      <c r="FJZ2" s="484"/>
      <c r="FKA2" s="484"/>
      <c r="FKB2" s="484"/>
      <c r="FKC2" s="484"/>
      <c r="FKD2" s="484"/>
      <c r="FKE2" s="484"/>
      <c r="FKF2" s="484"/>
      <c r="FKG2" s="484"/>
      <c r="FKH2" s="484"/>
      <c r="FKI2" s="484"/>
      <c r="FKJ2" s="484"/>
      <c r="FKK2" s="484"/>
      <c r="FKL2" s="484"/>
      <c r="FKM2" s="484"/>
      <c r="FKN2" s="484"/>
      <c r="FKO2" s="484"/>
      <c r="FKP2" s="484"/>
      <c r="FKQ2" s="484"/>
      <c r="FKR2" s="484"/>
      <c r="FKS2" s="484"/>
      <c r="FKT2" s="484"/>
      <c r="FKU2" s="484"/>
      <c r="FKV2" s="484"/>
      <c r="FKW2" s="484"/>
      <c r="FKX2" s="484"/>
      <c r="FKY2" s="484"/>
      <c r="FKZ2" s="484"/>
      <c r="FLA2" s="484"/>
      <c r="FLB2" s="484"/>
      <c r="FLC2" s="484"/>
      <c r="FLD2" s="484"/>
      <c r="FLE2" s="484"/>
      <c r="FLF2" s="484"/>
      <c r="FLG2" s="484"/>
      <c r="FLH2" s="484"/>
      <c r="FLI2" s="484"/>
      <c r="FLJ2" s="484"/>
      <c r="FLK2" s="484"/>
      <c r="FLL2" s="484"/>
      <c r="FLM2" s="484"/>
      <c r="FLN2" s="484"/>
      <c r="FLO2" s="484"/>
      <c r="FLP2" s="484"/>
      <c r="FLQ2" s="484"/>
      <c r="FLR2" s="484"/>
      <c r="FLS2" s="484"/>
      <c r="FLT2" s="484"/>
      <c r="FLU2" s="484"/>
      <c r="FLV2" s="484"/>
      <c r="FLW2" s="484"/>
      <c r="FLX2" s="484"/>
      <c r="FLY2" s="484"/>
      <c r="FLZ2" s="484"/>
      <c r="FMA2" s="484"/>
      <c r="FMB2" s="484"/>
      <c r="FMC2" s="484"/>
      <c r="FMD2" s="484"/>
      <c r="FME2" s="484"/>
      <c r="FMF2" s="484"/>
      <c r="FMG2" s="484"/>
      <c r="FMH2" s="484"/>
      <c r="FMI2" s="484"/>
      <c r="FMJ2" s="484"/>
      <c r="FMK2" s="484"/>
      <c r="FML2" s="484"/>
      <c r="FMM2" s="484"/>
      <c r="FMN2" s="484"/>
      <c r="FMO2" s="484"/>
      <c r="FMP2" s="484"/>
      <c r="FMQ2" s="484"/>
      <c r="FMR2" s="484"/>
      <c r="FMS2" s="484"/>
      <c r="FMT2" s="484"/>
      <c r="FMU2" s="484"/>
      <c r="FMV2" s="484"/>
      <c r="FMW2" s="484"/>
      <c r="FMX2" s="484"/>
      <c r="FMY2" s="484"/>
      <c r="FMZ2" s="484"/>
      <c r="FNA2" s="484"/>
      <c r="FNB2" s="484"/>
      <c r="FNC2" s="484"/>
      <c r="FND2" s="484"/>
      <c r="FNE2" s="484"/>
      <c r="FNF2" s="484"/>
      <c r="FNG2" s="484"/>
      <c r="FNH2" s="484"/>
      <c r="FNI2" s="484"/>
      <c r="FNJ2" s="484"/>
      <c r="FNK2" s="484"/>
      <c r="FNL2" s="484"/>
      <c r="FNM2" s="484"/>
      <c r="FNN2" s="484"/>
      <c r="FNO2" s="484"/>
      <c r="FNP2" s="484"/>
      <c r="FNQ2" s="484"/>
      <c r="FNR2" s="484"/>
      <c r="FNS2" s="484"/>
      <c r="FNT2" s="484"/>
      <c r="FNU2" s="484"/>
      <c r="FNV2" s="484"/>
      <c r="FNW2" s="484"/>
      <c r="FNX2" s="484"/>
      <c r="FNY2" s="484"/>
      <c r="FNZ2" s="484"/>
      <c r="FOA2" s="484"/>
      <c r="FOB2" s="484"/>
      <c r="FOC2" s="484"/>
      <c r="FOD2" s="484"/>
      <c r="FOE2" s="484"/>
      <c r="FOF2" s="484"/>
      <c r="FOG2" s="484"/>
      <c r="FOH2" s="484"/>
      <c r="FOI2" s="484"/>
      <c r="FOJ2" s="484"/>
      <c r="FOK2" s="484"/>
      <c r="FOL2" s="484"/>
      <c r="FOM2" s="484"/>
      <c r="FON2" s="484"/>
      <c r="FOO2" s="484"/>
      <c r="FOP2" s="484"/>
      <c r="FOQ2" s="484"/>
      <c r="FOR2" s="484"/>
      <c r="FOS2" s="484"/>
      <c r="FOT2" s="484"/>
      <c r="FOU2" s="484"/>
      <c r="FOV2" s="484"/>
      <c r="FOW2" s="484"/>
      <c r="FOX2" s="484"/>
      <c r="FOY2" s="484"/>
      <c r="FOZ2" s="484"/>
      <c r="FPA2" s="484"/>
      <c r="FPB2" s="484"/>
      <c r="FPC2" s="484"/>
      <c r="FPD2" s="484"/>
      <c r="FPE2" s="484"/>
      <c r="FPF2" s="484"/>
      <c r="FPG2" s="484"/>
      <c r="FPH2" s="484"/>
      <c r="FPI2" s="484"/>
      <c r="FPJ2" s="484"/>
      <c r="FPK2" s="484"/>
      <c r="FPL2" s="484"/>
      <c r="FPM2" s="484"/>
      <c r="FPN2" s="484"/>
      <c r="FPO2" s="484"/>
      <c r="FPP2" s="484"/>
      <c r="FPQ2" s="484"/>
      <c r="FPR2" s="484"/>
      <c r="FPS2" s="484"/>
      <c r="FPT2" s="484"/>
      <c r="FPU2" s="484"/>
      <c r="FPV2" s="484"/>
      <c r="FPW2" s="484"/>
      <c r="FPX2" s="484"/>
      <c r="FPY2" s="484"/>
      <c r="FPZ2" s="484"/>
      <c r="FQA2" s="484"/>
      <c r="FQB2" s="484"/>
      <c r="FQC2" s="484"/>
      <c r="FQD2" s="484"/>
      <c r="FQE2" s="484"/>
      <c r="FQF2" s="484"/>
      <c r="FQG2" s="484"/>
      <c r="FQH2" s="484"/>
      <c r="FQI2" s="484"/>
      <c r="FQJ2" s="484"/>
      <c r="FQK2" s="484"/>
      <c r="FQL2" s="484"/>
      <c r="FQM2" s="484"/>
      <c r="FQN2" s="484"/>
      <c r="FQO2" s="484"/>
      <c r="FQP2" s="484"/>
      <c r="FQQ2" s="484"/>
      <c r="FQR2" s="484"/>
      <c r="FQS2" s="484"/>
      <c r="FQT2" s="484"/>
      <c r="FQU2" s="484"/>
      <c r="FQV2" s="484"/>
      <c r="FQW2" s="484"/>
      <c r="FQX2" s="484"/>
      <c r="FQY2" s="484"/>
      <c r="FQZ2" s="484"/>
      <c r="FRA2" s="484"/>
      <c r="FRB2" s="484"/>
      <c r="FRC2" s="484"/>
      <c r="FRD2" s="484"/>
      <c r="FRE2" s="484"/>
      <c r="FRF2" s="484"/>
      <c r="FRG2" s="484"/>
      <c r="FRH2" s="484"/>
      <c r="FRI2" s="484"/>
      <c r="FRJ2" s="484"/>
      <c r="FRK2" s="484"/>
      <c r="FRL2" s="484"/>
      <c r="FRM2" s="484"/>
      <c r="FRN2" s="484"/>
      <c r="FRO2" s="484"/>
      <c r="FRP2" s="484"/>
      <c r="FRQ2" s="484"/>
      <c r="FRR2" s="484"/>
      <c r="FRS2" s="484"/>
      <c r="FRT2" s="484"/>
      <c r="FRU2" s="484"/>
      <c r="FRV2" s="484"/>
      <c r="FRW2" s="484"/>
      <c r="FRX2" s="484"/>
      <c r="FRY2" s="484"/>
      <c r="FRZ2" s="484"/>
      <c r="FSA2" s="484"/>
      <c r="FSB2" s="484"/>
      <c r="FSC2" s="484"/>
      <c r="FSD2" s="484"/>
      <c r="FSE2" s="484"/>
      <c r="FSF2" s="484"/>
      <c r="FSG2" s="484"/>
      <c r="FSH2" s="484"/>
      <c r="FSI2" s="484"/>
      <c r="FSJ2" s="484"/>
      <c r="FSK2" s="484"/>
      <c r="FSL2" s="484"/>
      <c r="FSM2" s="484"/>
      <c r="FSN2" s="484"/>
      <c r="FSO2" s="484"/>
      <c r="FSP2" s="484"/>
      <c r="FSQ2" s="484"/>
      <c r="FSR2" s="484"/>
      <c r="FSS2" s="484"/>
      <c r="FST2" s="484"/>
      <c r="FSU2" s="484"/>
      <c r="FSV2" s="484"/>
      <c r="FSW2" s="484"/>
      <c r="FSX2" s="484"/>
      <c r="FSY2" s="484"/>
      <c r="FSZ2" s="484"/>
      <c r="FTA2" s="484"/>
      <c r="FTB2" s="484"/>
      <c r="FTC2" s="484"/>
      <c r="FTD2" s="484"/>
      <c r="FTE2" s="484"/>
      <c r="FTF2" s="484"/>
      <c r="FTG2" s="484"/>
      <c r="FTH2" s="484"/>
      <c r="FTI2" s="484"/>
      <c r="FTJ2" s="484"/>
      <c r="FTK2" s="484"/>
      <c r="FTL2" s="484"/>
      <c r="FTM2" s="484"/>
      <c r="FTN2" s="484"/>
      <c r="FTO2" s="484"/>
      <c r="FTP2" s="484"/>
      <c r="FTQ2" s="484"/>
      <c r="FTR2" s="484"/>
      <c r="FTS2" s="484"/>
      <c r="FTT2" s="484"/>
      <c r="FTU2" s="484"/>
      <c r="FTV2" s="484"/>
      <c r="FTW2" s="484"/>
      <c r="FTX2" s="484"/>
      <c r="FTY2" s="484"/>
      <c r="FTZ2" s="484"/>
      <c r="FUA2" s="484"/>
      <c r="FUB2" s="484"/>
      <c r="FUC2" s="484"/>
      <c r="FUD2" s="484"/>
      <c r="FUE2" s="484"/>
      <c r="FUF2" s="484"/>
      <c r="FUG2" s="484"/>
      <c r="FUH2" s="484"/>
      <c r="FUI2" s="484"/>
      <c r="FUJ2" s="484"/>
      <c r="FUK2" s="484"/>
      <c r="FUL2" s="484"/>
      <c r="FUM2" s="484"/>
      <c r="FUN2" s="484"/>
      <c r="FUO2" s="484"/>
      <c r="FUP2" s="484"/>
      <c r="FUQ2" s="484"/>
      <c r="FUR2" s="484"/>
      <c r="FUS2" s="484"/>
      <c r="FUT2" s="484"/>
      <c r="FUU2" s="484"/>
      <c r="FUV2" s="484"/>
      <c r="FUW2" s="484"/>
      <c r="FUX2" s="484"/>
      <c r="FUY2" s="484"/>
      <c r="FUZ2" s="484"/>
      <c r="FVA2" s="484"/>
      <c r="FVB2" s="484"/>
      <c r="FVC2" s="484"/>
      <c r="FVD2" s="484"/>
      <c r="FVE2" s="484"/>
      <c r="FVF2" s="484"/>
      <c r="FVG2" s="484"/>
      <c r="FVH2" s="484"/>
      <c r="FVI2" s="484"/>
      <c r="FVJ2" s="484"/>
      <c r="FVK2" s="484"/>
      <c r="FVL2" s="484"/>
      <c r="FVM2" s="484"/>
      <c r="FVN2" s="484"/>
      <c r="FVO2" s="484"/>
      <c r="FVP2" s="484"/>
      <c r="FVQ2" s="484"/>
      <c r="FVR2" s="484"/>
      <c r="FVS2" s="484"/>
      <c r="FVT2" s="484"/>
      <c r="FVU2" s="484"/>
      <c r="FVV2" s="484"/>
      <c r="FVW2" s="484"/>
      <c r="FVX2" s="484"/>
      <c r="FVY2" s="484"/>
      <c r="FVZ2" s="484"/>
      <c r="FWA2" s="484"/>
      <c r="FWB2" s="484"/>
      <c r="FWC2" s="484"/>
      <c r="FWD2" s="484"/>
      <c r="FWE2" s="484"/>
      <c r="FWF2" s="484"/>
      <c r="FWG2" s="484"/>
      <c r="FWH2" s="484"/>
      <c r="FWI2" s="484"/>
      <c r="FWJ2" s="484"/>
      <c r="FWK2" s="484"/>
      <c r="FWL2" s="484"/>
      <c r="FWM2" s="484"/>
      <c r="FWN2" s="484"/>
      <c r="FWO2" s="484"/>
      <c r="FWP2" s="484"/>
      <c r="FWQ2" s="484"/>
      <c r="FWR2" s="484"/>
      <c r="FWS2" s="484"/>
      <c r="FWT2" s="484"/>
      <c r="FWU2" s="484"/>
      <c r="FWV2" s="484"/>
      <c r="FWW2" s="484"/>
      <c r="FWX2" s="484"/>
      <c r="FWY2" s="484"/>
      <c r="FWZ2" s="484"/>
      <c r="FXA2" s="484"/>
      <c r="FXB2" s="484"/>
      <c r="FXC2" s="484"/>
      <c r="FXD2" s="484"/>
      <c r="FXE2" s="484"/>
      <c r="FXF2" s="484"/>
      <c r="FXG2" s="484"/>
      <c r="FXH2" s="484"/>
      <c r="FXI2" s="484"/>
      <c r="FXJ2" s="484"/>
      <c r="FXK2" s="484"/>
      <c r="FXL2" s="484"/>
      <c r="FXM2" s="484"/>
      <c r="FXN2" s="484"/>
      <c r="FXO2" s="484"/>
      <c r="FXP2" s="484"/>
      <c r="FXQ2" s="484"/>
      <c r="FXR2" s="484"/>
      <c r="FXS2" s="484"/>
      <c r="FXT2" s="484"/>
      <c r="FXU2" s="484"/>
      <c r="FXV2" s="484"/>
      <c r="FXW2" s="484"/>
      <c r="FXX2" s="484"/>
      <c r="FXY2" s="484"/>
      <c r="FXZ2" s="484"/>
      <c r="FYA2" s="484"/>
      <c r="FYB2" s="484"/>
      <c r="FYC2" s="484"/>
      <c r="FYD2" s="484"/>
      <c r="FYE2" s="484"/>
      <c r="FYF2" s="484"/>
      <c r="FYG2" s="484"/>
      <c r="FYH2" s="484"/>
      <c r="FYI2" s="484"/>
      <c r="FYJ2" s="484"/>
      <c r="FYK2" s="484"/>
      <c r="FYL2" s="484"/>
      <c r="FYM2" s="484"/>
      <c r="FYN2" s="484"/>
      <c r="FYO2" s="484"/>
      <c r="FYP2" s="484"/>
      <c r="FYQ2" s="484"/>
      <c r="FYR2" s="484"/>
      <c r="FYS2" s="484"/>
      <c r="FYT2" s="484"/>
      <c r="FYU2" s="484"/>
      <c r="FYV2" s="484"/>
      <c r="FYW2" s="484"/>
      <c r="FYX2" s="484"/>
      <c r="FYY2" s="484"/>
      <c r="FYZ2" s="484"/>
      <c r="FZA2" s="484"/>
      <c r="FZB2" s="484"/>
      <c r="FZC2" s="484"/>
      <c r="FZD2" s="484"/>
      <c r="FZE2" s="484"/>
      <c r="FZF2" s="484"/>
      <c r="FZG2" s="484"/>
      <c r="FZH2" s="484"/>
      <c r="FZI2" s="484"/>
      <c r="FZJ2" s="484"/>
      <c r="FZK2" s="484"/>
      <c r="FZL2" s="484"/>
      <c r="FZM2" s="484"/>
      <c r="FZN2" s="484"/>
      <c r="FZO2" s="484"/>
      <c r="FZP2" s="484"/>
      <c r="FZQ2" s="484"/>
      <c r="FZR2" s="484"/>
      <c r="FZS2" s="484"/>
      <c r="FZT2" s="484"/>
      <c r="FZU2" s="484"/>
      <c r="FZV2" s="484"/>
      <c r="FZW2" s="484"/>
      <c r="FZX2" s="484"/>
      <c r="FZY2" s="484"/>
      <c r="FZZ2" s="484"/>
      <c r="GAA2" s="484"/>
      <c r="GAB2" s="484"/>
      <c r="GAC2" s="484"/>
      <c r="GAD2" s="484"/>
      <c r="GAE2" s="484"/>
      <c r="GAF2" s="484"/>
      <c r="GAG2" s="484"/>
      <c r="GAH2" s="484"/>
      <c r="GAI2" s="484"/>
      <c r="GAJ2" s="484"/>
      <c r="GAK2" s="484"/>
      <c r="GAL2" s="484"/>
      <c r="GAM2" s="484"/>
      <c r="GAN2" s="484"/>
      <c r="GAO2" s="484"/>
      <c r="GAP2" s="484"/>
      <c r="GAQ2" s="484"/>
      <c r="GAR2" s="484"/>
      <c r="GAS2" s="484"/>
      <c r="GAT2" s="484"/>
      <c r="GAU2" s="484"/>
      <c r="GAV2" s="484"/>
      <c r="GAW2" s="484"/>
      <c r="GAX2" s="484"/>
      <c r="GAY2" s="484"/>
      <c r="GAZ2" s="484"/>
      <c r="GBA2" s="484"/>
      <c r="GBB2" s="484"/>
      <c r="GBC2" s="484"/>
      <c r="GBD2" s="484"/>
      <c r="GBE2" s="484"/>
      <c r="GBF2" s="484"/>
      <c r="GBG2" s="484"/>
      <c r="GBH2" s="484"/>
      <c r="GBI2" s="484"/>
      <c r="GBJ2" s="484"/>
      <c r="GBK2" s="484"/>
      <c r="GBL2" s="484"/>
      <c r="GBM2" s="484"/>
      <c r="GBN2" s="484"/>
      <c r="GBO2" s="484"/>
      <c r="GBP2" s="484"/>
      <c r="GBQ2" s="484"/>
      <c r="GBR2" s="484"/>
      <c r="GBS2" s="484"/>
      <c r="GBT2" s="484"/>
      <c r="GBU2" s="484"/>
      <c r="GBV2" s="484"/>
      <c r="GBW2" s="484"/>
      <c r="GBX2" s="484"/>
      <c r="GBY2" s="484"/>
      <c r="GBZ2" s="484"/>
      <c r="GCA2" s="484"/>
      <c r="GCB2" s="484"/>
      <c r="GCC2" s="484"/>
      <c r="GCD2" s="484"/>
      <c r="GCE2" s="484"/>
      <c r="GCF2" s="484"/>
      <c r="GCG2" s="484"/>
      <c r="GCH2" s="484"/>
      <c r="GCI2" s="484"/>
      <c r="GCJ2" s="484"/>
      <c r="GCK2" s="484"/>
      <c r="GCL2" s="484"/>
      <c r="GCM2" s="484"/>
      <c r="GCN2" s="484"/>
      <c r="GCO2" s="484"/>
      <c r="GCP2" s="484"/>
      <c r="GCQ2" s="484"/>
      <c r="GCR2" s="484"/>
      <c r="GCS2" s="484"/>
      <c r="GCT2" s="484"/>
      <c r="GCU2" s="484"/>
      <c r="GCV2" s="484"/>
      <c r="GCW2" s="484"/>
      <c r="GCX2" s="484"/>
      <c r="GCY2" s="484"/>
      <c r="GCZ2" s="484"/>
      <c r="GDA2" s="484"/>
      <c r="GDB2" s="484"/>
      <c r="GDC2" s="484"/>
      <c r="GDD2" s="484"/>
      <c r="GDE2" s="484"/>
      <c r="GDF2" s="484"/>
      <c r="GDG2" s="484"/>
      <c r="GDH2" s="484"/>
      <c r="GDI2" s="484"/>
      <c r="GDJ2" s="484"/>
      <c r="GDK2" s="484"/>
      <c r="GDL2" s="484"/>
      <c r="GDM2" s="484"/>
      <c r="GDN2" s="484"/>
      <c r="GDO2" s="484"/>
      <c r="GDP2" s="484"/>
      <c r="GDQ2" s="484"/>
      <c r="GDR2" s="484"/>
      <c r="GDS2" s="484"/>
      <c r="GDT2" s="484"/>
      <c r="GDU2" s="484"/>
      <c r="GDV2" s="484"/>
      <c r="GDW2" s="484"/>
      <c r="GDX2" s="484"/>
      <c r="GDY2" s="484"/>
      <c r="GDZ2" s="484"/>
      <c r="GEA2" s="484"/>
      <c r="GEB2" s="484"/>
      <c r="GEC2" s="484"/>
      <c r="GED2" s="484"/>
      <c r="GEE2" s="484"/>
      <c r="GEF2" s="484"/>
      <c r="GEG2" s="484"/>
      <c r="GEH2" s="484"/>
      <c r="GEI2" s="484"/>
      <c r="GEJ2" s="484"/>
      <c r="GEK2" s="484"/>
      <c r="GEL2" s="484"/>
      <c r="GEM2" s="484"/>
      <c r="GEN2" s="484"/>
      <c r="GEO2" s="484"/>
      <c r="GEP2" s="484"/>
      <c r="GEQ2" s="484"/>
      <c r="GER2" s="484"/>
      <c r="GES2" s="484"/>
      <c r="GET2" s="484"/>
      <c r="GEU2" s="484"/>
      <c r="GEV2" s="484"/>
      <c r="GEW2" s="484"/>
      <c r="GEX2" s="484"/>
      <c r="GEY2" s="484"/>
      <c r="GEZ2" s="484"/>
      <c r="GFA2" s="484"/>
      <c r="GFB2" s="484"/>
      <c r="GFC2" s="484"/>
      <c r="GFD2" s="484"/>
      <c r="GFE2" s="484"/>
      <c r="GFF2" s="484"/>
      <c r="GFG2" s="484"/>
      <c r="GFH2" s="484"/>
      <c r="GFI2" s="484"/>
      <c r="GFJ2" s="484"/>
      <c r="GFK2" s="484"/>
      <c r="GFL2" s="484"/>
      <c r="GFM2" s="484"/>
      <c r="GFN2" s="484"/>
      <c r="GFO2" s="484"/>
      <c r="GFP2" s="484"/>
      <c r="GFQ2" s="484"/>
      <c r="GFR2" s="484"/>
      <c r="GFS2" s="484"/>
      <c r="GFT2" s="484"/>
      <c r="GFU2" s="484"/>
      <c r="GFV2" s="484"/>
      <c r="GFW2" s="484"/>
      <c r="GFX2" s="484"/>
      <c r="GFY2" s="484"/>
      <c r="GFZ2" s="484"/>
      <c r="GGA2" s="484"/>
      <c r="GGB2" s="484"/>
      <c r="GGC2" s="484"/>
      <c r="GGD2" s="484"/>
      <c r="GGE2" s="484"/>
      <c r="GGF2" s="484"/>
      <c r="GGG2" s="484"/>
      <c r="GGH2" s="484"/>
      <c r="GGI2" s="484"/>
      <c r="GGJ2" s="484"/>
      <c r="GGK2" s="484"/>
      <c r="GGL2" s="484"/>
      <c r="GGM2" s="484"/>
      <c r="GGN2" s="484"/>
      <c r="GGO2" s="484"/>
      <c r="GGP2" s="484"/>
      <c r="GGQ2" s="484"/>
      <c r="GGR2" s="484"/>
      <c r="GGS2" s="484"/>
      <c r="GGT2" s="484"/>
      <c r="GGU2" s="484"/>
      <c r="GGV2" s="484"/>
      <c r="GGW2" s="484"/>
      <c r="GGX2" s="484"/>
      <c r="GGY2" s="484"/>
      <c r="GGZ2" s="484"/>
      <c r="GHA2" s="484"/>
      <c r="GHB2" s="484"/>
      <c r="GHC2" s="484"/>
      <c r="GHD2" s="484"/>
      <c r="GHE2" s="484"/>
      <c r="GHF2" s="484"/>
      <c r="GHG2" s="484"/>
      <c r="GHH2" s="484"/>
      <c r="GHI2" s="484"/>
      <c r="GHJ2" s="484"/>
      <c r="GHK2" s="484"/>
      <c r="GHL2" s="484"/>
      <c r="GHM2" s="484"/>
      <c r="GHN2" s="484"/>
      <c r="GHO2" s="484"/>
      <c r="GHP2" s="484"/>
      <c r="GHQ2" s="484"/>
      <c r="GHR2" s="484"/>
      <c r="GHS2" s="484"/>
      <c r="GHT2" s="484"/>
      <c r="GHU2" s="484"/>
      <c r="GHV2" s="484"/>
      <c r="GHW2" s="484"/>
      <c r="GHX2" s="484"/>
      <c r="GHY2" s="484"/>
      <c r="GHZ2" s="484"/>
      <c r="GIA2" s="484"/>
      <c r="GIB2" s="484"/>
      <c r="GIC2" s="484"/>
      <c r="GID2" s="484"/>
      <c r="GIE2" s="484"/>
      <c r="GIF2" s="484"/>
      <c r="GIG2" s="484"/>
      <c r="GIH2" s="484"/>
      <c r="GII2" s="484"/>
      <c r="GIJ2" s="484"/>
      <c r="GIK2" s="484"/>
      <c r="GIL2" s="484"/>
      <c r="GIM2" s="484"/>
      <c r="GIN2" s="484"/>
      <c r="GIO2" s="484"/>
      <c r="GIP2" s="484"/>
      <c r="GIQ2" s="484"/>
      <c r="GIR2" s="484"/>
      <c r="GIS2" s="484"/>
      <c r="GIT2" s="484"/>
      <c r="GIU2" s="484"/>
      <c r="GIV2" s="484"/>
      <c r="GIW2" s="484"/>
      <c r="GIX2" s="484"/>
      <c r="GIY2" s="484"/>
      <c r="GIZ2" s="484"/>
      <c r="GJA2" s="484"/>
      <c r="GJB2" s="484"/>
      <c r="GJC2" s="484"/>
      <c r="GJD2" s="484"/>
      <c r="GJE2" s="484"/>
      <c r="GJF2" s="484"/>
      <c r="GJG2" s="484"/>
      <c r="GJH2" s="484"/>
      <c r="GJI2" s="484"/>
      <c r="GJJ2" s="484"/>
      <c r="GJK2" s="484"/>
      <c r="GJL2" s="484"/>
      <c r="GJM2" s="484"/>
      <c r="GJN2" s="484"/>
      <c r="GJO2" s="484"/>
      <c r="GJP2" s="484"/>
      <c r="GJQ2" s="484"/>
      <c r="GJR2" s="484"/>
      <c r="GJS2" s="484"/>
      <c r="GJT2" s="484"/>
      <c r="GJU2" s="484"/>
      <c r="GJV2" s="484"/>
      <c r="GJW2" s="484"/>
      <c r="GJX2" s="484"/>
      <c r="GJY2" s="484"/>
      <c r="GJZ2" s="484"/>
      <c r="GKA2" s="484"/>
      <c r="GKB2" s="484"/>
      <c r="GKC2" s="484"/>
      <c r="GKD2" s="484"/>
      <c r="GKE2" s="484"/>
      <c r="GKF2" s="484"/>
      <c r="GKG2" s="484"/>
      <c r="GKH2" s="484"/>
      <c r="GKI2" s="484"/>
      <c r="GKJ2" s="484"/>
      <c r="GKK2" s="484"/>
      <c r="GKL2" s="484"/>
      <c r="GKM2" s="484"/>
      <c r="GKN2" s="484"/>
      <c r="GKO2" s="484"/>
      <c r="GKP2" s="484"/>
      <c r="GKQ2" s="484"/>
      <c r="GKR2" s="484"/>
      <c r="GKS2" s="484"/>
      <c r="GKT2" s="484"/>
      <c r="GKU2" s="484"/>
      <c r="GKV2" s="484"/>
      <c r="GKW2" s="484"/>
      <c r="GKX2" s="484"/>
      <c r="GKY2" s="484"/>
      <c r="GKZ2" s="484"/>
      <c r="GLA2" s="484"/>
      <c r="GLB2" s="484"/>
      <c r="GLC2" s="484"/>
      <c r="GLD2" s="484"/>
      <c r="GLE2" s="484"/>
      <c r="GLF2" s="484"/>
      <c r="GLG2" s="484"/>
      <c r="GLH2" s="484"/>
      <c r="GLI2" s="484"/>
      <c r="GLJ2" s="484"/>
      <c r="GLK2" s="484"/>
      <c r="GLL2" s="484"/>
      <c r="GLM2" s="484"/>
      <c r="GLN2" s="484"/>
      <c r="GLO2" s="484"/>
      <c r="GLP2" s="484"/>
      <c r="GLQ2" s="484"/>
      <c r="GLR2" s="484"/>
      <c r="GLS2" s="484"/>
      <c r="GLT2" s="484"/>
      <c r="GLU2" s="484"/>
      <c r="GLV2" s="484"/>
      <c r="GLW2" s="484"/>
      <c r="GLX2" s="484"/>
      <c r="GLY2" s="484"/>
      <c r="GLZ2" s="484"/>
      <c r="GMA2" s="484"/>
      <c r="GMB2" s="484"/>
      <c r="GMC2" s="484"/>
      <c r="GMD2" s="484"/>
      <c r="GME2" s="484"/>
      <c r="GMF2" s="484"/>
      <c r="GMG2" s="484"/>
      <c r="GMH2" s="484"/>
      <c r="GMI2" s="484"/>
      <c r="GMJ2" s="484"/>
      <c r="GMK2" s="484"/>
      <c r="GML2" s="484"/>
      <c r="GMM2" s="484"/>
      <c r="GMN2" s="484"/>
      <c r="GMO2" s="484"/>
      <c r="GMP2" s="484"/>
      <c r="GMQ2" s="484"/>
      <c r="GMR2" s="484"/>
      <c r="GMS2" s="484"/>
      <c r="GMT2" s="484"/>
      <c r="GMU2" s="484"/>
      <c r="GMV2" s="484"/>
      <c r="GMW2" s="484"/>
      <c r="GMX2" s="484"/>
      <c r="GMY2" s="484"/>
      <c r="GMZ2" s="484"/>
      <c r="GNA2" s="484"/>
      <c r="GNB2" s="484"/>
      <c r="GNC2" s="484"/>
      <c r="GND2" s="484"/>
      <c r="GNE2" s="484"/>
      <c r="GNF2" s="484"/>
      <c r="GNG2" s="484"/>
      <c r="GNH2" s="484"/>
      <c r="GNI2" s="484"/>
      <c r="GNJ2" s="484"/>
      <c r="GNK2" s="484"/>
      <c r="GNL2" s="484"/>
      <c r="GNM2" s="484"/>
      <c r="GNN2" s="484"/>
      <c r="GNO2" s="484"/>
      <c r="GNP2" s="484"/>
      <c r="GNQ2" s="484"/>
      <c r="GNR2" s="484"/>
      <c r="GNS2" s="484"/>
      <c r="GNT2" s="484"/>
      <c r="GNU2" s="484"/>
      <c r="GNV2" s="484"/>
      <c r="GNW2" s="484"/>
      <c r="GNX2" s="484"/>
      <c r="GNY2" s="484"/>
      <c r="GNZ2" s="484"/>
      <c r="GOA2" s="484"/>
      <c r="GOB2" s="484"/>
      <c r="GOC2" s="484"/>
      <c r="GOD2" s="484"/>
      <c r="GOE2" s="484"/>
      <c r="GOF2" s="484"/>
      <c r="GOG2" s="484"/>
      <c r="GOH2" s="484"/>
      <c r="GOI2" s="484"/>
      <c r="GOJ2" s="484"/>
      <c r="GOK2" s="484"/>
      <c r="GOL2" s="484"/>
      <c r="GOM2" s="484"/>
      <c r="GON2" s="484"/>
      <c r="GOO2" s="484"/>
      <c r="GOP2" s="484"/>
      <c r="GOQ2" s="484"/>
      <c r="GOR2" s="484"/>
      <c r="GOS2" s="484"/>
      <c r="GOT2" s="484"/>
      <c r="GOU2" s="484"/>
      <c r="GOV2" s="484"/>
      <c r="GOW2" s="484"/>
      <c r="GOX2" s="484"/>
      <c r="GOY2" s="484"/>
      <c r="GOZ2" s="484"/>
      <c r="GPA2" s="484"/>
      <c r="GPB2" s="484"/>
      <c r="GPC2" s="484"/>
      <c r="GPD2" s="484"/>
      <c r="GPE2" s="484"/>
      <c r="GPF2" s="484"/>
      <c r="GPG2" s="484"/>
      <c r="GPH2" s="484"/>
      <c r="GPI2" s="484"/>
      <c r="GPJ2" s="484"/>
      <c r="GPK2" s="484"/>
      <c r="GPL2" s="484"/>
      <c r="GPM2" s="484"/>
      <c r="GPN2" s="484"/>
      <c r="GPO2" s="484"/>
      <c r="GPP2" s="484"/>
      <c r="GPQ2" s="484"/>
      <c r="GPR2" s="484"/>
      <c r="GPS2" s="484"/>
      <c r="GPT2" s="484"/>
      <c r="GPU2" s="484"/>
      <c r="GPV2" s="484"/>
      <c r="GPW2" s="484"/>
      <c r="GPX2" s="484"/>
      <c r="GPY2" s="484"/>
      <c r="GPZ2" s="484"/>
      <c r="GQA2" s="484"/>
      <c r="GQB2" s="484"/>
      <c r="GQC2" s="484"/>
      <c r="GQD2" s="484"/>
      <c r="GQE2" s="484"/>
      <c r="GQF2" s="484"/>
      <c r="GQG2" s="484"/>
      <c r="GQH2" s="484"/>
      <c r="GQI2" s="484"/>
      <c r="GQJ2" s="484"/>
      <c r="GQK2" s="484"/>
      <c r="GQL2" s="484"/>
      <c r="GQM2" s="484"/>
      <c r="GQN2" s="484"/>
      <c r="GQO2" s="484"/>
      <c r="GQP2" s="484"/>
      <c r="GQQ2" s="484"/>
      <c r="GQR2" s="484"/>
      <c r="GQS2" s="484"/>
      <c r="GQT2" s="484"/>
      <c r="GQU2" s="484"/>
      <c r="GQV2" s="484"/>
      <c r="GQW2" s="484"/>
      <c r="GQX2" s="484"/>
      <c r="GQY2" s="484"/>
      <c r="GQZ2" s="484"/>
      <c r="GRA2" s="484"/>
      <c r="GRB2" s="484"/>
      <c r="GRC2" s="484"/>
      <c r="GRD2" s="484"/>
      <c r="GRE2" s="484"/>
      <c r="GRF2" s="484"/>
      <c r="GRG2" s="484"/>
      <c r="GRH2" s="484"/>
      <c r="GRI2" s="484"/>
      <c r="GRJ2" s="484"/>
      <c r="GRK2" s="484"/>
      <c r="GRL2" s="484"/>
      <c r="GRM2" s="484"/>
      <c r="GRN2" s="484"/>
      <c r="GRO2" s="484"/>
      <c r="GRP2" s="484"/>
      <c r="GRQ2" s="484"/>
      <c r="GRR2" s="484"/>
      <c r="GRS2" s="484"/>
      <c r="GRT2" s="484"/>
      <c r="GRU2" s="484"/>
      <c r="GRV2" s="484"/>
      <c r="GRW2" s="484"/>
      <c r="GRX2" s="484"/>
      <c r="GRY2" s="484"/>
      <c r="GRZ2" s="484"/>
      <c r="GSA2" s="484"/>
      <c r="GSB2" s="484"/>
      <c r="GSC2" s="484"/>
      <c r="GSD2" s="484"/>
      <c r="GSE2" s="484"/>
      <c r="GSF2" s="484"/>
      <c r="GSG2" s="484"/>
      <c r="GSH2" s="484"/>
      <c r="GSI2" s="484"/>
      <c r="GSJ2" s="484"/>
      <c r="GSK2" s="484"/>
      <c r="GSL2" s="484"/>
      <c r="GSM2" s="484"/>
      <c r="GSN2" s="484"/>
      <c r="GSO2" s="484"/>
      <c r="GSP2" s="484"/>
      <c r="GSQ2" s="484"/>
      <c r="GSR2" s="484"/>
      <c r="GSS2" s="484"/>
      <c r="GST2" s="484"/>
      <c r="GSU2" s="484"/>
      <c r="GSV2" s="484"/>
      <c r="GSW2" s="484"/>
      <c r="GSX2" s="484"/>
      <c r="GSY2" s="484"/>
      <c r="GSZ2" s="484"/>
      <c r="GTA2" s="484"/>
      <c r="GTB2" s="484"/>
      <c r="GTC2" s="484"/>
      <c r="GTD2" s="484"/>
      <c r="GTE2" s="484"/>
      <c r="GTF2" s="484"/>
      <c r="GTG2" s="484"/>
      <c r="GTH2" s="484"/>
      <c r="GTI2" s="484"/>
      <c r="GTJ2" s="484"/>
      <c r="GTK2" s="484"/>
      <c r="GTL2" s="484"/>
      <c r="GTM2" s="484"/>
      <c r="GTN2" s="484"/>
      <c r="GTO2" s="484"/>
      <c r="GTP2" s="484"/>
      <c r="GTQ2" s="484"/>
      <c r="GTR2" s="484"/>
      <c r="GTS2" s="484"/>
      <c r="GTT2" s="484"/>
      <c r="GTU2" s="484"/>
      <c r="GTV2" s="484"/>
      <c r="GTW2" s="484"/>
      <c r="GTX2" s="484"/>
      <c r="GTY2" s="484"/>
      <c r="GTZ2" s="484"/>
      <c r="GUA2" s="484"/>
      <c r="GUB2" s="484"/>
      <c r="GUC2" s="484"/>
      <c r="GUD2" s="484"/>
      <c r="GUE2" s="484"/>
      <c r="GUF2" s="484"/>
      <c r="GUG2" s="484"/>
      <c r="GUH2" s="484"/>
      <c r="GUI2" s="484"/>
      <c r="GUJ2" s="484"/>
      <c r="GUK2" s="484"/>
      <c r="GUL2" s="484"/>
      <c r="GUM2" s="484"/>
      <c r="GUN2" s="484"/>
      <c r="GUO2" s="484"/>
      <c r="GUP2" s="484"/>
      <c r="GUQ2" s="484"/>
      <c r="GUR2" s="484"/>
      <c r="GUS2" s="484"/>
      <c r="GUT2" s="484"/>
      <c r="GUU2" s="484"/>
      <c r="GUV2" s="484"/>
      <c r="GUW2" s="484"/>
      <c r="GUX2" s="484"/>
      <c r="GUY2" s="484"/>
      <c r="GUZ2" s="484"/>
      <c r="GVA2" s="484"/>
      <c r="GVB2" s="484"/>
      <c r="GVC2" s="484"/>
      <c r="GVD2" s="484"/>
      <c r="GVE2" s="484"/>
      <c r="GVF2" s="484"/>
      <c r="GVG2" s="484"/>
      <c r="GVH2" s="484"/>
      <c r="GVI2" s="484"/>
      <c r="GVJ2" s="484"/>
      <c r="GVK2" s="484"/>
      <c r="GVL2" s="484"/>
      <c r="GVM2" s="484"/>
      <c r="GVN2" s="484"/>
      <c r="GVO2" s="484"/>
      <c r="GVP2" s="484"/>
      <c r="GVQ2" s="484"/>
      <c r="GVR2" s="484"/>
      <c r="GVS2" s="484"/>
      <c r="GVT2" s="484"/>
      <c r="GVU2" s="484"/>
      <c r="GVV2" s="484"/>
      <c r="GVW2" s="484"/>
      <c r="GVX2" s="484"/>
      <c r="GVY2" s="484"/>
      <c r="GVZ2" s="484"/>
      <c r="GWA2" s="484"/>
      <c r="GWB2" s="484"/>
      <c r="GWC2" s="484"/>
      <c r="GWD2" s="484"/>
      <c r="GWE2" s="484"/>
      <c r="GWF2" s="484"/>
      <c r="GWG2" s="484"/>
      <c r="GWH2" s="484"/>
      <c r="GWI2" s="484"/>
      <c r="GWJ2" s="484"/>
      <c r="GWK2" s="484"/>
      <c r="GWL2" s="484"/>
      <c r="GWM2" s="484"/>
      <c r="GWN2" s="484"/>
      <c r="GWO2" s="484"/>
      <c r="GWP2" s="484"/>
      <c r="GWQ2" s="484"/>
      <c r="GWR2" s="484"/>
      <c r="GWS2" s="484"/>
      <c r="GWT2" s="484"/>
      <c r="GWU2" s="484"/>
      <c r="GWV2" s="484"/>
      <c r="GWW2" s="484"/>
      <c r="GWX2" s="484"/>
      <c r="GWY2" s="484"/>
      <c r="GWZ2" s="484"/>
      <c r="GXA2" s="484"/>
      <c r="GXB2" s="484"/>
      <c r="GXC2" s="484"/>
      <c r="GXD2" s="484"/>
      <c r="GXE2" s="484"/>
      <c r="GXF2" s="484"/>
      <c r="GXG2" s="484"/>
      <c r="GXH2" s="484"/>
      <c r="GXI2" s="484"/>
      <c r="GXJ2" s="484"/>
      <c r="GXK2" s="484"/>
      <c r="GXL2" s="484"/>
      <c r="GXM2" s="484"/>
      <c r="GXN2" s="484"/>
      <c r="GXO2" s="484"/>
      <c r="GXP2" s="484"/>
      <c r="GXQ2" s="484"/>
      <c r="GXR2" s="484"/>
      <c r="GXS2" s="484"/>
      <c r="GXT2" s="484"/>
      <c r="GXU2" s="484"/>
      <c r="GXV2" s="484"/>
      <c r="GXW2" s="484"/>
      <c r="GXX2" s="484"/>
      <c r="GXY2" s="484"/>
      <c r="GXZ2" s="484"/>
      <c r="GYA2" s="484"/>
      <c r="GYB2" s="484"/>
      <c r="GYC2" s="484"/>
      <c r="GYD2" s="484"/>
      <c r="GYE2" s="484"/>
      <c r="GYF2" s="484"/>
      <c r="GYG2" s="484"/>
      <c r="GYH2" s="484"/>
      <c r="GYI2" s="484"/>
      <c r="GYJ2" s="484"/>
      <c r="GYK2" s="484"/>
      <c r="GYL2" s="484"/>
      <c r="GYM2" s="484"/>
      <c r="GYN2" s="484"/>
      <c r="GYO2" s="484"/>
      <c r="GYP2" s="484"/>
      <c r="GYQ2" s="484"/>
      <c r="GYR2" s="484"/>
      <c r="GYS2" s="484"/>
      <c r="GYT2" s="484"/>
      <c r="GYU2" s="484"/>
      <c r="GYV2" s="484"/>
      <c r="GYW2" s="484"/>
      <c r="GYX2" s="484"/>
      <c r="GYY2" s="484"/>
      <c r="GYZ2" s="484"/>
      <c r="GZA2" s="484"/>
      <c r="GZB2" s="484"/>
      <c r="GZC2" s="484"/>
      <c r="GZD2" s="484"/>
      <c r="GZE2" s="484"/>
      <c r="GZF2" s="484"/>
      <c r="GZG2" s="484"/>
      <c r="GZH2" s="484"/>
      <c r="GZI2" s="484"/>
      <c r="GZJ2" s="484"/>
      <c r="GZK2" s="484"/>
      <c r="GZL2" s="484"/>
      <c r="GZM2" s="484"/>
      <c r="GZN2" s="484"/>
      <c r="GZO2" s="484"/>
      <c r="GZP2" s="484"/>
      <c r="GZQ2" s="484"/>
      <c r="GZR2" s="484"/>
      <c r="GZS2" s="484"/>
      <c r="GZT2" s="484"/>
      <c r="GZU2" s="484"/>
      <c r="GZV2" s="484"/>
      <c r="GZW2" s="484"/>
      <c r="GZX2" s="484"/>
      <c r="GZY2" s="484"/>
      <c r="GZZ2" s="484"/>
      <c r="HAA2" s="484"/>
      <c r="HAB2" s="484"/>
      <c r="HAC2" s="484"/>
      <c r="HAD2" s="484"/>
      <c r="HAE2" s="484"/>
      <c r="HAF2" s="484"/>
      <c r="HAG2" s="484"/>
      <c r="HAH2" s="484"/>
      <c r="HAI2" s="484"/>
      <c r="HAJ2" s="484"/>
      <c r="HAK2" s="484"/>
      <c r="HAL2" s="484"/>
      <c r="HAM2" s="484"/>
      <c r="HAN2" s="484"/>
      <c r="HAO2" s="484"/>
      <c r="HAP2" s="484"/>
      <c r="HAQ2" s="484"/>
      <c r="HAR2" s="484"/>
      <c r="HAS2" s="484"/>
      <c r="HAT2" s="484"/>
      <c r="HAU2" s="484"/>
      <c r="HAV2" s="484"/>
      <c r="HAW2" s="484"/>
      <c r="HAX2" s="484"/>
      <c r="HAY2" s="484"/>
      <c r="HAZ2" s="484"/>
      <c r="HBA2" s="484"/>
      <c r="HBB2" s="484"/>
      <c r="HBC2" s="484"/>
      <c r="HBD2" s="484"/>
      <c r="HBE2" s="484"/>
      <c r="HBF2" s="484"/>
      <c r="HBG2" s="484"/>
      <c r="HBH2" s="484"/>
      <c r="HBI2" s="484"/>
      <c r="HBJ2" s="484"/>
      <c r="HBK2" s="484"/>
      <c r="HBL2" s="484"/>
      <c r="HBM2" s="484"/>
      <c r="HBN2" s="484"/>
      <c r="HBO2" s="484"/>
      <c r="HBP2" s="484"/>
      <c r="HBQ2" s="484"/>
      <c r="HBR2" s="484"/>
      <c r="HBS2" s="484"/>
      <c r="HBT2" s="484"/>
      <c r="HBU2" s="484"/>
      <c r="HBV2" s="484"/>
      <c r="HBW2" s="484"/>
      <c r="HBX2" s="484"/>
      <c r="HBY2" s="484"/>
      <c r="HBZ2" s="484"/>
      <c r="HCA2" s="484"/>
      <c r="HCB2" s="484"/>
      <c r="HCC2" s="484"/>
      <c r="HCD2" s="484"/>
      <c r="HCE2" s="484"/>
      <c r="HCF2" s="484"/>
      <c r="HCG2" s="484"/>
      <c r="HCH2" s="484"/>
      <c r="HCI2" s="484"/>
      <c r="HCJ2" s="484"/>
      <c r="HCK2" s="484"/>
      <c r="HCL2" s="484"/>
      <c r="HCM2" s="484"/>
      <c r="HCN2" s="484"/>
      <c r="HCO2" s="484"/>
      <c r="HCP2" s="484"/>
      <c r="HCQ2" s="484"/>
      <c r="HCR2" s="484"/>
      <c r="HCS2" s="484"/>
      <c r="HCT2" s="484"/>
      <c r="HCU2" s="484"/>
      <c r="HCV2" s="484"/>
      <c r="HCW2" s="484"/>
      <c r="HCX2" s="484"/>
      <c r="HCY2" s="484"/>
      <c r="HCZ2" s="484"/>
      <c r="HDA2" s="484"/>
      <c r="HDB2" s="484"/>
      <c r="HDC2" s="484"/>
      <c r="HDD2" s="484"/>
      <c r="HDE2" s="484"/>
      <c r="HDF2" s="484"/>
      <c r="HDG2" s="484"/>
      <c r="HDH2" s="484"/>
      <c r="HDI2" s="484"/>
      <c r="HDJ2" s="484"/>
      <c r="HDK2" s="484"/>
      <c r="HDL2" s="484"/>
      <c r="HDM2" s="484"/>
      <c r="HDN2" s="484"/>
      <c r="HDO2" s="484"/>
      <c r="HDP2" s="484"/>
      <c r="HDQ2" s="484"/>
      <c r="HDR2" s="484"/>
      <c r="HDS2" s="484"/>
      <c r="HDT2" s="484"/>
      <c r="HDU2" s="484"/>
      <c r="HDV2" s="484"/>
      <c r="HDW2" s="484"/>
      <c r="HDX2" s="484"/>
      <c r="HDY2" s="484"/>
      <c r="HDZ2" s="484"/>
      <c r="HEA2" s="484"/>
      <c r="HEB2" s="484"/>
      <c r="HEC2" s="484"/>
      <c r="HED2" s="484"/>
      <c r="HEE2" s="484"/>
      <c r="HEF2" s="484"/>
      <c r="HEG2" s="484"/>
      <c r="HEH2" s="484"/>
      <c r="HEI2" s="484"/>
      <c r="HEJ2" s="484"/>
      <c r="HEK2" s="484"/>
      <c r="HEL2" s="484"/>
      <c r="HEM2" s="484"/>
      <c r="HEN2" s="484"/>
      <c r="HEO2" s="484"/>
      <c r="HEP2" s="484"/>
      <c r="HEQ2" s="484"/>
      <c r="HER2" s="484"/>
      <c r="HES2" s="484"/>
      <c r="HET2" s="484"/>
      <c r="HEU2" s="484"/>
      <c r="HEV2" s="484"/>
      <c r="HEW2" s="484"/>
      <c r="HEX2" s="484"/>
      <c r="HEY2" s="484"/>
      <c r="HEZ2" s="484"/>
      <c r="HFA2" s="484"/>
      <c r="HFB2" s="484"/>
      <c r="HFC2" s="484"/>
      <c r="HFD2" s="484"/>
      <c r="HFE2" s="484"/>
      <c r="HFF2" s="484"/>
      <c r="HFG2" s="484"/>
      <c r="HFH2" s="484"/>
      <c r="HFI2" s="484"/>
      <c r="HFJ2" s="484"/>
      <c r="HFK2" s="484"/>
      <c r="HFL2" s="484"/>
      <c r="HFM2" s="484"/>
      <c r="HFN2" s="484"/>
      <c r="HFO2" s="484"/>
      <c r="HFP2" s="484"/>
      <c r="HFQ2" s="484"/>
      <c r="HFR2" s="484"/>
      <c r="HFS2" s="484"/>
      <c r="HFT2" s="484"/>
      <c r="HFU2" s="484"/>
      <c r="HFV2" s="484"/>
      <c r="HFW2" s="484"/>
      <c r="HFX2" s="484"/>
      <c r="HFY2" s="484"/>
      <c r="HFZ2" s="484"/>
      <c r="HGA2" s="484"/>
      <c r="HGB2" s="484"/>
      <c r="HGC2" s="484"/>
      <c r="HGD2" s="484"/>
      <c r="HGE2" s="484"/>
      <c r="HGF2" s="484"/>
      <c r="HGG2" s="484"/>
      <c r="HGH2" s="484"/>
      <c r="HGI2" s="484"/>
      <c r="HGJ2" s="484"/>
      <c r="HGK2" s="484"/>
      <c r="HGL2" s="484"/>
      <c r="HGM2" s="484"/>
      <c r="HGN2" s="484"/>
      <c r="HGO2" s="484"/>
      <c r="HGP2" s="484"/>
      <c r="HGQ2" s="484"/>
      <c r="HGR2" s="484"/>
      <c r="HGS2" s="484"/>
      <c r="HGT2" s="484"/>
      <c r="HGU2" s="484"/>
      <c r="HGV2" s="484"/>
      <c r="HGW2" s="484"/>
      <c r="HGX2" s="484"/>
      <c r="HGY2" s="484"/>
      <c r="HGZ2" s="484"/>
      <c r="HHA2" s="484"/>
      <c r="HHB2" s="484"/>
      <c r="HHC2" s="484"/>
      <c r="HHD2" s="484"/>
      <c r="HHE2" s="484"/>
      <c r="HHF2" s="484"/>
      <c r="HHG2" s="484"/>
      <c r="HHH2" s="484"/>
      <c r="HHI2" s="484"/>
      <c r="HHJ2" s="484"/>
      <c r="HHK2" s="484"/>
      <c r="HHL2" s="484"/>
      <c r="HHM2" s="484"/>
      <c r="HHN2" s="484"/>
      <c r="HHO2" s="484"/>
      <c r="HHP2" s="484"/>
      <c r="HHQ2" s="484"/>
      <c r="HHR2" s="484"/>
      <c r="HHS2" s="484"/>
      <c r="HHT2" s="484"/>
      <c r="HHU2" s="484"/>
      <c r="HHV2" s="484"/>
      <c r="HHW2" s="484"/>
      <c r="HHX2" s="484"/>
      <c r="HHY2" s="484"/>
      <c r="HHZ2" s="484"/>
      <c r="HIA2" s="484"/>
      <c r="HIB2" s="484"/>
      <c r="HIC2" s="484"/>
      <c r="HID2" s="484"/>
      <c r="HIE2" s="484"/>
      <c r="HIF2" s="484"/>
      <c r="HIG2" s="484"/>
      <c r="HIH2" s="484"/>
      <c r="HII2" s="484"/>
      <c r="HIJ2" s="484"/>
      <c r="HIK2" s="484"/>
      <c r="HIL2" s="484"/>
      <c r="HIM2" s="484"/>
      <c r="HIN2" s="484"/>
      <c r="HIO2" s="484"/>
      <c r="HIP2" s="484"/>
      <c r="HIQ2" s="484"/>
      <c r="HIR2" s="484"/>
      <c r="HIS2" s="484"/>
      <c r="HIT2" s="484"/>
      <c r="HIU2" s="484"/>
      <c r="HIV2" s="484"/>
      <c r="HIW2" s="484"/>
      <c r="HIX2" s="484"/>
      <c r="HIY2" s="484"/>
      <c r="HIZ2" s="484"/>
      <c r="HJA2" s="484"/>
      <c r="HJB2" s="484"/>
      <c r="HJC2" s="484"/>
      <c r="HJD2" s="484"/>
      <c r="HJE2" s="484"/>
      <c r="HJF2" s="484"/>
      <c r="HJG2" s="484"/>
      <c r="HJH2" s="484"/>
      <c r="HJI2" s="484"/>
      <c r="HJJ2" s="484"/>
      <c r="HJK2" s="484"/>
      <c r="HJL2" s="484"/>
      <c r="HJM2" s="484"/>
      <c r="HJN2" s="484"/>
      <c r="HJO2" s="484"/>
      <c r="HJP2" s="484"/>
      <c r="HJQ2" s="484"/>
      <c r="HJR2" s="484"/>
      <c r="HJS2" s="484"/>
      <c r="HJT2" s="484"/>
      <c r="HJU2" s="484"/>
      <c r="HJV2" s="484"/>
      <c r="HJW2" s="484"/>
      <c r="HJX2" s="484"/>
      <c r="HJY2" s="484"/>
      <c r="HJZ2" s="484"/>
      <c r="HKA2" s="484"/>
      <c r="HKB2" s="484"/>
      <c r="HKC2" s="484"/>
      <c r="HKD2" s="484"/>
      <c r="HKE2" s="484"/>
      <c r="HKF2" s="484"/>
      <c r="HKG2" s="484"/>
      <c r="HKH2" s="484"/>
      <c r="HKI2" s="484"/>
      <c r="HKJ2" s="484"/>
      <c r="HKK2" s="484"/>
      <c r="HKL2" s="484"/>
      <c r="HKM2" s="484"/>
      <c r="HKN2" s="484"/>
      <c r="HKO2" s="484"/>
      <c r="HKP2" s="484"/>
      <c r="HKQ2" s="484"/>
      <c r="HKR2" s="484"/>
      <c r="HKS2" s="484"/>
      <c r="HKT2" s="484"/>
      <c r="HKU2" s="484"/>
      <c r="HKV2" s="484"/>
      <c r="HKW2" s="484"/>
      <c r="HKX2" s="484"/>
      <c r="HKY2" s="484"/>
      <c r="HKZ2" s="484"/>
      <c r="HLA2" s="484"/>
      <c r="HLB2" s="484"/>
      <c r="HLC2" s="484"/>
      <c r="HLD2" s="484"/>
      <c r="HLE2" s="484"/>
      <c r="HLF2" s="484"/>
      <c r="HLG2" s="484"/>
      <c r="HLH2" s="484"/>
      <c r="HLI2" s="484"/>
      <c r="HLJ2" s="484"/>
      <c r="HLK2" s="484"/>
      <c r="HLL2" s="484"/>
      <c r="HLM2" s="484"/>
      <c r="HLN2" s="484"/>
      <c r="HLO2" s="484"/>
      <c r="HLP2" s="484"/>
      <c r="HLQ2" s="484"/>
      <c r="HLR2" s="484"/>
      <c r="HLS2" s="484"/>
      <c r="HLT2" s="484"/>
      <c r="HLU2" s="484"/>
      <c r="HLV2" s="484"/>
      <c r="HLW2" s="484"/>
      <c r="HLX2" s="484"/>
      <c r="HLY2" s="484"/>
      <c r="HLZ2" s="484"/>
      <c r="HMA2" s="484"/>
      <c r="HMB2" s="484"/>
      <c r="HMC2" s="484"/>
      <c r="HMD2" s="484"/>
      <c r="HME2" s="484"/>
      <c r="HMF2" s="484"/>
      <c r="HMG2" s="484"/>
      <c r="HMH2" s="484"/>
      <c r="HMI2" s="484"/>
      <c r="HMJ2" s="484"/>
      <c r="HMK2" s="484"/>
      <c r="HML2" s="484"/>
      <c r="HMM2" s="484"/>
      <c r="HMN2" s="484"/>
      <c r="HMO2" s="484"/>
      <c r="HMP2" s="484"/>
      <c r="HMQ2" s="484"/>
      <c r="HMR2" s="484"/>
      <c r="HMS2" s="484"/>
      <c r="HMT2" s="484"/>
      <c r="HMU2" s="484"/>
      <c r="HMV2" s="484"/>
      <c r="HMW2" s="484"/>
      <c r="HMX2" s="484"/>
      <c r="HMY2" s="484"/>
      <c r="HMZ2" s="484"/>
      <c r="HNA2" s="484"/>
      <c r="HNB2" s="484"/>
      <c r="HNC2" s="484"/>
      <c r="HND2" s="484"/>
      <c r="HNE2" s="484"/>
      <c r="HNF2" s="484"/>
      <c r="HNG2" s="484"/>
      <c r="HNH2" s="484"/>
      <c r="HNI2" s="484"/>
      <c r="HNJ2" s="484"/>
      <c r="HNK2" s="484"/>
      <c r="HNL2" s="484"/>
      <c r="HNM2" s="484"/>
      <c r="HNN2" s="484"/>
      <c r="HNO2" s="484"/>
      <c r="HNP2" s="484"/>
      <c r="HNQ2" s="484"/>
      <c r="HNR2" s="484"/>
      <c r="HNS2" s="484"/>
      <c r="HNT2" s="484"/>
      <c r="HNU2" s="484"/>
      <c r="HNV2" s="484"/>
      <c r="HNW2" s="484"/>
      <c r="HNX2" s="484"/>
      <c r="HNY2" s="484"/>
      <c r="HNZ2" s="484"/>
      <c r="HOA2" s="484"/>
      <c r="HOB2" s="484"/>
      <c r="HOC2" s="484"/>
      <c r="HOD2" s="484"/>
      <c r="HOE2" s="484"/>
      <c r="HOF2" s="484"/>
      <c r="HOG2" s="484"/>
      <c r="HOH2" s="484"/>
      <c r="HOI2" s="484"/>
      <c r="HOJ2" s="484"/>
      <c r="HOK2" s="484"/>
      <c r="HOL2" s="484"/>
      <c r="HOM2" s="484"/>
      <c r="HON2" s="484"/>
      <c r="HOO2" s="484"/>
      <c r="HOP2" s="484"/>
      <c r="HOQ2" s="484"/>
      <c r="HOR2" s="484"/>
      <c r="HOS2" s="484"/>
      <c r="HOT2" s="484"/>
      <c r="HOU2" s="484"/>
      <c r="HOV2" s="484"/>
      <c r="HOW2" s="484"/>
      <c r="HOX2" s="484"/>
      <c r="HOY2" s="484"/>
      <c r="HOZ2" s="484"/>
      <c r="HPA2" s="484"/>
      <c r="HPB2" s="484"/>
      <c r="HPC2" s="484"/>
      <c r="HPD2" s="484"/>
      <c r="HPE2" s="484"/>
      <c r="HPF2" s="484"/>
      <c r="HPG2" s="484"/>
      <c r="HPH2" s="484"/>
      <c r="HPI2" s="484"/>
      <c r="HPJ2" s="484"/>
      <c r="HPK2" s="484"/>
      <c r="HPL2" s="484"/>
      <c r="HPM2" s="484"/>
      <c r="HPN2" s="484"/>
      <c r="HPO2" s="484"/>
      <c r="HPP2" s="484"/>
      <c r="HPQ2" s="484"/>
      <c r="HPR2" s="484"/>
      <c r="HPS2" s="484"/>
      <c r="HPT2" s="484"/>
      <c r="HPU2" s="484"/>
      <c r="HPV2" s="484"/>
      <c r="HPW2" s="484"/>
      <c r="HPX2" s="484"/>
      <c r="HPY2" s="484"/>
      <c r="HPZ2" s="484"/>
      <c r="HQA2" s="484"/>
      <c r="HQB2" s="484"/>
      <c r="HQC2" s="484"/>
      <c r="HQD2" s="484"/>
      <c r="HQE2" s="484"/>
      <c r="HQF2" s="484"/>
      <c r="HQG2" s="484"/>
      <c r="HQH2" s="484"/>
      <c r="HQI2" s="484"/>
      <c r="HQJ2" s="484"/>
      <c r="HQK2" s="484"/>
      <c r="HQL2" s="484"/>
      <c r="HQM2" s="484"/>
      <c r="HQN2" s="484"/>
      <c r="HQO2" s="484"/>
      <c r="HQP2" s="484"/>
      <c r="HQQ2" s="484"/>
      <c r="HQR2" s="484"/>
      <c r="HQS2" s="484"/>
      <c r="HQT2" s="484"/>
      <c r="HQU2" s="484"/>
      <c r="HQV2" s="484"/>
      <c r="HQW2" s="484"/>
      <c r="HQX2" s="484"/>
      <c r="HQY2" s="484"/>
      <c r="HQZ2" s="484"/>
      <c r="HRA2" s="484"/>
      <c r="HRB2" s="484"/>
      <c r="HRC2" s="484"/>
      <c r="HRD2" s="484"/>
      <c r="HRE2" s="484"/>
      <c r="HRF2" s="484"/>
      <c r="HRG2" s="484"/>
      <c r="HRH2" s="484"/>
      <c r="HRI2" s="484"/>
      <c r="HRJ2" s="484"/>
      <c r="HRK2" s="484"/>
      <c r="HRL2" s="484"/>
      <c r="HRM2" s="484"/>
      <c r="HRN2" s="484"/>
      <c r="HRO2" s="484"/>
      <c r="HRP2" s="484"/>
      <c r="HRQ2" s="484"/>
      <c r="HRR2" s="484"/>
      <c r="HRS2" s="484"/>
      <c r="HRT2" s="484"/>
      <c r="HRU2" s="484"/>
      <c r="HRV2" s="484"/>
      <c r="HRW2" s="484"/>
      <c r="HRX2" s="484"/>
      <c r="HRY2" s="484"/>
      <c r="HRZ2" s="484"/>
      <c r="HSA2" s="484"/>
      <c r="HSB2" s="484"/>
      <c r="HSC2" s="484"/>
      <c r="HSD2" s="484"/>
      <c r="HSE2" s="484"/>
      <c r="HSF2" s="484"/>
      <c r="HSG2" s="484"/>
      <c r="HSH2" s="484"/>
      <c r="HSI2" s="484"/>
      <c r="HSJ2" s="484"/>
      <c r="HSK2" s="484"/>
      <c r="HSL2" s="484"/>
      <c r="HSM2" s="484"/>
      <c r="HSN2" s="484"/>
      <c r="HSO2" s="484"/>
      <c r="HSP2" s="484"/>
      <c r="HSQ2" s="484"/>
      <c r="HSR2" s="484"/>
      <c r="HSS2" s="484"/>
      <c r="HST2" s="484"/>
      <c r="HSU2" s="484"/>
      <c r="HSV2" s="484"/>
      <c r="HSW2" s="484"/>
      <c r="HSX2" s="484"/>
      <c r="HSY2" s="484"/>
      <c r="HSZ2" s="484"/>
      <c r="HTA2" s="484"/>
      <c r="HTB2" s="484"/>
      <c r="HTC2" s="484"/>
      <c r="HTD2" s="484"/>
      <c r="HTE2" s="484"/>
      <c r="HTF2" s="484"/>
      <c r="HTG2" s="484"/>
      <c r="HTH2" s="484"/>
      <c r="HTI2" s="484"/>
      <c r="HTJ2" s="484"/>
      <c r="HTK2" s="484"/>
      <c r="HTL2" s="484"/>
      <c r="HTM2" s="484"/>
      <c r="HTN2" s="484"/>
      <c r="HTO2" s="484"/>
      <c r="HTP2" s="484"/>
      <c r="HTQ2" s="484"/>
      <c r="HTR2" s="484"/>
      <c r="HTS2" s="484"/>
      <c r="HTT2" s="484"/>
      <c r="HTU2" s="484"/>
      <c r="HTV2" s="484"/>
      <c r="HTW2" s="484"/>
      <c r="HTX2" s="484"/>
      <c r="HTY2" s="484"/>
      <c r="HTZ2" s="484"/>
      <c r="HUA2" s="484"/>
      <c r="HUB2" s="484"/>
      <c r="HUC2" s="484"/>
      <c r="HUD2" s="484"/>
      <c r="HUE2" s="484"/>
      <c r="HUF2" s="484"/>
      <c r="HUG2" s="484"/>
      <c r="HUH2" s="484"/>
      <c r="HUI2" s="484"/>
      <c r="HUJ2" s="484"/>
      <c r="HUK2" s="484"/>
      <c r="HUL2" s="484"/>
      <c r="HUM2" s="484"/>
      <c r="HUN2" s="484"/>
      <c r="HUO2" s="484"/>
      <c r="HUP2" s="484"/>
      <c r="HUQ2" s="484"/>
      <c r="HUR2" s="484"/>
      <c r="HUS2" s="484"/>
      <c r="HUT2" s="484"/>
      <c r="HUU2" s="484"/>
      <c r="HUV2" s="484"/>
      <c r="HUW2" s="484"/>
      <c r="HUX2" s="484"/>
      <c r="HUY2" s="484"/>
      <c r="HUZ2" s="484"/>
      <c r="HVA2" s="484"/>
      <c r="HVB2" s="484"/>
      <c r="HVC2" s="484"/>
      <c r="HVD2" s="484"/>
      <c r="HVE2" s="484"/>
      <c r="HVF2" s="484"/>
      <c r="HVG2" s="484"/>
      <c r="HVH2" s="484"/>
      <c r="HVI2" s="484"/>
      <c r="HVJ2" s="484"/>
      <c r="HVK2" s="484"/>
      <c r="HVL2" s="484"/>
      <c r="HVM2" s="484"/>
      <c r="HVN2" s="484"/>
      <c r="HVO2" s="484"/>
      <c r="HVP2" s="484"/>
      <c r="HVQ2" s="484"/>
      <c r="HVR2" s="484"/>
      <c r="HVS2" s="484"/>
      <c r="HVT2" s="484"/>
      <c r="HVU2" s="484"/>
      <c r="HVV2" s="484"/>
      <c r="HVW2" s="484"/>
      <c r="HVX2" s="484"/>
      <c r="HVY2" s="484"/>
      <c r="HVZ2" s="484"/>
      <c r="HWA2" s="484"/>
      <c r="HWB2" s="484"/>
      <c r="HWC2" s="484"/>
      <c r="HWD2" s="484"/>
      <c r="HWE2" s="484"/>
      <c r="HWF2" s="484"/>
      <c r="HWG2" s="484"/>
      <c r="HWH2" s="484"/>
      <c r="HWI2" s="484"/>
      <c r="HWJ2" s="484"/>
      <c r="HWK2" s="484"/>
      <c r="HWL2" s="484"/>
      <c r="HWM2" s="484"/>
      <c r="HWN2" s="484"/>
      <c r="HWO2" s="484"/>
      <c r="HWP2" s="484"/>
      <c r="HWQ2" s="484"/>
      <c r="HWR2" s="484"/>
      <c r="HWS2" s="484"/>
      <c r="HWT2" s="484"/>
      <c r="HWU2" s="484"/>
      <c r="HWV2" s="484"/>
      <c r="HWW2" s="484"/>
      <c r="HWX2" s="484"/>
      <c r="HWY2" s="484"/>
      <c r="HWZ2" s="484"/>
      <c r="HXA2" s="484"/>
      <c r="HXB2" s="484"/>
      <c r="HXC2" s="484"/>
      <c r="HXD2" s="484"/>
      <c r="HXE2" s="484"/>
      <c r="HXF2" s="484"/>
      <c r="HXG2" s="484"/>
      <c r="HXH2" s="484"/>
      <c r="HXI2" s="484"/>
      <c r="HXJ2" s="484"/>
      <c r="HXK2" s="484"/>
      <c r="HXL2" s="484"/>
      <c r="HXM2" s="484"/>
      <c r="HXN2" s="484"/>
      <c r="HXO2" s="484"/>
      <c r="HXP2" s="484"/>
      <c r="HXQ2" s="484"/>
      <c r="HXR2" s="484"/>
      <c r="HXS2" s="484"/>
      <c r="HXT2" s="484"/>
      <c r="HXU2" s="484"/>
      <c r="HXV2" s="484"/>
      <c r="HXW2" s="484"/>
      <c r="HXX2" s="484"/>
      <c r="HXY2" s="484"/>
      <c r="HXZ2" s="484"/>
      <c r="HYA2" s="484"/>
      <c r="HYB2" s="484"/>
      <c r="HYC2" s="484"/>
      <c r="HYD2" s="484"/>
      <c r="HYE2" s="484"/>
      <c r="HYF2" s="484"/>
      <c r="HYG2" s="484"/>
      <c r="HYH2" s="484"/>
      <c r="HYI2" s="484"/>
      <c r="HYJ2" s="484"/>
      <c r="HYK2" s="484"/>
      <c r="HYL2" s="484"/>
      <c r="HYM2" s="484"/>
      <c r="HYN2" s="484"/>
      <c r="HYO2" s="484"/>
      <c r="HYP2" s="484"/>
      <c r="HYQ2" s="484"/>
      <c r="HYR2" s="484"/>
      <c r="HYS2" s="484"/>
      <c r="HYT2" s="484"/>
      <c r="HYU2" s="484"/>
      <c r="HYV2" s="484"/>
      <c r="HYW2" s="484"/>
      <c r="HYX2" s="484"/>
      <c r="HYY2" s="484"/>
      <c r="HYZ2" s="484"/>
      <c r="HZA2" s="484"/>
      <c r="HZB2" s="484"/>
      <c r="HZC2" s="484"/>
      <c r="HZD2" s="484"/>
      <c r="HZE2" s="484"/>
      <c r="HZF2" s="484"/>
      <c r="HZG2" s="484"/>
      <c r="HZH2" s="484"/>
      <c r="HZI2" s="484"/>
      <c r="HZJ2" s="484"/>
      <c r="HZK2" s="484"/>
      <c r="HZL2" s="484"/>
      <c r="HZM2" s="484"/>
      <c r="HZN2" s="484"/>
      <c r="HZO2" s="484"/>
      <c r="HZP2" s="484"/>
      <c r="HZQ2" s="484"/>
      <c r="HZR2" s="484"/>
      <c r="HZS2" s="484"/>
      <c r="HZT2" s="484"/>
      <c r="HZU2" s="484"/>
      <c r="HZV2" s="484"/>
      <c r="HZW2" s="484"/>
      <c r="HZX2" s="484"/>
      <c r="HZY2" s="484"/>
      <c r="HZZ2" s="484"/>
      <c r="IAA2" s="484"/>
      <c r="IAB2" s="484"/>
      <c r="IAC2" s="484"/>
      <c r="IAD2" s="484"/>
      <c r="IAE2" s="484"/>
      <c r="IAF2" s="484"/>
      <c r="IAG2" s="484"/>
      <c r="IAH2" s="484"/>
      <c r="IAI2" s="484"/>
      <c r="IAJ2" s="484"/>
      <c r="IAK2" s="484"/>
      <c r="IAL2" s="484"/>
      <c r="IAM2" s="484"/>
      <c r="IAN2" s="484"/>
      <c r="IAO2" s="484"/>
      <c r="IAP2" s="484"/>
      <c r="IAQ2" s="484"/>
      <c r="IAR2" s="484"/>
      <c r="IAS2" s="484"/>
      <c r="IAT2" s="484"/>
      <c r="IAU2" s="484"/>
      <c r="IAV2" s="484"/>
      <c r="IAW2" s="484"/>
      <c r="IAX2" s="484"/>
      <c r="IAY2" s="484"/>
      <c r="IAZ2" s="484"/>
      <c r="IBA2" s="484"/>
      <c r="IBB2" s="484"/>
      <c r="IBC2" s="484"/>
      <c r="IBD2" s="484"/>
      <c r="IBE2" s="484"/>
      <c r="IBF2" s="484"/>
      <c r="IBG2" s="484"/>
      <c r="IBH2" s="484"/>
      <c r="IBI2" s="484"/>
      <c r="IBJ2" s="484"/>
      <c r="IBK2" s="484"/>
      <c r="IBL2" s="484"/>
      <c r="IBM2" s="484"/>
      <c r="IBN2" s="484"/>
      <c r="IBO2" s="484"/>
      <c r="IBP2" s="484"/>
      <c r="IBQ2" s="484"/>
      <c r="IBR2" s="484"/>
      <c r="IBS2" s="484"/>
      <c r="IBT2" s="484"/>
      <c r="IBU2" s="484"/>
      <c r="IBV2" s="484"/>
      <c r="IBW2" s="484"/>
      <c r="IBX2" s="484"/>
      <c r="IBY2" s="484"/>
      <c r="IBZ2" s="484"/>
      <c r="ICA2" s="484"/>
      <c r="ICB2" s="484"/>
      <c r="ICC2" s="484"/>
      <c r="ICD2" s="484"/>
      <c r="ICE2" s="484"/>
      <c r="ICF2" s="484"/>
      <c r="ICG2" s="484"/>
      <c r="ICH2" s="484"/>
      <c r="ICI2" s="484"/>
      <c r="ICJ2" s="484"/>
      <c r="ICK2" s="484"/>
      <c r="ICL2" s="484"/>
      <c r="ICM2" s="484"/>
      <c r="ICN2" s="484"/>
      <c r="ICO2" s="484"/>
      <c r="ICP2" s="484"/>
      <c r="ICQ2" s="484"/>
      <c r="ICR2" s="484"/>
      <c r="ICS2" s="484"/>
      <c r="ICT2" s="484"/>
      <c r="ICU2" s="484"/>
      <c r="ICV2" s="484"/>
      <c r="ICW2" s="484"/>
      <c r="ICX2" s="484"/>
      <c r="ICY2" s="484"/>
      <c r="ICZ2" s="484"/>
      <c r="IDA2" s="484"/>
      <c r="IDB2" s="484"/>
      <c r="IDC2" s="484"/>
      <c r="IDD2" s="484"/>
      <c r="IDE2" s="484"/>
      <c r="IDF2" s="484"/>
      <c r="IDG2" s="484"/>
      <c r="IDH2" s="484"/>
      <c r="IDI2" s="484"/>
      <c r="IDJ2" s="484"/>
      <c r="IDK2" s="484"/>
      <c r="IDL2" s="484"/>
      <c r="IDM2" s="484"/>
      <c r="IDN2" s="484"/>
      <c r="IDO2" s="484"/>
      <c r="IDP2" s="484"/>
      <c r="IDQ2" s="484"/>
      <c r="IDR2" s="484"/>
      <c r="IDS2" s="484"/>
      <c r="IDT2" s="484"/>
      <c r="IDU2" s="484"/>
      <c r="IDV2" s="484"/>
      <c r="IDW2" s="484"/>
      <c r="IDX2" s="484"/>
      <c r="IDY2" s="484"/>
      <c r="IDZ2" s="484"/>
      <c r="IEA2" s="484"/>
      <c r="IEB2" s="484"/>
      <c r="IEC2" s="484"/>
      <c r="IED2" s="484"/>
      <c r="IEE2" s="484"/>
      <c r="IEF2" s="484"/>
      <c r="IEG2" s="484"/>
      <c r="IEH2" s="484"/>
      <c r="IEI2" s="484"/>
      <c r="IEJ2" s="484"/>
      <c r="IEK2" s="484"/>
      <c r="IEL2" s="484"/>
      <c r="IEM2" s="484"/>
      <c r="IEN2" s="484"/>
      <c r="IEO2" s="484"/>
      <c r="IEP2" s="484"/>
      <c r="IEQ2" s="484"/>
      <c r="IER2" s="484"/>
      <c r="IES2" s="484"/>
      <c r="IET2" s="484"/>
      <c r="IEU2" s="484"/>
      <c r="IEV2" s="484"/>
      <c r="IEW2" s="484"/>
      <c r="IEX2" s="484"/>
      <c r="IEY2" s="484"/>
      <c r="IEZ2" s="484"/>
      <c r="IFA2" s="484"/>
      <c r="IFB2" s="484"/>
      <c r="IFC2" s="484"/>
      <c r="IFD2" s="484"/>
      <c r="IFE2" s="484"/>
      <c r="IFF2" s="484"/>
      <c r="IFG2" s="484"/>
      <c r="IFH2" s="484"/>
      <c r="IFI2" s="484"/>
      <c r="IFJ2" s="484"/>
      <c r="IFK2" s="484"/>
      <c r="IFL2" s="484"/>
      <c r="IFM2" s="484"/>
      <c r="IFN2" s="484"/>
      <c r="IFO2" s="484"/>
      <c r="IFP2" s="484"/>
      <c r="IFQ2" s="484"/>
      <c r="IFR2" s="484"/>
      <c r="IFS2" s="484"/>
      <c r="IFT2" s="484"/>
      <c r="IFU2" s="484"/>
      <c r="IFV2" s="484"/>
      <c r="IFW2" s="484"/>
      <c r="IFX2" s="484"/>
      <c r="IFY2" s="484"/>
      <c r="IFZ2" s="484"/>
      <c r="IGA2" s="484"/>
      <c r="IGB2" s="484"/>
      <c r="IGC2" s="484"/>
      <c r="IGD2" s="484"/>
      <c r="IGE2" s="484"/>
      <c r="IGF2" s="484"/>
      <c r="IGG2" s="484"/>
      <c r="IGH2" s="484"/>
      <c r="IGI2" s="484"/>
      <c r="IGJ2" s="484"/>
      <c r="IGK2" s="484"/>
      <c r="IGL2" s="484"/>
      <c r="IGM2" s="484"/>
      <c r="IGN2" s="484"/>
      <c r="IGO2" s="484"/>
      <c r="IGP2" s="484"/>
      <c r="IGQ2" s="484"/>
      <c r="IGR2" s="484"/>
      <c r="IGS2" s="484"/>
      <c r="IGT2" s="484"/>
      <c r="IGU2" s="484"/>
      <c r="IGV2" s="484"/>
      <c r="IGW2" s="484"/>
      <c r="IGX2" s="484"/>
      <c r="IGY2" s="484"/>
      <c r="IGZ2" s="484"/>
      <c r="IHA2" s="484"/>
      <c r="IHB2" s="484"/>
      <c r="IHC2" s="484"/>
      <c r="IHD2" s="484"/>
      <c r="IHE2" s="484"/>
      <c r="IHF2" s="484"/>
      <c r="IHG2" s="484"/>
      <c r="IHH2" s="484"/>
      <c r="IHI2" s="484"/>
      <c r="IHJ2" s="484"/>
      <c r="IHK2" s="484"/>
      <c r="IHL2" s="484"/>
      <c r="IHM2" s="484"/>
      <c r="IHN2" s="484"/>
      <c r="IHO2" s="484"/>
      <c r="IHP2" s="484"/>
      <c r="IHQ2" s="484"/>
      <c r="IHR2" s="484"/>
      <c r="IHS2" s="484"/>
      <c r="IHT2" s="484"/>
      <c r="IHU2" s="484"/>
      <c r="IHV2" s="484"/>
      <c r="IHW2" s="484"/>
      <c r="IHX2" s="484"/>
      <c r="IHY2" s="484"/>
      <c r="IHZ2" s="484"/>
      <c r="IIA2" s="484"/>
      <c r="IIB2" s="484"/>
      <c r="IIC2" s="484"/>
      <c r="IID2" s="484"/>
      <c r="IIE2" s="484"/>
      <c r="IIF2" s="484"/>
      <c r="IIG2" s="484"/>
      <c r="IIH2" s="484"/>
      <c r="III2" s="484"/>
      <c r="IIJ2" s="484"/>
      <c r="IIK2" s="484"/>
      <c r="IIL2" s="484"/>
      <c r="IIM2" s="484"/>
      <c r="IIN2" s="484"/>
      <c r="IIO2" s="484"/>
      <c r="IIP2" s="484"/>
      <c r="IIQ2" s="484"/>
      <c r="IIR2" s="484"/>
      <c r="IIS2" s="484"/>
      <c r="IIT2" s="484"/>
      <c r="IIU2" s="484"/>
      <c r="IIV2" s="484"/>
      <c r="IIW2" s="484"/>
      <c r="IIX2" s="484"/>
      <c r="IIY2" s="484"/>
      <c r="IIZ2" s="484"/>
      <c r="IJA2" s="484"/>
      <c r="IJB2" s="484"/>
      <c r="IJC2" s="484"/>
      <c r="IJD2" s="484"/>
      <c r="IJE2" s="484"/>
      <c r="IJF2" s="484"/>
      <c r="IJG2" s="484"/>
      <c r="IJH2" s="484"/>
      <c r="IJI2" s="484"/>
      <c r="IJJ2" s="484"/>
      <c r="IJK2" s="484"/>
      <c r="IJL2" s="484"/>
      <c r="IJM2" s="484"/>
      <c r="IJN2" s="484"/>
      <c r="IJO2" s="484"/>
      <c r="IJP2" s="484"/>
      <c r="IJQ2" s="484"/>
      <c r="IJR2" s="484"/>
      <c r="IJS2" s="484"/>
      <c r="IJT2" s="484"/>
      <c r="IJU2" s="484"/>
      <c r="IJV2" s="484"/>
      <c r="IJW2" s="484"/>
      <c r="IJX2" s="484"/>
      <c r="IJY2" s="484"/>
      <c r="IJZ2" s="484"/>
      <c r="IKA2" s="484"/>
      <c r="IKB2" s="484"/>
      <c r="IKC2" s="484"/>
      <c r="IKD2" s="484"/>
      <c r="IKE2" s="484"/>
      <c r="IKF2" s="484"/>
      <c r="IKG2" s="484"/>
      <c r="IKH2" s="484"/>
      <c r="IKI2" s="484"/>
      <c r="IKJ2" s="484"/>
      <c r="IKK2" s="484"/>
      <c r="IKL2" s="484"/>
      <c r="IKM2" s="484"/>
      <c r="IKN2" s="484"/>
      <c r="IKO2" s="484"/>
      <c r="IKP2" s="484"/>
      <c r="IKQ2" s="484"/>
      <c r="IKR2" s="484"/>
      <c r="IKS2" s="484"/>
      <c r="IKT2" s="484"/>
      <c r="IKU2" s="484"/>
      <c r="IKV2" s="484"/>
      <c r="IKW2" s="484"/>
      <c r="IKX2" s="484"/>
      <c r="IKY2" s="484"/>
      <c r="IKZ2" s="484"/>
      <c r="ILA2" s="484"/>
      <c r="ILB2" s="484"/>
      <c r="ILC2" s="484"/>
      <c r="ILD2" s="484"/>
      <c r="ILE2" s="484"/>
      <c r="ILF2" s="484"/>
      <c r="ILG2" s="484"/>
      <c r="ILH2" s="484"/>
      <c r="ILI2" s="484"/>
      <c r="ILJ2" s="484"/>
      <c r="ILK2" s="484"/>
      <c r="ILL2" s="484"/>
      <c r="ILM2" s="484"/>
      <c r="ILN2" s="484"/>
      <c r="ILO2" s="484"/>
      <c r="ILP2" s="484"/>
      <c r="ILQ2" s="484"/>
      <c r="ILR2" s="484"/>
      <c r="ILS2" s="484"/>
      <c r="ILT2" s="484"/>
      <c r="ILU2" s="484"/>
      <c r="ILV2" s="484"/>
      <c r="ILW2" s="484"/>
      <c r="ILX2" s="484"/>
      <c r="ILY2" s="484"/>
      <c r="ILZ2" s="484"/>
      <c r="IMA2" s="484"/>
      <c r="IMB2" s="484"/>
      <c r="IMC2" s="484"/>
      <c r="IMD2" s="484"/>
      <c r="IME2" s="484"/>
      <c r="IMF2" s="484"/>
      <c r="IMG2" s="484"/>
      <c r="IMH2" s="484"/>
      <c r="IMI2" s="484"/>
      <c r="IMJ2" s="484"/>
      <c r="IMK2" s="484"/>
      <c r="IML2" s="484"/>
      <c r="IMM2" s="484"/>
      <c r="IMN2" s="484"/>
      <c r="IMO2" s="484"/>
      <c r="IMP2" s="484"/>
      <c r="IMQ2" s="484"/>
      <c r="IMR2" s="484"/>
      <c r="IMS2" s="484"/>
      <c r="IMT2" s="484"/>
      <c r="IMU2" s="484"/>
      <c r="IMV2" s="484"/>
      <c r="IMW2" s="484"/>
      <c r="IMX2" s="484"/>
      <c r="IMY2" s="484"/>
      <c r="IMZ2" s="484"/>
      <c r="INA2" s="484"/>
      <c r="INB2" s="484"/>
      <c r="INC2" s="484"/>
      <c r="IND2" s="484"/>
      <c r="INE2" s="484"/>
      <c r="INF2" s="484"/>
      <c r="ING2" s="484"/>
      <c r="INH2" s="484"/>
      <c r="INI2" s="484"/>
      <c r="INJ2" s="484"/>
      <c r="INK2" s="484"/>
      <c r="INL2" s="484"/>
      <c r="INM2" s="484"/>
      <c r="INN2" s="484"/>
      <c r="INO2" s="484"/>
      <c r="INP2" s="484"/>
      <c r="INQ2" s="484"/>
      <c r="INR2" s="484"/>
      <c r="INS2" s="484"/>
      <c r="INT2" s="484"/>
      <c r="INU2" s="484"/>
      <c r="INV2" s="484"/>
      <c r="INW2" s="484"/>
      <c r="INX2" s="484"/>
      <c r="INY2" s="484"/>
      <c r="INZ2" s="484"/>
      <c r="IOA2" s="484"/>
      <c r="IOB2" s="484"/>
      <c r="IOC2" s="484"/>
      <c r="IOD2" s="484"/>
      <c r="IOE2" s="484"/>
      <c r="IOF2" s="484"/>
      <c r="IOG2" s="484"/>
      <c r="IOH2" s="484"/>
      <c r="IOI2" s="484"/>
      <c r="IOJ2" s="484"/>
      <c r="IOK2" s="484"/>
      <c r="IOL2" s="484"/>
      <c r="IOM2" s="484"/>
      <c r="ION2" s="484"/>
      <c r="IOO2" s="484"/>
      <c r="IOP2" s="484"/>
      <c r="IOQ2" s="484"/>
      <c r="IOR2" s="484"/>
      <c r="IOS2" s="484"/>
      <c r="IOT2" s="484"/>
      <c r="IOU2" s="484"/>
      <c r="IOV2" s="484"/>
      <c r="IOW2" s="484"/>
      <c r="IOX2" s="484"/>
      <c r="IOY2" s="484"/>
      <c r="IOZ2" s="484"/>
      <c r="IPA2" s="484"/>
      <c r="IPB2" s="484"/>
      <c r="IPC2" s="484"/>
      <c r="IPD2" s="484"/>
      <c r="IPE2" s="484"/>
      <c r="IPF2" s="484"/>
      <c r="IPG2" s="484"/>
      <c r="IPH2" s="484"/>
      <c r="IPI2" s="484"/>
      <c r="IPJ2" s="484"/>
      <c r="IPK2" s="484"/>
      <c r="IPL2" s="484"/>
      <c r="IPM2" s="484"/>
      <c r="IPN2" s="484"/>
      <c r="IPO2" s="484"/>
      <c r="IPP2" s="484"/>
      <c r="IPQ2" s="484"/>
      <c r="IPR2" s="484"/>
      <c r="IPS2" s="484"/>
      <c r="IPT2" s="484"/>
      <c r="IPU2" s="484"/>
      <c r="IPV2" s="484"/>
      <c r="IPW2" s="484"/>
      <c r="IPX2" s="484"/>
      <c r="IPY2" s="484"/>
      <c r="IPZ2" s="484"/>
      <c r="IQA2" s="484"/>
      <c r="IQB2" s="484"/>
      <c r="IQC2" s="484"/>
      <c r="IQD2" s="484"/>
      <c r="IQE2" s="484"/>
      <c r="IQF2" s="484"/>
      <c r="IQG2" s="484"/>
      <c r="IQH2" s="484"/>
      <c r="IQI2" s="484"/>
      <c r="IQJ2" s="484"/>
      <c r="IQK2" s="484"/>
      <c r="IQL2" s="484"/>
      <c r="IQM2" s="484"/>
      <c r="IQN2" s="484"/>
      <c r="IQO2" s="484"/>
      <c r="IQP2" s="484"/>
      <c r="IQQ2" s="484"/>
      <c r="IQR2" s="484"/>
      <c r="IQS2" s="484"/>
      <c r="IQT2" s="484"/>
      <c r="IQU2" s="484"/>
      <c r="IQV2" s="484"/>
      <c r="IQW2" s="484"/>
      <c r="IQX2" s="484"/>
      <c r="IQY2" s="484"/>
      <c r="IQZ2" s="484"/>
      <c r="IRA2" s="484"/>
      <c r="IRB2" s="484"/>
      <c r="IRC2" s="484"/>
      <c r="IRD2" s="484"/>
      <c r="IRE2" s="484"/>
      <c r="IRF2" s="484"/>
      <c r="IRG2" s="484"/>
      <c r="IRH2" s="484"/>
      <c r="IRI2" s="484"/>
      <c r="IRJ2" s="484"/>
      <c r="IRK2" s="484"/>
      <c r="IRL2" s="484"/>
      <c r="IRM2" s="484"/>
      <c r="IRN2" s="484"/>
      <c r="IRO2" s="484"/>
      <c r="IRP2" s="484"/>
      <c r="IRQ2" s="484"/>
      <c r="IRR2" s="484"/>
      <c r="IRS2" s="484"/>
      <c r="IRT2" s="484"/>
      <c r="IRU2" s="484"/>
      <c r="IRV2" s="484"/>
      <c r="IRW2" s="484"/>
      <c r="IRX2" s="484"/>
      <c r="IRY2" s="484"/>
      <c r="IRZ2" s="484"/>
      <c r="ISA2" s="484"/>
      <c r="ISB2" s="484"/>
      <c r="ISC2" s="484"/>
      <c r="ISD2" s="484"/>
      <c r="ISE2" s="484"/>
      <c r="ISF2" s="484"/>
      <c r="ISG2" s="484"/>
      <c r="ISH2" s="484"/>
      <c r="ISI2" s="484"/>
      <c r="ISJ2" s="484"/>
      <c r="ISK2" s="484"/>
      <c r="ISL2" s="484"/>
      <c r="ISM2" s="484"/>
      <c r="ISN2" s="484"/>
      <c r="ISO2" s="484"/>
      <c r="ISP2" s="484"/>
      <c r="ISQ2" s="484"/>
      <c r="ISR2" s="484"/>
      <c r="ISS2" s="484"/>
      <c r="IST2" s="484"/>
      <c r="ISU2" s="484"/>
      <c r="ISV2" s="484"/>
      <c r="ISW2" s="484"/>
      <c r="ISX2" s="484"/>
      <c r="ISY2" s="484"/>
      <c r="ISZ2" s="484"/>
      <c r="ITA2" s="484"/>
      <c r="ITB2" s="484"/>
      <c r="ITC2" s="484"/>
      <c r="ITD2" s="484"/>
      <c r="ITE2" s="484"/>
      <c r="ITF2" s="484"/>
      <c r="ITG2" s="484"/>
      <c r="ITH2" s="484"/>
      <c r="ITI2" s="484"/>
      <c r="ITJ2" s="484"/>
      <c r="ITK2" s="484"/>
      <c r="ITL2" s="484"/>
      <c r="ITM2" s="484"/>
      <c r="ITN2" s="484"/>
      <c r="ITO2" s="484"/>
      <c r="ITP2" s="484"/>
      <c r="ITQ2" s="484"/>
      <c r="ITR2" s="484"/>
      <c r="ITS2" s="484"/>
      <c r="ITT2" s="484"/>
      <c r="ITU2" s="484"/>
      <c r="ITV2" s="484"/>
      <c r="ITW2" s="484"/>
      <c r="ITX2" s="484"/>
      <c r="ITY2" s="484"/>
      <c r="ITZ2" s="484"/>
      <c r="IUA2" s="484"/>
      <c r="IUB2" s="484"/>
      <c r="IUC2" s="484"/>
      <c r="IUD2" s="484"/>
      <c r="IUE2" s="484"/>
      <c r="IUF2" s="484"/>
      <c r="IUG2" s="484"/>
      <c r="IUH2" s="484"/>
      <c r="IUI2" s="484"/>
      <c r="IUJ2" s="484"/>
      <c r="IUK2" s="484"/>
      <c r="IUL2" s="484"/>
      <c r="IUM2" s="484"/>
      <c r="IUN2" s="484"/>
      <c r="IUO2" s="484"/>
      <c r="IUP2" s="484"/>
      <c r="IUQ2" s="484"/>
      <c r="IUR2" s="484"/>
      <c r="IUS2" s="484"/>
      <c r="IUT2" s="484"/>
      <c r="IUU2" s="484"/>
      <c r="IUV2" s="484"/>
      <c r="IUW2" s="484"/>
      <c r="IUX2" s="484"/>
      <c r="IUY2" s="484"/>
      <c r="IUZ2" s="484"/>
      <c r="IVA2" s="484"/>
      <c r="IVB2" s="484"/>
      <c r="IVC2" s="484"/>
      <c r="IVD2" s="484"/>
      <c r="IVE2" s="484"/>
      <c r="IVF2" s="484"/>
      <c r="IVG2" s="484"/>
      <c r="IVH2" s="484"/>
      <c r="IVI2" s="484"/>
      <c r="IVJ2" s="484"/>
      <c r="IVK2" s="484"/>
      <c r="IVL2" s="484"/>
      <c r="IVM2" s="484"/>
      <c r="IVN2" s="484"/>
      <c r="IVO2" s="484"/>
      <c r="IVP2" s="484"/>
      <c r="IVQ2" s="484"/>
      <c r="IVR2" s="484"/>
      <c r="IVS2" s="484"/>
      <c r="IVT2" s="484"/>
      <c r="IVU2" s="484"/>
      <c r="IVV2" s="484"/>
      <c r="IVW2" s="484"/>
      <c r="IVX2" s="484"/>
      <c r="IVY2" s="484"/>
      <c r="IVZ2" s="484"/>
      <c r="IWA2" s="484"/>
      <c r="IWB2" s="484"/>
      <c r="IWC2" s="484"/>
      <c r="IWD2" s="484"/>
      <c r="IWE2" s="484"/>
      <c r="IWF2" s="484"/>
      <c r="IWG2" s="484"/>
      <c r="IWH2" s="484"/>
      <c r="IWI2" s="484"/>
      <c r="IWJ2" s="484"/>
      <c r="IWK2" s="484"/>
      <c r="IWL2" s="484"/>
      <c r="IWM2" s="484"/>
      <c r="IWN2" s="484"/>
      <c r="IWO2" s="484"/>
      <c r="IWP2" s="484"/>
      <c r="IWQ2" s="484"/>
      <c r="IWR2" s="484"/>
      <c r="IWS2" s="484"/>
      <c r="IWT2" s="484"/>
      <c r="IWU2" s="484"/>
      <c r="IWV2" s="484"/>
      <c r="IWW2" s="484"/>
      <c r="IWX2" s="484"/>
      <c r="IWY2" s="484"/>
      <c r="IWZ2" s="484"/>
      <c r="IXA2" s="484"/>
      <c r="IXB2" s="484"/>
      <c r="IXC2" s="484"/>
      <c r="IXD2" s="484"/>
      <c r="IXE2" s="484"/>
      <c r="IXF2" s="484"/>
      <c r="IXG2" s="484"/>
      <c r="IXH2" s="484"/>
      <c r="IXI2" s="484"/>
      <c r="IXJ2" s="484"/>
      <c r="IXK2" s="484"/>
      <c r="IXL2" s="484"/>
      <c r="IXM2" s="484"/>
      <c r="IXN2" s="484"/>
      <c r="IXO2" s="484"/>
      <c r="IXP2" s="484"/>
      <c r="IXQ2" s="484"/>
      <c r="IXR2" s="484"/>
      <c r="IXS2" s="484"/>
      <c r="IXT2" s="484"/>
      <c r="IXU2" s="484"/>
      <c r="IXV2" s="484"/>
      <c r="IXW2" s="484"/>
      <c r="IXX2" s="484"/>
      <c r="IXY2" s="484"/>
      <c r="IXZ2" s="484"/>
      <c r="IYA2" s="484"/>
      <c r="IYB2" s="484"/>
      <c r="IYC2" s="484"/>
      <c r="IYD2" s="484"/>
      <c r="IYE2" s="484"/>
      <c r="IYF2" s="484"/>
      <c r="IYG2" s="484"/>
      <c r="IYH2" s="484"/>
      <c r="IYI2" s="484"/>
      <c r="IYJ2" s="484"/>
      <c r="IYK2" s="484"/>
      <c r="IYL2" s="484"/>
      <c r="IYM2" s="484"/>
      <c r="IYN2" s="484"/>
      <c r="IYO2" s="484"/>
      <c r="IYP2" s="484"/>
      <c r="IYQ2" s="484"/>
      <c r="IYR2" s="484"/>
      <c r="IYS2" s="484"/>
      <c r="IYT2" s="484"/>
      <c r="IYU2" s="484"/>
      <c r="IYV2" s="484"/>
      <c r="IYW2" s="484"/>
      <c r="IYX2" s="484"/>
      <c r="IYY2" s="484"/>
      <c r="IYZ2" s="484"/>
      <c r="IZA2" s="484"/>
      <c r="IZB2" s="484"/>
      <c r="IZC2" s="484"/>
      <c r="IZD2" s="484"/>
      <c r="IZE2" s="484"/>
      <c r="IZF2" s="484"/>
      <c r="IZG2" s="484"/>
      <c r="IZH2" s="484"/>
      <c r="IZI2" s="484"/>
      <c r="IZJ2" s="484"/>
      <c r="IZK2" s="484"/>
      <c r="IZL2" s="484"/>
      <c r="IZM2" s="484"/>
      <c r="IZN2" s="484"/>
      <c r="IZO2" s="484"/>
      <c r="IZP2" s="484"/>
      <c r="IZQ2" s="484"/>
      <c r="IZR2" s="484"/>
      <c r="IZS2" s="484"/>
      <c r="IZT2" s="484"/>
      <c r="IZU2" s="484"/>
      <c r="IZV2" s="484"/>
      <c r="IZW2" s="484"/>
      <c r="IZX2" s="484"/>
      <c r="IZY2" s="484"/>
      <c r="IZZ2" s="484"/>
      <c r="JAA2" s="484"/>
      <c r="JAB2" s="484"/>
      <c r="JAC2" s="484"/>
      <c r="JAD2" s="484"/>
      <c r="JAE2" s="484"/>
      <c r="JAF2" s="484"/>
      <c r="JAG2" s="484"/>
      <c r="JAH2" s="484"/>
      <c r="JAI2" s="484"/>
      <c r="JAJ2" s="484"/>
      <c r="JAK2" s="484"/>
      <c r="JAL2" s="484"/>
      <c r="JAM2" s="484"/>
      <c r="JAN2" s="484"/>
      <c r="JAO2" s="484"/>
      <c r="JAP2" s="484"/>
      <c r="JAQ2" s="484"/>
      <c r="JAR2" s="484"/>
      <c r="JAS2" s="484"/>
      <c r="JAT2" s="484"/>
      <c r="JAU2" s="484"/>
      <c r="JAV2" s="484"/>
      <c r="JAW2" s="484"/>
      <c r="JAX2" s="484"/>
      <c r="JAY2" s="484"/>
      <c r="JAZ2" s="484"/>
      <c r="JBA2" s="484"/>
      <c r="JBB2" s="484"/>
      <c r="JBC2" s="484"/>
      <c r="JBD2" s="484"/>
      <c r="JBE2" s="484"/>
      <c r="JBF2" s="484"/>
      <c r="JBG2" s="484"/>
      <c r="JBH2" s="484"/>
      <c r="JBI2" s="484"/>
      <c r="JBJ2" s="484"/>
      <c r="JBK2" s="484"/>
      <c r="JBL2" s="484"/>
      <c r="JBM2" s="484"/>
      <c r="JBN2" s="484"/>
      <c r="JBO2" s="484"/>
      <c r="JBP2" s="484"/>
      <c r="JBQ2" s="484"/>
      <c r="JBR2" s="484"/>
      <c r="JBS2" s="484"/>
      <c r="JBT2" s="484"/>
      <c r="JBU2" s="484"/>
      <c r="JBV2" s="484"/>
      <c r="JBW2" s="484"/>
      <c r="JBX2" s="484"/>
      <c r="JBY2" s="484"/>
      <c r="JBZ2" s="484"/>
      <c r="JCA2" s="484"/>
      <c r="JCB2" s="484"/>
      <c r="JCC2" s="484"/>
      <c r="JCD2" s="484"/>
      <c r="JCE2" s="484"/>
      <c r="JCF2" s="484"/>
      <c r="JCG2" s="484"/>
      <c r="JCH2" s="484"/>
      <c r="JCI2" s="484"/>
      <c r="JCJ2" s="484"/>
      <c r="JCK2" s="484"/>
      <c r="JCL2" s="484"/>
      <c r="JCM2" s="484"/>
      <c r="JCN2" s="484"/>
      <c r="JCO2" s="484"/>
      <c r="JCP2" s="484"/>
      <c r="JCQ2" s="484"/>
      <c r="JCR2" s="484"/>
      <c r="JCS2" s="484"/>
      <c r="JCT2" s="484"/>
      <c r="JCU2" s="484"/>
      <c r="JCV2" s="484"/>
      <c r="JCW2" s="484"/>
      <c r="JCX2" s="484"/>
      <c r="JCY2" s="484"/>
      <c r="JCZ2" s="484"/>
      <c r="JDA2" s="484"/>
      <c r="JDB2" s="484"/>
      <c r="JDC2" s="484"/>
      <c r="JDD2" s="484"/>
      <c r="JDE2" s="484"/>
      <c r="JDF2" s="484"/>
      <c r="JDG2" s="484"/>
      <c r="JDH2" s="484"/>
      <c r="JDI2" s="484"/>
      <c r="JDJ2" s="484"/>
      <c r="JDK2" s="484"/>
      <c r="JDL2" s="484"/>
      <c r="JDM2" s="484"/>
      <c r="JDN2" s="484"/>
      <c r="JDO2" s="484"/>
      <c r="JDP2" s="484"/>
      <c r="JDQ2" s="484"/>
      <c r="JDR2" s="484"/>
      <c r="JDS2" s="484"/>
      <c r="JDT2" s="484"/>
      <c r="JDU2" s="484"/>
      <c r="JDV2" s="484"/>
      <c r="JDW2" s="484"/>
      <c r="JDX2" s="484"/>
      <c r="JDY2" s="484"/>
      <c r="JDZ2" s="484"/>
      <c r="JEA2" s="484"/>
      <c r="JEB2" s="484"/>
      <c r="JEC2" s="484"/>
      <c r="JED2" s="484"/>
      <c r="JEE2" s="484"/>
      <c r="JEF2" s="484"/>
      <c r="JEG2" s="484"/>
      <c r="JEH2" s="484"/>
      <c r="JEI2" s="484"/>
      <c r="JEJ2" s="484"/>
      <c r="JEK2" s="484"/>
      <c r="JEL2" s="484"/>
      <c r="JEM2" s="484"/>
      <c r="JEN2" s="484"/>
      <c r="JEO2" s="484"/>
      <c r="JEP2" s="484"/>
      <c r="JEQ2" s="484"/>
      <c r="JER2" s="484"/>
      <c r="JES2" s="484"/>
      <c r="JET2" s="484"/>
      <c r="JEU2" s="484"/>
      <c r="JEV2" s="484"/>
      <c r="JEW2" s="484"/>
      <c r="JEX2" s="484"/>
      <c r="JEY2" s="484"/>
      <c r="JEZ2" s="484"/>
      <c r="JFA2" s="484"/>
      <c r="JFB2" s="484"/>
      <c r="JFC2" s="484"/>
      <c r="JFD2" s="484"/>
      <c r="JFE2" s="484"/>
      <c r="JFF2" s="484"/>
      <c r="JFG2" s="484"/>
      <c r="JFH2" s="484"/>
      <c r="JFI2" s="484"/>
      <c r="JFJ2" s="484"/>
      <c r="JFK2" s="484"/>
      <c r="JFL2" s="484"/>
      <c r="JFM2" s="484"/>
      <c r="JFN2" s="484"/>
      <c r="JFO2" s="484"/>
      <c r="JFP2" s="484"/>
      <c r="JFQ2" s="484"/>
      <c r="JFR2" s="484"/>
      <c r="JFS2" s="484"/>
      <c r="JFT2" s="484"/>
      <c r="JFU2" s="484"/>
      <c r="JFV2" s="484"/>
      <c r="JFW2" s="484"/>
      <c r="JFX2" s="484"/>
      <c r="JFY2" s="484"/>
      <c r="JFZ2" s="484"/>
      <c r="JGA2" s="484"/>
      <c r="JGB2" s="484"/>
      <c r="JGC2" s="484"/>
      <c r="JGD2" s="484"/>
      <c r="JGE2" s="484"/>
      <c r="JGF2" s="484"/>
      <c r="JGG2" s="484"/>
      <c r="JGH2" s="484"/>
      <c r="JGI2" s="484"/>
      <c r="JGJ2" s="484"/>
      <c r="JGK2" s="484"/>
      <c r="JGL2" s="484"/>
      <c r="JGM2" s="484"/>
      <c r="JGN2" s="484"/>
      <c r="JGO2" s="484"/>
      <c r="JGP2" s="484"/>
      <c r="JGQ2" s="484"/>
      <c r="JGR2" s="484"/>
      <c r="JGS2" s="484"/>
      <c r="JGT2" s="484"/>
      <c r="JGU2" s="484"/>
      <c r="JGV2" s="484"/>
      <c r="JGW2" s="484"/>
      <c r="JGX2" s="484"/>
      <c r="JGY2" s="484"/>
      <c r="JGZ2" s="484"/>
      <c r="JHA2" s="484"/>
      <c r="JHB2" s="484"/>
      <c r="JHC2" s="484"/>
      <c r="JHD2" s="484"/>
      <c r="JHE2" s="484"/>
      <c r="JHF2" s="484"/>
      <c r="JHG2" s="484"/>
      <c r="JHH2" s="484"/>
      <c r="JHI2" s="484"/>
      <c r="JHJ2" s="484"/>
      <c r="JHK2" s="484"/>
      <c r="JHL2" s="484"/>
      <c r="JHM2" s="484"/>
      <c r="JHN2" s="484"/>
      <c r="JHO2" s="484"/>
      <c r="JHP2" s="484"/>
      <c r="JHQ2" s="484"/>
      <c r="JHR2" s="484"/>
      <c r="JHS2" s="484"/>
      <c r="JHT2" s="484"/>
      <c r="JHU2" s="484"/>
      <c r="JHV2" s="484"/>
      <c r="JHW2" s="484"/>
      <c r="JHX2" s="484"/>
      <c r="JHY2" s="484"/>
      <c r="JHZ2" s="484"/>
      <c r="JIA2" s="484"/>
      <c r="JIB2" s="484"/>
      <c r="JIC2" s="484"/>
      <c r="JID2" s="484"/>
      <c r="JIE2" s="484"/>
      <c r="JIF2" s="484"/>
      <c r="JIG2" s="484"/>
      <c r="JIH2" s="484"/>
      <c r="JII2" s="484"/>
      <c r="JIJ2" s="484"/>
      <c r="JIK2" s="484"/>
      <c r="JIL2" s="484"/>
      <c r="JIM2" s="484"/>
      <c r="JIN2" s="484"/>
      <c r="JIO2" s="484"/>
      <c r="JIP2" s="484"/>
      <c r="JIQ2" s="484"/>
      <c r="JIR2" s="484"/>
      <c r="JIS2" s="484"/>
      <c r="JIT2" s="484"/>
      <c r="JIU2" s="484"/>
      <c r="JIV2" s="484"/>
      <c r="JIW2" s="484"/>
      <c r="JIX2" s="484"/>
      <c r="JIY2" s="484"/>
      <c r="JIZ2" s="484"/>
      <c r="JJA2" s="484"/>
      <c r="JJB2" s="484"/>
      <c r="JJC2" s="484"/>
      <c r="JJD2" s="484"/>
      <c r="JJE2" s="484"/>
      <c r="JJF2" s="484"/>
      <c r="JJG2" s="484"/>
      <c r="JJH2" s="484"/>
      <c r="JJI2" s="484"/>
      <c r="JJJ2" s="484"/>
      <c r="JJK2" s="484"/>
      <c r="JJL2" s="484"/>
      <c r="JJM2" s="484"/>
      <c r="JJN2" s="484"/>
      <c r="JJO2" s="484"/>
      <c r="JJP2" s="484"/>
      <c r="JJQ2" s="484"/>
      <c r="JJR2" s="484"/>
      <c r="JJS2" s="484"/>
      <c r="JJT2" s="484"/>
      <c r="JJU2" s="484"/>
      <c r="JJV2" s="484"/>
      <c r="JJW2" s="484"/>
      <c r="JJX2" s="484"/>
      <c r="JJY2" s="484"/>
      <c r="JJZ2" s="484"/>
      <c r="JKA2" s="484"/>
      <c r="JKB2" s="484"/>
      <c r="JKC2" s="484"/>
      <c r="JKD2" s="484"/>
      <c r="JKE2" s="484"/>
      <c r="JKF2" s="484"/>
      <c r="JKG2" s="484"/>
      <c r="JKH2" s="484"/>
      <c r="JKI2" s="484"/>
      <c r="JKJ2" s="484"/>
      <c r="JKK2" s="484"/>
      <c r="JKL2" s="484"/>
      <c r="JKM2" s="484"/>
      <c r="JKN2" s="484"/>
      <c r="JKO2" s="484"/>
      <c r="JKP2" s="484"/>
      <c r="JKQ2" s="484"/>
      <c r="JKR2" s="484"/>
      <c r="JKS2" s="484"/>
      <c r="JKT2" s="484"/>
      <c r="JKU2" s="484"/>
      <c r="JKV2" s="484"/>
      <c r="JKW2" s="484"/>
      <c r="JKX2" s="484"/>
      <c r="JKY2" s="484"/>
      <c r="JKZ2" s="484"/>
      <c r="JLA2" s="484"/>
      <c r="JLB2" s="484"/>
      <c r="JLC2" s="484"/>
      <c r="JLD2" s="484"/>
      <c r="JLE2" s="484"/>
      <c r="JLF2" s="484"/>
      <c r="JLG2" s="484"/>
      <c r="JLH2" s="484"/>
      <c r="JLI2" s="484"/>
      <c r="JLJ2" s="484"/>
      <c r="JLK2" s="484"/>
      <c r="JLL2" s="484"/>
      <c r="JLM2" s="484"/>
      <c r="JLN2" s="484"/>
      <c r="JLO2" s="484"/>
      <c r="JLP2" s="484"/>
      <c r="JLQ2" s="484"/>
      <c r="JLR2" s="484"/>
      <c r="JLS2" s="484"/>
      <c r="JLT2" s="484"/>
      <c r="JLU2" s="484"/>
      <c r="JLV2" s="484"/>
      <c r="JLW2" s="484"/>
      <c r="JLX2" s="484"/>
      <c r="JLY2" s="484"/>
      <c r="JLZ2" s="484"/>
      <c r="JMA2" s="484"/>
      <c r="JMB2" s="484"/>
      <c r="JMC2" s="484"/>
      <c r="JMD2" s="484"/>
      <c r="JME2" s="484"/>
      <c r="JMF2" s="484"/>
      <c r="JMG2" s="484"/>
      <c r="JMH2" s="484"/>
      <c r="JMI2" s="484"/>
      <c r="JMJ2" s="484"/>
      <c r="JMK2" s="484"/>
      <c r="JML2" s="484"/>
      <c r="JMM2" s="484"/>
      <c r="JMN2" s="484"/>
      <c r="JMO2" s="484"/>
      <c r="JMP2" s="484"/>
      <c r="JMQ2" s="484"/>
      <c r="JMR2" s="484"/>
      <c r="JMS2" s="484"/>
      <c r="JMT2" s="484"/>
      <c r="JMU2" s="484"/>
      <c r="JMV2" s="484"/>
      <c r="JMW2" s="484"/>
      <c r="JMX2" s="484"/>
      <c r="JMY2" s="484"/>
      <c r="JMZ2" s="484"/>
      <c r="JNA2" s="484"/>
      <c r="JNB2" s="484"/>
      <c r="JNC2" s="484"/>
      <c r="JND2" s="484"/>
      <c r="JNE2" s="484"/>
      <c r="JNF2" s="484"/>
      <c r="JNG2" s="484"/>
      <c r="JNH2" s="484"/>
      <c r="JNI2" s="484"/>
      <c r="JNJ2" s="484"/>
      <c r="JNK2" s="484"/>
      <c r="JNL2" s="484"/>
      <c r="JNM2" s="484"/>
      <c r="JNN2" s="484"/>
      <c r="JNO2" s="484"/>
      <c r="JNP2" s="484"/>
      <c r="JNQ2" s="484"/>
      <c r="JNR2" s="484"/>
      <c r="JNS2" s="484"/>
      <c r="JNT2" s="484"/>
      <c r="JNU2" s="484"/>
      <c r="JNV2" s="484"/>
      <c r="JNW2" s="484"/>
      <c r="JNX2" s="484"/>
      <c r="JNY2" s="484"/>
      <c r="JNZ2" s="484"/>
      <c r="JOA2" s="484"/>
      <c r="JOB2" s="484"/>
      <c r="JOC2" s="484"/>
      <c r="JOD2" s="484"/>
      <c r="JOE2" s="484"/>
      <c r="JOF2" s="484"/>
      <c r="JOG2" s="484"/>
      <c r="JOH2" s="484"/>
      <c r="JOI2" s="484"/>
      <c r="JOJ2" s="484"/>
      <c r="JOK2" s="484"/>
      <c r="JOL2" s="484"/>
      <c r="JOM2" s="484"/>
      <c r="JON2" s="484"/>
      <c r="JOO2" s="484"/>
      <c r="JOP2" s="484"/>
      <c r="JOQ2" s="484"/>
      <c r="JOR2" s="484"/>
      <c r="JOS2" s="484"/>
      <c r="JOT2" s="484"/>
      <c r="JOU2" s="484"/>
      <c r="JOV2" s="484"/>
      <c r="JOW2" s="484"/>
      <c r="JOX2" s="484"/>
      <c r="JOY2" s="484"/>
      <c r="JOZ2" s="484"/>
      <c r="JPA2" s="484"/>
      <c r="JPB2" s="484"/>
      <c r="JPC2" s="484"/>
      <c r="JPD2" s="484"/>
      <c r="JPE2" s="484"/>
      <c r="JPF2" s="484"/>
      <c r="JPG2" s="484"/>
      <c r="JPH2" s="484"/>
      <c r="JPI2" s="484"/>
      <c r="JPJ2" s="484"/>
      <c r="JPK2" s="484"/>
      <c r="JPL2" s="484"/>
      <c r="JPM2" s="484"/>
      <c r="JPN2" s="484"/>
      <c r="JPO2" s="484"/>
      <c r="JPP2" s="484"/>
      <c r="JPQ2" s="484"/>
      <c r="JPR2" s="484"/>
      <c r="JPS2" s="484"/>
      <c r="JPT2" s="484"/>
      <c r="JPU2" s="484"/>
      <c r="JPV2" s="484"/>
      <c r="JPW2" s="484"/>
      <c r="JPX2" s="484"/>
      <c r="JPY2" s="484"/>
      <c r="JPZ2" s="484"/>
      <c r="JQA2" s="484"/>
      <c r="JQB2" s="484"/>
      <c r="JQC2" s="484"/>
      <c r="JQD2" s="484"/>
      <c r="JQE2" s="484"/>
      <c r="JQF2" s="484"/>
      <c r="JQG2" s="484"/>
      <c r="JQH2" s="484"/>
      <c r="JQI2" s="484"/>
      <c r="JQJ2" s="484"/>
      <c r="JQK2" s="484"/>
      <c r="JQL2" s="484"/>
      <c r="JQM2" s="484"/>
      <c r="JQN2" s="484"/>
      <c r="JQO2" s="484"/>
      <c r="JQP2" s="484"/>
      <c r="JQQ2" s="484"/>
      <c r="JQR2" s="484"/>
      <c r="JQS2" s="484"/>
      <c r="JQT2" s="484"/>
      <c r="JQU2" s="484"/>
      <c r="JQV2" s="484"/>
      <c r="JQW2" s="484"/>
      <c r="JQX2" s="484"/>
      <c r="JQY2" s="484"/>
      <c r="JQZ2" s="484"/>
      <c r="JRA2" s="484"/>
      <c r="JRB2" s="484"/>
      <c r="JRC2" s="484"/>
      <c r="JRD2" s="484"/>
      <c r="JRE2" s="484"/>
      <c r="JRF2" s="484"/>
      <c r="JRG2" s="484"/>
      <c r="JRH2" s="484"/>
      <c r="JRI2" s="484"/>
      <c r="JRJ2" s="484"/>
      <c r="JRK2" s="484"/>
      <c r="JRL2" s="484"/>
      <c r="JRM2" s="484"/>
      <c r="JRN2" s="484"/>
      <c r="JRO2" s="484"/>
      <c r="JRP2" s="484"/>
      <c r="JRQ2" s="484"/>
      <c r="JRR2" s="484"/>
      <c r="JRS2" s="484"/>
      <c r="JRT2" s="484"/>
      <c r="JRU2" s="484"/>
      <c r="JRV2" s="484"/>
      <c r="JRW2" s="484"/>
      <c r="JRX2" s="484"/>
      <c r="JRY2" s="484"/>
      <c r="JRZ2" s="484"/>
      <c r="JSA2" s="484"/>
      <c r="JSB2" s="484"/>
      <c r="JSC2" s="484"/>
      <c r="JSD2" s="484"/>
      <c r="JSE2" s="484"/>
      <c r="JSF2" s="484"/>
      <c r="JSG2" s="484"/>
      <c r="JSH2" s="484"/>
      <c r="JSI2" s="484"/>
      <c r="JSJ2" s="484"/>
      <c r="JSK2" s="484"/>
      <c r="JSL2" s="484"/>
      <c r="JSM2" s="484"/>
      <c r="JSN2" s="484"/>
      <c r="JSO2" s="484"/>
      <c r="JSP2" s="484"/>
      <c r="JSQ2" s="484"/>
      <c r="JSR2" s="484"/>
      <c r="JSS2" s="484"/>
      <c r="JST2" s="484"/>
      <c r="JSU2" s="484"/>
      <c r="JSV2" s="484"/>
      <c r="JSW2" s="484"/>
      <c r="JSX2" s="484"/>
      <c r="JSY2" s="484"/>
      <c r="JSZ2" s="484"/>
      <c r="JTA2" s="484"/>
      <c r="JTB2" s="484"/>
      <c r="JTC2" s="484"/>
      <c r="JTD2" s="484"/>
      <c r="JTE2" s="484"/>
      <c r="JTF2" s="484"/>
      <c r="JTG2" s="484"/>
      <c r="JTH2" s="484"/>
      <c r="JTI2" s="484"/>
      <c r="JTJ2" s="484"/>
      <c r="JTK2" s="484"/>
      <c r="JTL2" s="484"/>
      <c r="JTM2" s="484"/>
      <c r="JTN2" s="484"/>
      <c r="JTO2" s="484"/>
      <c r="JTP2" s="484"/>
      <c r="JTQ2" s="484"/>
      <c r="JTR2" s="484"/>
      <c r="JTS2" s="484"/>
      <c r="JTT2" s="484"/>
      <c r="JTU2" s="484"/>
      <c r="JTV2" s="484"/>
      <c r="JTW2" s="484"/>
      <c r="JTX2" s="484"/>
      <c r="JTY2" s="484"/>
      <c r="JTZ2" s="484"/>
      <c r="JUA2" s="484"/>
      <c r="JUB2" s="484"/>
      <c r="JUC2" s="484"/>
      <c r="JUD2" s="484"/>
      <c r="JUE2" s="484"/>
      <c r="JUF2" s="484"/>
      <c r="JUG2" s="484"/>
      <c r="JUH2" s="484"/>
      <c r="JUI2" s="484"/>
      <c r="JUJ2" s="484"/>
      <c r="JUK2" s="484"/>
      <c r="JUL2" s="484"/>
      <c r="JUM2" s="484"/>
      <c r="JUN2" s="484"/>
      <c r="JUO2" s="484"/>
      <c r="JUP2" s="484"/>
      <c r="JUQ2" s="484"/>
      <c r="JUR2" s="484"/>
      <c r="JUS2" s="484"/>
      <c r="JUT2" s="484"/>
      <c r="JUU2" s="484"/>
      <c r="JUV2" s="484"/>
      <c r="JUW2" s="484"/>
      <c r="JUX2" s="484"/>
      <c r="JUY2" s="484"/>
      <c r="JUZ2" s="484"/>
      <c r="JVA2" s="484"/>
      <c r="JVB2" s="484"/>
      <c r="JVC2" s="484"/>
      <c r="JVD2" s="484"/>
      <c r="JVE2" s="484"/>
      <c r="JVF2" s="484"/>
      <c r="JVG2" s="484"/>
      <c r="JVH2" s="484"/>
      <c r="JVI2" s="484"/>
      <c r="JVJ2" s="484"/>
      <c r="JVK2" s="484"/>
      <c r="JVL2" s="484"/>
      <c r="JVM2" s="484"/>
      <c r="JVN2" s="484"/>
      <c r="JVO2" s="484"/>
      <c r="JVP2" s="484"/>
      <c r="JVQ2" s="484"/>
      <c r="JVR2" s="484"/>
      <c r="JVS2" s="484"/>
      <c r="JVT2" s="484"/>
      <c r="JVU2" s="484"/>
      <c r="JVV2" s="484"/>
      <c r="JVW2" s="484"/>
      <c r="JVX2" s="484"/>
      <c r="JVY2" s="484"/>
      <c r="JVZ2" s="484"/>
      <c r="JWA2" s="484"/>
      <c r="JWB2" s="484"/>
      <c r="JWC2" s="484"/>
      <c r="JWD2" s="484"/>
      <c r="JWE2" s="484"/>
      <c r="JWF2" s="484"/>
      <c r="JWG2" s="484"/>
      <c r="JWH2" s="484"/>
      <c r="JWI2" s="484"/>
      <c r="JWJ2" s="484"/>
      <c r="JWK2" s="484"/>
      <c r="JWL2" s="484"/>
      <c r="JWM2" s="484"/>
      <c r="JWN2" s="484"/>
      <c r="JWO2" s="484"/>
      <c r="JWP2" s="484"/>
      <c r="JWQ2" s="484"/>
      <c r="JWR2" s="484"/>
      <c r="JWS2" s="484"/>
      <c r="JWT2" s="484"/>
      <c r="JWU2" s="484"/>
      <c r="JWV2" s="484"/>
      <c r="JWW2" s="484"/>
      <c r="JWX2" s="484"/>
      <c r="JWY2" s="484"/>
      <c r="JWZ2" s="484"/>
      <c r="JXA2" s="484"/>
      <c r="JXB2" s="484"/>
      <c r="JXC2" s="484"/>
      <c r="JXD2" s="484"/>
      <c r="JXE2" s="484"/>
      <c r="JXF2" s="484"/>
      <c r="JXG2" s="484"/>
      <c r="JXH2" s="484"/>
      <c r="JXI2" s="484"/>
      <c r="JXJ2" s="484"/>
      <c r="JXK2" s="484"/>
      <c r="JXL2" s="484"/>
      <c r="JXM2" s="484"/>
      <c r="JXN2" s="484"/>
      <c r="JXO2" s="484"/>
      <c r="JXP2" s="484"/>
      <c r="JXQ2" s="484"/>
      <c r="JXR2" s="484"/>
      <c r="JXS2" s="484"/>
      <c r="JXT2" s="484"/>
      <c r="JXU2" s="484"/>
      <c r="JXV2" s="484"/>
      <c r="JXW2" s="484"/>
      <c r="JXX2" s="484"/>
      <c r="JXY2" s="484"/>
      <c r="JXZ2" s="484"/>
      <c r="JYA2" s="484"/>
      <c r="JYB2" s="484"/>
      <c r="JYC2" s="484"/>
      <c r="JYD2" s="484"/>
      <c r="JYE2" s="484"/>
      <c r="JYF2" s="484"/>
      <c r="JYG2" s="484"/>
      <c r="JYH2" s="484"/>
      <c r="JYI2" s="484"/>
      <c r="JYJ2" s="484"/>
      <c r="JYK2" s="484"/>
      <c r="JYL2" s="484"/>
      <c r="JYM2" s="484"/>
      <c r="JYN2" s="484"/>
      <c r="JYO2" s="484"/>
      <c r="JYP2" s="484"/>
      <c r="JYQ2" s="484"/>
      <c r="JYR2" s="484"/>
      <c r="JYS2" s="484"/>
      <c r="JYT2" s="484"/>
      <c r="JYU2" s="484"/>
      <c r="JYV2" s="484"/>
      <c r="JYW2" s="484"/>
      <c r="JYX2" s="484"/>
      <c r="JYY2" s="484"/>
      <c r="JYZ2" s="484"/>
      <c r="JZA2" s="484"/>
      <c r="JZB2" s="484"/>
      <c r="JZC2" s="484"/>
      <c r="JZD2" s="484"/>
      <c r="JZE2" s="484"/>
      <c r="JZF2" s="484"/>
      <c r="JZG2" s="484"/>
      <c r="JZH2" s="484"/>
      <c r="JZI2" s="484"/>
      <c r="JZJ2" s="484"/>
      <c r="JZK2" s="484"/>
      <c r="JZL2" s="484"/>
      <c r="JZM2" s="484"/>
      <c r="JZN2" s="484"/>
      <c r="JZO2" s="484"/>
      <c r="JZP2" s="484"/>
      <c r="JZQ2" s="484"/>
      <c r="JZR2" s="484"/>
      <c r="JZS2" s="484"/>
      <c r="JZT2" s="484"/>
      <c r="JZU2" s="484"/>
      <c r="JZV2" s="484"/>
      <c r="JZW2" s="484"/>
      <c r="JZX2" s="484"/>
      <c r="JZY2" s="484"/>
      <c r="JZZ2" s="484"/>
      <c r="KAA2" s="484"/>
      <c r="KAB2" s="484"/>
      <c r="KAC2" s="484"/>
      <c r="KAD2" s="484"/>
      <c r="KAE2" s="484"/>
      <c r="KAF2" s="484"/>
      <c r="KAG2" s="484"/>
      <c r="KAH2" s="484"/>
      <c r="KAI2" s="484"/>
      <c r="KAJ2" s="484"/>
      <c r="KAK2" s="484"/>
      <c r="KAL2" s="484"/>
      <c r="KAM2" s="484"/>
      <c r="KAN2" s="484"/>
      <c r="KAO2" s="484"/>
      <c r="KAP2" s="484"/>
      <c r="KAQ2" s="484"/>
      <c r="KAR2" s="484"/>
      <c r="KAS2" s="484"/>
      <c r="KAT2" s="484"/>
      <c r="KAU2" s="484"/>
      <c r="KAV2" s="484"/>
      <c r="KAW2" s="484"/>
      <c r="KAX2" s="484"/>
      <c r="KAY2" s="484"/>
      <c r="KAZ2" s="484"/>
      <c r="KBA2" s="484"/>
      <c r="KBB2" s="484"/>
      <c r="KBC2" s="484"/>
      <c r="KBD2" s="484"/>
      <c r="KBE2" s="484"/>
      <c r="KBF2" s="484"/>
      <c r="KBG2" s="484"/>
      <c r="KBH2" s="484"/>
      <c r="KBI2" s="484"/>
      <c r="KBJ2" s="484"/>
      <c r="KBK2" s="484"/>
      <c r="KBL2" s="484"/>
      <c r="KBM2" s="484"/>
      <c r="KBN2" s="484"/>
      <c r="KBO2" s="484"/>
      <c r="KBP2" s="484"/>
      <c r="KBQ2" s="484"/>
      <c r="KBR2" s="484"/>
      <c r="KBS2" s="484"/>
      <c r="KBT2" s="484"/>
      <c r="KBU2" s="484"/>
      <c r="KBV2" s="484"/>
      <c r="KBW2" s="484"/>
      <c r="KBX2" s="484"/>
      <c r="KBY2" s="484"/>
      <c r="KBZ2" s="484"/>
      <c r="KCA2" s="484"/>
      <c r="KCB2" s="484"/>
      <c r="KCC2" s="484"/>
      <c r="KCD2" s="484"/>
      <c r="KCE2" s="484"/>
      <c r="KCF2" s="484"/>
      <c r="KCG2" s="484"/>
      <c r="KCH2" s="484"/>
      <c r="KCI2" s="484"/>
      <c r="KCJ2" s="484"/>
      <c r="KCK2" s="484"/>
      <c r="KCL2" s="484"/>
      <c r="KCM2" s="484"/>
      <c r="KCN2" s="484"/>
      <c r="KCO2" s="484"/>
      <c r="KCP2" s="484"/>
      <c r="KCQ2" s="484"/>
      <c r="KCR2" s="484"/>
      <c r="KCS2" s="484"/>
      <c r="KCT2" s="484"/>
      <c r="KCU2" s="484"/>
      <c r="KCV2" s="484"/>
      <c r="KCW2" s="484"/>
      <c r="KCX2" s="484"/>
      <c r="KCY2" s="484"/>
      <c r="KCZ2" s="484"/>
      <c r="KDA2" s="484"/>
      <c r="KDB2" s="484"/>
      <c r="KDC2" s="484"/>
      <c r="KDD2" s="484"/>
      <c r="KDE2" s="484"/>
      <c r="KDF2" s="484"/>
      <c r="KDG2" s="484"/>
      <c r="KDH2" s="484"/>
      <c r="KDI2" s="484"/>
      <c r="KDJ2" s="484"/>
      <c r="KDK2" s="484"/>
      <c r="KDL2" s="484"/>
      <c r="KDM2" s="484"/>
      <c r="KDN2" s="484"/>
      <c r="KDO2" s="484"/>
      <c r="KDP2" s="484"/>
      <c r="KDQ2" s="484"/>
      <c r="KDR2" s="484"/>
      <c r="KDS2" s="484"/>
      <c r="KDT2" s="484"/>
      <c r="KDU2" s="484"/>
      <c r="KDV2" s="484"/>
      <c r="KDW2" s="484"/>
      <c r="KDX2" s="484"/>
      <c r="KDY2" s="484"/>
      <c r="KDZ2" s="484"/>
      <c r="KEA2" s="484"/>
      <c r="KEB2" s="484"/>
      <c r="KEC2" s="484"/>
      <c r="KED2" s="484"/>
      <c r="KEE2" s="484"/>
      <c r="KEF2" s="484"/>
      <c r="KEG2" s="484"/>
      <c r="KEH2" s="484"/>
      <c r="KEI2" s="484"/>
      <c r="KEJ2" s="484"/>
      <c r="KEK2" s="484"/>
      <c r="KEL2" s="484"/>
      <c r="KEM2" s="484"/>
      <c r="KEN2" s="484"/>
      <c r="KEO2" s="484"/>
      <c r="KEP2" s="484"/>
      <c r="KEQ2" s="484"/>
      <c r="KER2" s="484"/>
      <c r="KES2" s="484"/>
      <c r="KET2" s="484"/>
      <c r="KEU2" s="484"/>
      <c r="KEV2" s="484"/>
      <c r="KEW2" s="484"/>
      <c r="KEX2" s="484"/>
      <c r="KEY2" s="484"/>
      <c r="KEZ2" s="484"/>
      <c r="KFA2" s="484"/>
      <c r="KFB2" s="484"/>
      <c r="KFC2" s="484"/>
      <c r="KFD2" s="484"/>
      <c r="KFE2" s="484"/>
      <c r="KFF2" s="484"/>
      <c r="KFG2" s="484"/>
      <c r="KFH2" s="484"/>
      <c r="KFI2" s="484"/>
      <c r="KFJ2" s="484"/>
      <c r="KFK2" s="484"/>
      <c r="KFL2" s="484"/>
      <c r="KFM2" s="484"/>
      <c r="KFN2" s="484"/>
      <c r="KFO2" s="484"/>
      <c r="KFP2" s="484"/>
      <c r="KFQ2" s="484"/>
      <c r="KFR2" s="484"/>
      <c r="KFS2" s="484"/>
      <c r="KFT2" s="484"/>
      <c r="KFU2" s="484"/>
      <c r="KFV2" s="484"/>
      <c r="KFW2" s="484"/>
      <c r="KFX2" s="484"/>
      <c r="KFY2" s="484"/>
      <c r="KFZ2" s="484"/>
      <c r="KGA2" s="484"/>
      <c r="KGB2" s="484"/>
      <c r="KGC2" s="484"/>
      <c r="KGD2" s="484"/>
      <c r="KGE2" s="484"/>
      <c r="KGF2" s="484"/>
      <c r="KGG2" s="484"/>
      <c r="KGH2" s="484"/>
      <c r="KGI2" s="484"/>
      <c r="KGJ2" s="484"/>
      <c r="KGK2" s="484"/>
      <c r="KGL2" s="484"/>
      <c r="KGM2" s="484"/>
      <c r="KGN2" s="484"/>
      <c r="KGO2" s="484"/>
      <c r="KGP2" s="484"/>
      <c r="KGQ2" s="484"/>
      <c r="KGR2" s="484"/>
      <c r="KGS2" s="484"/>
      <c r="KGT2" s="484"/>
      <c r="KGU2" s="484"/>
      <c r="KGV2" s="484"/>
      <c r="KGW2" s="484"/>
      <c r="KGX2" s="484"/>
      <c r="KGY2" s="484"/>
      <c r="KGZ2" s="484"/>
      <c r="KHA2" s="484"/>
      <c r="KHB2" s="484"/>
      <c r="KHC2" s="484"/>
      <c r="KHD2" s="484"/>
      <c r="KHE2" s="484"/>
      <c r="KHF2" s="484"/>
      <c r="KHG2" s="484"/>
      <c r="KHH2" s="484"/>
      <c r="KHI2" s="484"/>
      <c r="KHJ2" s="484"/>
      <c r="KHK2" s="484"/>
      <c r="KHL2" s="484"/>
      <c r="KHM2" s="484"/>
      <c r="KHN2" s="484"/>
      <c r="KHO2" s="484"/>
      <c r="KHP2" s="484"/>
      <c r="KHQ2" s="484"/>
      <c r="KHR2" s="484"/>
      <c r="KHS2" s="484"/>
      <c r="KHT2" s="484"/>
      <c r="KHU2" s="484"/>
      <c r="KHV2" s="484"/>
      <c r="KHW2" s="484"/>
      <c r="KHX2" s="484"/>
      <c r="KHY2" s="484"/>
      <c r="KHZ2" s="484"/>
      <c r="KIA2" s="484"/>
      <c r="KIB2" s="484"/>
      <c r="KIC2" s="484"/>
      <c r="KID2" s="484"/>
      <c r="KIE2" s="484"/>
      <c r="KIF2" s="484"/>
      <c r="KIG2" s="484"/>
      <c r="KIH2" s="484"/>
      <c r="KII2" s="484"/>
      <c r="KIJ2" s="484"/>
      <c r="KIK2" s="484"/>
      <c r="KIL2" s="484"/>
      <c r="KIM2" s="484"/>
      <c r="KIN2" s="484"/>
      <c r="KIO2" s="484"/>
      <c r="KIP2" s="484"/>
      <c r="KIQ2" s="484"/>
      <c r="KIR2" s="484"/>
      <c r="KIS2" s="484"/>
      <c r="KIT2" s="484"/>
      <c r="KIU2" s="484"/>
      <c r="KIV2" s="484"/>
      <c r="KIW2" s="484"/>
      <c r="KIX2" s="484"/>
      <c r="KIY2" s="484"/>
      <c r="KIZ2" s="484"/>
      <c r="KJA2" s="484"/>
      <c r="KJB2" s="484"/>
      <c r="KJC2" s="484"/>
      <c r="KJD2" s="484"/>
      <c r="KJE2" s="484"/>
      <c r="KJF2" s="484"/>
      <c r="KJG2" s="484"/>
      <c r="KJH2" s="484"/>
      <c r="KJI2" s="484"/>
      <c r="KJJ2" s="484"/>
      <c r="KJK2" s="484"/>
      <c r="KJL2" s="484"/>
      <c r="KJM2" s="484"/>
      <c r="KJN2" s="484"/>
      <c r="KJO2" s="484"/>
      <c r="KJP2" s="484"/>
      <c r="KJQ2" s="484"/>
      <c r="KJR2" s="484"/>
      <c r="KJS2" s="484"/>
      <c r="KJT2" s="484"/>
      <c r="KJU2" s="484"/>
      <c r="KJV2" s="484"/>
      <c r="KJW2" s="484"/>
      <c r="KJX2" s="484"/>
      <c r="KJY2" s="484"/>
      <c r="KJZ2" s="484"/>
      <c r="KKA2" s="484"/>
      <c r="KKB2" s="484"/>
      <c r="KKC2" s="484"/>
      <c r="KKD2" s="484"/>
      <c r="KKE2" s="484"/>
      <c r="KKF2" s="484"/>
      <c r="KKG2" s="484"/>
      <c r="KKH2" s="484"/>
      <c r="KKI2" s="484"/>
      <c r="KKJ2" s="484"/>
      <c r="KKK2" s="484"/>
      <c r="KKL2" s="484"/>
      <c r="KKM2" s="484"/>
      <c r="KKN2" s="484"/>
      <c r="KKO2" s="484"/>
      <c r="KKP2" s="484"/>
      <c r="KKQ2" s="484"/>
      <c r="KKR2" s="484"/>
      <c r="KKS2" s="484"/>
      <c r="KKT2" s="484"/>
      <c r="KKU2" s="484"/>
      <c r="KKV2" s="484"/>
      <c r="KKW2" s="484"/>
      <c r="KKX2" s="484"/>
      <c r="KKY2" s="484"/>
      <c r="KKZ2" s="484"/>
      <c r="KLA2" s="484"/>
      <c r="KLB2" s="484"/>
      <c r="KLC2" s="484"/>
      <c r="KLD2" s="484"/>
      <c r="KLE2" s="484"/>
      <c r="KLF2" s="484"/>
      <c r="KLG2" s="484"/>
      <c r="KLH2" s="484"/>
      <c r="KLI2" s="484"/>
      <c r="KLJ2" s="484"/>
      <c r="KLK2" s="484"/>
      <c r="KLL2" s="484"/>
      <c r="KLM2" s="484"/>
      <c r="KLN2" s="484"/>
      <c r="KLO2" s="484"/>
      <c r="KLP2" s="484"/>
      <c r="KLQ2" s="484"/>
      <c r="KLR2" s="484"/>
      <c r="KLS2" s="484"/>
      <c r="KLT2" s="484"/>
      <c r="KLU2" s="484"/>
      <c r="KLV2" s="484"/>
      <c r="KLW2" s="484"/>
      <c r="KLX2" s="484"/>
      <c r="KLY2" s="484"/>
      <c r="KLZ2" s="484"/>
      <c r="KMA2" s="484"/>
      <c r="KMB2" s="484"/>
      <c r="KMC2" s="484"/>
      <c r="KMD2" s="484"/>
      <c r="KME2" s="484"/>
      <c r="KMF2" s="484"/>
      <c r="KMG2" s="484"/>
      <c r="KMH2" s="484"/>
      <c r="KMI2" s="484"/>
      <c r="KMJ2" s="484"/>
      <c r="KMK2" s="484"/>
      <c r="KML2" s="484"/>
      <c r="KMM2" s="484"/>
      <c r="KMN2" s="484"/>
      <c r="KMO2" s="484"/>
      <c r="KMP2" s="484"/>
      <c r="KMQ2" s="484"/>
      <c r="KMR2" s="484"/>
      <c r="KMS2" s="484"/>
      <c r="KMT2" s="484"/>
      <c r="KMU2" s="484"/>
      <c r="KMV2" s="484"/>
      <c r="KMW2" s="484"/>
      <c r="KMX2" s="484"/>
      <c r="KMY2" s="484"/>
      <c r="KMZ2" s="484"/>
      <c r="KNA2" s="484"/>
      <c r="KNB2" s="484"/>
      <c r="KNC2" s="484"/>
      <c r="KND2" s="484"/>
      <c r="KNE2" s="484"/>
      <c r="KNF2" s="484"/>
      <c r="KNG2" s="484"/>
      <c r="KNH2" s="484"/>
      <c r="KNI2" s="484"/>
      <c r="KNJ2" s="484"/>
      <c r="KNK2" s="484"/>
      <c r="KNL2" s="484"/>
      <c r="KNM2" s="484"/>
      <c r="KNN2" s="484"/>
      <c r="KNO2" s="484"/>
      <c r="KNP2" s="484"/>
      <c r="KNQ2" s="484"/>
      <c r="KNR2" s="484"/>
      <c r="KNS2" s="484"/>
      <c r="KNT2" s="484"/>
      <c r="KNU2" s="484"/>
      <c r="KNV2" s="484"/>
      <c r="KNW2" s="484"/>
      <c r="KNX2" s="484"/>
      <c r="KNY2" s="484"/>
      <c r="KNZ2" s="484"/>
      <c r="KOA2" s="484"/>
      <c r="KOB2" s="484"/>
      <c r="KOC2" s="484"/>
      <c r="KOD2" s="484"/>
      <c r="KOE2" s="484"/>
      <c r="KOF2" s="484"/>
      <c r="KOG2" s="484"/>
      <c r="KOH2" s="484"/>
      <c r="KOI2" s="484"/>
      <c r="KOJ2" s="484"/>
      <c r="KOK2" s="484"/>
      <c r="KOL2" s="484"/>
      <c r="KOM2" s="484"/>
      <c r="KON2" s="484"/>
      <c r="KOO2" s="484"/>
      <c r="KOP2" s="484"/>
      <c r="KOQ2" s="484"/>
      <c r="KOR2" s="484"/>
      <c r="KOS2" s="484"/>
      <c r="KOT2" s="484"/>
      <c r="KOU2" s="484"/>
      <c r="KOV2" s="484"/>
      <c r="KOW2" s="484"/>
      <c r="KOX2" s="484"/>
      <c r="KOY2" s="484"/>
      <c r="KOZ2" s="484"/>
      <c r="KPA2" s="484"/>
      <c r="KPB2" s="484"/>
      <c r="KPC2" s="484"/>
      <c r="KPD2" s="484"/>
      <c r="KPE2" s="484"/>
      <c r="KPF2" s="484"/>
      <c r="KPG2" s="484"/>
      <c r="KPH2" s="484"/>
      <c r="KPI2" s="484"/>
      <c r="KPJ2" s="484"/>
      <c r="KPK2" s="484"/>
      <c r="KPL2" s="484"/>
      <c r="KPM2" s="484"/>
      <c r="KPN2" s="484"/>
      <c r="KPO2" s="484"/>
      <c r="KPP2" s="484"/>
      <c r="KPQ2" s="484"/>
      <c r="KPR2" s="484"/>
      <c r="KPS2" s="484"/>
      <c r="KPT2" s="484"/>
      <c r="KPU2" s="484"/>
      <c r="KPV2" s="484"/>
      <c r="KPW2" s="484"/>
      <c r="KPX2" s="484"/>
      <c r="KPY2" s="484"/>
      <c r="KPZ2" s="484"/>
      <c r="KQA2" s="484"/>
      <c r="KQB2" s="484"/>
      <c r="KQC2" s="484"/>
      <c r="KQD2" s="484"/>
      <c r="KQE2" s="484"/>
      <c r="KQF2" s="484"/>
      <c r="KQG2" s="484"/>
      <c r="KQH2" s="484"/>
      <c r="KQI2" s="484"/>
      <c r="KQJ2" s="484"/>
      <c r="KQK2" s="484"/>
      <c r="KQL2" s="484"/>
      <c r="KQM2" s="484"/>
      <c r="KQN2" s="484"/>
      <c r="KQO2" s="484"/>
      <c r="KQP2" s="484"/>
      <c r="KQQ2" s="484"/>
      <c r="KQR2" s="484"/>
      <c r="KQS2" s="484"/>
      <c r="KQT2" s="484"/>
      <c r="KQU2" s="484"/>
      <c r="KQV2" s="484"/>
      <c r="KQW2" s="484"/>
      <c r="KQX2" s="484"/>
      <c r="KQY2" s="484"/>
      <c r="KQZ2" s="484"/>
      <c r="KRA2" s="484"/>
      <c r="KRB2" s="484"/>
      <c r="KRC2" s="484"/>
      <c r="KRD2" s="484"/>
      <c r="KRE2" s="484"/>
      <c r="KRF2" s="484"/>
      <c r="KRG2" s="484"/>
      <c r="KRH2" s="484"/>
      <c r="KRI2" s="484"/>
      <c r="KRJ2" s="484"/>
      <c r="KRK2" s="484"/>
      <c r="KRL2" s="484"/>
      <c r="KRM2" s="484"/>
      <c r="KRN2" s="484"/>
      <c r="KRO2" s="484"/>
      <c r="KRP2" s="484"/>
      <c r="KRQ2" s="484"/>
      <c r="KRR2" s="484"/>
      <c r="KRS2" s="484"/>
      <c r="KRT2" s="484"/>
      <c r="KRU2" s="484"/>
      <c r="KRV2" s="484"/>
      <c r="KRW2" s="484"/>
      <c r="KRX2" s="484"/>
      <c r="KRY2" s="484"/>
      <c r="KRZ2" s="484"/>
      <c r="KSA2" s="484"/>
      <c r="KSB2" s="484"/>
      <c r="KSC2" s="484"/>
      <c r="KSD2" s="484"/>
      <c r="KSE2" s="484"/>
      <c r="KSF2" s="484"/>
      <c r="KSG2" s="484"/>
      <c r="KSH2" s="484"/>
      <c r="KSI2" s="484"/>
      <c r="KSJ2" s="484"/>
      <c r="KSK2" s="484"/>
      <c r="KSL2" s="484"/>
      <c r="KSM2" s="484"/>
      <c r="KSN2" s="484"/>
      <c r="KSO2" s="484"/>
      <c r="KSP2" s="484"/>
      <c r="KSQ2" s="484"/>
      <c r="KSR2" s="484"/>
      <c r="KSS2" s="484"/>
      <c r="KST2" s="484"/>
      <c r="KSU2" s="484"/>
      <c r="KSV2" s="484"/>
      <c r="KSW2" s="484"/>
      <c r="KSX2" s="484"/>
      <c r="KSY2" s="484"/>
      <c r="KSZ2" s="484"/>
      <c r="KTA2" s="484"/>
      <c r="KTB2" s="484"/>
      <c r="KTC2" s="484"/>
      <c r="KTD2" s="484"/>
      <c r="KTE2" s="484"/>
      <c r="KTF2" s="484"/>
      <c r="KTG2" s="484"/>
      <c r="KTH2" s="484"/>
      <c r="KTI2" s="484"/>
      <c r="KTJ2" s="484"/>
      <c r="KTK2" s="484"/>
      <c r="KTL2" s="484"/>
      <c r="KTM2" s="484"/>
      <c r="KTN2" s="484"/>
      <c r="KTO2" s="484"/>
      <c r="KTP2" s="484"/>
      <c r="KTQ2" s="484"/>
      <c r="KTR2" s="484"/>
      <c r="KTS2" s="484"/>
      <c r="KTT2" s="484"/>
      <c r="KTU2" s="484"/>
      <c r="KTV2" s="484"/>
      <c r="KTW2" s="484"/>
      <c r="KTX2" s="484"/>
      <c r="KTY2" s="484"/>
      <c r="KTZ2" s="484"/>
      <c r="KUA2" s="484"/>
      <c r="KUB2" s="484"/>
      <c r="KUC2" s="484"/>
      <c r="KUD2" s="484"/>
      <c r="KUE2" s="484"/>
      <c r="KUF2" s="484"/>
      <c r="KUG2" s="484"/>
      <c r="KUH2" s="484"/>
      <c r="KUI2" s="484"/>
      <c r="KUJ2" s="484"/>
      <c r="KUK2" s="484"/>
      <c r="KUL2" s="484"/>
      <c r="KUM2" s="484"/>
      <c r="KUN2" s="484"/>
      <c r="KUO2" s="484"/>
      <c r="KUP2" s="484"/>
      <c r="KUQ2" s="484"/>
      <c r="KUR2" s="484"/>
      <c r="KUS2" s="484"/>
      <c r="KUT2" s="484"/>
      <c r="KUU2" s="484"/>
      <c r="KUV2" s="484"/>
      <c r="KUW2" s="484"/>
      <c r="KUX2" s="484"/>
      <c r="KUY2" s="484"/>
      <c r="KUZ2" s="484"/>
      <c r="KVA2" s="484"/>
      <c r="KVB2" s="484"/>
      <c r="KVC2" s="484"/>
      <c r="KVD2" s="484"/>
      <c r="KVE2" s="484"/>
      <c r="KVF2" s="484"/>
      <c r="KVG2" s="484"/>
      <c r="KVH2" s="484"/>
      <c r="KVI2" s="484"/>
      <c r="KVJ2" s="484"/>
      <c r="KVK2" s="484"/>
      <c r="KVL2" s="484"/>
      <c r="KVM2" s="484"/>
      <c r="KVN2" s="484"/>
      <c r="KVO2" s="484"/>
      <c r="KVP2" s="484"/>
      <c r="KVQ2" s="484"/>
      <c r="KVR2" s="484"/>
      <c r="KVS2" s="484"/>
      <c r="KVT2" s="484"/>
      <c r="KVU2" s="484"/>
      <c r="KVV2" s="484"/>
      <c r="KVW2" s="484"/>
      <c r="KVX2" s="484"/>
      <c r="KVY2" s="484"/>
      <c r="KVZ2" s="484"/>
      <c r="KWA2" s="484"/>
      <c r="KWB2" s="484"/>
      <c r="KWC2" s="484"/>
      <c r="KWD2" s="484"/>
      <c r="KWE2" s="484"/>
      <c r="KWF2" s="484"/>
      <c r="KWG2" s="484"/>
      <c r="KWH2" s="484"/>
      <c r="KWI2" s="484"/>
      <c r="KWJ2" s="484"/>
      <c r="KWK2" s="484"/>
      <c r="KWL2" s="484"/>
      <c r="KWM2" s="484"/>
      <c r="KWN2" s="484"/>
      <c r="KWO2" s="484"/>
      <c r="KWP2" s="484"/>
      <c r="KWQ2" s="484"/>
      <c r="KWR2" s="484"/>
      <c r="KWS2" s="484"/>
      <c r="KWT2" s="484"/>
      <c r="KWU2" s="484"/>
      <c r="KWV2" s="484"/>
      <c r="KWW2" s="484"/>
      <c r="KWX2" s="484"/>
      <c r="KWY2" s="484"/>
      <c r="KWZ2" s="484"/>
      <c r="KXA2" s="484"/>
      <c r="KXB2" s="484"/>
      <c r="KXC2" s="484"/>
      <c r="KXD2" s="484"/>
      <c r="KXE2" s="484"/>
      <c r="KXF2" s="484"/>
      <c r="KXG2" s="484"/>
      <c r="KXH2" s="484"/>
      <c r="KXI2" s="484"/>
      <c r="KXJ2" s="484"/>
      <c r="KXK2" s="484"/>
      <c r="KXL2" s="484"/>
      <c r="KXM2" s="484"/>
      <c r="KXN2" s="484"/>
      <c r="KXO2" s="484"/>
      <c r="KXP2" s="484"/>
      <c r="KXQ2" s="484"/>
      <c r="KXR2" s="484"/>
      <c r="KXS2" s="484"/>
      <c r="KXT2" s="484"/>
      <c r="KXU2" s="484"/>
      <c r="KXV2" s="484"/>
      <c r="KXW2" s="484"/>
      <c r="KXX2" s="484"/>
      <c r="KXY2" s="484"/>
      <c r="KXZ2" s="484"/>
      <c r="KYA2" s="484"/>
      <c r="KYB2" s="484"/>
      <c r="KYC2" s="484"/>
      <c r="KYD2" s="484"/>
      <c r="KYE2" s="484"/>
      <c r="KYF2" s="484"/>
      <c r="KYG2" s="484"/>
      <c r="KYH2" s="484"/>
      <c r="KYI2" s="484"/>
      <c r="KYJ2" s="484"/>
      <c r="KYK2" s="484"/>
      <c r="KYL2" s="484"/>
      <c r="KYM2" s="484"/>
      <c r="KYN2" s="484"/>
      <c r="KYO2" s="484"/>
      <c r="KYP2" s="484"/>
      <c r="KYQ2" s="484"/>
      <c r="KYR2" s="484"/>
      <c r="KYS2" s="484"/>
      <c r="KYT2" s="484"/>
      <c r="KYU2" s="484"/>
      <c r="KYV2" s="484"/>
      <c r="KYW2" s="484"/>
      <c r="KYX2" s="484"/>
      <c r="KYY2" s="484"/>
      <c r="KYZ2" s="484"/>
      <c r="KZA2" s="484"/>
      <c r="KZB2" s="484"/>
      <c r="KZC2" s="484"/>
      <c r="KZD2" s="484"/>
      <c r="KZE2" s="484"/>
      <c r="KZF2" s="484"/>
      <c r="KZG2" s="484"/>
      <c r="KZH2" s="484"/>
      <c r="KZI2" s="484"/>
      <c r="KZJ2" s="484"/>
      <c r="KZK2" s="484"/>
      <c r="KZL2" s="484"/>
      <c r="KZM2" s="484"/>
      <c r="KZN2" s="484"/>
      <c r="KZO2" s="484"/>
      <c r="KZP2" s="484"/>
      <c r="KZQ2" s="484"/>
      <c r="KZR2" s="484"/>
      <c r="KZS2" s="484"/>
      <c r="KZT2" s="484"/>
      <c r="KZU2" s="484"/>
      <c r="KZV2" s="484"/>
      <c r="KZW2" s="484"/>
      <c r="KZX2" s="484"/>
      <c r="KZY2" s="484"/>
      <c r="KZZ2" s="484"/>
      <c r="LAA2" s="484"/>
      <c r="LAB2" s="484"/>
      <c r="LAC2" s="484"/>
      <c r="LAD2" s="484"/>
      <c r="LAE2" s="484"/>
      <c r="LAF2" s="484"/>
      <c r="LAG2" s="484"/>
      <c r="LAH2" s="484"/>
      <c r="LAI2" s="484"/>
      <c r="LAJ2" s="484"/>
      <c r="LAK2" s="484"/>
      <c r="LAL2" s="484"/>
      <c r="LAM2" s="484"/>
      <c r="LAN2" s="484"/>
      <c r="LAO2" s="484"/>
      <c r="LAP2" s="484"/>
      <c r="LAQ2" s="484"/>
      <c r="LAR2" s="484"/>
      <c r="LAS2" s="484"/>
      <c r="LAT2" s="484"/>
      <c r="LAU2" s="484"/>
      <c r="LAV2" s="484"/>
      <c r="LAW2" s="484"/>
      <c r="LAX2" s="484"/>
      <c r="LAY2" s="484"/>
      <c r="LAZ2" s="484"/>
      <c r="LBA2" s="484"/>
      <c r="LBB2" s="484"/>
      <c r="LBC2" s="484"/>
      <c r="LBD2" s="484"/>
      <c r="LBE2" s="484"/>
      <c r="LBF2" s="484"/>
      <c r="LBG2" s="484"/>
      <c r="LBH2" s="484"/>
      <c r="LBI2" s="484"/>
      <c r="LBJ2" s="484"/>
      <c r="LBK2" s="484"/>
      <c r="LBL2" s="484"/>
      <c r="LBM2" s="484"/>
      <c r="LBN2" s="484"/>
      <c r="LBO2" s="484"/>
      <c r="LBP2" s="484"/>
      <c r="LBQ2" s="484"/>
      <c r="LBR2" s="484"/>
      <c r="LBS2" s="484"/>
      <c r="LBT2" s="484"/>
      <c r="LBU2" s="484"/>
      <c r="LBV2" s="484"/>
      <c r="LBW2" s="484"/>
      <c r="LBX2" s="484"/>
      <c r="LBY2" s="484"/>
      <c r="LBZ2" s="484"/>
      <c r="LCA2" s="484"/>
      <c r="LCB2" s="484"/>
      <c r="LCC2" s="484"/>
      <c r="LCD2" s="484"/>
      <c r="LCE2" s="484"/>
      <c r="LCF2" s="484"/>
      <c r="LCG2" s="484"/>
      <c r="LCH2" s="484"/>
      <c r="LCI2" s="484"/>
      <c r="LCJ2" s="484"/>
      <c r="LCK2" s="484"/>
      <c r="LCL2" s="484"/>
      <c r="LCM2" s="484"/>
      <c r="LCN2" s="484"/>
      <c r="LCO2" s="484"/>
      <c r="LCP2" s="484"/>
      <c r="LCQ2" s="484"/>
      <c r="LCR2" s="484"/>
      <c r="LCS2" s="484"/>
      <c r="LCT2" s="484"/>
      <c r="LCU2" s="484"/>
      <c r="LCV2" s="484"/>
      <c r="LCW2" s="484"/>
      <c r="LCX2" s="484"/>
      <c r="LCY2" s="484"/>
      <c r="LCZ2" s="484"/>
      <c r="LDA2" s="484"/>
      <c r="LDB2" s="484"/>
      <c r="LDC2" s="484"/>
      <c r="LDD2" s="484"/>
      <c r="LDE2" s="484"/>
      <c r="LDF2" s="484"/>
      <c r="LDG2" s="484"/>
      <c r="LDH2" s="484"/>
      <c r="LDI2" s="484"/>
      <c r="LDJ2" s="484"/>
      <c r="LDK2" s="484"/>
      <c r="LDL2" s="484"/>
      <c r="LDM2" s="484"/>
      <c r="LDN2" s="484"/>
      <c r="LDO2" s="484"/>
      <c r="LDP2" s="484"/>
      <c r="LDQ2" s="484"/>
      <c r="LDR2" s="484"/>
      <c r="LDS2" s="484"/>
      <c r="LDT2" s="484"/>
      <c r="LDU2" s="484"/>
      <c r="LDV2" s="484"/>
      <c r="LDW2" s="484"/>
      <c r="LDX2" s="484"/>
      <c r="LDY2" s="484"/>
      <c r="LDZ2" s="484"/>
      <c r="LEA2" s="484"/>
      <c r="LEB2" s="484"/>
      <c r="LEC2" s="484"/>
      <c r="LED2" s="484"/>
      <c r="LEE2" s="484"/>
      <c r="LEF2" s="484"/>
      <c r="LEG2" s="484"/>
      <c r="LEH2" s="484"/>
      <c r="LEI2" s="484"/>
      <c r="LEJ2" s="484"/>
      <c r="LEK2" s="484"/>
      <c r="LEL2" s="484"/>
      <c r="LEM2" s="484"/>
      <c r="LEN2" s="484"/>
      <c r="LEO2" s="484"/>
      <c r="LEP2" s="484"/>
      <c r="LEQ2" s="484"/>
      <c r="LER2" s="484"/>
      <c r="LES2" s="484"/>
      <c r="LET2" s="484"/>
      <c r="LEU2" s="484"/>
      <c r="LEV2" s="484"/>
      <c r="LEW2" s="484"/>
      <c r="LEX2" s="484"/>
      <c r="LEY2" s="484"/>
      <c r="LEZ2" s="484"/>
      <c r="LFA2" s="484"/>
      <c r="LFB2" s="484"/>
      <c r="LFC2" s="484"/>
      <c r="LFD2" s="484"/>
      <c r="LFE2" s="484"/>
      <c r="LFF2" s="484"/>
      <c r="LFG2" s="484"/>
      <c r="LFH2" s="484"/>
      <c r="LFI2" s="484"/>
      <c r="LFJ2" s="484"/>
      <c r="LFK2" s="484"/>
      <c r="LFL2" s="484"/>
      <c r="LFM2" s="484"/>
      <c r="LFN2" s="484"/>
      <c r="LFO2" s="484"/>
      <c r="LFP2" s="484"/>
      <c r="LFQ2" s="484"/>
      <c r="LFR2" s="484"/>
      <c r="LFS2" s="484"/>
      <c r="LFT2" s="484"/>
      <c r="LFU2" s="484"/>
      <c r="LFV2" s="484"/>
      <c r="LFW2" s="484"/>
      <c r="LFX2" s="484"/>
      <c r="LFY2" s="484"/>
      <c r="LFZ2" s="484"/>
      <c r="LGA2" s="484"/>
      <c r="LGB2" s="484"/>
      <c r="LGC2" s="484"/>
      <c r="LGD2" s="484"/>
      <c r="LGE2" s="484"/>
      <c r="LGF2" s="484"/>
      <c r="LGG2" s="484"/>
      <c r="LGH2" s="484"/>
      <c r="LGI2" s="484"/>
      <c r="LGJ2" s="484"/>
      <c r="LGK2" s="484"/>
      <c r="LGL2" s="484"/>
      <c r="LGM2" s="484"/>
      <c r="LGN2" s="484"/>
      <c r="LGO2" s="484"/>
      <c r="LGP2" s="484"/>
      <c r="LGQ2" s="484"/>
      <c r="LGR2" s="484"/>
      <c r="LGS2" s="484"/>
      <c r="LGT2" s="484"/>
      <c r="LGU2" s="484"/>
      <c r="LGV2" s="484"/>
      <c r="LGW2" s="484"/>
      <c r="LGX2" s="484"/>
      <c r="LGY2" s="484"/>
      <c r="LGZ2" s="484"/>
      <c r="LHA2" s="484"/>
      <c r="LHB2" s="484"/>
      <c r="LHC2" s="484"/>
      <c r="LHD2" s="484"/>
      <c r="LHE2" s="484"/>
      <c r="LHF2" s="484"/>
      <c r="LHG2" s="484"/>
      <c r="LHH2" s="484"/>
      <c r="LHI2" s="484"/>
      <c r="LHJ2" s="484"/>
      <c r="LHK2" s="484"/>
      <c r="LHL2" s="484"/>
      <c r="LHM2" s="484"/>
      <c r="LHN2" s="484"/>
      <c r="LHO2" s="484"/>
      <c r="LHP2" s="484"/>
      <c r="LHQ2" s="484"/>
      <c r="LHR2" s="484"/>
      <c r="LHS2" s="484"/>
      <c r="LHT2" s="484"/>
      <c r="LHU2" s="484"/>
      <c r="LHV2" s="484"/>
      <c r="LHW2" s="484"/>
      <c r="LHX2" s="484"/>
      <c r="LHY2" s="484"/>
      <c r="LHZ2" s="484"/>
      <c r="LIA2" s="484"/>
      <c r="LIB2" s="484"/>
      <c r="LIC2" s="484"/>
      <c r="LID2" s="484"/>
      <c r="LIE2" s="484"/>
      <c r="LIF2" s="484"/>
      <c r="LIG2" s="484"/>
      <c r="LIH2" s="484"/>
      <c r="LII2" s="484"/>
      <c r="LIJ2" s="484"/>
      <c r="LIK2" s="484"/>
      <c r="LIL2" s="484"/>
      <c r="LIM2" s="484"/>
      <c r="LIN2" s="484"/>
      <c r="LIO2" s="484"/>
      <c r="LIP2" s="484"/>
      <c r="LIQ2" s="484"/>
      <c r="LIR2" s="484"/>
      <c r="LIS2" s="484"/>
      <c r="LIT2" s="484"/>
      <c r="LIU2" s="484"/>
      <c r="LIV2" s="484"/>
      <c r="LIW2" s="484"/>
      <c r="LIX2" s="484"/>
      <c r="LIY2" s="484"/>
      <c r="LIZ2" s="484"/>
      <c r="LJA2" s="484"/>
      <c r="LJB2" s="484"/>
      <c r="LJC2" s="484"/>
      <c r="LJD2" s="484"/>
      <c r="LJE2" s="484"/>
      <c r="LJF2" s="484"/>
      <c r="LJG2" s="484"/>
      <c r="LJH2" s="484"/>
      <c r="LJI2" s="484"/>
      <c r="LJJ2" s="484"/>
      <c r="LJK2" s="484"/>
      <c r="LJL2" s="484"/>
      <c r="LJM2" s="484"/>
      <c r="LJN2" s="484"/>
      <c r="LJO2" s="484"/>
      <c r="LJP2" s="484"/>
      <c r="LJQ2" s="484"/>
      <c r="LJR2" s="484"/>
      <c r="LJS2" s="484"/>
      <c r="LJT2" s="484"/>
      <c r="LJU2" s="484"/>
      <c r="LJV2" s="484"/>
      <c r="LJW2" s="484"/>
      <c r="LJX2" s="484"/>
      <c r="LJY2" s="484"/>
      <c r="LJZ2" s="484"/>
      <c r="LKA2" s="484"/>
      <c r="LKB2" s="484"/>
      <c r="LKC2" s="484"/>
      <c r="LKD2" s="484"/>
      <c r="LKE2" s="484"/>
      <c r="LKF2" s="484"/>
      <c r="LKG2" s="484"/>
      <c r="LKH2" s="484"/>
      <c r="LKI2" s="484"/>
      <c r="LKJ2" s="484"/>
      <c r="LKK2" s="484"/>
      <c r="LKL2" s="484"/>
      <c r="LKM2" s="484"/>
      <c r="LKN2" s="484"/>
      <c r="LKO2" s="484"/>
      <c r="LKP2" s="484"/>
      <c r="LKQ2" s="484"/>
      <c r="LKR2" s="484"/>
      <c r="LKS2" s="484"/>
      <c r="LKT2" s="484"/>
      <c r="LKU2" s="484"/>
      <c r="LKV2" s="484"/>
      <c r="LKW2" s="484"/>
      <c r="LKX2" s="484"/>
      <c r="LKY2" s="484"/>
      <c r="LKZ2" s="484"/>
      <c r="LLA2" s="484"/>
      <c r="LLB2" s="484"/>
      <c r="LLC2" s="484"/>
      <c r="LLD2" s="484"/>
      <c r="LLE2" s="484"/>
      <c r="LLF2" s="484"/>
      <c r="LLG2" s="484"/>
      <c r="LLH2" s="484"/>
      <c r="LLI2" s="484"/>
      <c r="LLJ2" s="484"/>
      <c r="LLK2" s="484"/>
      <c r="LLL2" s="484"/>
      <c r="LLM2" s="484"/>
      <c r="LLN2" s="484"/>
      <c r="LLO2" s="484"/>
      <c r="LLP2" s="484"/>
      <c r="LLQ2" s="484"/>
      <c r="LLR2" s="484"/>
      <c r="LLS2" s="484"/>
      <c r="LLT2" s="484"/>
      <c r="LLU2" s="484"/>
      <c r="LLV2" s="484"/>
      <c r="LLW2" s="484"/>
      <c r="LLX2" s="484"/>
      <c r="LLY2" s="484"/>
      <c r="LLZ2" s="484"/>
      <c r="LMA2" s="484"/>
      <c r="LMB2" s="484"/>
      <c r="LMC2" s="484"/>
      <c r="LMD2" s="484"/>
      <c r="LME2" s="484"/>
      <c r="LMF2" s="484"/>
      <c r="LMG2" s="484"/>
      <c r="LMH2" s="484"/>
      <c r="LMI2" s="484"/>
      <c r="LMJ2" s="484"/>
      <c r="LMK2" s="484"/>
      <c r="LML2" s="484"/>
      <c r="LMM2" s="484"/>
      <c r="LMN2" s="484"/>
      <c r="LMO2" s="484"/>
      <c r="LMP2" s="484"/>
      <c r="LMQ2" s="484"/>
      <c r="LMR2" s="484"/>
      <c r="LMS2" s="484"/>
      <c r="LMT2" s="484"/>
      <c r="LMU2" s="484"/>
      <c r="LMV2" s="484"/>
      <c r="LMW2" s="484"/>
      <c r="LMX2" s="484"/>
      <c r="LMY2" s="484"/>
      <c r="LMZ2" s="484"/>
      <c r="LNA2" s="484"/>
      <c r="LNB2" s="484"/>
      <c r="LNC2" s="484"/>
      <c r="LND2" s="484"/>
      <c r="LNE2" s="484"/>
      <c r="LNF2" s="484"/>
      <c r="LNG2" s="484"/>
      <c r="LNH2" s="484"/>
      <c r="LNI2" s="484"/>
      <c r="LNJ2" s="484"/>
      <c r="LNK2" s="484"/>
      <c r="LNL2" s="484"/>
      <c r="LNM2" s="484"/>
      <c r="LNN2" s="484"/>
      <c r="LNO2" s="484"/>
      <c r="LNP2" s="484"/>
      <c r="LNQ2" s="484"/>
      <c r="LNR2" s="484"/>
      <c r="LNS2" s="484"/>
      <c r="LNT2" s="484"/>
      <c r="LNU2" s="484"/>
      <c r="LNV2" s="484"/>
      <c r="LNW2" s="484"/>
      <c r="LNX2" s="484"/>
      <c r="LNY2" s="484"/>
      <c r="LNZ2" s="484"/>
      <c r="LOA2" s="484"/>
      <c r="LOB2" s="484"/>
      <c r="LOC2" s="484"/>
      <c r="LOD2" s="484"/>
      <c r="LOE2" s="484"/>
      <c r="LOF2" s="484"/>
      <c r="LOG2" s="484"/>
      <c r="LOH2" s="484"/>
      <c r="LOI2" s="484"/>
      <c r="LOJ2" s="484"/>
      <c r="LOK2" s="484"/>
      <c r="LOL2" s="484"/>
      <c r="LOM2" s="484"/>
      <c r="LON2" s="484"/>
      <c r="LOO2" s="484"/>
      <c r="LOP2" s="484"/>
      <c r="LOQ2" s="484"/>
      <c r="LOR2" s="484"/>
      <c r="LOS2" s="484"/>
      <c r="LOT2" s="484"/>
      <c r="LOU2" s="484"/>
      <c r="LOV2" s="484"/>
      <c r="LOW2" s="484"/>
      <c r="LOX2" s="484"/>
      <c r="LOY2" s="484"/>
      <c r="LOZ2" s="484"/>
      <c r="LPA2" s="484"/>
      <c r="LPB2" s="484"/>
      <c r="LPC2" s="484"/>
      <c r="LPD2" s="484"/>
      <c r="LPE2" s="484"/>
      <c r="LPF2" s="484"/>
      <c r="LPG2" s="484"/>
      <c r="LPH2" s="484"/>
      <c r="LPI2" s="484"/>
      <c r="LPJ2" s="484"/>
      <c r="LPK2" s="484"/>
      <c r="LPL2" s="484"/>
      <c r="LPM2" s="484"/>
      <c r="LPN2" s="484"/>
      <c r="LPO2" s="484"/>
      <c r="LPP2" s="484"/>
      <c r="LPQ2" s="484"/>
      <c r="LPR2" s="484"/>
      <c r="LPS2" s="484"/>
      <c r="LPT2" s="484"/>
      <c r="LPU2" s="484"/>
      <c r="LPV2" s="484"/>
      <c r="LPW2" s="484"/>
      <c r="LPX2" s="484"/>
      <c r="LPY2" s="484"/>
      <c r="LPZ2" s="484"/>
      <c r="LQA2" s="484"/>
      <c r="LQB2" s="484"/>
      <c r="LQC2" s="484"/>
      <c r="LQD2" s="484"/>
      <c r="LQE2" s="484"/>
      <c r="LQF2" s="484"/>
      <c r="LQG2" s="484"/>
      <c r="LQH2" s="484"/>
      <c r="LQI2" s="484"/>
      <c r="LQJ2" s="484"/>
      <c r="LQK2" s="484"/>
      <c r="LQL2" s="484"/>
      <c r="LQM2" s="484"/>
      <c r="LQN2" s="484"/>
      <c r="LQO2" s="484"/>
      <c r="LQP2" s="484"/>
      <c r="LQQ2" s="484"/>
      <c r="LQR2" s="484"/>
      <c r="LQS2" s="484"/>
      <c r="LQT2" s="484"/>
      <c r="LQU2" s="484"/>
      <c r="LQV2" s="484"/>
      <c r="LQW2" s="484"/>
      <c r="LQX2" s="484"/>
      <c r="LQY2" s="484"/>
      <c r="LQZ2" s="484"/>
      <c r="LRA2" s="484"/>
      <c r="LRB2" s="484"/>
      <c r="LRC2" s="484"/>
      <c r="LRD2" s="484"/>
      <c r="LRE2" s="484"/>
      <c r="LRF2" s="484"/>
      <c r="LRG2" s="484"/>
      <c r="LRH2" s="484"/>
      <c r="LRI2" s="484"/>
      <c r="LRJ2" s="484"/>
      <c r="LRK2" s="484"/>
      <c r="LRL2" s="484"/>
      <c r="LRM2" s="484"/>
      <c r="LRN2" s="484"/>
      <c r="LRO2" s="484"/>
      <c r="LRP2" s="484"/>
      <c r="LRQ2" s="484"/>
      <c r="LRR2" s="484"/>
      <c r="LRS2" s="484"/>
      <c r="LRT2" s="484"/>
      <c r="LRU2" s="484"/>
      <c r="LRV2" s="484"/>
      <c r="LRW2" s="484"/>
      <c r="LRX2" s="484"/>
      <c r="LRY2" s="484"/>
      <c r="LRZ2" s="484"/>
      <c r="LSA2" s="484"/>
      <c r="LSB2" s="484"/>
      <c r="LSC2" s="484"/>
      <c r="LSD2" s="484"/>
      <c r="LSE2" s="484"/>
      <c r="LSF2" s="484"/>
      <c r="LSG2" s="484"/>
      <c r="LSH2" s="484"/>
      <c r="LSI2" s="484"/>
      <c r="LSJ2" s="484"/>
      <c r="LSK2" s="484"/>
      <c r="LSL2" s="484"/>
      <c r="LSM2" s="484"/>
      <c r="LSN2" s="484"/>
      <c r="LSO2" s="484"/>
      <c r="LSP2" s="484"/>
      <c r="LSQ2" s="484"/>
      <c r="LSR2" s="484"/>
      <c r="LSS2" s="484"/>
      <c r="LST2" s="484"/>
      <c r="LSU2" s="484"/>
      <c r="LSV2" s="484"/>
      <c r="LSW2" s="484"/>
      <c r="LSX2" s="484"/>
      <c r="LSY2" s="484"/>
      <c r="LSZ2" s="484"/>
      <c r="LTA2" s="484"/>
      <c r="LTB2" s="484"/>
      <c r="LTC2" s="484"/>
      <c r="LTD2" s="484"/>
      <c r="LTE2" s="484"/>
      <c r="LTF2" s="484"/>
      <c r="LTG2" s="484"/>
      <c r="LTH2" s="484"/>
      <c r="LTI2" s="484"/>
      <c r="LTJ2" s="484"/>
      <c r="LTK2" s="484"/>
      <c r="LTL2" s="484"/>
      <c r="LTM2" s="484"/>
      <c r="LTN2" s="484"/>
      <c r="LTO2" s="484"/>
      <c r="LTP2" s="484"/>
      <c r="LTQ2" s="484"/>
      <c r="LTR2" s="484"/>
      <c r="LTS2" s="484"/>
      <c r="LTT2" s="484"/>
      <c r="LTU2" s="484"/>
      <c r="LTV2" s="484"/>
      <c r="LTW2" s="484"/>
      <c r="LTX2" s="484"/>
      <c r="LTY2" s="484"/>
      <c r="LTZ2" s="484"/>
      <c r="LUA2" s="484"/>
      <c r="LUB2" s="484"/>
      <c r="LUC2" s="484"/>
      <c r="LUD2" s="484"/>
      <c r="LUE2" s="484"/>
      <c r="LUF2" s="484"/>
      <c r="LUG2" s="484"/>
      <c r="LUH2" s="484"/>
      <c r="LUI2" s="484"/>
      <c r="LUJ2" s="484"/>
      <c r="LUK2" s="484"/>
      <c r="LUL2" s="484"/>
      <c r="LUM2" s="484"/>
      <c r="LUN2" s="484"/>
      <c r="LUO2" s="484"/>
      <c r="LUP2" s="484"/>
      <c r="LUQ2" s="484"/>
      <c r="LUR2" s="484"/>
      <c r="LUS2" s="484"/>
      <c r="LUT2" s="484"/>
      <c r="LUU2" s="484"/>
      <c r="LUV2" s="484"/>
      <c r="LUW2" s="484"/>
      <c r="LUX2" s="484"/>
      <c r="LUY2" s="484"/>
      <c r="LUZ2" s="484"/>
      <c r="LVA2" s="484"/>
      <c r="LVB2" s="484"/>
      <c r="LVC2" s="484"/>
      <c r="LVD2" s="484"/>
      <c r="LVE2" s="484"/>
      <c r="LVF2" s="484"/>
      <c r="LVG2" s="484"/>
      <c r="LVH2" s="484"/>
      <c r="LVI2" s="484"/>
      <c r="LVJ2" s="484"/>
      <c r="LVK2" s="484"/>
      <c r="LVL2" s="484"/>
      <c r="LVM2" s="484"/>
      <c r="LVN2" s="484"/>
      <c r="LVO2" s="484"/>
      <c r="LVP2" s="484"/>
      <c r="LVQ2" s="484"/>
      <c r="LVR2" s="484"/>
      <c r="LVS2" s="484"/>
      <c r="LVT2" s="484"/>
      <c r="LVU2" s="484"/>
      <c r="LVV2" s="484"/>
      <c r="LVW2" s="484"/>
      <c r="LVX2" s="484"/>
      <c r="LVY2" s="484"/>
      <c r="LVZ2" s="484"/>
      <c r="LWA2" s="484"/>
      <c r="LWB2" s="484"/>
      <c r="LWC2" s="484"/>
      <c r="LWD2" s="484"/>
      <c r="LWE2" s="484"/>
      <c r="LWF2" s="484"/>
      <c r="LWG2" s="484"/>
      <c r="LWH2" s="484"/>
      <c r="LWI2" s="484"/>
      <c r="LWJ2" s="484"/>
      <c r="LWK2" s="484"/>
      <c r="LWL2" s="484"/>
      <c r="LWM2" s="484"/>
      <c r="LWN2" s="484"/>
      <c r="LWO2" s="484"/>
      <c r="LWP2" s="484"/>
      <c r="LWQ2" s="484"/>
      <c r="LWR2" s="484"/>
      <c r="LWS2" s="484"/>
      <c r="LWT2" s="484"/>
      <c r="LWU2" s="484"/>
      <c r="LWV2" s="484"/>
      <c r="LWW2" s="484"/>
      <c r="LWX2" s="484"/>
      <c r="LWY2" s="484"/>
      <c r="LWZ2" s="484"/>
      <c r="LXA2" s="484"/>
      <c r="LXB2" s="484"/>
      <c r="LXC2" s="484"/>
      <c r="LXD2" s="484"/>
      <c r="LXE2" s="484"/>
      <c r="LXF2" s="484"/>
      <c r="LXG2" s="484"/>
      <c r="LXH2" s="484"/>
      <c r="LXI2" s="484"/>
      <c r="LXJ2" s="484"/>
      <c r="LXK2" s="484"/>
      <c r="LXL2" s="484"/>
      <c r="LXM2" s="484"/>
      <c r="LXN2" s="484"/>
      <c r="LXO2" s="484"/>
      <c r="LXP2" s="484"/>
      <c r="LXQ2" s="484"/>
      <c r="LXR2" s="484"/>
      <c r="LXS2" s="484"/>
      <c r="LXT2" s="484"/>
      <c r="LXU2" s="484"/>
      <c r="LXV2" s="484"/>
      <c r="LXW2" s="484"/>
      <c r="LXX2" s="484"/>
      <c r="LXY2" s="484"/>
      <c r="LXZ2" s="484"/>
      <c r="LYA2" s="484"/>
      <c r="LYB2" s="484"/>
      <c r="LYC2" s="484"/>
      <c r="LYD2" s="484"/>
      <c r="LYE2" s="484"/>
      <c r="LYF2" s="484"/>
      <c r="LYG2" s="484"/>
      <c r="LYH2" s="484"/>
      <c r="LYI2" s="484"/>
      <c r="LYJ2" s="484"/>
      <c r="LYK2" s="484"/>
      <c r="LYL2" s="484"/>
      <c r="LYM2" s="484"/>
      <c r="LYN2" s="484"/>
      <c r="LYO2" s="484"/>
      <c r="LYP2" s="484"/>
      <c r="LYQ2" s="484"/>
      <c r="LYR2" s="484"/>
      <c r="LYS2" s="484"/>
      <c r="LYT2" s="484"/>
      <c r="LYU2" s="484"/>
      <c r="LYV2" s="484"/>
      <c r="LYW2" s="484"/>
      <c r="LYX2" s="484"/>
      <c r="LYY2" s="484"/>
      <c r="LYZ2" s="484"/>
      <c r="LZA2" s="484"/>
      <c r="LZB2" s="484"/>
      <c r="LZC2" s="484"/>
      <c r="LZD2" s="484"/>
      <c r="LZE2" s="484"/>
      <c r="LZF2" s="484"/>
      <c r="LZG2" s="484"/>
      <c r="LZH2" s="484"/>
      <c r="LZI2" s="484"/>
      <c r="LZJ2" s="484"/>
      <c r="LZK2" s="484"/>
      <c r="LZL2" s="484"/>
      <c r="LZM2" s="484"/>
      <c r="LZN2" s="484"/>
      <c r="LZO2" s="484"/>
      <c r="LZP2" s="484"/>
      <c r="LZQ2" s="484"/>
      <c r="LZR2" s="484"/>
      <c r="LZS2" s="484"/>
      <c r="LZT2" s="484"/>
      <c r="LZU2" s="484"/>
      <c r="LZV2" s="484"/>
      <c r="LZW2" s="484"/>
      <c r="LZX2" s="484"/>
      <c r="LZY2" s="484"/>
      <c r="LZZ2" s="484"/>
      <c r="MAA2" s="484"/>
      <c r="MAB2" s="484"/>
      <c r="MAC2" s="484"/>
      <c r="MAD2" s="484"/>
      <c r="MAE2" s="484"/>
      <c r="MAF2" s="484"/>
      <c r="MAG2" s="484"/>
      <c r="MAH2" s="484"/>
      <c r="MAI2" s="484"/>
      <c r="MAJ2" s="484"/>
      <c r="MAK2" s="484"/>
      <c r="MAL2" s="484"/>
      <c r="MAM2" s="484"/>
      <c r="MAN2" s="484"/>
      <c r="MAO2" s="484"/>
      <c r="MAP2" s="484"/>
      <c r="MAQ2" s="484"/>
      <c r="MAR2" s="484"/>
      <c r="MAS2" s="484"/>
      <c r="MAT2" s="484"/>
      <c r="MAU2" s="484"/>
      <c r="MAV2" s="484"/>
      <c r="MAW2" s="484"/>
      <c r="MAX2" s="484"/>
      <c r="MAY2" s="484"/>
      <c r="MAZ2" s="484"/>
      <c r="MBA2" s="484"/>
      <c r="MBB2" s="484"/>
      <c r="MBC2" s="484"/>
      <c r="MBD2" s="484"/>
      <c r="MBE2" s="484"/>
      <c r="MBF2" s="484"/>
      <c r="MBG2" s="484"/>
      <c r="MBH2" s="484"/>
      <c r="MBI2" s="484"/>
      <c r="MBJ2" s="484"/>
      <c r="MBK2" s="484"/>
      <c r="MBL2" s="484"/>
      <c r="MBM2" s="484"/>
      <c r="MBN2" s="484"/>
      <c r="MBO2" s="484"/>
      <c r="MBP2" s="484"/>
      <c r="MBQ2" s="484"/>
      <c r="MBR2" s="484"/>
      <c r="MBS2" s="484"/>
      <c r="MBT2" s="484"/>
      <c r="MBU2" s="484"/>
      <c r="MBV2" s="484"/>
      <c r="MBW2" s="484"/>
      <c r="MBX2" s="484"/>
      <c r="MBY2" s="484"/>
      <c r="MBZ2" s="484"/>
      <c r="MCA2" s="484"/>
      <c r="MCB2" s="484"/>
      <c r="MCC2" s="484"/>
      <c r="MCD2" s="484"/>
      <c r="MCE2" s="484"/>
      <c r="MCF2" s="484"/>
      <c r="MCG2" s="484"/>
      <c r="MCH2" s="484"/>
      <c r="MCI2" s="484"/>
      <c r="MCJ2" s="484"/>
      <c r="MCK2" s="484"/>
      <c r="MCL2" s="484"/>
      <c r="MCM2" s="484"/>
      <c r="MCN2" s="484"/>
      <c r="MCO2" s="484"/>
      <c r="MCP2" s="484"/>
      <c r="MCQ2" s="484"/>
      <c r="MCR2" s="484"/>
      <c r="MCS2" s="484"/>
      <c r="MCT2" s="484"/>
      <c r="MCU2" s="484"/>
      <c r="MCV2" s="484"/>
      <c r="MCW2" s="484"/>
      <c r="MCX2" s="484"/>
      <c r="MCY2" s="484"/>
      <c r="MCZ2" s="484"/>
      <c r="MDA2" s="484"/>
      <c r="MDB2" s="484"/>
      <c r="MDC2" s="484"/>
      <c r="MDD2" s="484"/>
      <c r="MDE2" s="484"/>
      <c r="MDF2" s="484"/>
      <c r="MDG2" s="484"/>
      <c r="MDH2" s="484"/>
      <c r="MDI2" s="484"/>
      <c r="MDJ2" s="484"/>
      <c r="MDK2" s="484"/>
      <c r="MDL2" s="484"/>
      <c r="MDM2" s="484"/>
      <c r="MDN2" s="484"/>
      <c r="MDO2" s="484"/>
      <c r="MDP2" s="484"/>
      <c r="MDQ2" s="484"/>
      <c r="MDR2" s="484"/>
      <c r="MDS2" s="484"/>
      <c r="MDT2" s="484"/>
      <c r="MDU2" s="484"/>
      <c r="MDV2" s="484"/>
      <c r="MDW2" s="484"/>
      <c r="MDX2" s="484"/>
      <c r="MDY2" s="484"/>
      <c r="MDZ2" s="484"/>
      <c r="MEA2" s="484"/>
      <c r="MEB2" s="484"/>
      <c r="MEC2" s="484"/>
      <c r="MED2" s="484"/>
      <c r="MEE2" s="484"/>
      <c r="MEF2" s="484"/>
      <c r="MEG2" s="484"/>
      <c r="MEH2" s="484"/>
      <c r="MEI2" s="484"/>
      <c r="MEJ2" s="484"/>
      <c r="MEK2" s="484"/>
      <c r="MEL2" s="484"/>
      <c r="MEM2" s="484"/>
      <c r="MEN2" s="484"/>
      <c r="MEO2" s="484"/>
      <c r="MEP2" s="484"/>
      <c r="MEQ2" s="484"/>
      <c r="MER2" s="484"/>
      <c r="MES2" s="484"/>
      <c r="MET2" s="484"/>
      <c r="MEU2" s="484"/>
      <c r="MEV2" s="484"/>
      <c r="MEW2" s="484"/>
      <c r="MEX2" s="484"/>
      <c r="MEY2" s="484"/>
      <c r="MEZ2" s="484"/>
      <c r="MFA2" s="484"/>
      <c r="MFB2" s="484"/>
      <c r="MFC2" s="484"/>
      <c r="MFD2" s="484"/>
      <c r="MFE2" s="484"/>
      <c r="MFF2" s="484"/>
      <c r="MFG2" s="484"/>
      <c r="MFH2" s="484"/>
      <c r="MFI2" s="484"/>
      <c r="MFJ2" s="484"/>
      <c r="MFK2" s="484"/>
      <c r="MFL2" s="484"/>
      <c r="MFM2" s="484"/>
      <c r="MFN2" s="484"/>
      <c r="MFO2" s="484"/>
      <c r="MFP2" s="484"/>
      <c r="MFQ2" s="484"/>
      <c r="MFR2" s="484"/>
      <c r="MFS2" s="484"/>
      <c r="MFT2" s="484"/>
      <c r="MFU2" s="484"/>
      <c r="MFV2" s="484"/>
      <c r="MFW2" s="484"/>
      <c r="MFX2" s="484"/>
      <c r="MFY2" s="484"/>
      <c r="MFZ2" s="484"/>
      <c r="MGA2" s="484"/>
      <c r="MGB2" s="484"/>
      <c r="MGC2" s="484"/>
      <c r="MGD2" s="484"/>
      <c r="MGE2" s="484"/>
      <c r="MGF2" s="484"/>
      <c r="MGG2" s="484"/>
      <c r="MGH2" s="484"/>
      <c r="MGI2" s="484"/>
      <c r="MGJ2" s="484"/>
      <c r="MGK2" s="484"/>
      <c r="MGL2" s="484"/>
      <c r="MGM2" s="484"/>
      <c r="MGN2" s="484"/>
      <c r="MGO2" s="484"/>
      <c r="MGP2" s="484"/>
      <c r="MGQ2" s="484"/>
      <c r="MGR2" s="484"/>
      <c r="MGS2" s="484"/>
      <c r="MGT2" s="484"/>
      <c r="MGU2" s="484"/>
      <c r="MGV2" s="484"/>
      <c r="MGW2" s="484"/>
      <c r="MGX2" s="484"/>
      <c r="MGY2" s="484"/>
      <c r="MGZ2" s="484"/>
      <c r="MHA2" s="484"/>
      <c r="MHB2" s="484"/>
      <c r="MHC2" s="484"/>
      <c r="MHD2" s="484"/>
      <c r="MHE2" s="484"/>
      <c r="MHF2" s="484"/>
      <c r="MHG2" s="484"/>
      <c r="MHH2" s="484"/>
      <c r="MHI2" s="484"/>
      <c r="MHJ2" s="484"/>
      <c r="MHK2" s="484"/>
      <c r="MHL2" s="484"/>
      <c r="MHM2" s="484"/>
      <c r="MHN2" s="484"/>
      <c r="MHO2" s="484"/>
      <c r="MHP2" s="484"/>
      <c r="MHQ2" s="484"/>
      <c r="MHR2" s="484"/>
      <c r="MHS2" s="484"/>
      <c r="MHT2" s="484"/>
      <c r="MHU2" s="484"/>
      <c r="MHV2" s="484"/>
      <c r="MHW2" s="484"/>
      <c r="MHX2" s="484"/>
      <c r="MHY2" s="484"/>
      <c r="MHZ2" s="484"/>
      <c r="MIA2" s="484"/>
      <c r="MIB2" s="484"/>
      <c r="MIC2" s="484"/>
      <c r="MID2" s="484"/>
      <c r="MIE2" s="484"/>
      <c r="MIF2" s="484"/>
      <c r="MIG2" s="484"/>
      <c r="MIH2" s="484"/>
      <c r="MII2" s="484"/>
      <c r="MIJ2" s="484"/>
      <c r="MIK2" s="484"/>
      <c r="MIL2" s="484"/>
      <c r="MIM2" s="484"/>
      <c r="MIN2" s="484"/>
      <c r="MIO2" s="484"/>
      <c r="MIP2" s="484"/>
      <c r="MIQ2" s="484"/>
      <c r="MIR2" s="484"/>
      <c r="MIS2" s="484"/>
      <c r="MIT2" s="484"/>
      <c r="MIU2" s="484"/>
      <c r="MIV2" s="484"/>
      <c r="MIW2" s="484"/>
      <c r="MIX2" s="484"/>
      <c r="MIY2" s="484"/>
      <c r="MIZ2" s="484"/>
      <c r="MJA2" s="484"/>
      <c r="MJB2" s="484"/>
      <c r="MJC2" s="484"/>
      <c r="MJD2" s="484"/>
      <c r="MJE2" s="484"/>
      <c r="MJF2" s="484"/>
      <c r="MJG2" s="484"/>
      <c r="MJH2" s="484"/>
      <c r="MJI2" s="484"/>
      <c r="MJJ2" s="484"/>
      <c r="MJK2" s="484"/>
      <c r="MJL2" s="484"/>
      <c r="MJM2" s="484"/>
      <c r="MJN2" s="484"/>
      <c r="MJO2" s="484"/>
      <c r="MJP2" s="484"/>
      <c r="MJQ2" s="484"/>
      <c r="MJR2" s="484"/>
      <c r="MJS2" s="484"/>
      <c r="MJT2" s="484"/>
      <c r="MJU2" s="484"/>
      <c r="MJV2" s="484"/>
      <c r="MJW2" s="484"/>
      <c r="MJX2" s="484"/>
      <c r="MJY2" s="484"/>
      <c r="MJZ2" s="484"/>
      <c r="MKA2" s="484"/>
      <c r="MKB2" s="484"/>
      <c r="MKC2" s="484"/>
      <c r="MKD2" s="484"/>
      <c r="MKE2" s="484"/>
      <c r="MKF2" s="484"/>
      <c r="MKG2" s="484"/>
      <c r="MKH2" s="484"/>
      <c r="MKI2" s="484"/>
      <c r="MKJ2" s="484"/>
      <c r="MKK2" s="484"/>
      <c r="MKL2" s="484"/>
      <c r="MKM2" s="484"/>
      <c r="MKN2" s="484"/>
      <c r="MKO2" s="484"/>
      <c r="MKP2" s="484"/>
      <c r="MKQ2" s="484"/>
      <c r="MKR2" s="484"/>
      <c r="MKS2" s="484"/>
      <c r="MKT2" s="484"/>
      <c r="MKU2" s="484"/>
      <c r="MKV2" s="484"/>
      <c r="MKW2" s="484"/>
      <c r="MKX2" s="484"/>
      <c r="MKY2" s="484"/>
      <c r="MKZ2" s="484"/>
      <c r="MLA2" s="484"/>
      <c r="MLB2" s="484"/>
      <c r="MLC2" s="484"/>
      <c r="MLD2" s="484"/>
      <c r="MLE2" s="484"/>
      <c r="MLF2" s="484"/>
      <c r="MLG2" s="484"/>
      <c r="MLH2" s="484"/>
      <c r="MLI2" s="484"/>
      <c r="MLJ2" s="484"/>
      <c r="MLK2" s="484"/>
      <c r="MLL2" s="484"/>
      <c r="MLM2" s="484"/>
      <c r="MLN2" s="484"/>
      <c r="MLO2" s="484"/>
      <c r="MLP2" s="484"/>
      <c r="MLQ2" s="484"/>
      <c r="MLR2" s="484"/>
      <c r="MLS2" s="484"/>
      <c r="MLT2" s="484"/>
      <c r="MLU2" s="484"/>
      <c r="MLV2" s="484"/>
      <c r="MLW2" s="484"/>
      <c r="MLX2" s="484"/>
      <c r="MLY2" s="484"/>
      <c r="MLZ2" s="484"/>
      <c r="MMA2" s="484"/>
      <c r="MMB2" s="484"/>
      <c r="MMC2" s="484"/>
      <c r="MMD2" s="484"/>
      <c r="MME2" s="484"/>
      <c r="MMF2" s="484"/>
      <c r="MMG2" s="484"/>
      <c r="MMH2" s="484"/>
      <c r="MMI2" s="484"/>
      <c r="MMJ2" s="484"/>
      <c r="MMK2" s="484"/>
      <c r="MML2" s="484"/>
      <c r="MMM2" s="484"/>
      <c r="MMN2" s="484"/>
      <c r="MMO2" s="484"/>
      <c r="MMP2" s="484"/>
      <c r="MMQ2" s="484"/>
      <c r="MMR2" s="484"/>
      <c r="MMS2" s="484"/>
      <c r="MMT2" s="484"/>
      <c r="MMU2" s="484"/>
      <c r="MMV2" s="484"/>
      <c r="MMW2" s="484"/>
      <c r="MMX2" s="484"/>
      <c r="MMY2" s="484"/>
      <c r="MMZ2" s="484"/>
      <c r="MNA2" s="484"/>
      <c r="MNB2" s="484"/>
      <c r="MNC2" s="484"/>
      <c r="MND2" s="484"/>
      <c r="MNE2" s="484"/>
      <c r="MNF2" s="484"/>
      <c r="MNG2" s="484"/>
      <c r="MNH2" s="484"/>
      <c r="MNI2" s="484"/>
      <c r="MNJ2" s="484"/>
      <c r="MNK2" s="484"/>
      <c r="MNL2" s="484"/>
      <c r="MNM2" s="484"/>
      <c r="MNN2" s="484"/>
      <c r="MNO2" s="484"/>
      <c r="MNP2" s="484"/>
      <c r="MNQ2" s="484"/>
      <c r="MNR2" s="484"/>
      <c r="MNS2" s="484"/>
      <c r="MNT2" s="484"/>
      <c r="MNU2" s="484"/>
      <c r="MNV2" s="484"/>
      <c r="MNW2" s="484"/>
      <c r="MNX2" s="484"/>
      <c r="MNY2" s="484"/>
      <c r="MNZ2" s="484"/>
      <c r="MOA2" s="484"/>
      <c r="MOB2" s="484"/>
      <c r="MOC2" s="484"/>
      <c r="MOD2" s="484"/>
      <c r="MOE2" s="484"/>
      <c r="MOF2" s="484"/>
      <c r="MOG2" s="484"/>
      <c r="MOH2" s="484"/>
      <c r="MOI2" s="484"/>
      <c r="MOJ2" s="484"/>
      <c r="MOK2" s="484"/>
      <c r="MOL2" s="484"/>
      <c r="MOM2" s="484"/>
      <c r="MON2" s="484"/>
      <c r="MOO2" s="484"/>
      <c r="MOP2" s="484"/>
      <c r="MOQ2" s="484"/>
      <c r="MOR2" s="484"/>
      <c r="MOS2" s="484"/>
      <c r="MOT2" s="484"/>
      <c r="MOU2" s="484"/>
      <c r="MOV2" s="484"/>
      <c r="MOW2" s="484"/>
      <c r="MOX2" s="484"/>
      <c r="MOY2" s="484"/>
      <c r="MOZ2" s="484"/>
      <c r="MPA2" s="484"/>
      <c r="MPB2" s="484"/>
      <c r="MPC2" s="484"/>
      <c r="MPD2" s="484"/>
      <c r="MPE2" s="484"/>
      <c r="MPF2" s="484"/>
      <c r="MPG2" s="484"/>
      <c r="MPH2" s="484"/>
      <c r="MPI2" s="484"/>
      <c r="MPJ2" s="484"/>
      <c r="MPK2" s="484"/>
      <c r="MPL2" s="484"/>
      <c r="MPM2" s="484"/>
      <c r="MPN2" s="484"/>
      <c r="MPO2" s="484"/>
      <c r="MPP2" s="484"/>
      <c r="MPQ2" s="484"/>
      <c r="MPR2" s="484"/>
      <c r="MPS2" s="484"/>
      <c r="MPT2" s="484"/>
      <c r="MPU2" s="484"/>
      <c r="MPV2" s="484"/>
      <c r="MPW2" s="484"/>
      <c r="MPX2" s="484"/>
      <c r="MPY2" s="484"/>
      <c r="MPZ2" s="484"/>
      <c r="MQA2" s="484"/>
      <c r="MQB2" s="484"/>
      <c r="MQC2" s="484"/>
      <c r="MQD2" s="484"/>
      <c r="MQE2" s="484"/>
      <c r="MQF2" s="484"/>
      <c r="MQG2" s="484"/>
      <c r="MQH2" s="484"/>
      <c r="MQI2" s="484"/>
      <c r="MQJ2" s="484"/>
      <c r="MQK2" s="484"/>
      <c r="MQL2" s="484"/>
      <c r="MQM2" s="484"/>
      <c r="MQN2" s="484"/>
      <c r="MQO2" s="484"/>
      <c r="MQP2" s="484"/>
      <c r="MQQ2" s="484"/>
      <c r="MQR2" s="484"/>
      <c r="MQS2" s="484"/>
      <c r="MQT2" s="484"/>
      <c r="MQU2" s="484"/>
      <c r="MQV2" s="484"/>
      <c r="MQW2" s="484"/>
      <c r="MQX2" s="484"/>
      <c r="MQY2" s="484"/>
      <c r="MQZ2" s="484"/>
      <c r="MRA2" s="484"/>
      <c r="MRB2" s="484"/>
      <c r="MRC2" s="484"/>
      <c r="MRD2" s="484"/>
      <c r="MRE2" s="484"/>
      <c r="MRF2" s="484"/>
      <c r="MRG2" s="484"/>
      <c r="MRH2" s="484"/>
      <c r="MRI2" s="484"/>
      <c r="MRJ2" s="484"/>
      <c r="MRK2" s="484"/>
      <c r="MRL2" s="484"/>
      <c r="MRM2" s="484"/>
      <c r="MRN2" s="484"/>
      <c r="MRO2" s="484"/>
      <c r="MRP2" s="484"/>
      <c r="MRQ2" s="484"/>
      <c r="MRR2" s="484"/>
      <c r="MRS2" s="484"/>
      <c r="MRT2" s="484"/>
      <c r="MRU2" s="484"/>
      <c r="MRV2" s="484"/>
      <c r="MRW2" s="484"/>
      <c r="MRX2" s="484"/>
      <c r="MRY2" s="484"/>
      <c r="MRZ2" s="484"/>
      <c r="MSA2" s="484"/>
      <c r="MSB2" s="484"/>
      <c r="MSC2" s="484"/>
      <c r="MSD2" s="484"/>
      <c r="MSE2" s="484"/>
      <c r="MSF2" s="484"/>
      <c r="MSG2" s="484"/>
      <c r="MSH2" s="484"/>
      <c r="MSI2" s="484"/>
      <c r="MSJ2" s="484"/>
      <c r="MSK2" s="484"/>
      <c r="MSL2" s="484"/>
      <c r="MSM2" s="484"/>
      <c r="MSN2" s="484"/>
      <c r="MSO2" s="484"/>
      <c r="MSP2" s="484"/>
      <c r="MSQ2" s="484"/>
      <c r="MSR2" s="484"/>
      <c r="MSS2" s="484"/>
      <c r="MST2" s="484"/>
      <c r="MSU2" s="484"/>
      <c r="MSV2" s="484"/>
      <c r="MSW2" s="484"/>
      <c r="MSX2" s="484"/>
      <c r="MSY2" s="484"/>
      <c r="MSZ2" s="484"/>
      <c r="MTA2" s="484"/>
      <c r="MTB2" s="484"/>
      <c r="MTC2" s="484"/>
      <c r="MTD2" s="484"/>
      <c r="MTE2" s="484"/>
      <c r="MTF2" s="484"/>
      <c r="MTG2" s="484"/>
      <c r="MTH2" s="484"/>
      <c r="MTI2" s="484"/>
      <c r="MTJ2" s="484"/>
      <c r="MTK2" s="484"/>
      <c r="MTL2" s="484"/>
      <c r="MTM2" s="484"/>
      <c r="MTN2" s="484"/>
      <c r="MTO2" s="484"/>
      <c r="MTP2" s="484"/>
      <c r="MTQ2" s="484"/>
      <c r="MTR2" s="484"/>
      <c r="MTS2" s="484"/>
      <c r="MTT2" s="484"/>
      <c r="MTU2" s="484"/>
      <c r="MTV2" s="484"/>
      <c r="MTW2" s="484"/>
      <c r="MTX2" s="484"/>
      <c r="MTY2" s="484"/>
      <c r="MTZ2" s="484"/>
      <c r="MUA2" s="484"/>
      <c r="MUB2" s="484"/>
      <c r="MUC2" s="484"/>
      <c r="MUD2" s="484"/>
      <c r="MUE2" s="484"/>
      <c r="MUF2" s="484"/>
      <c r="MUG2" s="484"/>
      <c r="MUH2" s="484"/>
      <c r="MUI2" s="484"/>
      <c r="MUJ2" s="484"/>
      <c r="MUK2" s="484"/>
      <c r="MUL2" s="484"/>
      <c r="MUM2" s="484"/>
      <c r="MUN2" s="484"/>
      <c r="MUO2" s="484"/>
      <c r="MUP2" s="484"/>
      <c r="MUQ2" s="484"/>
      <c r="MUR2" s="484"/>
      <c r="MUS2" s="484"/>
      <c r="MUT2" s="484"/>
      <c r="MUU2" s="484"/>
      <c r="MUV2" s="484"/>
      <c r="MUW2" s="484"/>
      <c r="MUX2" s="484"/>
      <c r="MUY2" s="484"/>
      <c r="MUZ2" s="484"/>
      <c r="MVA2" s="484"/>
      <c r="MVB2" s="484"/>
      <c r="MVC2" s="484"/>
      <c r="MVD2" s="484"/>
      <c r="MVE2" s="484"/>
      <c r="MVF2" s="484"/>
      <c r="MVG2" s="484"/>
      <c r="MVH2" s="484"/>
      <c r="MVI2" s="484"/>
      <c r="MVJ2" s="484"/>
      <c r="MVK2" s="484"/>
      <c r="MVL2" s="484"/>
      <c r="MVM2" s="484"/>
      <c r="MVN2" s="484"/>
      <c r="MVO2" s="484"/>
      <c r="MVP2" s="484"/>
      <c r="MVQ2" s="484"/>
      <c r="MVR2" s="484"/>
      <c r="MVS2" s="484"/>
      <c r="MVT2" s="484"/>
      <c r="MVU2" s="484"/>
      <c r="MVV2" s="484"/>
      <c r="MVW2" s="484"/>
      <c r="MVX2" s="484"/>
      <c r="MVY2" s="484"/>
      <c r="MVZ2" s="484"/>
      <c r="MWA2" s="484"/>
      <c r="MWB2" s="484"/>
      <c r="MWC2" s="484"/>
      <c r="MWD2" s="484"/>
      <c r="MWE2" s="484"/>
      <c r="MWF2" s="484"/>
      <c r="MWG2" s="484"/>
      <c r="MWH2" s="484"/>
      <c r="MWI2" s="484"/>
      <c r="MWJ2" s="484"/>
      <c r="MWK2" s="484"/>
      <c r="MWL2" s="484"/>
      <c r="MWM2" s="484"/>
      <c r="MWN2" s="484"/>
      <c r="MWO2" s="484"/>
      <c r="MWP2" s="484"/>
      <c r="MWQ2" s="484"/>
      <c r="MWR2" s="484"/>
      <c r="MWS2" s="484"/>
      <c r="MWT2" s="484"/>
      <c r="MWU2" s="484"/>
      <c r="MWV2" s="484"/>
      <c r="MWW2" s="484"/>
      <c r="MWX2" s="484"/>
      <c r="MWY2" s="484"/>
      <c r="MWZ2" s="484"/>
      <c r="MXA2" s="484"/>
      <c r="MXB2" s="484"/>
      <c r="MXC2" s="484"/>
      <c r="MXD2" s="484"/>
      <c r="MXE2" s="484"/>
      <c r="MXF2" s="484"/>
      <c r="MXG2" s="484"/>
      <c r="MXH2" s="484"/>
      <c r="MXI2" s="484"/>
      <c r="MXJ2" s="484"/>
      <c r="MXK2" s="484"/>
      <c r="MXL2" s="484"/>
      <c r="MXM2" s="484"/>
      <c r="MXN2" s="484"/>
      <c r="MXO2" s="484"/>
      <c r="MXP2" s="484"/>
      <c r="MXQ2" s="484"/>
      <c r="MXR2" s="484"/>
      <c r="MXS2" s="484"/>
      <c r="MXT2" s="484"/>
      <c r="MXU2" s="484"/>
      <c r="MXV2" s="484"/>
      <c r="MXW2" s="484"/>
      <c r="MXX2" s="484"/>
      <c r="MXY2" s="484"/>
      <c r="MXZ2" s="484"/>
      <c r="MYA2" s="484"/>
      <c r="MYB2" s="484"/>
      <c r="MYC2" s="484"/>
      <c r="MYD2" s="484"/>
      <c r="MYE2" s="484"/>
      <c r="MYF2" s="484"/>
      <c r="MYG2" s="484"/>
      <c r="MYH2" s="484"/>
      <c r="MYI2" s="484"/>
      <c r="MYJ2" s="484"/>
      <c r="MYK2" s="484"/>
      <c r="MYL2" s="484"/>
      <c r="MYM2" s="484"/>
      <c r="MYN2" s="484"/>
      <c r="MYO2" s="484"/>
      <c r="MYP2" s="484"/>
      <c r="MYQ2" s="484"/>
      <c r="MYR2" s="484"/>
      <c r="MYS2" s="484"/>
      <c r="MYT2" s="484"/>
      <c r="MYU2" s="484"/>
      <c r="MYV2" s="484"/>
      <c r="MYW2" s="484"/>
      <c r="MYX2" s="484"/>
      <c r="MYY2" s="484"/>
      <c r="MYZ2" s="484"/>
      <c r="MZA2" s="484"/>
      <c r="MZB2" s="484"/>
      <c r="MZC2" s="484"/>
      <c r="MZD2" s="484"/>
      <c r="MZE2" s="484"/>
      <c r="MZF2" s="484"/>
      <c r="MZG2" s="484"/>
      <c r="MZH2" s="484"/>
      <c r="MZI2" s="484"/>
      <c r="MZJ2" s="484"/>
      <c r="MZK2" s="484"/>
      <c r="MZL2" s="484"/>
      <c r="MZM2" s="484"/>
      <c r="MZN2" s="484"/>
      <c r="MZO2" s="484"/>
      <c r="MZP2" s="484"/>
      <c r="MZQ2" s="484"/>
      <c r="MZR2" s="484"/>
      <c r="MZS2" s="484"/>
      <c r="MZT2" s="484"/>
      <c r="MZU2" s="484"/>
      <c r="MZV2" s="484"/>
      <c r="MZW2" s="484"/>
      <c r="MZX2" s="484"/>
      <c r="MZY2" s="484"/>
      <c r="MZZ2" s="484"/>
      <c r="NAA2" s="484"/>
      <c r="NAB2" s="484"/>
      <c r="NAC2" s="484"/>
      <c r="NAD2" s="484"/>
      <c r="NAE2" s="484"/>
      <c r="NAF2" s="484"/>
      <c r="NAG2" s="484"/>
      <c r="NAH2" s="484"/>
      <c r="NAI2" s="484"/>
      <c r="NAJ2" s="484"/>
      <c r="NAK2" s="484"/>
      <c r="NAL2" s="484"/>
      <c r="NAM2" s="484"/>
      <c r="NAN2" s="484"/>
      <c r="NAO2" s="484"/>
      <c r="NAP2" s="484"/>
      <c r="NAQ2" s="484"/>
      <c r="NAR2" s="484"/>
      <c r="NAS2" s="484"/>
      <c r="NAT2" s="484"/>
      <c r="NAU2" s="484"/>
      <c r="NAV2" s="484"/>
      <c r="NAW2" s="484"/>
      <c r="NAX2" s="484"/>
      <c r="NAY2" s="484"/>
      <c r="NAZ2" s="484"/>
      <c r="NBA2" s="484"/>
      <c r="NBB2" s="484"/>
      <c r="NBC2" s="484"/>
      <c r="NBD2" s="484"/>
      <c r="NBE2" s="484"/>
      <c r="NBF2" s="484"/>
      <c r="NBG2" s="484"/>
      <c r="NBH2" s="484"/>
      <c r="NBI2" s="484"/>
      <c r="NBJ2" s="484"/>
      <c r="NBK2" s="484"/>
      <c r="NBL2" s="484"/>
      <c r="NBM2" s="484"/>
      <c r="NBN2" s="484"/>
      <c r="NBO2" s="484"/>
      <c r="NBP2" s="484"/>
      <c r="NBQ2" s="484"/>
      <c r="NBR2" s="484"/>
      <c r="NBS2" s="484"/>
      <c r="NBT2" s="484"/>
      <c r="NBU2" s="484"/>
      <c r="NBV2" s="484"/>
      <c r="NBW2" s="484"/>
      <c r="NBX2" s="484"/>
      <c r="NBY2" s="484"/>
      <c r="NBZ2" s="484"/>
      <c r="NCA2" s="484"/>
      <c r="NCB2" s="484"/>
      <c r="NCC2" s="484"/>
      <c r="NCD2" s="484"/>
      <c r="NCE2" s="484"/>
      <c r="NCF2" s="484"/>
      <c r="NCG2" s="484"/>
      <c r="NCH2" s="484"/>
      <c r="NCI2" s="484"/>
      <c r="NCJ2" s="484"/>
      <c r="NCK2" s="484"/>
      <c r="NCL2" s="484"/>
      <c r="NCM2" s="484"/>
      <c r="NCN2" s="484"/>
      <c r="NCO2" s="484"/>
      <c r="NCP2" s="484"/>
      <c r="NCQ2" s="484"/>
      <c r="NCR2" s="484"/>
      <c r="NCS2" s="484"/>
      <c r="NCT2" s="484"/>
      <c r="NCU2" s="484"/>
      <c r="NCV2" s="484"/>
      <c r="NCW2" s="484"/>
      <c r="NCX2" s="484"/>
      <c r="NCY2" s="484"/>
      <c r="NCZ2" s="484"/>
      <c r="NDA2" s="484"/>
      <c r="NDB2" s="484"/>
      <c r="NDC2" s="484"/>
      <c r="NDD2" s="484"/>
      <c r="NDE2" s="484"/>
      <c r="NDF2" s="484"/>
      <c r="NDG2" s="484"/>
      <c r="NDH2" s="484"/>
      <c r="NDI2" s="484"/>
      <c r="NDJ2" s="484"/>
      <c r="NDK2" s="484"/>
      <c r="NDL2" s="484"/>
      <c r="NDM2" s="484"/>
      <c r="NDN2" s="484"/>
      <c r="NDO2" s="484"/>
      <c r="NDP2" s="484"/>
      <c r="NDQ2" s="484"/>
      <c r="NDR2" s="484"/>
      <c r="NDS2" s="484"/>
      <c r="NDT2" s="484"/>
      <c r="NDU2" s="484"/>
      <c r="NDV2" s="484"/>
      <c r="NDW2" s="484"/>
      <c r="NDX2" s="484"/>
      <c r="NDY2" s="484"/>
      <c r="NDZ2" s="484"/>
      <c r="NEA2" s="484"/>
      <c r="NEB2" s="484"/>
      <c r="NEC2" s="484"/>
      <c r="NED2" s="484"/>
      <c r="NEE2" s="484"/>
      <c r="NEF2" s="484"/>
      <c r="NEG2" s="484"/>
      <c r="NEH2" s="484"/>
      <c r="NEI2" s="484"/>
      <c r="NEJ2" s="484"/>
      <c r="NEK2" s="484"/>
      <c r="NEL2" s="484"/>
      <c r="NEM2" s="484"/>
      <c r="NEN2" s="484"/>
      <c r="NEO2" s="484"/>
      <c r="NEP2" s="484"/>
      <c r="NEQ2" s="484"/>
      <c r="NER2" s="484"/>
      <c r="NES2" s="484"/>
      <c r="NET2" s="484"/>
      <c r="NEU2" s="484"/>
      <c r="NEV2" s="484"/>
      <c r="NEW2" s="484"/>
      <c r="NEX2" s="484"/>
      <c r="NEY2" s="484"/>
      <c r="NEZ2" s="484"/>
      <c r="NFA2" s="484"/>
      <c r="NFB2" s="484"/>
      <c r="NFC2" s="484"/>
      <c r="NFD2" s="484"/>
      <c r="NFE2" s="484"/>
      <c r="NFF2" s="484"/>
      <c r="NFG2" s="484"/>
      <c r="NFH2" s="484"/>
      <c r="NFI2" s="484"/>
      <c r="NFJ2" s="484"/>
      <c r="NFK2" s="484"/>
      <c r="NFL2" s="484"/>
      <c r="NFM2" s="484"/>
      <c r="NFN2" s="484"/>
      <c r="NFO2" s="484"/>
      <c r="NFP2" s="484"/>
      <c r="NFQ2" s="484"/>
      <c r="NFR2" s="484"/>
      <c r="NFS2" s="484"/>
      <c r="NFT2" s="484"/>
      <c r="NFU2" s="484"/>
      <c r="NFV2" s="484"/>
      <c r="NFW2" s="484"/>
      <c r="NFX2" s="484"/>
      <c r="NFY2" s="484"/>
      <c r="NFZ2" s="484"/>
      <c r="NGA2" s="484"/>
      <c r="NGB2" s="484"/>
      <c r="NGC2" s="484"/>
      <c r="NGD2" s="484"/>
      <c r="NGE2" s="484"/>
      <c r="NGF2" s="484"/>
      <c r="NGG2" s="484"/>
      <c r="NGH2" s="484"/>
      <c r="NGI2" s="484"/>
      <c r="NGJ2" s="484"/>
      <c r="NGK2" s="484"/>
      <c r="NGL2" s="484"/>
      <c r="NGM2" s="484"/>
      <c r="NGN2" s="484"/>
      <c r="NGO2" s="484"/>
      <c r="NGP2" s="484"/>
      <c r="NGQ2" s="484"/>
      <c r="NGR2" s="484"/>
      <c r="NGS2" s="484"/>
      <c r="NGT2" s="484"/>
      <c r="NGU2" s="484"/>
      <c r="NGV2" s="484"/>
      <c r="NGW2" s="484"/>
      <c r="NGX2" s="484"/>
      <c r="NGY2" s="484"/>
      <c r="NGZ2" s="484"/>
      <c r="NHA2" s="484"/>
      <c r="NHB2" s="484"/>
      <c r="NHC2" s="484"/>
      <c r="NHD2" s="484"/>
      <c r="NHE2" s="484"/>
      <c r="NHF2" s="484"/>
      <c r="NHG2" s="484"/>
      <c r="NHH2" s="484"/>
      <c r="NHI2" s="484"/>
      <c r="NHJ2" s="484"/>
      <c r="NHK2" s="484"/>
      <c r="NHL2" s="484"/>
      <c r="NHM2" s="484"/>
      <c r="NHN2" s="484"/>
      <c r="NHO2" s="484"/>
      <c r="NHP2" s="484"/>
      <c r="NHQ2" s="484"/>
      <c r="NHR2" s="484"/>
      <c r="NHS2" s="484"/>
      <c r="NHT2" s="484"/>
      <c r="NHU2" s="484"/>
      <c r="NHV2" s="484"/>
      <c r="NHW2" s="484"/>
      <c r="NHX2" s="484"/>
      <c r="NHY2" s="484"/>
      <c r="NHZ2" s="484"/>
      <c r="NIA2" s="484"/>
      <c r="NIB2" s="484"/>
      <c r="NIC2" s="484"/>
      <c r="NID2" s="484"/>
      <c r="NIE2" s="484"/>
      <c r="NIF2" s="484"/>
      <c r="NIG2" s="484"/>
      <c r="NIH2" s="484"/>
      <c r="NII2" s="484"/>
      <c r="NIJ2" s="484"/>
      <c r="NIK2" s="484"/>
      <c r="NIL2" s="484"/>
      <c r="NIM2" s="484"/>
      <c r="NIN2" s="484"/>
      <c r="NIO2" s="484"/>
      <c r="NIP2" s="484"/>
      <c r="NIQ2" s="484"/>
      <c r="NIR2" s="484"/>
      <c r="NIS2" s="484"/>
      <c r="NIT2" s="484"/>
      <c r="NIU2" s="484"/>
      <c r="NIV2" s="484"/>
      <c r="NIW2" s="484"/>
      <c r="NIX2" s="484"/>
      <c r="NIY2" s="484"/>
      <c r="NIZ2" s="484"/>
      <c r="NJA2" s="484"/>
      <c r="NJB2" s="484"/>
      <c r="NJC2" s="484"/>
      <c r="NJD2" s="484"/>
      <c r="NJE2" s="484"/>
      <c r="NJF2" s="484"/>
      <c r="NJG2" s="484"/>
      <c r="NJH2" s="484"/>
      <c r="NJI2" s="484"/>
      <c r="NJJ2" s="484"/>
      <c r="NJK2" s="484"/>
      <c r="NJL2" s="484"/>
      <c r="NJM2" s="484"/>
      <c r="NJN2" s="484"/>
      <c r="NJO2" s="484"/>
      <c r="NJP2" s="484"/>
      <c r="NJQ2" s="484"/>
      <c r="NJR2" s="484"/>
      <c r="NJS2" s="484"/>
      <c r="NJT2" s="484"/>
      <c r="NJU2" s="484"/>
      <c r="NJV2" s="484"/>
      <c r="NJW2" s="484"/>
      <c r="NJX2" s="484"/>
      <c r="NJY2" s="484"/>
      <c r="NJZ2" s="484"/>
      <c r="NKA2" s="484"/>
      <c r="NKB2" s="484"/>
      <c r="NKC2" s="484"/>
      <c r="NKD2" s="484"/>
      <c r="NKE2" s="484"/>
      <c r="NKF2" s="484"/>
      <c r="NKG2" s="484"/>
      <c r="NKH2" s="484"/>
      <c r="NKI2" s="484"/>
      <c r="NKJ2" s="484"/>
      <c r="NKK2" s="484"/>
      <c r="NKL2" s="484"/>
      <c r="NKM2" s="484"/>
      <c r="NKN2" s="484"/>
      <c r="NKO2" s="484"/>
      <c r="NKP2" s="484"/>
      <c r="NKQ2" s="484"/>
      <c r="NKR2" s="484"/>
      <c r="NKS2" s="484"/>
      <c r="NKT2" s="484"/>
      <c r="NKU2" s="484"/>
      <c r="NKV2" s="484"/>
      <c r="NKW2" s="484"/>
      <c r="NKX2" s="484"/>
      <c r="NKY2" s="484"/>
      <c r="NKZ2" s="484"/>
      <c r="NLA2" s="484"/>
      <c r="NLB2" s="484"/>
      <c r="NLC2" s="484"/>
      <c r="NLD2" s="484"/>
      <c r="NLE2" s="484"/>
      <c r="NLF2" s="484"/>
      <c r="NLG2" s="484"/>
      <c r="NLH2" s="484"/>
      <c r="NLI2" s="484"/>
      <c r="NLJ2" s="484"/>
      <c r="NLK2" s="484"/>
      <c r="NLL2" s="484"/>
      <c r="NLM2" s="484"/>
      <c r="NLN2" s="484"/>
      <c r="NLO2" s="484"/>
      <c r="NLP2" s="484"/>
      <c r="NLQ2" s="484"/>
      <c r="NLR2" s="484"/>
      <c r="NLS2" s="484"/>
      <c r="NLT2" s="484"/>
      <c r="NLU2" s="484"/>
      <c r="NLV2" s="484"/>
      <c r="NLW2" s="484"/>
      <c r="NLX2" s="484"/>
      <c r="NLY2" s="484"/>
      <c r="NLZ2" s="484"/>
      <c r="NMA2" s="484"/>
      <c r="NMB2" s="484"/>
      <c r="NMC2" s="484"/>
      <c r="NMD2" s="484"/>
      <c r="NME2" s="484"/>
      <c r="NMF2" s="484"/>
      <c r="NMG2" s="484"/>
      <c r="NMH2" s="484"/>
      <c r="NMI2" s="484"/>
      <c r="NMJ2" s="484"/>
      <c r="NMK2" s="484"/>
      <c r="NML2" s="484"/>
      <c r="NMM2" s="484"/>
      <c r="NMN2" s="484"/>
      <c r="NMO2" s="484"/>
      <c r="NMP2" s="484"/>
      <c r="NMQ2" s="484"/>
      <c r="NMR2" s="484"/>
      <c r="NMS2" s="484"/>
      <c r="NMT2" s="484"/>
      <c r="NMU2" s="484"/>
      <c r="NMV2" s="484"/>
      <c r="NMW2" s="484"/>
      <c r="NMX2" s="484"/>
      <c r="NMY2" s="484"/>
      <c r="NMZ2" s="484"/>
      <c r="NNA2" s="484"/>
      <c r="NNB2" s="484"/>
      <c r="NNC2" s="484"/>
      <c r="NND2" s="484"/>
      <c r="NNE2" s="484"/>
      <c r="NNF2" s="484"/>
      <c r="NNG2" s="484"/>
      <c r="NNH2" s="484"/>
      <c r="NNI2" s="484"/>
      <c r="NNJ2" s="484"/>
      <c r="NNK2" s="484"/>
      <c r="NNL2" s="484"/>
      <c r="NNM2" s="484"/>
      <c r="NNN2" s="484"/>
      <c r="NNO2" s="484"/>
      <c r="NNP2" s="484"/>
      <c r="NNQ2" s="484"/>
      <c r="NNR2" s="484"/>
      <c r="NNS2" s="484"/>
      <c r="NNT2" s="484"/>
      <c r="NNU2" s="484"/>
      <c r="NNV2" s="484"/>
      <c r="NNW2" s="484"/>
      <c r="NNX2" s="484"/>
      <c r="NNY2" s="484"/>
      <c r="NNZ2" s="484"/>
      <c r="NOA2" s="484"/>
      <c r="NOB2" s="484"/>
      <c r="NOC2" s="484"/>
      <c r="NOD2" s="484"/>
      <c r="NOE2" s="484"/>
      <c r="NOF2" s="484"/>
      <c r="NOG2" s="484"/>
      <c r="NOH2" s="484"/>
      <c r="NOI2" s="484"/>
      <c r="NOJ2" s="484"/>
      <c r="NOK2" s="484"/>
      <c r="NOL2" s="484"/>
      <c r="NOM2" s="484"/>
      <c r="NON2" s="484"/>
      <c r="NOO2" s="484"/>
      <c r="NOP2" s="484"/>
      <c r="NOQ2" s="484"/>
      <c r="NOR2" s="484"/>
      <c r="NOS2" s="484"/>
      <c r="NOT2" s="484"/>
      <c r="NOU2" s="484"/>
      <c r="NOV2" s="484"/>
      <c r="NOW2" s="484"/>
      <c r="NOX2" s="484"/>
      <c r="NOY2" s="484"/>
      <c r="NOZ2" s="484"/>
      <c r="NPA2" s="484"/>
      <c r="NPB2" s="484"/>
      <c r="NPC2" s="484"/>
      <c r="NPD2" s="484"/>
      <c r="NPE2" s="484"/>
      <c r="NPF2" s="484"/>
      <c r="NPG2" s="484"/>
      <c r="NPH2" s="484"/>
      <c r="NPI2" s="484"/>
      <c r="NPJ2" s="484"/>
      <c r="NPK2" s="484"/>
      <c r="NPL2" s="484"/>
      <c r="NPM2" s="484"/>
      <c r="NPN2" s="484"/>
      <c r="NPO2" s="484"/>
      <c r="NPP2" s="484"/>
      <c r="NPQ2" s="484"/>
      <c r="NPR2" s="484"/>
      <c r="NPS2" s="484"/>
      <c r="NPT2" s="484"/>
      <c r="NPU2" s="484"/>
      <c r="NPV2" s="484"/>
      <c r="NPW2" s="484"/>
      <c r="NPX2" s="484"/>
      <c r="NPY2" s="484"/>
      <c r="NPZ2" s="484"/>
      <c r="NQA2" s="484"/>
      <c r="NQB2" s="484"/>
      <c r="NQC2" s="484"/>
      <c r="NQD2" s="484"/>
      <c r="NQE2" s="484"/>
      <c r="NQF2" s="484"/>
      <c r="NQG2" s="484"/>
      <c r="NQH2" s="484"/>
      <c r="NQI2" s="484"/>
      <c r="NQJ2" s="484"/>
      <c r="NQK2" s="484"/>
      <c r="NQL2" s="484"/>
      <c r="NQM2" s="484"/>
      <c r="NQN2" s="484"/>
      <c r="NQO2" s="484"/>
      <c r="NQP2" s="484"/>
      <c r="NQQ2" s="484"/>
      <c r="NQR2" s="484"/>
      <c r="NQS2" s="484"/>
      <c r="NQT2" s="484"/>
      <c r="NQU2" s="484"/>
      <c r="NQV2" s="484"/>
      <c r="NQW2" s="484"/>
      <c r="NQX2" s="484"/>
      <c r="NQY2" s="484"/>
      <c r="NQZ2" s="484"/>
      <c r="NRA2" s="484"/>
      <c r="NRB2" s="484"/>
      <c r="NRC2" s="484"/>
      <c r="NRD2" s="484"/>
      <c r="NRE2" s="484"/>
      <c r="NRF2" s="484"/>
      <c r="NRG2" s="484"/>
      <c r="NRH2" s="484"/>
      <c r="NRI2" s="484"/>
      <c r="NRJ2" s="484"/>
      <c r="NRK2" s="484"/>
      <c r="NRL2" s="484"/>
      <c r="NRM2" s="484"/>
      <c r="NRN2" s="484"/>
      <c r="NRO2" s="484"/>
      <c r="NRP2" s="484"/>
      <c r="NRQ2" s="484"/>
      <c r="NRR2" s="484"/>
      <c r="NRS2" s="484"/>
      <c r="NRT2" s="484"/>
      <c r="NRU2" s="484"/>
      <c r="NRV2" s="484"/>
      <c r="NRW2" s="484"/>
      <c r="NRX2" s="484"/>
      <c r="NRY2" s="484"/>
      <c r="NRZ2" s="484"/>
      <c r="NSA2" s="484"/>
      <c r="NSB2" s="484"/>
      <c r="NSC2" s="484"/>
      <c r="NSD2" s="484"/>
      <c r="NSE2" s="484"/>
      <c r="NSF2" s="484"/>
      <c r="NSG2" s="484"/>
      <c r="NSH2" s="484"/>
      <c r="NSI2" s="484"/>
      <c r="NSJ2" s="484"/>
      <c r="NSK2" s="484"/>
      <c r="NSL2" s="484"/>
      <c r="NSM2" s="484"/>
      <c r="NSN2" s="484"/>
      <c r="NSO2" s="484"/>
      <c r="NSP2" s="484"/>
      <c r="NSQ2" s="484"/>
      <c r="NSR2" s="484"/>
      <c r="NSS2" s="484"/>
      <c r="NST2" s="484"/>
      <c r="NSU2" s="484"/>
      <c r="NSV2" s="484"/>
      <c r="NSW2" s="484"/>
      <c r="NSX2" s="484"/>
      <c r="NSY2" s="484"/>
      <c r="NSZ2" s="484"/>
      <c r="NTA2" s="484"/>
      <c r="NTB2" s="484"/>
      <c r="NTC2" s="484"/>
      <c r="NTD2" s="484"/>
      <c r="NTE2" s="484"/>
      <c r="NTF2" s="484"/>
      <c r="NTG2" s="484"/>
      <c r="NTH2" s="484"/>
      <c r="NTI2" s="484"/>
      <c r="NTJ2" s="484"/>
      <c r="NTK2" s="484"/>
      <c r="NTL2" s="484"/>
      <c r="NTM2" s="484"/>
      <c r="NTN2" s="484"/>
      <c r="NTO2" s="484"/>
      <c r="NTP2" s="484"/>
      <c r="NTQ2" s="484"/>
      <c r="NTR2" s="484"/>
      <c r="NTS2" s="484"/>
      <c r="NTT2" s="484"/>
      <c r="NTU2" s="484"/>
      <c r="NTV2" s="484"/>
      <c r="NTW2" s="484"/>
      <c r="NTX2" s="484"/>
      <c r="NTY2" s="484"/>
      <c r="NTZ2" s="484"/>
      <c r="NUA2" s="484"/>
      <c r="NUB2" s="484"/>
      <c r="NUC2" s="484"/>
      <c r="NUD2" s="484"/>
      <c r="NUE2" s="484"/>
      <c r="NUF2" s="484"/>
      <c r="NUG2" s="484"/>
      <c r="NUH2" s="484"/>
      <c r="NUI2" s="484"/>
      <c r="NUJ2" s="484"/>
      <c r="NUK2" s="484"/>
      <c r="NUL2" s="484"/>
      <c r="NUM2" s="484"/>
      <c r="NUN2" s="484"/>
      <c r="NUO2" s="484"/>
      <c r="NUP2" s="484"/>
      <c r="NUQ2" s="484"/>
      <c r="NUR2" s="484"/>
      <c r="NUS2" s="484"/>
      <c r="NUT2" s="484"/>
      <c r="NUU2" s="484"/>
      <c r="NUV2" s="484"/>
      <c r="NUW2" s="484"/>
      <c r="NUX2" s="484"/>
      <c r="NUY2" s="484"/>
      <c r="NUZ2" s="484"/>
      <c r="NVA2" s="484"/>
      <c r="NVB2" s="484"/>
      <c r="NVC2" s="484"/>
      <c r="NVD2" s="484"/>
      <c r="NVE2" s="484"/>
      <c r="NVF2" s="484"/>
      <c r="NVG2" s="484"/>
      <c r="NVH2" s="484"/>
      <c r="NVI2" s="484"/>
      <c r="NVJ2" s="484"/>
      <c r="NVK2" s="484"/>
      <c r="NVL2" s="484"/>
      <c r="NVM2" s="484"/>
      <c r="NVN2" s="484"/>
      <c r="NVO2" s="484"/>
      <c r="NVP2" s="484"/>
      <c r="NVQ2" s="484"/>
      <c r="NVR2" s="484"/>
      <c r="NVS2" s="484"/>
      <c r="NVT2" s="484"/>
      <c r="NVU2" s="484"/>
      <c r="NVV2" s="484"/>
      <c r="NVW2" s="484"/>
      <c r="NVX2" s="484"/>
      <c r="NVY2" s="484"/>
      <c r="NVZ2" s="484"/>
      <c r="NWA2" s="484"/>
      <c r="NWB2" s="484"/>
      <c r="NWC2" s="484"/>
      <c r="NWD2" s="484"/>
      <c r="NWE2" s="484"/>
      <c r="NWF2" s="484"/>
      <c r="NWG2" s="484"/>
      <c r="NWH2" s="484"/>
      <c r="NWI2" s="484"/>
      <c r="NWJ2" s="484"/>
      <c r="NWK2" s="484"/>
      <c r="NWL2" s="484"/>
      <c r="NWM2" s="484"/>
      <c r="NWN2" s="484"/>
      <c r="NWO2" s="484"/>
      <c r="NWP2" s="484"/>
      <c r="NWQ2" s="484"/>
      <c r="NWR2" s="484"/>
      <c r="NWS2" s="484"/>
      <c r="NWT2" s="484"/>
      <c r="NWU2" s="484"/>
      <c r="NWV2" s="484"/>
      <c r="NWW2" s="484"/>
      <c r="NWX2" s="484"/>
      <c r="NWY2" s="484"/>
      <c r="NWZ2" s="484"/>
      <c r="NXA2" s="484"/>
      <c r="NXB2" s="484"/>
      <c r="NXC2" s="484"/>
      <c r="NXD2" s="484"/>
      <c r="NXE2" s="484"/>
      <c r="NXF2" s="484"/>
      <c r="NXG2" s="484"/>
      <c r="NXH2" s="484"/>
      <c r="NXI2" s="484"/>
      <c r="NXJ2" s="484"/>
      <c r="NXK2" s="484"/>
      <c r="NXL2" s="484"/>
      <c r="NXM2" s="484"/>
      <c r="NXN2" s="484"/>
      <c r="NXO2" s="484"/>
      <c r="NXP2" s="484"/>
      <c r="NXQ2" s="484"/>
      <c r="NXR2" s="484"/>
      <c r="NXS2" s="484"/>
      <c r="NXT2" s="484"/>
      <c r="NXU2" s="484"/>
      <c r="NXV2" s="484"/>
      <c r="NXW2" s="484"/>
      <c r="NXX2" s="484"/>
      <c r="NXY2" s="484"/>
      <c r="NXZ2" s="484"/>
      <c r="NYA2" s="484"/>
      <c r="NYB2" s="484"/>
      <c r="NYC2" s="484"/>
      <c r="NYD2" s="484"/>
      <c r="NYE2" s="484"/>
      <c r="NYF2" s="484"/>
      <c r="NYG2" s="484"/>
      <c r="NYH2" s="484"/>
      <c r="NYI2" s="484"/>
      <c r="NYJ2" s="484"/>
      <c r="NYK2" s="484"/>
      <c r="NYL2" s="484"/>
      <c r="NYM2" s="484"/>
      <c r="NYN2" s="484"/>
      <c r="NYO2" s="484"/>
      <c r="NYP2" s="484"/>
      <c r="NYQ2" s="484"/>
      <c r="NYR2" s="484"/>
      <c r="NYS2" s="484"/>
      <c r="NYT2" s="484"/>
      <c r="NYU2" s="484"/>
      <c r="NYV2" s="484"/>
      <c r="NYW2" s="484"/>
      <c r="NYX2" s="484"/>
      <c r="NYY2" s="484"/>
      <c r="NYZ2" s="484"/>
      <c r="NZA2" s="484"/>
      <c r="NZB2" s="484"/>
      <c r="NZC2" s="484"/>
      <c r="NZD2" s="484"/>
      <c r="NZE2" s="484"/>
      <c r="NZF2" s="484"/>
      <c r="NZG2" s="484"/>
      <c r="NZH2" s="484"/>
      <c r="NZI2" s="484"/>
      <c r="NZJ2" s="484"/>
      <c r="NZK2" s="484"/>
      <c r="NZL2" s="484"/>
      <c r="NZM2" s="484"/>
      <c r="NZN2" s="484"/>
      <c r="NZO2" s="484"/>
      <c r="NZP2" s="484"/>
      <c r="NZQ2" s="484"/>
      <c r="NZR2" s="484"/>
      <c r="NZS2" s="484"/>
      <c r="NZT2" s="484"/>
      <c r="NZU2" s="484"/>
      <c r="NZV2" s="484"/>
      <c r="NZW2" s="484"/>
      <c r="NZX2" s="484"/>
      <c r="NZY2" s="484"/>
      <c r="NZZ2" s="484"/>
      <c r="OAA2" s="484"/>
      <c r="OAB2" s="484"/>
      <c r="OAC2" s="484"/>
      <c r="OAD2" s="484"/>
      <c r="OAE2" s="484"/>
      <c r="OAF2" s="484"/>
      <c r="OAG2" s="484"/>
      <c r="OAH2" s="484"/>
      <c r="OAI2" s="484"/>
      <c r="OAJ2" s="484"/>
      <c r="OAK2" s="484"/>
      <c r="OAL2" s="484"/>
      <c r="OAM2" s="484"/>
      <c r="OAN2" s="484"/>
      <c r="OAO2" s="484"/>
      <c r="OAP2" s="484"/>
      <c r="OAQ2" s="484"/>
      <c r="OAR2" s="484"/>
      <c r="OAS2" s="484"/>
      <c r="OAT2" s="484"/>
      <c r="OAU2" s="484"/>
      <c r="OAV2" s="484"/>
      <c r="OAW2" s="484"/>
      <c r="OAX2" s="484"/>
      <c r="OAY2" s="484"/>
      <c r="OAZ2" s="484"/>
      <c r="OBA2" s="484"/>
      <c r="OBB2" s="484"/>
      <c r="OBC2" s="484"/>
      <c r="OBD2" s="484"/>
      <c r="OBE2" s="484"/>
      <c r="OBF2" s="484"/>
      <c r="OBG2" s="484"/>
      <c r="OBH2" s="484"/>
      <c r="OBI2" s="484"/>
      <c r="OBJ2" s="484"/>
      <c r="OBK2" s="484"/>
      <c r="OBL2" s="484"/>
      <c r="OBM2" s="484"/>
      <c r="OBN2" s="484"/>
      <c r="OBO2" s="484"/>
      <c r="OBP2" s="484"/>
      <c r="OBQ2" s="484"/>
      <c r="OBR2" s="484"/>
      <c r="OBS2" s="484"/>
      <c r="OBT2" s="484"/>
      <c r="OBU2" s="484"/>
      <c r="OBV2" s="484"/>
      <c r="OBW2" s="484"/>
      <c r="OBX2" s="484"/>
      <c r="OBY2" s="484"/>
      <c r="OBZ2" s="484"/>
      <c r="OCA2" s="484"/>
      <c r="OCB2" s="484"/>
      <c r="OCC2" s="484"/>
      <c r="OCD2" s="484"/>
      <c r="OCE2" s="484"/>
      <c r="OCF2" s="484"/>
      <c r="OCG2" s="484"/>
      <c r="OCH2" s="484"/>
      <c r="OCI2" s="484"/>
      <c r="OCJ2" s="484"/>
      <c r="OCK2" s="484"/>
      <c r="OCL2" s="484"/>
      <c r="OCM2" s="484"/>
      <c r="OCN2" s="484"/>
      <c r="OCO2" s="484"/>
      <c r="OCP2" s="484"/>
      <c r="OCQ2" s="484"/>
      <c r="OCR2" s="484"/>
      <c r="OCS2" s="484"/>
      <c r="OCT2" s="484"/>
      <c r="OCU2" s="484"/>
      <c r="OCV2" s="484"/>
      <c r="OCW2" s="484"/>
      <c r="OCX2" s="484"/>
      <c r="OCY2" s="484"/>
      <c r="OCZ2" s="484"/>
      <c r="ODA2" s="484"/>
      <c r="ODB2" s="484"/>
      <c r="ODC2" s="484"/>
      <c r="ODD2" s="484"/>
      <c r="ODE2" s="484"/>
      <c r="ODF2" s="484"/>
      <c r="ODG2" s="484"/>
      <c r="ODH2" s="484"/>
      <c r="ODI2" s="484"/>
      <c r="ODJ2" s="484"/>
      <c r="ODK2" s="484"/>
      <c r="ODL2" s="484"/>
      <c r="ODM2" s="484"/>
      <c r="ODN2" s="484"/>
      <c r="ODO2" s="484"/>
      <c r="ODP2" s="484"/>
      <c r="ODQ2" s="484"/>
      <c r="ODR2" s="484"/>
      <c r="ODS2" s="484"/>
      <c r="ODT2" s="484"/>
      <c r="ODU2" s="484"/>
      <c r="ODV2" s="484"/>
      <c r="ODW2" s="484"/>
      <c r="ODX2" s="484"/>
      <c r="ODY2" s="484"/>
      <c r="ODZ2" s="484"/>
      <c r="OEA2" s="484"/>
      <c r="OEB2" s="484"/>
      <c r="OEC2" s="484"/>
      <c r="OED2" s="484"/>
      <c r="OEE2" s="484"/>
      <c r="OEF2" s="484"/>
      <c r="OEG2" s="484"/>
      <c r="OEH2" s="484"/>
      <c r="OEI2" s="484"/>
      <c r="OEJ2" s="484"/>
      <c r="OEK2" s="484"/>
      <c r="OEL2" s="484"/>
      <c r="OEM2" s="484"/>
      <c r="OEN2" s="484"/>
      <c r="OEO2" s="484"/>
      <c r="OEP2" s="484"/>
      <c r="OEQ2" s="484"/>
      <c r="OER2" s="484"/>
      <c r="OES2" s="484"/>
      <c r="OET2" s="484"/>
      <c r="OEU2" s="484"/>
      <c r="OEV2" s="484"/>
      <c r="OEW2" s="484"/>
      <c r="OEX2" s="484"/>
      <c r="OEY2" s="484"/>
      <c r="OEZ2" s="484"/>
      <c r="OFA2" s="484"/>
      <c r="OFB2" s="484"/>
      <c r="OFC2" s="484"/>
      <c r="OFD2" s="484"/>
      <c r="OFE2" s="484"/>
      <c r="OFF2" s="484"/>
      <c r="OFG2" s="484"/>
      <c r="OFH2" s="484"/>
      <c r="OFI2" s="484"/>
      <c r="OFJ2" s="484"/>
      <c r="OFK2" s="484"/>
      <c r="OFL2" s="484"/>
      <c r="OFM2" s="484"/>
      <c r="OFN2" s="484"/>
      <c r="OFO2" s="484"/>
      <c r="OFP2" s="484"/>
      <c r="OFQ2" s="484"/>
      <c r="OFR2" s="484"/>
      <c r="OFS2" s="484"/>
      <c r="OFT2" s="484"/>
      <c r="OFU2" s="484"/>
      <c r="OFV2" s="484"/>
      <c r="OFW2" s="484"/>
      <c r="OFX2" s="484"/>
      <c r="OFY2" s="484"/>
      <c r="OFZ2" s="484"/>
      <c r="OGA2" s="484"/>
      <c r="OGB2" s="484"/>
      <c r="OGC2" s="484"/>
      <c r="OGD2" s="484"/>
      <c r="OGE2" s="484"/>
      <c r="OGF2" s="484"/>
      <c r="OGG2" s="484"/>
      <c r="OGH2" s="484"/>
      <c r="OGI2" s="484"/>
      <c r="OGJ2" s="484"/>
      <c r="OGK2" s="484"/>
      <c r="OGL2" s="484"/>
      <c r="OGM2" s="484"/>
      <c r="OGN2" s="484"/>
      <c r="OGO2" s="484"/>
      <c r="OGP2" s="484"/>
      <c r="OGQ2" s="484"/>
      <c r="OGR2" s="484"/>
      <c r="OGS2" s="484"/>
      <c r="OGT2" s="484"/>
      <c r="OGU2" s="484"/>
      <c r="OGV2" s="484"/>
      <c r="OGW2" s="484"/>
      <c r="OGX2" s="484"/>
      <c r="OGY2" s="484"/>
      <c r="OGZ2" s="484"/>
      <c r="OHA2" s="484"/>
      <c r="OHB2" s="484"/>
      <c r="OHC2" s="484"/>
      <c r="OHD2" s="484"/>
      <c r="OHE2" s="484"/>
      <c r="OHF2" s="484"/>
      <c r="OHG2" s="484"/>
      <c r="OHH2" s="484"/>
      <c r="OHI2" s="484"/>
      <c r="OHJ2" s="484"/>
      <c r="OHK2" s="484"/>
      <c r="OHL2" s="484"/>
      <c r="OHM2" s="484"/>
      <c r="OHN2" s="484"/>
      <c r="OHO2" s="484"/>
      <c r="OHP2" s="484"/>
      <c r="OHQ2" s="484"/>
      <c r="OHR2" s="484"/>
      <c r="OHS2" s="484"/>
      <c r="OHT2" s="484"/>
      <c r="OHU2" s="484"/>
      <c r="OHV2" s="484"/>
      <c r="OHW2" s="484"/>
      <c r="OHX2" s="484"/>
      <c r="OHY2" s="484"/>
      <c r="OHZ2" s="484"/>
      <c r="OIA2" s="484"/>
      <c r="OIB2" s="484"/>
      <c r="OIC2" s="484"/>
      <c r="OID2" s="484"/>
      <c r="OIE2" s="484"/>
      <c r="OIF2" s="484"/>
      <c r="OIG2" s="484"/>
      <c r="OIH2" s="484"/>
      <c r="OII2" s="484"/>
      <c r="OIJ2" s="484"/>
      <c r="OIK2" s="484"/>
      <c r="OIL2" s="484"/>
      <c r="OIM2" s="484"/>
      <c r="OIN2" s="484"/>
      <c r="OIO2" s="484"/>
      <c r="OIP2" s="484"/>
      <c r="OIQ2" s="484"/>
      <c r="OIR2" s="484"/>
      <c r="OIS2" s="484"/>
      <c r="OIT2" s="484"/>
      <c r="OIU2" s="484"/>
      <c r="OIV2" s="484"/>
      <c r="OIW2" s="484"/>
      <c r="OIX2" s="484"/>
      <c r="OIY2" s="484"/>
      <c r="OIZ2" s="484"/>
      <c r="OJA2" s="484"/>
      <c r="OJB2" s="484"/>
      <c r="OJC2" s="484"/>
      <c r="OJD2" s="484"/>
      <c r="OJE2" s="484"/>
      <c r="OJF2" s="484"/>
      <c r="OJG2" s="484"/>
      <c r="OJH2" s="484"/>
      <c r="OJI2" s="484"/>
      <c r="OJJ2" s="484"/>
      <c r="OJK2" s="484"/>
      <c r="OJL2" s="484"/>
      <c r="OJM2" s="484"/>
      <c r="OJN2" s="484"/>
      <c r="OJO2" s="484"/>
      <c r="OJP2" s="484"/>
      <c r="OJQ2" s="484"/>
      <c r="OJR2" s="484"/>
      <c r="OJS2" s="484"/>
      <c r="OJT2" s="484"/>
      <c r="OJU2" s="484"/>
      <c r="OJV2" s="484"/>
      <c r="OJW2" s="484"/>
      <c r="OJX2" s="484"/>
      <c r="OJY2" s="484"/>
      <c r="OJZ2" s="484"/>
      <c r="OKA2" s="484"/>
      <c r="OKB2" s="484"/>
      <c r="OKC2" s="484"/>
      <c r="OKD2" s="484"/>
      <c r="OKE2" s="484"/>
      <c r="OKF2" s="484"/>
      <c r="OKG2" s="484"/>
      <c r="OKH2" s="484"/>
      <c r="OKI2" s="484"/>
      <c r="OKJ2" s="484"/>
      <c r="OKK2" s="484"/>
      <c r="OKL2" s="484"/>
      <c r="OKM2" s="484"/>
      <c r="OKN2" s="484"/>
      <c r="OKO2" s="484"/>
      <c r="OKP2" s="484"/>
      <c r="OKQ2" s="484"/>
      <c r="OKR2" s="484"/>
      <c r="OKS2" s="484"/>
      <c r="OKT2" s="484"/>
      <c r="OKU2" s="484"/>
      <c r="OKV2" s="484"/>
      <c r="OKW2" s="484"/>
      <c r="OKX2" s="484"/>
      <c r="OKY2" s="484"/>
      <c r="OKZ2" s="484"/>
      <c r="OLA2" s="484"/>
      <c r="OLB2" s="484"/>
      <c r="OLC2" s="484"/>
      <c r="OLD2" s="484"/>
      <c r="OLE2" s="484"/>
      <c r="OLF2" s="484"/>
      <c r="OLG2" s="484"/>
      <c r="OLH2" s="484"/>
      <c r="OLI2" s="484"/>
      <c r="OLJ2" s="484"/>
      <c r="OLK2" s="484"/>
      <c r="OLL2" s="484"/>
      <c r="OLM2" s="484"/>
      <c r="OLN2" s="484"/>
      <c r="OLO2" s="484"/>
      <c r="OLP2" s="484"/>
      <c r="OLQ2" s="484"/>
      <c r="OLR2" s="484"/>
      <c r="OLS2" s="484"/>
      <c r="OLT2" s="484"/>
      <c r="OLU2" s="484"/>
      <c r="OLV2" s="484"/>
      <c r="OLW2" s="484"/>
      <c r="OLX2" s="484"/>
      <c r="OLY2" s="484"/>
      <c r="OLZ2" s="484"/>
      <c r="OMA2" s="484"/>
      <c r="OMB2" s="484"/>
      <c r="OMC2" s="484"/>
      <c r="OMD2" s="484"/>
      <c r="OME2" s="484"/>
      <c r="OMF2" s="484"/>
      <c r="OMG2" s="484"/>
      <c r="OMH2" s="484"/>
      <c r="OMI2" s="484"/>
      <c r="OMJ2" s="484"/>
      <c r="OMK2" s="484"/>
      <c r="OML2" s="484"/>
      <c r="OMM2" s="484"/>
      <c r="OMN2" s="484"/>
      <c r="OMO2" s="484"/>
      <c r="OMP2" s="484"/>
      <c r="OMQ2" s="484"/>
      <c r="OMR2" s="484"/>
      <c r="OMS2" s="484"/>
      <c r="OMT2" s="484"/>
      <c r="OMU2" s="484"/>
      <c r="OMV2" s="484"/>
      <c r="OMW2" s="484"/>
      <c r="OMX2" s="484"/>
      <c r="OMY2" s="484"/>
      <c r="OMZ2" s="484"/>
      <c r="ONA2" s="484"/>
      <c r="ONB2" s="484"/>
      <c r="ONC2" s="484"/>
      <c r="OND2" s="484"/>
      <c r="ONE2" s="484"/>
      <c r="ONF2" s="484"/>
      <c r="ONG2" s="484"/>
      <c r="ONH2" s="484"/>
      <c r="ONI2" s="484"/>
      <c r="ONJ2" s="484"/>
      <c r="ONK2" s="484"/>
      <c r="ONL2" s="484"/>
      <c r="ONM2" s="484"/>
      <c r="ONN2" s="484"/>
      <c r="ONO2" s="484"/>
      <c r="ONP2" s="484"/>
      <c r="ONQ2" s="484"/>
      <c r="ONR2" s="484"/>
      <c r="ONS2" s="484"/>
      <c r="ONT2" s="484"/>
      <c r="ONU2" s="484"/>
      <c r="ONV2" s="484"/>
      <c r="ONW2" s="484"/>
      <c r="ONX2" s="484"/>
      <c r="ONY2" s="484"/>
      <c r="ONZ2" s="484"/>
      <c r="OOA2" s="484"/>
      <c r="OOB2" s="484"/>
      <c r="OOC2" s="484"/>
      <c r="OOD2" s="484"/>
      <c r="OOE2" s="484"/>
      <c r="OOF2" s="484"/>
      <c r="OOG2" s="484"/>
      <c r="OOH2" s="484"/>
      <c r="OOI2" s="484"/>
      <c r="OOJ2" s="484"/>
      <c r="OOK2" s="484"/>
      <c r="OOL2" s="484"/>
      <c r="OOM2" s="484"/>
      <c r="OON2" s="484"/>
      <c r="OOO2" s="484"/>
      <c r="OOP2" s="484"/>
      <c r="OOQ2" s="484"/>
      <c r="OOR2" s="484"/>
      <c r="OOS2" s="484"/>
      <c r="OOT2" s="484"/>
      <c r="OOU2" s="484"/>
      <c r="OOV2" s="484"/>
      <c r="OOW2" s="484"/>
      <c r="OOX2" s="484"/>
      <c r="OOY2" s="484"/>
      <c r="OOZ2" s="484"/>
      <c r="OPA2" s="484"/>
      <c r="OPB2" s="484"/>
      <c r="OPC2" s="484"/>
      <c r="OPD2" s="484"/>
      <c r="OPE2" s="484"/>
      <c r="OPF2" s="484"/>
      <c r="OPG2" s="484"/>
      <c r="OPH2" s="484"/>
      <c r="OPI2" s="484"/>
      <c r="OPJ2" s="484"/>
      <c r="OPK2" s="484"/>
      <c r="OPL2" s="484"/>
      <c r="OPM2" s="484"/>
      <c r="OPN2" s="484"/>
      <c r="OPO2" s="484"/>
      <c r="OPP2" s="484"/>
      <c r="OPQ2" s="484"/>
      <c r="OPR2" s="484"/>
      <c r="OPS2" s="484"/>
      <c r="OPT2" s="484"/>
      <c r="OPU2" s="484"/>
      <c r="OPV2" s="484"/>
      <c r="OPW2" s="484"/>
      <c r="OPX2" s="484"/>
      <c r="OPY2" s="484"/>
      <c r="OPZ2" s="484"/>
      <c r="OQA2" s="484"/>
      <c r="OQB2" s="484"/>
      <c r="OQC2" s="484"/>
      <c r="OQD2" s="484"/>
      <c r="OQE2" s="484"/>
      <c r="OQF2" s="484"/>
      <c r="OQG2" s="484"/>
      <c r="OQH2" s="484"/>
      <c r="OQI2" s="484"/>
      <c r="OQJ2" s="484"/>
      <c r="OQK2" s="484"/>
      <c r="OQL2" s="484"/>
      <c r="OQM2" s="484"/>
      <c r="OQN2" s="484"/>
      <c r="OQO2" s="484"/>
      <c r="OQP2" s="484"/>
      <c r="OQQ2" s="484"/>
      <c r="OQR2" s="484"/>
      <c r="OQS2" s="484"/>
      <c r="OQT2" s="484"/>
      <c r="OQU2" s="484"/>
      <c r="OQV2" s="484"/>
      <c r="OQW2" s="484"/>
      <c r="OQX2" s="484"/>
      <c r="OQY2" s="484"/>
      <c r="OQZ2" s="484"/>
      <c r="ORA2" s="484"/>
      <c r="ORB2" s="484"/>
      <c r="ORC2" s="484"/>
      <c r="ORD2" s="484"/>
      <c r="ORE2" s="484"/>
      <c r="ORF2" s="484"/>
      <c r="ORG2" s="484"/>
      <c r="ORH2" s="484"/>
      <c r="ORI2" s="484"/>
      <c r="ORJ2" s="484"/>
      <c r="ORK2" s="484"/>
      <c r="ORL2" s="484"/>
      <c r="ORM2" s="484"/>
      <c r="ORN2" s="484"/>
      <c r="ORO2" s="484"/>
      <c r="ORP2" s="484"/>
      <c r="ORQ2" s="484"/>
      <c r="ORR2" s="484"/>
      <c r="ORS2" s="484"/>
      <c r="ORT2" s="484"/>
      <c r="ORU2" s="484"/>
      <c r="ORV2" s="484"/>
      <c r="ORW2" s="484"/>
      <c r="ORX2" s="484"/>
      <c r="ORY2" s="484"/>
      <c r="ORZ2" s="484"/>
      <c r="OSA2" s="484"/>
      <c r="OSB2" s="484"/>
      <c r="OSC2" s="484"/>
      <c r="OSD2" s="484"/>
      <c r="OSE2" s="484"/>
      <c r="OSF2" s="484"/>
      <c r="OSG2" s="484"/>
      <c r="OSH2" s="484"/>
      <c r="OSI2" s="484"/>
      <c r="OSJ2" s="484"/>
      <c r="OSK2" s="484"/>
      <c r="OSL2" s="484"/>
      <c r="OSM2" s="484"/>
      <c r="OSN2" s="484"/>
      <c r="OSO2" s="484"/>
      <c r="OSP2" s="484"/>
      <c r="OSQ2" s="484"/>
      <c r="OSR2" s="484"/>
      <c r="OSS2" s="484"/>
      <c r="OST2" s="484"/>
      <c r="OSU2" s="484"/>
      <c r="OSV2" s="484"/>
      <c r="OSW2" s="484"/>
      <c r="OSX2" s="484"/>
      <c r="OSY2" s="484"/>
      <c r="OSZ2" s="484"/>
      <c r="OTA2" s="484"/>
      <c r="OTB2" s="484"/>
      <c r="OTC2" s="484"/>
      <c r="OTD2" s="484"/>
      <c r="OTE2" s="484"/>
      <c r="OTF2" s="484"/>
      <c r="OTG2" s="484"/>
      <c r="OTH2" s="484"/>
      <c r="OTI2" s="484"/>
      <c r="OTJ2" s="484"/>
      <c r="OTK2" s="484"/>
      <c r="OTL2" s="484"/>
      <c r="OTM2" s="484"/>
      <c r="OTN2" s="484"/>
      <c r="OTO2" s="484"/>
      <c r="OTP2" s="484"/>
      <c r="OTQ2" s="484"/>
      <c r="OTR2" s="484"/>
      <c r="OTS2" s="484"/>
      <c r="OTT2" s="484"/>
      <c r="OTU2" s="484"/>
      <c r="OTV2" s="484"/>
      <c r="OTW2" s="484"/>
      <c r="OTX2" s="484"/>
      <c r="OTY2" s="484"/>
      <c r="OTZ2" s="484"/>
      <c r="OUA2" s="484"/>
      <c r="OUB2" s="484"/>
      <c r="OUC2" s="484"/>
      <c r="OUD2" s="484"/>
      <c r="OUE2" s="484"/>
      <c r="OUF2" s="484"/>
      <c r="OUG2" s="484"/>
      <c r="OUH2" s="484"/>
      <c r="OUI2" s="484"/>
      <c r="OUJ2" s="484"/>
      <c r="OUK2" s="484"/>
      <c r="OUL2" s="484"/>
      <c r="OUM2" s="484"/>
      <c r="OUN2" s="484"/>
      <c r="OUO2" s="484"/>
      <c r="OUP2" s="484"/>
      <c r="OUQ2" s="484"/>
      <c r="OUR2" s="484"/>
      <c r="OUS2" s="484"/>
      <c r="OUT2" s="484"/>
      <c r="OUU2" s="484"/>
      <c r="OUV2" s="484"/>
      <c r="OUW2" s="484"/>
      <c r="OUX2" s="484"/>
      <c r="OUY2" s="484"/>
      <c r="OUZ2" s="484"/>
      <c r="OVA2" s="484"/>
      <c r="OVB2" s="484"/>
      <c r="OVC2" s="484"/>
      <c r="OVD2" s="484"/>
      <c r="OVE2" s="484"/>
      <c r="OVF2" s="484"/>
      <c r="OVG2" s="484"/>
      <c r="OVH2" s="484"/>
      <c r="OVI2" s="484"/>
      <c r="OVJ2" s="484"/>
      <c r="OVK2" s="484"/>
      <c r="OVL2" s="484"/>
      <c r="OVM2" s="484"/>
      <c r="OVN2" s="484"/>
      <c r="OVO2" s="484"/>
      <c r="OVP2" s="484"/>
      <c r="OVQ2" s="484"/>
      <c r="OVR2" s="484"/>
      <c r="OVS2" s="484"/>
      <c r="OVT2" s="484"/>
      <c r="OVU2" s="484"/>
      <c r="OVV2" s="484"/>
      <c r="OVW2" s="484"/>
      <c r="OVX2" s="484"/>
      <c r="OVY2" s="484"/>
      <c r="OVZ2" s="484"/>
      <c r="OWA2" s="484"/>
      <c r="OWB2" s="484"/>
      <c r="OWC2" s="484"/>
      <c r="OWD2" s="484"/>
      <c r="OWE2" s="484"/>
      <c r="OWF2" s="484"/>
      <c r="OWG2" s="484"/>
      <c r="OWH2" s="484"/>
      <c r="OWI2" s="484"/>
      <c r="OWJ2" s="484"/>
      <c r="OWK2" s="484"/>
      <c r="OWL2" s="484"/>
      <c r="OWM2" s="484"/>
      <c r="OWN2" s="484"/>
      <c r="OWO2" s="484"/>
      <c r="OWP2" s="484"/>
      <c r="OWQ2" s="484"/>
      <c r="OWR2" s="484"/>
      <c r="OWS2" s="484"/>
      <c r="OWT2" s="484"/>
      <c r="OWU2" s="484"/>
      <c r="OWV2" s="484"/>
      <c r="OWW2" s="484"/>
      <c r="OWX2" s="484"/>
      <c r="OWY2" s="484"/>
      <c r="OWZ2" s="484"/>
      <c r="OXA2" s="484"/>
      <c r="OXB2" s="484"/>
      <c r="OXC2" s="484"/>
      <c r="OXD2" s="484"/>
      <c r="OXE2" s="484"/>
      <c r="OXF2" s="484"/>
      <c r="OXG2" s="484"/>
      <c r="OXH2" s="484"/>
      <c r="OXI2" s="484"/>
      <c r="OXJ2" s="484"/>
      <c r="OXK2" s="484"/>
      <c r="OXL2" s="484"/>
      <c r="OXM2" s="484"/>
      <c r="OXN2" s="484"/>
      <c r="OXO2" s="484"/>
      <c r="OXP2" s="484"/>
      <c r="OXQ2" s="484"/>
      <c r="OXR2" s="484"/>
      <c r="OXS2" s="484"/>
      <c r="OXT2" s="484"/>
      <c r="OXU2" s="484"/>
      <c r="OXV2" s="484"/>
      <c r="OXW2" s="484"/>
      <c r="OXX2" s="484"/>
      <c r="OXY2" s="484"/>
      <c r="OXZ2" s="484"/>
      <c r="OYA2" s="484"/>
      <c r="OYB2" s="484"/>
      <c r="OYC2" s="484"/>
      <c r="OYD2" s="484"/>
      <c r="OYE2" s="484"/>
      <c r="OYF2" s="484"/>
      <c r="OYG2" s="484"/>
      <c r="OYH2" s="484"/>
      <c r="OYI2" s="484"/>
      <c r="OYJ2" s="484"/>
      <c r="OYK2" s="484"/>
      <c r="OYL2" s="484"/>
      <c r="OYM2" s="484"/>
      <c r="OYN2" s="484"/>
      <c r="OYO2" s="484"/>
      <c r="OYP2" s="484"/>
      <c r="OYQ2" s="484"/>
      <c r="OYR2" s="484"/>
      <c r="OYS2" s="484"/>
      <c r="OYT2" s="484"/>
      <c r="OYU2" s="484"/>
      <c r="OYV2" s="484"/>
      <c r="OYW2" s="484"/>
      <c r="OYX2" s="484"/>
      <c r="OYY2" s="484"/>
      <c r="OYZ2" s="484"/>
      <c r="OZA2" s="484"/>
      <c r="OZB2" s="484"/>
      <c r="OZC2" s="484"/>
      <c r="OZD2" s="484"/>
      <c r="OZE2" s="484"/>
      <c r="OZF2" s="484"/>
      <c r="OZG2" s="484"/>
      <c r="OZH2" s="484"/>
      <c r="OZI2" s="484"/>
      <c r="OZJ2" s="484"/>
      <c r="OZK2" s="484"/>
      <c r="OZL2" s="484"/>
      <c r="OZM2" s="484"/>
      <c r="OZN2" s="484"/>
      <c r="OZO2" s="484"/>
      <c r="OZP2" s="484"/>
      <c r="OZQ2" s="484"/>
      <c r="OZR2" s="484"/>
      <c r="OZS2" s="484"/>
      <c r="OZT2" s="484"/>
      <c r="OZU2" s="484"/>
      <c r="OZV2" s="484"/>
      <c r="OZW2" s="484"/>
      <c r="OZX2" s="484"/>
      <c r="OZY2" s="484"/>
      <c r="OZZ2" s="484"/>
      <c r="PAA2" s="484"/>
      <c r="PAB2" s="484"/>
      <c r="PAC2" s="484"/>
      <c r="PAD2" s="484"/>
      <c r="PAE2" s="484"/>
      <c r="PAF2" s="484"/>
      <c r="PAG2" s="484"/>
      <c r="PAH2" s="484"/>
      <c r="PAI2" s="484"/>
      <c r="PAJ2" s="484"/>
      <c r="PAK2" s="484"/>
      <c r="PAL2" s="484"/>
      <c r="PAM2" s="484"/>
      <c r="PAN2" s="484"/>
      <c r="PAO2" s="484"/>
      <c r="PAP2" s="484"/>
      <c r="PAQ2" s="484"/>
      <c r="PAR2" s="484"/>
      <c r="PAS2" s="484"/>
      <c r="PAT2" s="484"/>
      <c r="PAU2" s="484"/>
      <c r="PAV2" s="484"/>
      <c r="PAW2" s="484"/>
      <c r="PAX2" s="484"/>
      <c r="PAY2" s="484"/>
      <c r="PAZ2" s="484"/>
      <c r="PBA2" s="484"/>
      <c r="PBB2" s="484"/>
      <c r="PBC2" s="484"/>
      <c r="PBD2" s="484"/>
      <c r="PBE2" s="484"/>
      <c r="PBF2" s="484"/>
      <c r="PBG2" s="484"/>
      <c r="PBH2" s="484"/>
      <c r="PBI2" s="484"/>
      <c r="PBJ2" s="484"/>
      <c r="PBK2" s="484"/>
      <c r="PBL2" s="484"/>
      <c r="PBM2" s="484"/>
      <c r="PBN2" s="484"/>
      <c r="PBO2" s="484"/>
      <c r="PBP2" s="484"/>
      <c r="PBQ2" s="484"/>
      <c r="PBR2" s="484"/>
      <c r="PBS2" s="484"/>
      <c r="PBT2" s="484"/>
      <c r="PBU2" s="484"/>
      <c r="PBV2" s="484"/>
      <c r="PBW2" s="484"/>
      <c r="PBX2" s="484"/>
      <c r="PBY2" s="484"/>
      <c r="PBZ2" s="484"/>
      <c r="PCA2" s="484"/>
      <c r="PCB2" s="484"/>
      <c r="PCC2" s="484"/>
      <c r="PCD2" s="484"/>
      <c r="PCE2" s="484"/>
      <c r="PCF2" s="484"/>
      <c r="PCG2" s="484"/>
      <c r="PCH2" s="484"/>
      <c r="PCI2" s="484"/>
      <c r="PCJ2" s="484"/>
      <c r="PCK2" s="484"/>
      <c r="PCL2" s="484"/>
      <c r="PCM2" s="484"/>
      <c r="PCN2" s="484"/>
      <c r="PCO2" s="484"/>
      <c r="PCP2" s="484"/>
      <c r="PCQ2" s="484"/>
      <c r="PCR2" s="484"/>
      <c r="PCS2" s="484"/>
      <c r="PCT2" s="484"/>
      <c r="PCU2" s="484"/>
      <c r="PCV2" s="484"/>
      <c r="PCW2" s="484"/>
      <c r="PCX2" s="484"/>
      <c r="PCY2" s="484"/>
      <c r="PCZ2" s="484"/>
      <c r="PDA2" s="484"/>
      <c r="PDB2" s="484"/>
      <c r="PDC2" s="484"/>
      <c r="PDD2" s="484"/>
      <c r="PDE2" s="484"/>
      <c r="PDF2" s="484"/>
      <c r="PDG2" s="484"/>
      <c r="PDH2" s="484"/>
      <c r="PDI2" s="484"/>
      <c r="PDJ2" s="484"/>
      <c r="PDK2" s="484"/>
      <c r="PDL2" s="484"/>
      <c r="PDM2" s="484"/>
      <c r="PDN2" s="484"/>
      <c r="PDO2" s="484"/>
      <c r="PDP2" s="484"/>
      <c r="PDQ2" s="484"/>
      <c r="PDR2" s="484"/>
      <c r="PDS2" s="484"/>
      <c r="PDT2" s="484"/>
      <c r="PDU2" s="484"/>
      <c r="PDV2" s="484"/>
      <c r="PDW2" s="484"/>
      <c r="PDX2" s="484"/>
      <c r="PDY2" s="484"/>
      <c r="PDZ2" s="484"/>
      <c r="PEA2" s="484"/>
      <c r="PEB2" s="484"/>
      <c r="PEC2" s="484"/>
      <c r="PED2" s="484"/>
      <c r="PEE2" s="484"/>
      <c r="PEF2" s="484"/>
      <c r="PEG2" s="484"/>
      <c r="PEH2" s="484"/>
      <c r="PEI2" s="484"/>
      <c r="PEJ2" s="484"/>
      <c r="PEK2" s="484"/>
      <c r="PEL2" s="484"/>
      <c r="PEM2" s="484"/>
      <c r="PEN2" s="484"/>
      <c r="PEO2" s="484"/>
      <c r="PEP2" s="484"/>
      <c r="PEQ2" s="484"/>
      <c r="PER2" s="484"/>
      <c r="PES2" s="484"/>
      <c r="PET2" s="484"/>
      <c r="PEU2" s="484"/>
      <c r="PEV2" s="484"/>
      <c r="PEW2" s="484"/>
      <c r="PEX2" s="484"/>
      <c r="PEY2" s="484"/>
      <c r="PEZ2" s="484"/>
      <c r="PFA2" s="484"/>
      <c r="PFB2" s="484"/>
      <c r="PFC2" s="484"/>
      <c r="PFD2" s="484"/>
      <c r="PFE2" s="484"/>
      <c r="PFF2" s="484"/>
      <c r="PFG2" s="484"/>
      <c r="PFH2" s="484"/>
      <c r="PFI2" s="484"/>
      <c r="PFJ2" s="484"/>
      <c r="PFK2" s="484"/>
      <c r="PFL2" s="484"/>
      <c r="PFM2" s="484"/>
      <c r="PFN2" s="484"/>
      <c r="PFO2" s="484"/>
      <c r="PFP2" s="484"/>
      <c r="PFQ2" s="484"/>
      <c r="PFR2" s="484"/>
      <c r="PFS2" s="484"/>
      <c r="PFT2" s="484"/>
      <c r="PFU2" s="484"/>
      <c r="PFV2" s="484"/>
      <c r="PFW2" s="484"/>
      <c r="PFX2" s="484"/>
      <c r="PFY2" s="484"/>
      <c r="PFZ2" s="484"/>
      <c r="PGA2" s="484"/>
      <c r="PGB2" s="484"/>
      <c r="PGC2" s="484"/>
      <c r="PGD2" s="484"/>
      <c r="PGE2" s="484"/>
      <c r="PGF2" s="484"/>
      <c r="PGG2" s="484"/>
      <c r="PGH2" s="484"/>
      <c r="PGI2" s="484"/>
      <c r="PGJ2" s="484"/>
      <c r="PGK2" s="484"/>
      <c r="PGL2" s="484"/>
      <c r="PGM2" s="484"/>
      <c r="PGN2" s="484"/>
      <c r="PGO2" s="484"/>
      <c r="PGP2" s="484"/>
      <c r="PGQ2" s="484"/>
      <c r="PGR2" s="484"/>
      <c r="PGS2" s="484"/>
      <c r="PGT2" s="484"/>
      <c r="PGU2" s="484"/>
      <c r="PGV2" s="484"/>
      <c r="PGW2" s="484"/>
      <c r="PGX2" s="484"/>
      <c r="PGY2" s="484"/>
      <c r="PGZ2" s="484"/>
      <c r="PHA2" s="484"/>
      <c r="PHB2" s="484"/>
      <c r="PHC2" s="484"/>
      <c r="PHD2" s="484"/>
      <c r="PHE2" s="484"/>
      <c r="PHF2" s="484"/>
      <c r="PHG2" s="484"/>
      <c r="PHH2" s="484"/>
      <c r="PHI2" s="484"/>
      <c r="PHJ2" s="484"/>
      <c r="PHK2" s="484"/>
      <c r="PHL2" s="484"/>
      <c r="PHM2" s="484"/>
      <c r="PHN2" s="484"/>
      <c r="PHO2" s="484"/>
      <c r="PHP2" s="484"/>
      <c r="PHQ2" s="484"/>
      <c r="PHR2" s="484"/>
      <c r="PHS2" s="484"/>
      <c r="PHT2" s="484"/>
      <c r="PHU2" s="484"/>
      <c r="PHV2" s="484"/>
      <c r="PHW2" s="484"/>
      <c r="PHX2" s="484"/>
      <c r="PHY2" s="484"/>
      <c r="PHZ2" s="484"/>
      <c r="PIA2" s="484"/>
      <c r="PIB2" s="484"/>
      <c r="PIC2" s="484"/>
      <c r="PID2" s="484"/>
      <c r="PIE2" s="484"/>
      <c r="PIF2" s="484"/>
      <c r="PIG2" s="484"/>
      <c r="PIH2" s="484"/>
      <c r="PII2" s="484"/>
      <c r="PIJ2" s="484"/>
      <c r="PIK2" s="484"/>
      <c r="PIL2" s="484"/>
      <c r="PIM2" s="484"/>
      <c r="PIN2" s="484"/>
      <c r="PIO2" s="484"/>
      <c r="PIP2" s="484"/>
      <c r="PIQ2" s="484"/>
      <c r="PIR2" s="484"/>
      <c r="PIS2" s="484"/>
      <c r="PIT2" s="484"/>
      <c r="PIU2" s="484"/>
      <c r="PIV2" s="484"/>
      <c r="PIW2" s="484"/>
      <c r="PIX2" s="484"/>
      <c r="PIY2" s="484"/>
      <c r="PIZ2" s="484"/>
      <c r="PJA2" s="484"/>
      <c r="PJB2" s="484"/>
      <c r="PJC2" s="484"/>
      <c r="PJD2" s="484"/>
      <c r="PJE2" s="484"/>
      <c r="PJF2" s="484"/>
      <c r="PJG2" s="484"/>
      <c r="PJH2" s="484"/>
      <c r="PJI2" s="484"/>
      <c r="PJJ2" s="484"/>
      <c r="PJK2" s="484"/>
      <c r="PJL2" s="484"/>
      <c r="PJM2" s="484"/>
      <c r="PJN2" s="484"/>
      <c r="PJO2" s="484"/>
      <c r="PJP2" s="484"/>
      <c r="PJQ2" s="484"/>
      <c r="PJR2" s="484"/>
      <c r="PJS2" s="484"/>
      <c r="PJT2" s="484"/>
      <c r="PJU2" s="484"/>
      <c r="PJV2" s="484"/>
      <c r="PJW2" s="484"/>
      <c r="PJX2" s="484"/>
      <c r="PJY2" s="484"/>
      <c r="PJZ2" s="484"/>
      <c r="PKA2" s="484"/>
      <c r="PKB2" s="484"/>
      <c r="PKC2" s="484"/>
      <c r="PKD2" s="484"/>
      <c r="PKE2" s="484"/>
      <c r="PKF2" s="484"/>
      <c r="PKG2" s="484"/>
      <c r="PKH2" s="484"/>
      <c r="PKI2" s="484"/>
      <c r="PKJ2" s="484"/>
      <c r="PKK2" s="484"/>
      <c r="PKL2" s="484"/>
      <c r="PKM2" s="484"/>
      <c r="PKN2" s="484"/>
      <c r="PKO2" s="484"/>
      <c r="PKP2" s="484"/>
      <c r="PKQ2" s="484"/>
      <c r="PKR2" s="484"/>
      <c r="PKS2" s="484"/>
      <c r="PKT2" s="484"/>
      <c r="PKU2" s="484"/>
      <c r="PKV2" s="484"/>
      <c r="PKW2" s="484"/>
      <c r="PKX2" s="484"/>
      <c r="PKY2" s="484"/>
      <c r="PKZ2" s="484"/>
      <c r="PLA2" s="484"/>
      <c r="PLB2" s="484"/>
      <c r="PLC2" s="484"/>
      <c r="PLD2" s="484"/>
      <c r="PLE2" s="484"/>
      <c r="PLF2" s="484"/>
      <c r="PLG2" s="484"/>
      <c r="PLH2" s="484"/>
      <c r="PLI2" s="484"/>
      <c r="PLJ2" s="484"/>
      <c r="PLK2" s="484"/>
      <c r="PLL2" s="484"/>
      <c r="PLM2" s="484"/>
      <c r="PLN2" s="484"/>
      <c r="PLO2" s="484"/>
      <c r="PLP2" s="484"/>
      <c r="PLQ2" s="484"/>
      <c r="PLR2" s="484"/>
      <c r="PLS2" s="484"/>
      <c r="PLT2" s="484"/>
      <c r="PLU2" s="484"/>
      <c r="PLV2" s="484"/>
      <c r="PLW2" s="484"/>
      <c r="PLX2" s="484"/>
      <c r="PLY2" s="484"/>
      <c r="PLZ2" s="484"/>
      <c r="PMA2" s="484"/>
      <c r="PMB2" s="484"/>
      <c r="PMC2" s="484"/>
      <c r="PMD2" s="484"/>
      <c r="PME2" s="484"/>
      <c r="PMF2" s="484"/>
      <c r="PMG2" s="484"/>
      <c r="PMH2" s="484"/>
      <c r="PMI2" s="484"/>
      <c r="PMJ2" s="484"/>
      <c r="PMK2" s="484"/>
      <c r="PML2" s="484"/>
      <c r="PMM2" s="484"/>
      <c r="PMN2" s="484"/>
      <c r="PMO2" s="484"/>
      <c r="PMP2" s="484"/>
      <c r="PMQ2" s="484"/>
      <c r="PMR2" s="484"/>
      <c r="PMS2" s="484"/>
      <c r="PMT2" s="484"/>
      <c r="PMU2" s="484"/>
      <c r="PMV2" s="484"/>
      <c r="PMW2" s="484"/>
      <c r="PMX2" s="484"/>
      <c r="PMY2" s="484"/>
      <c r="PMZ2" s="484"/>
      <c r="PNA2" s="484"/>
      <c r="PNB2" s="484"/>
      <c r="PNC2" s="484"/>
      <c r="PND2" s="484"/>
      <c r="PNE2" s="484"/>
      <c r="PNF2" s="484"/>
      <c r="PNG2" s="484"/>
      <c r="PNH2" s="484"/>
      <c r="PNI2" s="484"/>
      <c r="PNJ2" s="484"/>
      <c r="PNK2" s="484"/>
      <c r="PNL2" s="484"/>
      <c r="PNM2" s="484"/>
      <c r="PNN2" s="484"/>
      <c r="PNO2" s="484"/>
      <c r="PNP2" s="484"/>
      <c r="PNQ2" s="484"/>
      <c r="PNR2" s="484"/>
      <c r="PNS2" s="484"/>
      <c r="PNT2" s="484"/>
      <c r="PNU2" s="484"/>
      <c r="PNV2" s="484"/>
      <c r="PNW2" s="484"/>
      <c r="PNX2" s="484"/>
      <c r="PNY2" s="484"/>
      <c r="PNZ2" s="484"/>
      <c r="POA2" s="484"/>
      <c r="POB2" s="484"/>
      <c r="POC2" s="484"/>
      <c r="POD2" s="484"/>
      <c r="POE2" s="484"/>
      <c r="POF2" s="484"/>
      <c r="POG2" s="484"/>
      <c r="POH2" s="484"/>
      <c r="POI2" s="484"/>
      <c r="POJ2" s="484"/>
      <c r="POK2" s="484"/>
      <c r="POL2" s="484"/>
      <c r="POM2" s="484"/>
      <c r="PON2" s="484"/>
      <c r="POO2" s="484"/>
      <c r="POP2" s="484"/>
      <c r="POQ2" s="484"/>
      <c r="POR2" s="484"/>
      <c r="POS2" s="484"/>
      <c r="POT2" s="484"/>
      <c r="POU2" s="484"/>
      <c r="POV2" s="484"/>
      <c r="POW2" s="484"/>
      <c r="POX2" s="484"/>
      <c r="POY2" s="484"/>
      <c r="POZ2" s="484"/>
      <c r="PPA2" s="484"/>
      <c r="PPB2" s="484"/>
      <c r="PPC2" s="484"/>
      <c r="PPD2" s="484"/>
      <c r="PPE2" s="484"/>
      <c r="PPF2" s="484"/>
      <c r="PPG2" s="484"/>
      <c r="PPH2" s="484"/>
      <c r="PPI2" s="484"/>
      <c r="PPJ2" s="484"/>
      <c r="PPK2" s="484"/>
      <c r="PPL2" s="484"/>
      <c r="PPM2" s="484"/>
      <c r="PPN2" s="484"/>
      <c r="PPO2" s="484"/>
      <c r="PPP2" s="484"/>
      <c r="PPQ2" s="484"/>
      <c r="PPR2" s="484"/>
      <c r="PPS2" s="484"/>
      <c r="PPT2" s="484"/>
      <c r="PPU2" s="484"/>
      <c r="PPV2" s="484"/>
      <c r="PPW2" s="484"/>
      <c r="PPX2" s="484"/>
      <c r="PPY2" s="484"/>
      <c r="PPZ2" s="484"/>
      <c r="PQA2" s="484"/>
      <c r="PQB2" s="484"/>
      <c r="PQC2" s="484"/>
      <c r="PQD2" s="484"/>
      <c r="PQE2" s="484"/>
      <c r="PQF2" s="484"/>
      <c r="PQG2" s="484"/>
      <c r="PQH2" s="484"/>
      <c r="PQI2" s="484"/>
      <c r="PQJ2" s="484"/>
      <c r="PQK2" s="484"/>
      <c r="PQL2" s="484"/>
      <c r="PQM2" s="484"/>
      <c r="PQN2" s="484"/>
      <c r="PQO2" s="484"/>
      <c r="PQP2" s="484"/>
      <c r="PQQ2" s="484"/>
      <c r="PQR2" s="484"/>
      <c r="PQS2" s="484"/>
      <c r="PQT2" s="484"/>
      <c r="PQU2" s="484"/>
      <c r="PQV2" s="484"/>
      <c r="PQW2" s="484"/>
      <c r="PQX2" s="484"/>
      <c r="PQY2" s="484"/>
      <c r="PQZ2" s="484"/>
      <c r="PRA2" s="484"/>
      <c r="PRB2" s="484"/>
      <c r="PRC2" s="484"/>
      <c r="PRD2" s="484"/>
      <c r="PRE2" s="484"/>
      <c r="PRF2" s="484"/>
      <c r="PRG2" s="484"/>
      <c r="PRH2" s="484"/>
      <c r="PRI2" s="484"/>
      <c r="PRJ2" s="484"/>
      <c r="PRK2" s="484"/>
      <c r="PRL2" s="484"/>
      <c r="PRM2" s="484"/>
      <c r="PRN2" s="484"/>
      <c r="PRO2" s="484"/>
      <c r="PRP2" s="484"/>
      <c r="PRQ2" s="484"/>
      <c r="PRR2" s="484"/>
      <c r="PRS2" s="484"/>
      <c r="PRT2" s="484"/>
      <c r="PRU2" s="484"/>
      <c r="PRV2" s="484"/>
      <c r="PRW2" s="484"/>
      <c r="PRX2" s="484"/>
      <c r="PRY2" s="484"/>
      <c r="PRZ2" s="484"/>
      <c r="PSA2" s="484"/>
      <c r="PSB2" s="484"/>
      <c r="PSC2" s="484"/>
      <c r="PSD2" s="484"/>
      <c r="PSE2" s="484"/>
      <c r="PSF2" s="484"/>
      <c r="PSG2" s="484"/>
      <c r="PSH2" s="484"/>
      <c r="PSI2" s="484"/>
      <c r="PSJ2" s="484"/>
      <c r="PSK2" s="484"/>
      <c r="PSL2" s="484"/>
      <c r="PSM2" s="484"/>
      <c r="PSN2" s="484"/>
      <c r="PSO2" s="484"/>
      <c r="PSP2" s="484"/>
      <c r="PSQ2" s="484"/>
      <c r="PSR2" s="484"/>
      <c r="PSS2" s="484"/>
      <c r="PST2" s="484"/>
      <c r="PSU2" s="484"/>
      <c r="PSV2" s="484"/>
      <c r="PSW2" s="484"/>
      <c r="PSX2" s="484"/>
      <c r="PSY2" s="484"/>
      <c r="PSZ2" s="484"/>
      <c r="PTA2" s="484"/>
      <c r="PTB2" s="484"/>
      <c r="PTC2" s="484"/>
      <c r="PTD2" s="484"/>
      <c r="PTE2" s="484"/>
      <c r="PTF2" s="484"/>
      <c r="PTG2" s="484"/>
      <c r="PTH2" s="484"/>
      <c r="PTI2" s="484"/>
      <c r="PTJ2" s="484"/>
      <c r="PTK2" s="484"/>
      <c r="PTL2" s="484"/>
      <c r="PTM2" s="484"/>
      <c r="PTN2" s="484"/>
      <c r="PTO2" s="484"/>
      <c r="PTP2" s="484"/>
      <c r="PTQ2" s="484"/>
      <c r="PTR2" s="484"/>
      <c r="PTS2" s="484"/>
      <c r="PTT2" s="484"/>
      <c r="PTU2" s="484"/>
      <c r="PTV2" s="484"/>
      <c r="PTW2" s="484"/>
      <c r="PTX2" s="484"/>
      <c r="PTY2" s="484"/>
      <c r="PTZ2" s="484"/>
      <c r="PUA2" s="484"/>
      <c r="PUB2" s="484"/>
      <c r="PUC2" s="484"/>
      <c r="PUD2" s="484"/>
      <c r="PUE2" s="484"/>
      <c r="PUF2" s="484"/>
      <c r="PUG2" s="484"/>
      <c r="PUH2" s="484"/>
      <c r="PUI2" s="484"/>
      <c r="PUJ2" s="484"/>
      <c r="PUK2" s="484"/>
      <c r="PUL2" s="484"/>
      <c r="PUM2" s="484"/>
      <c r="PUN2" s="484"/>
      <c r="PUO2" s="484"/>
      <c r="PUP2" s="484"/>
      <c r="PUQ2" s="484"/>
      <c r="PUR2" s="484"/>
      <c r="PUS2" s="484"/>
      <c r="PUT2" s="484"/>
      <c r="PUU2" s="484"/>
      <c r="PUV2" s="484"/>
      <c r="PUW2" s="484"/>
      <c r="PUX2" s="484"/>
      <c r="PUY2" s="484"/>
      <c r="PUZ2" s="484"/>
      <c r="PVA2" s="484"/>
      <c r="PVB2" s="484"/>
      <c r="PVC2" s="484"/>
      <c r="PVD2" s="484"/>
      <c r="PVE2" s="484"/>
      <c r="PVF2" s="484"/>
      <c r="PVG2" s="484"/>
      <c r="PVH2" s="484"/>
      <c r="PVI2" s="484"/>
      <c r="PVJ2" s="484"/>
      <c r="PVK2" s="484"/>
      <c r="PVL2" s="484"/>
      <c r="PVM2" s="484"/>
      <c r="PVN2" s="484"/>
      <c r="PVO2" s="484"/>
      <c r="PVP2" s="484"/>
      <c r="PVQ2" s="484"/>
      <c r="PVR2" s="484"/>
      <c r="PVS2" s="484"/>
      <c r="PVT2" s="484"/>
      <c r="PVU2" s="484"/>
      <c r="PVV2" s="484"/>
      <c r="PVW2" s="484"/>
      <c r="PVX2" s="484"/>
      <c r="PVY2" s="484"/>
      <c r="PVZ2" s="484"/>
      <c r="PWA2" s="484"/>
      <c r="PWB2" s="484"/>
      <c r="PWC2" s="484"/>
      <c r="PWD2" s="484"/>
      <c r="PWE2" s="484"/>
      <c r="PWF2" s="484"/>
      <c r="PWG2" s="484"/>
      <c r="PWH2" s="484"/>
      <c r="PWI2" s="484"/>
      <c r="PWJ2" s="484"/>
      <c r="PWK2" s="484"/>
      <c r="PWL2" s="484"/>
      <c r="PWM2" s="484"/>
      <c r="PWN2" s="484"/>
      <c r="PWO2" s="484"/>
      <c r="PWP2" s="484"/>
      <c r="PWQ2" s="484"/>
      <c r="PWR2" s="484"/>
      <c r="PWS2" s="484"/>
      <c r="PWT2" s="484"/>
      <c r="PWU2" s="484"/>
      <c r="PWV2" s="484"/>
      <c r="PWW2" s="484"/>
      <c r="PWX2" s="484"/>
      <c r="PWY2" s="484"/>
      <c r="PWZ2" s="484"/>
      <c r="PXA2" s="484"/>
      <c r="PXB2" s="484"/>
      <c r="PXC2" s="484"/>
      <c r="PXD2" s="484"/>
      <c r="PXE2" s="484"/>
      <c r="PXF2" s="484"/>
      <c r="PXG2" s="484"/>
      <c r="PXH2" s="484"/>
      <c r="PXI2" s="484"/>
      <c r="PXJ2" s="484"/>
      <c r="PXK2" s="484"/>
      <c r="PXL2" s="484"/>
      <c r="PXM2" s="484"/>
      <c r="PXN2" s="484"/>
      <c r="PXO2" s="484"/>
      <c r="PXP2" s="484"/>
      <c r="PXQ2" s="484"/>
      <c r="PXR2" s="484"/>
      <c r="PXS2" s="484"/>
      <c r="PXT2" s="484"/>
      <c r="PXU2" s="484"/>
      <c r="PXV2" s="484"/>
      <c r="PXW2" s="484"/>
      <c r="PXX2" s="484"/>
      <c r="PXY2" s="484"/>
      <c r="PXZ2" s="484"/>
      <c r="PYA2" s="484"/>
      <c r="PYB2" s="484"/>
      <c r="PYC2" s="484"/>
      <c r="PYD2" s="484"/>
      <c r="PYE2" s="484"/>
      <c r="PYF2" s="484"/>
      <c r="PYG2" s="484"/>
      <c r="PYH2" s="484"/>
      <c r="PYI2" s="484"/>
      <c r="PYJ2" s="484"/>
      <c r="PYK2" s="484"/>
      <c r="PYL2" s="484"/>
      <c r="PYM2" s="484"/>
      <c r="PYN2" s="484"/>
      <c r="PYO2" s="484"/>
      <c r="PYP2" s="484"/>
      <c r="PYQ2" s="484"/>
      <c r="PYR2" s="484"/>
      <c r="PYS2" s="484"/>
      <c r="PYT2" s="484"/>
      <c r="PYU2" s="484"/>
      <c r="PYV2" s="484"/>
      <c r="PYW2" s="484"/>
      <c r="PYX2" s="484"/>
      <c r="PYY2" s="484"/>
      <c r="PYZ2" s="484"/>
      <c r="PZA2" s="484"/>
      <c r="PZB2" s="484"/>
      <c r="PZC2" s="484"/>
      <c r="PZD2" s="484"/>
      <c r="PZE2" s="484"/>
      <c r="PZF2" s="484"/>
      <c r="PZG2" s="484"/>
      <c r="PZH2" s="484"/>
      <c r="PZI2" s="484"/>
      <c r="PZJ2" s="484"/>
      <c r="PZK2" s="484"/>
      <c r="PZL2" s="484"/>
      <c r="PZM2" s="484"/>
      <c r="PZN2" s="484"/>
      <c r="PZO2" s="484"/>
      <c r="PZP2" s="484"/>
      <c r="PZQ2" s="484"/>
      <c r="PZR2" s="484"/>
      <c r="PZS2" s="484"/>
      <c r="PZT2" s="484"/>
      <c r="PZU2" s="484"/>
      <c r="PZV2" s="484"/>
      <c r="PZW2" s="484"/>
      <c r="PZX2" s="484"/>
      <c r="PZY2" s="484"/>
      <c r="PZZ2" s="484"/>
      <c r="QAA2" s="484"/>
      <c r="QAB2" s="484"/>
      <c r="QAC2" s="484"/>
      <c r="QAD2" s="484"/>
      <c r="QAE2" s="484"/>
      <c r="QAF2" s="484"/>
      <c r="QAG2" s="484"/>
      <c r="QAH2" s="484"/>
      <c r="QAI2" s="484"/>
      <c r="QAJ2" s="484"/>
      <c r="QAK2" s="484"/>
      <c r="QAL2" s="484"/>
      <c r="QAM2" s="484"/>
      <c r="QAN2" s="484"/>
      <c r="QAO2" s="484"/>
      <c r="QAP2" s="484"/>
      <c r="QAQ2" s="484"/>
      <c r="QAR2" s="484"/>
      <c r="QAS2" s="484"/>
      <c r="QAT2" s="484"/>
      <c r="QAU2" s="484"/>
      <c r="QAV2" s="484"/>
      <c r="QAW2" s="484"/>
      <c r="QAX2" s="484"/>
      <c r="QAY2" s="484"/>
      <c r="QAZ2" s="484"/>
      <c r="QBA2" s="484"/>
      <c r="QBB2" s="484"/>
      <c r="QBC2" s="484"/>
      <c r="QBD2" s="484"/>
      <c r="QBE2" s="484"/>
      <c r="QBF2" s="484"/>
      <c r="QBG2" s="484"/>
      <c r="QBH2" s="484"/>
      <c r="QBI2" s="484"/>
      <c r="QBJ2" s="484"/>
      <c r="QBK2" s="484"/>
      <c r="QBL2" s="484"/>
      <c r="QBM2" s="484"/>
      <c r="QBN2" s="484"/>
      <c r="QBO2" s="484"/>
      <c r="QBP2" s="484"/>
      <c r="QBQ2" s="484"/>
      <c r="QBR2" s="484"/>
      <c r="QBS2" s="484"/>
      <c r="QBT2" s="484"/>
      <c r="QBU2" s="484"/>
      <c r="QBV2" s="484"/>
      <c r="QBW2" s="484"/>
      <c r="QBX2" s="484"/>
      <c r="QBY2" s="484"/>
      <c r="QBZ2" s="484"/>
      <c r="QCA2" s="484"/>
      <c r="QCB2" s="484"/>
      <c r="QCC2" s="484"/>
      <c r="QCD2" s="484"/>
      <c r="QCE2" s="484"/>
      <c r="QCF2" s="484"/>
      <c r="QCG2" s="484"/>
      <c r="QCH2" s="484"/>
      <c r="QCI2" s="484"/>
      <c r="QCJ2" s="484"/>
      <c r="QCK2" s="484"/>
      <c r="QCL2" s="484"/>
      <c r="QCM2" s="484"/>
      <c r="QCN2" s="484"/>
      <c r="QCO2" s="484"/>
      <c r="QCP2" s="484"/>
      <c r="QCQ2" s="484"/>
      <c r="QCR2" s="484"/>
      <c r="QCS2" s="484"/>
      <c r="QCT2" s="484"/>
      <c r="QCU2" s="484"/>
      <c r="QCV2" s="484"/>
      <c r="QCW2" s="484"/>
      <c r="QCX2" s="484"/>
      <c r="QCY2" s="484"/>
      <c r="QCZ2" s="484"/>
      <c r="QDA2" s="484"/>
      <c r="QDB2" s="484"/>
      <c r="QDC2" s="484"/>
      <c r="QDD2" s="484"/>
      <c r="QDE2" s="484"/>
      <c r="QDF2" s="484"/>
      <c r="QDG2" s="484"/>
      <c r="QDH2" s="484"/>
      <c r="QDI2" s="484"/>
      <c r="QDJ2" s="484"/>
      <c r="QDK2" s="484"/>
      <c r="QDL2" s="484"/>
      <c r="QDM2" s="484"/>
      <c r="QDN2" s="484"/>
      <c r="QDO2" s="484"/>
      <c r="QDP2" s="484"/>
      <c r="QDQ2" s="484"/>
      <c r="QDR2" s="484"/>
      <c r="QDS2" s="484"/>
      <c r="QDT2" s="484"/>
      <c r="QDU2" s="484"/>
      <c r="QDV2" s="484"/>
      <c r="QDW2" s="484"/>
      <c r="QDX2" s="484"/>
      <c r="QDY2" s="484"/>
      <c r="QDZ2" s="484"/>
      <c r="QEA2" s="484"/>
      <c r="QEB2" s="484"/>
      <c r="QEC2" s="484"/>
      <c r="QED2" s="484"/>
      <c r="QEE2" s="484"/>
      <c r="QEF2" s="484"/>
      <c r="QEG2" s="484"/>
      <c r="QEH2" s="484"/>
      <c r="QEI2" s="484"/>
      <c r="QEJ2" s="484"/>
      <c r="QEK2" s="484"/>
      <c r="QEL2" s="484"/>
      <c r="QEM2" s="484"/>
      <c r="QEN2" s="484"/>
      <c r="QEO2" s="484"/>
      <c r="QEP2" s="484"/>
      <c r="QEQ2" s="484"/>
      <c r="QER2" s="484"/>
      <c r="QES2" s="484"/>
      <c r="QET2" s="484"/>
      <c r="QEU2" s="484"/>
      <c r="QEV2" s="484"/>
      <c r="QEW2" s="484"/>
      <c r="QEX2" s="484"/>
      <c r="QEY2" s="484"/>
      <c r="QEZ2" s="484"/>
      <c r="QFA2" s="484"/>
      <c r="QFB2" s="484"/>
      <c r="QFC2" s="484"/>
      <c r="QFD2" s="484"/>
      <c r="QFE2" s="484"/>
      <c r="QFF2" s="484"/>
      <c r="QFG2" s="484"/>
      <c r="QFH2" s="484"/>
      <c r="QFI2" s="484"/>
      <c r="QFJ2" s="484"/>
      <c r="QFK2" s="484"/>
      <c r="QFL2" s="484"/>
      <c r="QFM2" s="484"/>
      <c r="QFN2" s="484"/>
      <c r="QFO2" s="484"/>
      <c r="QFP2" s="484"/>
      <c r="QFQ2" s="484"/>
      <c r="QFR2" s="484"/>
      <c r="QFS2" s="484"/>
      <c r="QFT2" s="484"/>
      <c r="QFU2" s="484"/>
      <c r="QFV2" s="484"/>
      <c r="QFW2" s="484"/>
      <c r="QFX2" s="484"/>
      <c r="QFY2" s="484"/>
      <c r="QFZ2" s="484"/>
      <c r="QGA2" s="484"/>
      <c r="QGB2" s="484"/>
      <c r="QGC2" s="484"/>
      <c r="QGD2" s="484"/>
      <c r="QGE2" s="484"/>
      <c r="QGF2" s="484"/>
      <c r="QGG2" s="484"/>
      <c r="QGH2" s="484"/>
      <c r="QGI2" s="484"/>
      <c r="QGJ2" s="484"/>
      <c r="QGK2" s="484"/>
      <c r="QGL2" s="484"/>
      <c r="QGM2" s="484"/>
      <c r="QGN2" s="484"/>
      <c r="QGO2" s="484"/>
      <c r="QGP2" s="484"/>
      <c r="QGQ2" s="484"/>
      <c r="QGR2" s="484"/>
      <c r="QGS2" s="484"/>
      <c r="QGT2" s="484"/>
      <c r="QGU2" s="484"/>
      <c r="QGV2" s="484"/>
      <c r="QGW2" s="484"/>
      <c r="QGX2" s="484"/>
      <c r="QGY2" s="484"/>
      <c r="QGZ2" s="484"/>
      <c r="QHA2" s="484"/>
      <c r="QHB2" s="484"/>
      <c r="QHC2" s="484"/>
      <c r="QHD2" s="484"/>
      <c r="QHE2" s="484"/>
      <c r="QHF2" s="484"/>
      <c r="QHG2" s="484"/>
      <c r="QHH2" s="484"/>
      <c r="QHI2" s="484"/>
      <c r="QHJ2" s="484"/>
      <c r="QHK2" s="484"/>
      <c r="QHL2" s="484"/>
      <c r="QHM2" s="484"/>
      <c r="QHN2" s="484"/>
      <c r="QHO2" s="484"/>
      <c r="QHP2" s="484"/>
      <c r="QHQ2" s="484"/>
      <c r="QHR2" s="484"/>
      <c r="QHS2" s="484"/>
      <c r="QHT2" s="484"/>
      <c r="QHU2" s="484"/>
      <c r="QHV2" s="484"/>
      <c r="QHW2" s="484"/>
      <c r="QHX2" s="484"/>
      <c r="QHY2" s="484"/>
      <c r="QHZ2" s="484"/>
      <c r="QIA2" s="484"/>
      <c r="QIB2" s="484"/>
      <c r="QIC2" s="484"/>
      <c r="QID2" s="484"/>
      <c r="QIE2" s="484"/>
      <c r="QIF2" s="484"/>
      <c r="QIG2" s="484"/>
      <c r="QIH2" s="484"/>
      <c r="QII2" s="484"/>
      <c r="QIJ2" s="484"/>
      <c r="QIK2" s="484"/>
      <c r="QIL2" s="484"/>
      <c r="QIM2" s="484"/>
      <c r="QIN2" s="484"/>
      <c r="QIO2" s="484"/>
      <c r="QIP2" s="484"/>
      <c r="QIQ2" s="484"/>
      <c r="QIR2" s="484"/>
      <c r="QIS2" s="484"/>
      <c r="QIT2" s="484"/>
      <c r="QIU2" s="484"/>
      <c r="QIV2" s="484"/>
      <c r="QIW2" s="484"/>
      <c r="QIX2" s="484"/>
      <c r="QIY2" s="484"/>
      <c r="QIZ2" s="484"/>
      <c r="QJA2" s="484"/>
      <c r="QJB2" s="484"/>
      <c r="QJC2" s="484"/>
      <c r="QJD2" s="484"/>
      <c r="QJE2" s="484"/>
      <c r="QJF2" s="484"/>
      <c r="QJG2" s="484"/>
      <c r="QJH2" s="484"/>
      <c r="QJI2" s="484"/>
      <c r="QJJ2" s="484"/>
      <c r="QJK2" s="484"/>
      <c r="QJL2" s="484"/>
      <c r="QJM2" s="484"/>
      <c r="QJN2" s="484"/>
      <c r="QJO2" s="484"/>
      <c r="QJP2" s="484"/>
      <c r="QJQ2" s="484"/>
      <c r="QJR2" s="484"/>
      <c r="QJS2" s="484"/>
      <c r="QJT2" s="484"/>
      <c r="QJU2" s="484"/>
      <c r="QJV2" s="484"/>
      <c r="QJW2" s="484"/>
      <c r="QJX2" s="484"/>
      <c r="QJY2" s="484"/>
      <c r="QJZ2" s="484"/>
      <c r="QKA2" s="484"/>
      <c r="QKB2" s="484"/>
      <c r="QKC2" s="484"/>
      <c r="QKD2" s="484"/>
      <c r="QKE2" s="484"/>
      <c r="QKF2" s="484"/>
      <c r="QKG2" s="484"/>
      <c r="QKH2" s="484"/>
      <c r="QKI2" s="484"/>
      <c r="QKJ2" s="484"/>
      <c r="QKK2" s="484"/>
      <c r="QKL2" s="484"/>
      <c r="QKM2" s="484"/>
      <c r="QKN2" s="484"/>
      <c r="QKO2" s="484"/>
      <c r="QKP2" s="484"/>
      <c r="QKQ2" s="484"/>
      <c r="QKR2" s="484"/>
      <c r="QKS2" s="484"/>
      <c r="QKT2" s="484"/>
      <c r="QKU2" s="484"/>
      <c r="QKV2" s="484"/>
      <c r="QKW2" s="484"/>
      <c r="QKX2" s="484"/>
      <c r="QKY2" s="484"/>
      <c r="QKZ2" s="484"/>
      <c r="QLA2" s="484"/>
      <c r="QLB2" s="484"/>
      <c r="QLC2" s="484"/>
      <c r="QLD2" s="484"/>
      <c r="QLE2" s="484"/>
      <c r="QLF2" s="484"/>
      <c r="QLG2" s="484"/>
      <c r="QLH2" s="484"/>
      <c r="QLI2" s="484"/>
      <c r="QLJ2" s="484"/>
      <c r="QLK2" s="484"/>
      <c r="QLL2" s="484"/>
      <c r="QLM2" s="484"/>
      <c r="QLN2" s="484"/>
      <c r="QLO2" s="484"/>
      <c r="QLP2" s="484"/>
      <c r="QLQ2" s="484"/>
      <c r="QLR2" s="484"/>
      <c r="QLS2" s="484"/>
      <c r="QLT2" s="484"/>
      <c r="QLU2" s="484"/>
      <c r="QLV2" s="484"/>
      <c r="QLW2" s="484"/>
      <c r="QLX2" s="484"/>
      <c r="QLY2" s="484"/>
      <c r="QLZ2" s="484"/>
      <c r="QMA2" s="484"/>
      <c r="QMB2" s="484"/>
      <c r="QMC2" s="484"/>
      <c r="QMD2" s="484"/>
      <c r="QME2" s="484"/>
      <c r="QMF2" s="484"/>
      <c r="QMG2" s="484"/>
      <c r="QMH2" s="484"/>
      <c r="QMI2" s="484"/>
      <c r="QMJ2" s="484"/>
      <c r="QMK2" s="484"/>
      <c r="QML2" s="484"/>
      <c r="QMM2" s="484"/>
      <c r="QMN2" s="484"/>
      <c r="QMO2" s="484"/>
      <c r="QMP2" s="484"/>
      <c r="QMQ2" s="484"/>
      <c r="QMR2" s="484"/>
      <c r="QMS2" s="484"/>
      <c r="QMT2" s="484"/>
      <c r="QMU2" s="484"/>
      <c r="QMV2" s="484"/>
      <c r="QMW2" s="484"/>
      <c r="QMX2" s="484"/>
      <c r="QMY2" s="484"/>
      <c r="QMZ2" s="484"/>
      <c r="QNA2" s="484"/>
      <c r="QNB2" s="484"/>
      <c r="QNC2" s="484"/>
      <c r="QND2" s="484"/>
      <c r="QNE2" s="484"/>
      <c r="QNF2" s="484"/>
      <c r="QNG2" s="484"/>
      <c r="QNH2" s="484"/>
      <c r="QNI2" s="484"/>
      <c r="QNJ2" s="484"/>
      <c r="QNK2" s="484"/>
      <c r="QNL2" s="484"/>
      <c r="QNM2" s="484"/>
      <c r="QNN2" s="484"/>
      <c r="QNO2" s="484"/>
      <c r="QNP2" s="484"/>
      <c r="QNQ2" s="484"/>
      <c r="QNR2" s="484"/>
      <c r="QNS2" s="484"/>
      <c r="QNT2" s="484"/>
      <c r="QNU2" s="484"/>
      <c r="QNV2" s="484"/>
      <c r="QNW2" s="484"/>
      <c r="QNX2" s="484"/>
      <c r="QNY2" s="484"/>
      <c r="QNZ2" s="484"/>
      <c r="QOA2" s="484"/>
      <c r="QOB2" s="484"/>
      <c r="QOC2" s="484"/>
      <c r="QOD2" s="484"/>
      <c r="QOE2" s="484"/>
      <c r="QOF2" s="484"/>
      <c r="QOG2" s="484"/>
      <c r="QOH2" s="484"/>
      <c r="QOI2" s="484"/>
      <c r="QOJ2" s="484"/>
      <c r="QOK2" s="484"/>
      <c r="QOL2" s="484"/>
      <c r="QOM2" s="484"/>
      <c r="QON2" s="484"/>
      <c r="QOO2" s="484"/>
      <c r="QOP2" s="484"/>
      <c r="QOQ2" s="484"/>
      <c r="QOR2" s="484"/>
      <c r="QOS2" s="484"/>
      <c r="QOT2" s="484"/>
      <c r="QOU2" s="484"/>
      <c r="QOV2" s="484"/>
      <c r="QOW2" s="484"/>
      <c r="QOX2" s="484"/>
      <c r="QOY2" s="484"/>
      <c r="QOZ2" s="484"/>
      <c r="QPA2" s="484"/>
      <c r="QPB2" s="484"/>
      <c r="QPC2" s="484"/>
      <c r="QPD2" s="484"/>
      <c r="QPE2" s="484"/>
      <c r="QPF2" s="484"/>
      <c r="QPG2" s="484"/>
      <c r="QPH2" s="484"/>
      <c r="QPI2" s="484"/>
      <c r="QPJ2" s="484"/>
      <c r="QPK2" s="484"/>
      <c r="QPL2" s="484"/>
      <c r="QPM2" s="484"/>
      <c r="QPN2" s="484"/>
      <c r="QPO2" s="484"/>
      <c r="QPP2" s="484"/>
      <c r="QPQ2" s="484"/>
      <c r="QPR2" s="484"/>
      <c r="QPS2" s="484"/>
      <c r="QPT2" s="484"/>
      <c r="QPU2" s="484"/>
      <c r="QPV2" s="484"/>
      <c r="QPW2" s="484"/>
      <c r="QPX2" s="484"/>
      <c r="QPY2" s="484"/>
      <c r="QPZ2" s="484"/>
      <c r="QQA2" s="484"/>
      <c r="QQB2" s="484"/>
      <c r="QQC2" s="484"/>
      <c r="QQD2" s="484"/>
      <c r="QQE2" s="484"/>
      <c r="QQF2" s="484"/>
      <c r="QQG2" s="484"/>
      <c r="QQH2" s="484"/>
      <c r="QQI2" s="484"/>
      <c r="QQJ2" s="484"/>
      <c r="QQK2" s="484"/>
      <c r="QQL2" s="484"/>
      <c r="QQM2" s="484"/>
      <c r="QQN2" s="484"/>
      <c r="QQO2" s="484"/>
      <c r="QQP2" s="484"/>
      <c r="QQQ2" s="484"/>
      <c r="QQR2" s="484"/>
      <c r="QQS2" s="484"/>
      <c r="QQT2" s="484"/>
      <c r="QQU2" s="484"/>
      <c r="QQV2" s="484"/>
      <c r="QQW2" s="484"/>
      <c r="QQX2" s="484"/>
      <c r="QQY2" s="484"/>
      <c r="QQZ2" s="484"/>
      <c r="QRA2" s="484"/>
      <c r="QRB2" s="484"/>
      <c r="QRC2" s="484"/>
      <c r="QRD2" s="484"/>
      <c r="QRE2" s="484"/>
      <c r="QRF2" s="484"/>
      <c r="QRG2" s="484"/>
      <c r="QRH2" s="484"/>
      <c r="QRI2" s="484"/>
      <c r="QRJ2" s="484"/>
      <c r="QRK2" s="484"/>
      <c r="QRL2" s="484"/>
      <c r="QRM2" s="484"/>
      <c r="QRN2" s="484"/>
      <c r="QRO2" s="484"/>
      <c r="QRP2" s="484"/>
      <c r="QRQ2" s="484"/>
      <c r="QRR2" s="484"/>
      <c r="QRS2" s="484"/>
      <c r="QRT2" s="484"/>
      <c r="QRU2" s="484"/>
      <c r="QRV2" s="484"/>
      <c r="QRW2" s="484"/>
      <c r="QRX2" s="484"/>
      <c r="QRY2" s="484"/>
      <c r="QRZ2" s="484"/>
      <c r="QSA2" s="484"/>
      <c r="QSB2" s="484"/>
      <c r="QSC2" s="484"/>
      <c r="QSD2" s="484"/>
      <c r="QSE2" s="484"/>
      <c r="QSF2" s="484"/>
      <c r="QSG2" s="484"/>
      <c r="QSH2" s="484"/>
      <c r="QSI2" s="484"/>
      <c r="QSJ2" s="484"/>
      <c r="QSK2" s="484"/>
      <c r="QSL2" s="484"/>
      <c r="QSM2" s="484"/>
      <c r="QSN2" s="484"/>
      <c r="QSO2" s="484"/>
      <c r="QSP2" s="484"/>
      <c r="QSQ2" s="484"/>
      <c r="QSR2" s="484"/>
      <c r="QSS2" s="484"/>
      <c r="QST2" s="484"/>
      <c r="QSU2" s="484"/>
      <c r="QSV2" s="484"/>
      <c r="QSW2" s="484"/>
      <c r="QSX2" s="484"/>
      <c r="QSY2" s="484"/>
      <c r="QSZ2" s="484"/>
      <c r="QTA2" s="484"/>
      <c r="QTB2" s="484"/>
      <c r="QTC2" s="484"/>
      <c r="QTD2" s="484"/>
      <c r="QTE2" s="484"/>
      <c r="QTF2" s="484"/>
      <c r="QTG2" s="484"/>
      <c r="QTH2" s="484"/>
      <c r="QTI2" s="484"/>
      <c r="QTJ2" s="484"/>
      <c r="QTK2" s="484"/>
      <c r="QTL2" s="484"/>
      <c r="QTM2" s="484"/>
      <c r="QTN2" s="484"/>
      <c r="QTO2" s="484"/>
      <c r="QTP2" s="484"/>
      <c r="QTQ2" s="484"/>
      <c r="QTR2" s="484"/>
      <c r="QTS2" s="484"/>
      <c r="QTT2" s="484"/>
      <c r="QTU2" s="484"/>
      <c r="QTV2" s="484"/>
      <c r="QTW2" s="484"/>
      <c r="QTX2" s="484"/>
      <c r="QTY2" s="484"/>
      <c r="QTZ2" s="484"/>
      <c r="QUA2" s="484"/>
      <c r="QUB2" s="484"/>
      <c r="QUC2" s="484"/>
      <c r="QUD2" s="484"/>
      <c r="QUE2" s="484"/>
      <c r="QUF2" s="484"/>
      <c r="QUG2" s="484"/>
      <c r="QUH2" s="484"/>
      <c r="QUI2" s="484"/>
      <c r="QUJ2" s="484"/>
      <c r="QUK2" s="484"/>
      <c r="QUL2" s="484"/>
      <c r="QUM2" s="484"/>
      <c r="QUN2" s="484"/>
      <c r="QUO2" s="484"/>
      <c r="QUP2" s="484"/>
      <c r="QUQ2" s="484"/>
      <c r="QUR2" s="484"/>
      <c r="QUS2" s="484"/>
      <c r="QUT2" s="484"/>
      <c r="QUU2" s="484"/>
      <c r="QUV2" s="484"/>
      <c r="QUW2" s="484"/>
      <c r="QUX2" s="484"/>
      <c r="QUY2" s="484"/>
      <c r="QUZ2" s="484"/>
      <c r="QVA2" s="484"/>
      <c r="QVB2" s="484"/>
      <c r="QVC2" s="484"/>
      <c r="QVD2" s="484"/>
      <c r="QVE2" s="484"/>
      <c r="QVF2" s="484"/>
      <c r="QVG2" s="484"/>
      <c r="QVH2" s="484"/>
      <c r="QVI2" s="484"/>
      <c r="QVJ2" s="484"/>
      <c r="QVK2" s="484"/>
      <c r="QVL2" s="484"/>
      <c r="QVM2" s="484"/>
      <c r="QVN2" s="484"/>
      <c r="QVO2" s="484"/>
      <c r="QVP2" s="484"/>
      <c r="QVQ2" s="484"/>
      <c r="QVR2" s="484"/>
      <c r="QVS2" s="484"/>
      <c r="QVT2" s="484"/>
      <c r="QVU2" s="484"/>
      <c r="QVV2" s="484"/>
      <c r="QVW2" s="484"/>
      <c r="QVX2" s="484"/>
      <c r="QVY2" s="484"/>
      <c r="QVZ2" s="484"/>
      <c r="QWA2" s="484"/>
      <c r="QWB2" s="484"/>
      <c r="QWC2" s="484"/>
      <c r="QWD2" s="484"/>
      <c r="QWE2" s="484"/>
      <c r="QWF2" s="484"/>
      <c r="QWG2" s="484"/>
      <c r="QWH2" s="484"/>
      <c r="QWI2" s="484"/>
      <c r="QWJ2" s="484"/>
      <c r="QWK2" s="484"/>
      <c r="QWL2" s="484"/>
      <c r="QWM2" s="484"/>
      <c r="QWN2" s="484"/>
      <c r="QWO2" s="484"/>
      <c r="QWP2" s="484"/>
      <c r="QWQ2" s="484"/>
      <c r="QWR2" s="484"/>
      <c r="QWS2" s="484"/>
      <c r="QWT2" s="484"/>
      <c r="QWU2" s="484"/>
      <c r="QWV2" s="484"/>
      <c r="QWW2" s="484"/>
      <c r="QWX2" s="484"/>
      <c r="QWY2" s="484"/>
      <c r="QWZ2" s="484"/>
      <c r="QXA2" s="484"/>
      <c r="QXB2" s="484"/>
      <c r="QXC2" s="484"/>
      <c r="QXD2" s="484"/>
      <c r="QXE2" s="484"/>
      <c r="QXF2" s="484"/>
      <c r="QXG2" s="484"/>
      <c r="QXH2" s="484"/>
      <c r="QXI2" s="484"/>
      <c r="QXJ2" s="484"/>
      <c r="QXK2" s="484"/>
      <c r="QXL2" s="484"/>
      <c r="QXM2" s="484"/>
      <c r="QXN2" s="484"/>
      <c r="QXO2" s="484"/>
      <c r="QXP2" s="484"/>
      <c r="QXQ2" s="484"/>
      <c r="QXR2" s="484"/>
      <c r="QXS2" s="484"/>
      <c r="QXT2" s="484"/>
      <c r="QXU2" s="484"/>
      <c r="QXV2" s="484"/>
      <c r="QXW2" s="484"/>
      <c r="QXX2" s="484"/>
      <c r="QXY2" s="484"/>
      <c r="QXZ2" s="484"/>
      <c r="QYA2" s="484"/>
      <c r="QYB2" s="484"/>
      <c r="QYC2" s="484"/>
      <c r="QYD2" s="484"/>
      <c r="QYE2" s="484"/>
      <c r="QYF2" s="484"/>
      <c r="QYG2" s="484"/>
      <c r="QYH2" s="484"/>
      <c r="QYI2" s="484"/>
      <c r="QYJ2" s="484"/>
      <c r="QYK2" s="484"/>
      <c r="QYL2" s="484"/>
      <c r="QYM2" s="484"/>
      <c r="QYN2" s="484"/>
      <c r="QYO2" s="484"/>
      <c r="QYP2" s="484"/>
      <c r="QYQ2" s="484"/>
      <c r="QYR2" s="484"/>
      <c r="QYS2" s="484"/>
      <c r="QYT2" s="484"/>
      <c r="QYU2" s="484"/>
      <c r="QYV2" s="484"/>
      <c r="QYW2" s="484"/>
      <c r="QYX2" s="484"/>
      <c r="QYY2" s="484"/>
      <c r="QYZ2" s="484"/>
      <c r="QZA2" s="484"/>
      <c r="QZB2" s="484"/>
      <c r="QZC2" s="484"/>
      <c r="QZD2" s="484"/>
      <c r="QZE2" s="484"/>
      <c r="QZF2" s="484"/>
      <c r="QZG2" s="484"/>
      <c r="QZH2" s="484"/>
      <c r="QZI2" s="484"/>
      <c r="QZJ2" s="484"/>
      <c r="QZK2" s="484"/>
      <c r="QZL2" s="484"/>
      <c r="QZM2" s="484"/>
      <c r="QZN2" s="484"/>
      <c r="QZO2" s="484"/>
      <c r="QZP2" s="484"/>
      <c r="QZQ2" s="484"/>
      <c r="QZR2" s="484"/>
      <c r="QZS2" s="484"/>
      <c r="QZT2" s="484"/>
      <c r="QZU2" s="484"/>
      <c r="QZV2" s="484"/>
      <c r="QZW2" s="484"/>
      <c r="QZX2" s="484"/>
      <c r="QZY2" s="484"/>
      <c r="QZZ2" s="484"/>
      <c r="RAA2" s="484"/>
      <c r="RAB2" s="484"/>
      <c r="RAC2" s="484"/>
      <c r="RAD2" s="484"/>
      <c r="RAE2" s="484"/>
      <c r="RAF2" s="484"/>
      <c r="RAG2" s="484"/>
      <c r="RAH2" s="484"/>
      <c r="RAI2" s="484"/>
      <c r="RAJ2" s="484"/>
      <c r="RAK2" s="484"/>
      <c r="RAL2" s="484"/>
      <c r="RAM2" s="484"/>
      <c r="RAN2" s="484"/>
      <c r="RAO2" s="484"/>
      <c r="RAP2" s="484"/>
      <c r="RAQ2" s="484"/>
      <c r="RAR2" s="484"/>
      <c r="RAS2" s="484"/>
      <c r="RAT2" s="484"/>
      <c r="RAU2" s="484"/>
      <c r="RAV2" s="484"/>
      <c r="RAW2" s="484"/>
      <c r="RAX2" s="484"/>
      <c r="RAY2" s="484"/>
      <c r="RAZ2" s="484"/>
      <c r="RBA2" s="484"/>
      <c r="RBB2" s="484"/>
      <c r="RBC2" s="484"/>
      <c r="RBD2" s="484"/>
      <c r="RBE2" s="484"/>
      <c r="RBF2" s="484"/>
      <c r="RBG2" s="484"/>
      <c r="RBH2" s="484"/>
      <c r="RBI2" s="484"/>
      <c r="RBJ2" s="484"/>
      <c r="RBK2" s="484"/>
      <c r="RBL2" s="484"/>
      <c r="RBM2" s="484"/>
      <c r="RBN2" s="484"/>
      <c r="RBO2" s="484"/>
      <c r="RBP2" s="484"/>
      <c r="RBQ2" s="484"/>
      <c r="RBR2" s="484"/>
      <c r="RBS2" s="484"/>
      <c r="RBT2" s="484"/>
      <c r="RBU2" s="484"/>
      <c r="RBV2" s="484"/>
      <c r="RBW2" s="484"/>
      <c r="RBX2" s="484"/>
      <c r="RBY2" s="484"/>
      <c r="RBZ2" s="484"/>
      <c r="RCA2" s="484"/>
      <c r="RCB2" s="484"/>
      <c r="RCC2" s="484"/>
      <c r="RCD2" s="484"/>
      <c r="RCE2" s="484"/>
      <c r="RCF2" s="484"/>
      <c r="RCG2" s="484"/>
      <c r="RCH2" s="484"/>
      <c r="RCI2" s="484"/>
      <c r="RCJ2" s="484"/>
      <c r="RCK2" s="484"/>
      <c r="RCL2" s="484"/>
      <c r="RCM2" s="484"/>
      <c r="RCN2" s="484"/>
      <c r="RCO2" s="484"/>
      <c r="RCP2" s="484"/>
      <c r="RCQ2" s="484"/>
      <c r="RCR2" s="484"/>
      <c r="RCS2" s="484"/>
      <c r="RCT2" s="484"/>
      <c r="RCU2" s="484"/>
      <c r="RCV2" s="484"/>
      <c r="RCW2" s="484"/>
      <c r="RCX2" s="484"/>
      <c r="RCY2" s="484"/>
      <c r="RCZ2" s="484"/>
      <c r="RDA2" s="484"/>
      <c r="RDB2" s="484"/>
      <c r="RDC2" s="484"/>
      <c r="RDD2" s="484"/>
      <c r="RDE2" s="484"/>
      <c r="RDF2" s="484"/>
      <c r="RDG2" s="484"/>
      <c r="RDH2" s="484"/>
      <c r="RDI2" s="484"/>
      <c r="RDJ2" s="484"/>
      <c r="RDK2" s="484"/>
      <c r="RDL2" s="484"/>
      <c r="RDM2" s="484"/>
      <c r="RDN2" s="484"/>
      <c r="RDO2" s="484"/>
      <c r="RDP2" s="484"/>
      <c r="RDQ2" s="484"/>
      <c r="RDR2" s="484"/>
      <c r="RDS2" s="484"/>
      <c r="RDT2" s="484"/>
      <c r="RDU2" s="484"/>
      <c r="RDV2" s="484"/>
      <c r="RDW2" s="484"/>
      <c r="RDX2" s="484"/>
      <c r="RDY2" s="484"/>
      <c r="RDZ2" s="484"/>
      <c r="REA2" s="484"/>
      <c r="REB2" s="484"/>
      <c r="REC2" s="484"/>
      <c r="RED2" s="484"/>
      <c r="REE2" s="484"/>
      <c r="REF2" s="484"/>
      <c r="REG2" s="484"/>
      <c r="REH2" s="484"/>
      <c r="REI2" s="484"/>
      <c r="REJ2" s="484"/>
      <c r="REK2" s="484"/>
      <c r="REL2" s="484"/>
      <c r="REM2" s="484"/>
      <c r="REN2" s="484"/>
      <c r="REO2" s="484"/>
      <c r="REP2" s="484"/>
      <c r="REQ2" s="484"/>
      <c r="RER2" s="484"/>
      <c r="RES2" s="484"/>
      <c r="RET2" s="484"/>
      <c r="REU2" s="484"/>
      <c r="REV2" s="484"/>
      <c r="REW2" s="484"/>
      <c r="REX2" s="484"/>
      <c r="REY2" s="484"/>
      <c r="REZ2" s="484"/>
      <c r="RFA2" s="484"/>
      <c r="RFB2" s="484"/>
      <c r="RFC2" s="484"/>
      <c r="RFD2" s="484"/>
      <c r="RFE2" s="484"/>
      <c r="RFF2" s="484"/>
      <c r="RFG2" s="484"/>
      <c r="RFH2" s="484"/>
      <c r="RFI2" s="484"/>
      <c r="RFJ2" s="484"/>
      <c r="RFK2" s="484"/>
      <c r="RFL2" s="484"/>
      <c r="RFM2" s="484"/>
      <c r="RFN2" s="484"/>
      <c r="RFO2" s="484"/>
      <c r="RFP2" s="484"/>
      <c r="RFQ2" s="484"/>
      <c r="RFR2" s="484"/>
      <c r="RFS2" s="484"/>
      <c r="RFT2" s="484"/>
      <c r="RFU2" s="484"/>
      <c r="RFV2" s="484"/>
      <c r="RFW2" s="484"/>
      <c r="RFX2" s="484"/>
      <c r="RFY2" s="484"/>
      <c r="RFZ2" s="484"/>
      <c r="RGA2" s="484"/>
      <c r="RGB2" s="484"/>
      <c r="RGC2" s="484"/>
      <c r="RGD2" s="484"/>
      <c r="RGE2" s="484"/>
      <c r="RGF2" s="484"/>
      <c r="RGG2" s="484"/>
      <c r="RGH2" s="484"/>
      <c r="RGI2" s="484"/>
      <c r="RGJ2" s="484"/>
      <c r="RGK2" s="484"/>
      <c r="RGL2" s="484"/>
      <c r="RGM2" s="484"/>
      <c r="RGN2" s="484"/>
      <c r="RGO2" s="484"/>
      <c r="RGP2" s="484"/>
      <c r="RGQ2" s="484"/>
      <c r="RGR2" s="484"/>
      <c r="RGS2" s="484"/>
      <c r="RGT2" s="484"/>
      <c r="RGU2" s="484"/>
      <c r="RGV2" s="484"/>
      <c r="RGW2" s="484"/>
      <c r="RGX2" s="484"/>
      <c r="RGY2" s="484"/>
      <c r="RGZ2" s="484"/>
      <c r="RHA2" s="484"/>
      <c r="RHB2" s="484"/>
      <c r="RHC2" s="484"/>
      <c r="RHD2" s="484"/>
      <c r="RHE2" s="484"/>
      <c r="RHF2" s="484"/>
      <c r="RHG2" s="484"/>
      <c r="RHH2" s="484"/>
      <c r="RHI2" s="484"/>
      <c r="RHJ2" s="484"/>
      <c r="RHK2" s="484"/>
      <c r="RHL2" s="484"/>
      <c r="RHM2" s="484"/>
      <c r="RHN2" s="484"/>
      <c r="RHO2" s="484"/>
      <c r="RHP2" s="484"/>
      <c r="RHQ2" s="484"/>
      <c r="RHR2" s="484"/>
      <c r="RHS2" s="484"/>
      <c r="RHT2" s="484"/>
      <c r="RHU2" s="484"/>
      <c r="RHV2" s="484"/>
      <c r="RHW2" s="484"/>
      <c r="RHX2" s="484"/>
      <c r="RHY2" s="484"/>
      <c r="RHZ2" s="484"/>
      <c r="RIA2" s="484"/>
      <c r="RIB2" s="484"/>
      <c r="RIC2" s="484"/>
      <c r="RID2" s="484"/>
      <c r="RIE2" s="484"/>
      <c r="RIF2" s="484"/>
      <c r="RIG2" s="484"/>
      <c r="RIH2" s="484"/>
      <c r="RII2" s="484"/>
      <c r="RIJ2" s="484"/>
      <c r="RIK2" s="484"/>
      <c r="RIL2" s="484"/>
      <c r="RIM2" s="484"/>
      <c r="RIN2" s="484"/>
      <c r="RIO2" s="484"/>
      <c r="RIP2" s="484"/>
      <c r="RIQ2" s="484"/>
      <c r="RIR2" s="484"/>
      <c r="RIS2" s="484"/>
      <c r="RIT2" s="484"/>
      <c r="RIU2" s="484"/>
      <c r="RIV2" s="484"/>
      <c r="RIW2" s="484"/>
      <c r="RIX2" s="484"/>
      <c r="RIY2" s="484"/>
      <c r="RIZ2" s="484"/>
      <c r="RJA2" s="484"/>
      <c r="RJB2" s="484"/>
      <c r="RJC2" s="484"/>
      <c r="RJD2" s="484"/>
      <c r="RJE2" s="484"/>
      <c r="RJF2" s="484"/>
      <c r="RJG2" s="484"/>
      <c r="RJH2" s="484"/>
      <c r="RJI2" s="484"/>
      <c r="RJJ2" s="484"/>
      <c r="RJK2" s="484"/>
      <c r="RJL2" s="484"/>
      <c r="RJM2" s="484"/>
      <c r="RJN2" s="484"/>
      <c r="RJO2" s="484"/>
      <c r="RJP2" s="484"/>
      <c r="RJQ2" s="484"/>
      <c r="RJR2" s="484"/>
      <c r="RJS2" s="484"/>
      <c r="RJT2" s="484"/>
      <c r="RJU2" s="484"/>
      <c r="RJV2" s="484"/>
      <c r="RJW2" s="484"/>
      <c r="RJX2" s="484"/>
      <c r="RJY2" s="484"/>
      <c r="RJZ2" s="484"/>
      <c r="RKA2" s="484"/>
      <c r="RKB2" s="484"/>
      <c r="RKC2" s="484"/>
      <c r="RKD2" s="484"/>
      <c r="RKE2" s="484"/>
      <c r="RKF2" s="484"/>
      <c r="RKG2" s="484"/>
      <c r="RKH2" s="484"/>
      <c r="RKI2" s="484"/>
      <c r="RKJ2" s="484"/>
      <c r="RKK2" s="484"/>
      <c r="RKL2" s="484"/>
      <c r="RKM2" s="484"/>
      <c r="RKN2" s="484"/>
      <c r="RKO2" s="484"/>
      <c r="RKP2" s="484"/>
      <c r="RKQ2" s="484"/>
      <c r="RKR2" s="484"/>
      <c r="RKS2" s="484"/>
      <c r="RKT2" s="484"/>
      <c r="RKU2" s="484"/>
      <c r="RKV2" s="484"/>
      <c r="RKW2" s="484"/>
      <c r="RKX2" s="484"/>
      <c r="RKY2" s="484"/>
      <c r="RKZ2" s="484"/>
      <c r="RLA2" s="484"/>
      <c r="RLB2" s="484"/>
      <c r="RLC2" s="484"/>
      <c r="RLD2" s="484"/>
      <c r="RLE2" s="484"/>
      <c r="RLF2" s="484"/>
      <c r="RLG2" s="484"/>
      <c r="RLH2" s="484"/>
      <c r="RLI2" s="484"/>
      <c r="RLJ2" s="484"/>
      <c r="RLK2" s="484"/>
      <c r="RLL2" s="484"/>
      <c r="RLM2" s="484"/>
      <c r="RLN2" s="484"/>
      <c r="RLO2" s="484"/>
      <c r="RLP2" s="484"/>
      <c r="RLQ2" s="484"/>
      <c r="RLR2" s="484"/>
      <c r="RLS2" s="484"/>
      <c r="RLT2" s="484"/>
      <c r="RLU2" s="484"/>
      <c r="RLV2" s="484"/>
      <c r="RLW2" s="484"/>
      <c r="RLX2" s="484"/>
      <c r="RLY2" s="484"/>
      <c r="RLZ2" s="484"/>
      <c r="RMA2" s="484"/>
      <c r="RMB2" s="484"/>
      <c r="RMC2" s="484"/>
      <c r="RMD2" s="484"/>
      <c r="RME2" s="484"/>
      <c r="RMF2" s="484"/>
      <c r="RMG2" s="484"/>
      <c r="RMH2" s="484"/>
      <c r="RMI2" s="484"/>
      <c r="RMJ2" s="484"/>
      <c r="RMK2" s="484"/>
      <c r="RML2" s="484"/>
      <c r="RMM2" s="484"/>
      <c r="RMN2" s="484"/>
      <c r="RMO2" s="484"/>
      <c r="RMP2" s="484"/>
      <c r="RMQ2" s="484"/>
      <c r="RMR2" s="484"/>
      <c r="RMS2" s="484"/>
      <c r="RMT2" s="484"/>
      <c r="RMU2" s="484"/>
      <c r="RMV2" s="484"/>
      <c r="RMW2" s="484"/>
      <c r="RMX2" s="484"/>
      <c r="RMY2" s="484"/>
      <c r="RMZ2" s="484"/>
      <c r="RNA2" s="484"/>
      <c r="RNB2" s="484"/>
      <c r="RNC2" s="484"/>
      <c r="RND2" s="484"/>
      <c r="RNE2" s="484"/>
      <c r="RNF2" s="484"/>
      <c r="RNG2" s="484"/>
      <c r="RNH2" s="484"/>
      <c r="RNI2" s="484"/>
      <c r="RNJ2" s="484"/>
      <c r="RNK2" s="484"/>
      <c r="RNL2" s="484"/>
      <c r="RNM2" s="484"/>
      <c r="RNN2" s="484"/>
      <c r="RNO2" s="484"/>
      <c r="RNP2" s="484"/>
      <c r="RNQ2" s="484"/>
      <c r="RNR2" s="484"/>
      <c r="RNS2" s="484"/>
      <c r="RNT2" s="484"/>
      <c r="RNU2" s="484"/>
      <c r="RNV2" s="484"/>
      <c r="RNW2" s="484"/>
      <c r="RNX2" s="484"/>
      <c r="RNY2" s="484"/>
      <c r="RNZ2" s="484"/>
      <c r="ROA2" s="484"/>
      <c r="ROB2" s="484"/>
      <c r="ROC2" s="484"/>
      <c r="ROD2" s="484"/>
      <c r="ROE2" s="484"/>
      <c r="ROF2" s="484"/>
      <c r="ROG2" s="484"/>
      <c r="ROH2" s="484"/>
      <c r="ROI2" s="484"/>
      <c r="ROJ2" s="484"/>
      <c r="ROK2" s="484"/>
      <c r="ROL2" s="484"/>
      <c r="ROM2" s="484"/>
      <c r="RON2" s="484"/>
      <c r="ROO2" s="484"/>
      <c r="ROP2" s="484"/>
      <c r="ROQ2" s="484"/>
      <c r="ROR2" s="484"/>
      <c r="ROS2" s="484"/>
      <c r="ROT2" s="484"/>
      <c r="ROU2" s="484"/>
      <c r="ROV2" s="484"/>
      <c r="ROW2" s="484"/>
      <c r="ROX2" s="484"/>
      <c r="ROY2" s="484"/>
      <c r="ROZ2" s="484"/>
      <c r="RPA2" s="484"/>
      <c r="RPB2" s="484"/>
      <c r="RPC2" s="484"/>
      <c r="RPD2" s="484"/>
      <c r="RPE2" s="484"/>
      <c r="RPF2" s="484"/>
      <c r="RPG2" s="484"/>
      <c r="RPH2" s="484"/>
      <c r="RPI2" s="484"/>
      <c r="RPJ2" s="484"/>
      <c r="RPK2" s="484"/>
      <c r="RPL2" s="484"/>
      <c r="RPM2" s="484"/>
      <c r="RPN2" s="484"/>
      <c r="RPO2" s="484"/>
      <c r="RPP2" s="484"/>
      <c r="RPQ2" s="484"/>
      <c r="RPR2" s="484"/>
      <c r="RPS2" s="484"/>
      <c r="RPT2" s="484"/>
      <c r="RPU2" s="484"/>
      <c r="RPV2" s="484"/>
      <c r="RPW2" s="484"/>
      <c r="RPX2" s="484"/>
      <c r="RPY2" s="484"/>
      <c r="RPZ2" s="484"/>
      <c r="RQA2" s="484"/>
      <c r="RQB2" s="484"/>
      <c r="RQC2" s="484"/>
      <c r="RQD2" s="484"/>
      <c r="RQE2" s="484"/>
      <c r="RQF2" s="484"/>
      <c r="RQG2" s="484"/>
      <c r="RQH2" s="484"/>
      <c r="RQI2" s="484"/>
      <c r="RQJ2" s="484"/>
      <c r="RQK2" s="484"/>
      <c r="RQL2" s="484"/>
      <c r="RQM2" s="484"/>
      <c r="RQN2" s="484"/>
      <c r="RQO2" s="484"/>
      <c r="RQP2" s="484"/>
      <c r="RQQ2" s="484"/>
      <c r="RQR2" s="484"/>
      <c r="RQS2" s="484"/>
      <c r="RQT2" s="484"/>
      <c r="RQU2" s="484"/>
      <c r="RQV2" s="484"/>
      <c r="RQW2" s="484"/>
      <c r="RQX2" s="484"/>
      <c r="RQY2" s="484"/>
      <c r="RQZ2" s="484"/>
      <c r="RRA2" s="484"/>
      <c r="RRB2" s="484"/>
      <c r="RRC2" s="484"/>
      <c r="RRD2" s="484"/>
      <c r="RRE2" s="484"/>
      <c r="RRF2" s="484"/>
      <c r="RRG2" s="484"/>
      <c r="RRH2" s="484"/>
      <c r="RRI2" s="484"/>
      <c r="RRJ2" s="484"/>
      <c r="RRK2" s="484"/>
      <c r="RRL2" s="484"/>
      <c r="RRM2" s="484"/>
      <c r="RRN2" s="484"/>
      <c r="RRO2" s="484"/>
      <c r="RRP2" s="484"/>
      <c r="RRQ2" s="484"/>
      <c r="RRR2" s="484"/>
      <c r="RRS2" s="484"/>
      <c r="RRT2" s="484"/>
      <c r="RRU2" s="484"/>
      <c r="RRV2" s="484"/>
      <c r="RRW2" s="484"/>
      <c r="RRX2" s="484"/>
      <c r="RRY2" s="484"/>
      <c r="RRZ2" s="484"/>
      <c r="RSA2" s="484"/>
      <c r="RSB2" s="484"/>
      <c r="RSC2" s="484"/>
      <c r="RSD2" s="484"/>
      <c r="RSE2" s="484"/>
      <c r="RSF2" s="484"/>
      <c r="RSG2" s="484"/>
      <c r="RSH2" s="484"/>
      <c r="RSI2" s="484"/>
      <c r="RSJ2" s="484"/>
      <c r="RSK2" s="484"/>
      <c r="RSL2" s="484"/>
      <c r="RSM2" s="484"/>
      <c r="RSN2" s="484"/>
      <c r="RSO2" s="484"/>
      <c r="RSP2" s="484"/>
      <c r="RSQ2" s="484"/>
      <c r="RSR2" s="484"/>
      <c r="RSS2" s="484"/>
      <c r="RST2" s="484"/>
      <c r="RSU2" s="484"/>
      <c r="RSV2" s="484"/>
      <c r="RSW2" s="484"/>
      <c r="RSX2" s="484"/>
      <c r="RSY2" s="484"/>
      <c r="RSZ2" s="484"/>
      <c r="RTA2" s="484"/>
      <c r="RTB2" s="484"/>
      <c r="RTC2" s="484"/>
      <c r="RTD2" s="484"/>
      <c r="RTE2" s="484"/>
      <c r="RTF2" s="484"/>
      <c r="RTG2" s="484"/>
      <c r="RTH2" s="484"/>
      <c r="RTI2" s="484"/>
      <c r="RTJ2" s="484"/>
      <c r="RTK2" s="484"/>
      <c r="RTL2" s="484"/>
      <c r="RTM2" s="484"/>
      <c r="RTN2" s="484"/>
      <c r="RTO2" s="484"/>
      <c r="RTP2" s="484"/>
      <c r="RTQ2" s="484"/>
      <c r="RTR2" s="484"/>
      <c r="RTS2" s="484"/>
      <c r="RTT2" s="484"/>
      <c r="RTU2" s="484"/>
      <c r="RTV2" s="484"/>
      <c r="RTW2" s="484"/>
      <c r="RTX2" s="484"/>
      <c r="RTY2" s="484"/>
      <c r="RTZ2" s="484"/>
      <c r="RUA2" s="484"/>
      <c r="RUB2" s="484"/>
      <c r="RUC2" s="484"/>
      <c r="RUD2" s="484"/>
      <c r="RUE2" s="484"/>
      <c r="RUF2" s="484"/>
      <c r="RUG2" s="484"/>
      <c r="RUH2" s="484"/>
      <c r="RUI2" s="484"/>
      <c r="RUJ2" s="484"/>
      <c r="RUK2" s="484"/>
      <c r="RUL2" s="484"/>
      <c r="RUM2" s="484"/>
      <c r="RUN2" s="484"/>
      <c r="RUO2" s="484"/>
      <c r="RUP2" s="484"/>
      <c r="RUQ2" s="484"/>
      <c r="RUR2" s="484"/>
      <c r="RUS2" s="484"/>
      <c r="RUT2" s="484"/>
      <c r="RUU2" s="484"/>
      <c r="RUV2" s="484"/>
      <c r="RUW2" s="484"/>
      <c r="RUX2" s="484"/>
      <c r="RUY2" s="484"/>
      <c r="RUZ2" s="484"/>
      <c r="RVA2" s="484"/>
      <c r="RVB2" s="484"/>
      <c r="RVC2" s="484"/>
      <c r="RVD2" s="484"/>
      <c r="RVE2" s="484"/>
      <c r="RVF2" s="484"/>
      <c r="RVG2" s="484"/>
      <c r="RVH2" s="484"/>
      <c r="RVI2" s="484"/>
      <c r="RVJ2" s="484"/>
      <c r="RVK2" s="484"/>
      <c r="RVL2" s="484"/>
      <c r="RVM2" s="484"/>
      <c r="RVN2" s="484"/>
      <c r="RVO2" s="484"/>
      <c r="RVP2" s="484"/>
      <c r="RVQ2" s="484"/>
      <c r="RVR2" s="484"/>
      <c r="RVS2" s="484"/>
      <c r="RVT2" s="484"/>
      <c r="RVU2" s="484"/>
      <c r="RVV2" s="484"/>
      <c r="RVW2" s="484"/>
      <c r="RVX2" s="484"/>
      <c r="RVY2" s="484"/>
      <c r="RVZ2" s="484"/>
      <c r="RWA2" s="484"/>
      <c r="RWB2" s="484"/>
      <c r="RWC2" s="484"/>
      <c r="RWD2" s="484"/>
      <c r="RWE2" s="484"/>
      <c r="RWF2" s="484"/>
      <c r="RWG2" s="484"/>
      <c r="RWH2" s="484"/>
      <c r="RWI2" s="484"/>
      <c r="RWJ2" s="484"/>
      <c r="RWK2" s="484"/>
      <c r="RWL2" s="484"/>
      <c r="RWM2" s="484"/>
      <c r="RWN2" s="484"/>
      <c r="RWO2" s="484"/>
      <c r="RWP2" s="484"/>
      <c r="RWQ2" s="484"/>
      <c r="RWR2" s="484"/>
      <c r="RWS2" s="484"/>
      <c r="RWT2" s="484"/>
      <c r="RWU2" s="484"/>
      <c r="RWV2" s="484"/>
      <c r="RWW2" s="484"/>
      <c r="RWX2" s="484"/>
      <c r="RWY2" s="484"/>
      <c r="RWZ2" s="484"/>
      <c r="RXA2" s="484"/>
      <c r="RXB2" s="484"/>
      <c r="RXC2" s="484"/>
      <c r="RXD2" s="484"/>
      <c r="RXE2" s="484"/>
      <c r="RXF2" s="484"/>
      <c r="RXG2" s="484"/>
      <c r="RXH2" s="484"/>
      <c r="RXI2" s="484"/>
      <c r="RXJ2" s="484"/>
      <c r="RXK2" s="484"/>
      <c r="RXL2" s="484"/>
      <c r="RXM2" s="484"/>
      <c r="RXN2" s="484"/>
      <c r="RXO2" s="484"/>
      <c r="RXP2" s="484"/>
      <c r="RXQ2" s="484"/>
      <c r="RXR2" s="484"/>
      <c r="RXS2" s="484"/>
      <c r="RXT2" s="484"/>
      <c r="RXU2" s="484"/>
      <c r="RXV2" s="484"/>
      <c r="RXW2" s="484"/>
      <c r="RXX2" s="484"/>
      <c r="RXY2" s="484"/>
      <c r="RXZ2" s="484"/>
      <c r="RYA2" s="484"/>
      <c r="RYB2" s="484"/>
      <c r="RYC2" s="484"/>
      <c r="RYD2" s="484"/>
      <c r="RYE2" s="484"/>
      <c r="RYF2" s="484"/>
      <c r="RYG2" s="484"/>
      <c r="RYH2" s="484"/>
      <c r="RYI2" s="484"/>
      <c r="RYJ2" s="484"/>
      <c r="RYK2" s="484"/>
      <c r="RYL2" s="484"/>
      <c r="RYM2" s="484"/>
      <c r="RYN2" s="484"/>
      <c r="RYO2" s="484"/>
      <c r="RYP2" s="484"/>
      <c r="RYQ2" s="484"/>
      <c r="RYR2" s="484"/>
      <c r="RYS2" s="484"/>
      <c r="RYT2" s="484"/>
      <c r="RYU2" s="484"/>
      <c r="RYV2" s="484"/>
      <c r="RYW2" s="484"/>
      <c r="RYX2" s="484"/>
      <c r="RYY2" s="484"/>
      <c r="RYZ2" s="484"/>
      <c r="RZA2" s="484"/>
      <c r="RZB2" s="484"/>
      <c r="RZC2" s="484"/>
      <c r="RZD2" s="484"/>
      <c r="RZE2" s="484"/>
      <c r="RZF2" s="484"/>
      <c r="RZG2" s="484"/>
      <c r="RZH2" s="484"/>
      <c r="RZI2" s="484"/>
      <c r="RZJ2" s="484"/>
      <c r="RZK2" s="484"/>
      <c r="RZL2" s="484"/>
      <c r="RZM2" s="484"/>
      <c r="RZN2" s="484"/>
      <c r="RZO2" s="484"/>
      <c r="RZP2" s="484"/>
      <c r="RZQ2" s="484"/>
      <c r="RZR2" s="484"/>
      <c r="RZS2" s="484"/>
      <c r="RZT2" s="484"/>
      <c r="RZU2" s="484"/>
      <c r="RZV2" s="484"/>
      <c r="RZW2" s="484"/>
      <c r="RZX2" s="484"/>
      <c r="RZY2" s="484"/>
      <c r="RZZ2" s="484"/>
      <c r="SAA2" s="484"/>
      <c r="SAB2" s="484"/>
      <c r="SAC2" s="484"/>
      <c r="SAD2" s="484"/>
      <c r="SAE2" s="484"/>
      <c r="SAF2" s="484"/>
      <c r="SAG2" s="484"/>
      <c r="SAH2" s="484"/>
      <c r="SAI2" s="484"/>
      <c r="SAJ2" s="484"/>
      <c r="SAK2" s="484"/>
      <c r="SAL2" s="484"/>
      <c r="SAM2" s="484"/>
      <c r="SAN2" s="484"/>
      <c r="SAO2" s="484"/>
      <c r="SAP2" s="484"/>
      <c r="SAQ2" s="484"/>
      <c r="SAR2" s="484"/>
      <c r="SAS2" s="484"/>
      <c r="SAT2" s="484"/>
      <c r="SAU2" s="484"/>
      <c r="SAV2" s="484"/>
      <c r="SAW2" s="484"/>
      <c r="SAX2" s="484"/>
      <c r="SAY2" s="484"/>
      <c r="SAZ2" s="484"/>
      <c r="SBA2" s="484"/>
      <c r="SBB2" s="484"/>
      <c r="SBC2" s="484"/>
      <c r="SBD2" s="484"/>
      <c r="SBE2" s="484"/>
      <c r="SBF2" s="484"/>
      <c r="SBG2" s="484"/>
      <c r="SBH2" s="484"/>
      <c r="SBI2" s="484"/>
      <c r="SBJ2" s="484"/>
      <c r="SBK2" s="484"/>
      <c r="SBL2" s="484"/>
      <c r="SBM2" s="484"/>
      <c r="SBN2" s="484"/>
      <c r="SBO2" s="484"/>
      <c r="SBP2" s="484"/>
      <c r="SBQ2" s="484"/>
      <c r="SBR2" s="484"/>
      <c r="SBS2" s="484"/>
      <c r="SBT2" s="484"/>
      <c r="SBU2" s="484"/>
      <c r="SBV2" s="484"/>
      <c r="SBW2" s="484"/>
      <c r="SBX2" s="484"/>
      <c r="SBY2" s="484"/>
      <c r="SBZ2" s="484"/>
      <c r="SCA2" s="484"/>
      <c r="SCB2" s="484"/>
      <c r="SCC2" s="484"/>
      <c r="SCD2" s="484"/>
      <c r="SCE2" s="484"/>
      <c r="SCF2" s="484"/>
      <c r="SCG2" s="484"/>
      <c r="SCH2" s="484"/>
      <c r="SCI2" s="484"/>
      <c r="SCJ2" s="484"/>
      <c r="SCK2" s="484"/>
      <c r="SCL2" s="484"/>
      <c r="SCM2" s="484"/>
      <c r="SCN2" s="484"/>
      <c r="SCO2" s="484"/>
      <c r="SCP2" s="484"/>
      <c r="SCQ2" s="484"/>
      <c r="SCR2" s="484"/>
      <c r="SCS2" s="484"/>
      <c r="SCT2" s="484"/>
      <c r="SCU2" s="484"/>
      <c r="SCV2" s="484"/>
      <c r="SCW2" s="484"/>
      <c r="SCX2" s="484"/>
      <c r="SCY2" s="484"/>
      <c r="SCZ2" s="484"/>
      <c r="SDA2" s="484"/>
      <c r="SDB2" s="484"/>
      <c r="SDC2" s="484"/>
      <c r="SDD2" s="484"/>
      <c r="SDE2" s="484"/>
      <c r="SDF2" s="484"/>
      <c r="SDG2" s="484"/>
      <c r="SDH2" s="484"/>
      <c r="SDI2" s="484"/>
      <c r="SDJ2" s="484"/>
      <c r="SDK2" s="484"/>
      <c r="SDL2" s="484"/>
      <c r="SDM2" s="484"/>
      <c r="SDN2" s="484"/>
      <c r="SDO2" s="484"/>
      <c r="SDP2" s="484"/>
      <c r="SDQ2" s="484"/>
      <c r="SDR2" s="484"/>
      <c r="SDS2" s="484"/>
      <c r="SDT2" s="484"/>
      <c r="SDU2" s="484"/>
      <c r="SDV2" s="484"/>
      <c r="SDW2" s="484"/>
      <c r="SDX2" s="484"/>
      <c r="SDY2" s="484"/>
      <c r="SDZ2" s="484"/>
      <c r="SEA2" s="484"/>
      <c r="SEB2" s="484"/>
      <c r="SEC2" s="484"/>
      <c r="SED2" s="484"/>
      <c r="SEE2" s="484"/>
      <c r="SEF2" s="484"/>
      <c r="SEG2" s="484"/>
      <c r="SEH2" s="484"/>
      <c r="SEI2" s="484"/>
      <c r="SEJ2" s="484"/>
      <c r="SEK2" s="484"/>
      <c r="SEL2" s="484"/>
      <c r="SEM2" s="484"/>
      <c r="SEN2" s="484"/>
      <c r="SEO2" s="484"/>
      <c r="SEP2" s="484"/>
      <c r="SEQ2" s="484"/>
      <c r="SER2" s="484"/>
      <c r="SES2" s="484"/>
      <c r="SET2" s="484"/>
      <c r="SEU2" s="484"/>
      <c r="SEV2" s="484"/>
      <c r="SEW2" s="484"/>
      <c r="SEX2" s="484"/>
      <c r="SEY2" s="484"/>
      <c r="SEZ2" s="484"/>
      <c r="SFA2" s="484"/>
      <c r="SFB2" s="484"/>
      <c r="SFC2" s="484"/>
      <c r="SFD2" s="484"/>
      <c r="SFE2" s="484"/>
      <c r="SFF2" s="484"/>
      <c r="SFG2" s="484"/>
      <c r="SFH2" s="484"/>
      <c r="SFI2" s="484"/>
      <c r="SFJ2" s="484"/>
      <c r="SFK2" s="484"/>
      <c r="SFL2" s="484"/>
      <c r="SFM2" s="484"/>
      <c r="SFN2" s="484"/>
      <c r="SFO2" s="484"/>
      <c r="SFP2" s="484"/>
      <c r="SFQ2" s="484"/>
      <c r="SFR2" s="484"/>
      <c r="SFS2" s="484"/>
      <c r="SFT2" s="484"/>
      <c r="SFU2" s="484"/>
      <c r="SFV2" s="484"/>
      <c r="SFW2" s="484"/>
      <c r="SFX2" s="484"/>
      <c r="SFY2" s="484"/>
      <c r="SFZ2" s="484"/>
      <c r="SGA2" s="484"/>
      <c r="SGB2" s="484"/>
      <c r="SGC2" s="484"/>
      <c r="SGD2" s="484"/>
      <c r="SGE2" s="484"/>
      <c r="SGF2" s="484"/>
      <c r="SGG2" s="484"/>
      <c r="SGH2" s="484"/>
      <c r="SGI2" s="484"/>
      <c r="SGJ2" s="484"/>
      <c r="SGK2" s="484"/>
      <c r="SGL2" s="484"/>
      <c r="SGM2" s="484"/>
      <c r="SGN2" s="484"/>
      <c r="SGO2" s="484"/>
      <c r="SGP2" s="484"/>
      <c r="SGQ2" s="484"/>
      <c r="SGR2" s="484"/>
      <c r="SGS2" s="484"/>
      <c r="SGT2" s="484"/>
      <c r="SGU2" s="484"/>
      <c r="SGV2" s="484"/>
      <c r="SGW2" s="484"/>
      <c r="SGX2" s="484"/>
      <c r="SGY2" s="484"/>
      <c r="SGZ2" s="484"/>
      <c r="SHA2" s="484"/>
      <c r="SHB2" s="484"/>
      <c r="SHC2" s="484"/>
      <c r="SHD2" s="484"/>
      <c r="SHE2" s="484"/>
      <c r="SHF2" s="484"/>
      <c r="SHG2" s="484"/>
      <c r="SHH2" s="484"/>
      <c r="SHI2" s="484"/>
      <c r="SHJ2" s="484"/>
      <c r="SHK2" s="484"/>
      <c r="SHL2" s="484"/>
      <c r="SHM2" s="484"/>
      <c r="SHN2" s="484"/>
      <c r="SHO2" s="484"/>
      <c r="SHP2" s="484"/>
      <c r="SHQ2" s="484"/>
      <c r="SHR2" s="484"/>
      <c r="SHS2" s="484"/>
      <c r="SHT2" s="484"/>
      <c r="SHU2" s="484"/>
      <c r="SHV2" s="484"/>
      <c r="SHW2" s="484"/>
      <c r="SHX2" s="484"/>
      <c r="SHY2" s="484"/>
      <c r="SHZ2" s="484"/>
      <c r="SIA2" s="484"/>
      <c r="SIB2" s="484"/>
      <c r="SIC2" s="484"/>
      <c r="SID2" s="484"/>
      <c r="SIE2" s="484"/>
      <c r="SIF2" s="484"/>
      <c r="SIG2" s="484"/>
      <c r="SIH2" s="484"/>
      <c r="SII2" s="484"/>
      <c r="SIJ2" s="484"/>
      <c r="SIK2" s="484"/>
      <c r="SIL2" s="484"/>
      <c r="SIM2" s="484"/>
      <c r="SIN2" s="484"/>
      <c r="SIO2" s="484"/>
      <c r="SIP2" s="484"/>
      <c r="SIQ2" s="484"/>
      <c r="SIR2" s="484"/>
      <c r="SIS2" s="484"/>
      <c r="SIT2" s="484"/>
      <c r="SIU2" s="484"/>
      <c r="SIV2" s="484"/>
      <c r="SIW2" s="484"/>
      <c r="SIX2" s="484"/>
      <c r="SIY2" s="484"/>
      <c r="SIZ2" s="484"/>
      <c r="SJA2" s="484"/>
      <c r="SJB2" s="484"/>
      <c r="SJC2" s="484"/>
      <c r="SJD2" s="484"/>
      <c r="SJE2" s="484"/>
      <c r="SJF2" s="484"/>
      <c r="SJG2" s="484"/>
      <c r="SJH2" s="484"/>
      <c r="SJI2" s="484"/>
      <c r="SJJ2" s="484"/>
      <c r="SJK2" s="484"/>
      <c r="SJL2" s="484"/>
      <c r="SJM2" s="484"/>
      <c r="SJN2" s="484"/>
      <c r="SJO2" s="484"/>
      <c r="SJP2" s="484"/>
      <c r="SJQ2" s="484"/>
      <c r="SJR2" s="484"/>
      <c r="SJS2" s="484"/>
      <c r="SJT2" s="484"/>
      <c r="SJU2" s="484"/>
      <c r="SJV2" s="484"/>
      <c r="SJW2" s="484"/>
      <c r="SJX2" s="484"/>
      <c r="SJY2" s="484"/>
      <c r="SJZ2" s="484"/>
      <c r="SKA2" s="484"/>
      <c r="SKB2" s="484"/>
      <c r="SKC2" s="484"/>
      <c r="SKD2" s="484"/>
      <c r="SKE2" s="484"/>
      <c r="SKF2" s="484"/>
      <c r="SKG2" s="484"/>
      <c r="SKH2" s="484"/>
      <c r="SKI2" s="484"/>
      <c r="SKJ2" s="484"/>
      <c r="SKK2" s="484"/>
      <c r="SKL2" s="484"/>
      <c r="SKM2" s="484"/>
      <c r="SKN2" s="484"/>
      <c r="SKO2" s="484"/>
      <c r="SKP2" s="484"/>
      <c r="SKQ2" s="484"/>
      <c r="SKR2" s="484"/>
      <c r="SKS2" s="484"/>
      <c r="SKT2" s="484"/>
      <c r="SKU2" s="484"/>
      <c r="SKV2" s="484"/>
      <c r="SKW2" s="484"/>
      <c r="SKX2" s="484"/>
      <c r="SKY2" s="484"/>
      <c r="SKZ2" s="484"/>
      <c r="SLA2" s="484"/>
      <c r="SLB2" s="484"/>
      <c r="SLC2" s="484"/>
      <c r="SLD2" s="484"/>
      <c r="SLE2" s="484"/>
      <c r="SLF2" s="484"/>
      <c r="SLG2" s="484"/>
      <c r="SLH2" s="484"/>
      <c r="SLI2" s="484"/>
      <c r="SLJ2" s="484"/>
      <c r="SLK2" s="484"/>
      <c r="SLL2" s="484"/>
      <c r="SLM2" s="484"/>
      <c r="SLN2" s="484"/>
      <c r="SLO2" s="484"/>
      <c r="SLP2" s="484"/>
      <c r="SLQ2" s="484"/>
      <c r="SLR2" s="484"/>
      <c r="SLS2" s="484"/>
      <c r="SLT2" s="484"/>
      <c r="SLU2" s="484"/>
      <c r="SLV2" s="484"/>
      <c r="SLW2" s="484"/>
      <c r="SLX2" s="484"/>
      <c r="SLY2" s="484"/>
      <c r="SLZ2" s="484"/>
      <c r="SMA2" s="484"/>
      <c r="SMB2" s="484"/>
      <c r="SMC2" s="484"/>
      <c r="SMD2" s="484"/>
      <c r="SME2" s="484"/>
      <c r="SMF2" s="484"/>
      <c r="SMG2" s="484"/>
      <c r="SMH2" s="484"/>
      <c r="SMI2" s="484"/>
      <c r="SMJ2" s="484"/>
      <c r="SMK2" s="484"/>
      <c r="SML2" s="484"/>
      <c r="SMM2" s="484"/>
      <c r="SMN2" s="484"/>
      <c r="SMO2" s="484"/>
      <c r="SMP2" s="484"/>
      <c r="SMQ2" s="484"/>
      <c r="SMR2" s="484"/>
      <c r="SMS2" s="484"/>
      <c r="SMT2" s="484"/>
      <c r="SMU2" s="484"/>
      <c r="SMV2" s="484"/>
      <c r="SMW2" s="484"/>
      <c r="SMX2" s="484"/>
      <c r="SMY2" s="484"/>
      <c r="SMZ2" s="484"/>
      <c r="SNA2" s="484"/>
      <c r="SNB2" s="484"/>
      <c r="SNC2" s="484"/>
      <c r="SND2" s="484"/>
      <c r="SNE2" s="484"/>
      <c r="SNF2" s="484"/>
      <c r="SNG2" s="484"/>
      <c r="SNH2" s="484"/>
      <c r="SNI2" s="484"/>
      <c r="SNJ2" s="484"/>
      <c r="SNK2" s="484"/>
      <c r="SNL2" s="484"/>
      <c r="SNM2" s="484"/>
      <c r="SNN2" s="484"/>
      <c r="SNO2" s="484"/>
      <c r="SNP2" s="484"/>
      <c r="SNQ2" s="484"/>
      <c r="SNR2" s="484"/>
      <c r="SNS2" s="484"/>
      <c r="SNT2" s="484"/>
      <c r="SNU2" s="484"/>
      <c r="SNV2" s="484"/>
      <c r="SNW2" s="484"/>
      <c r="SNX2" s="484"/>
      <c r="SNY2" s="484"/>
      <c r="SNZ2" s="484"/>
      <c r="SOA2" s="484"/>
      <c r="SOB2" s="484"/>
      <c r="SOC2" s="484"/>
      <c r="SOD2" s="484"/>
      <c r="SOE2" s="484"/>
      <c r="SOF2" s="484"/>
      <c r="SOG2" s="484"/>
      <c r="SOH2" s="484"/>
      <c r="SOI2" s="484"/>
      <c r="SOJ2" s="484"/>
      <c r="SOK2" s="484"/>
      <c r="SOL2" s="484"/>
      <c r="SOM2" s="484"/>
      <c r="SON2" s="484"/>
      <c r="SOO2" s="484"/>
      <c r="SOP2" s="484"/>
      <c r="SOQ2" s="484"/>
      <c r="SOR2" s="484"/>
      <c r="SOS2" s="484"/>
      <c r="SOT2" s="484"/>
      <c r="SOU2" s="484"/>
      <c r="SOV2" s="484"/>
      <c r="SOW2" s="484"/>
      <c r="SOX2" s="484"/>
      <c r="SOY2" s="484"/>
      <c r="SOZ2" s="484"/>
      <c r="SPA2" s="484"/>
      <c r="SPB2" s="484"/>
      <c r="SPC2" s="484"/>
      <c r="SPD2" s="484"/>
      <c r="SPE2" s="484"/>
      <c r="SPF2" s="484"/>
      <c r="SPG2" s="484"/>
      <c r="SPH2" s="484"/>
      <c r="SPI2" s="484"/>
      <c r="SPJ2" s="484"/>
      <c r="SPK2" s="484"/>
      <c r="SPL2" s="484"/>
      <c r="SPM2" s="484"/>
      <c r="SPN2" s="484"/>
      <c r="SPO2" s="484"/>
      <c r="SPP2" s="484"/>
      <c r="SPQ2" s="484"/>
      <c r="SPR2" s="484"/>
      <c r="SPS2" s="484"/>
      <c r="SPT2" s="484"/>
      <c r="SPU2" s="484"/>
      <c r="SPV2" s="484"/>
      <c r="SPW2" s="484"/>
      <c r="SPX2" s="484"/>
      <c r="SPY2" s="484"/>
      <c r="SPZ2" s="484"/>
      <c r="SQA2" s="484"/>
      <c r="SQB2" s="484"/>
      <c r="SQC2" s="484"/>
      <c r="SQD2" s="484"/>
      <c r="SQE2" s="484"/>
      <c r="SQF2" s="484"/>
      <c r="SQG2" s="484"/>
      <c r="SQH2" s="484"/>
      <c r="SQI2" s="484"/>
      <c r="SQJ2" s="484"/>
      <c r="SQK2" s="484"/>
      <c r="SQL2" s="484"/>
      <c r="SQM2" s="484"/>
      <c r="SQN2" s="484"/>
      <c r="SQO2" s="484"/>
      <c r="SQP2" s="484"/>
      <c r="SQQ2" s="484"/>
      <c r="SQR2" s="484"/>
      <c r="SQS2" s="484"/>
      <c r="SQT2" s="484"/>
      <c r="SQU2" s="484"/>
      <c r="SQV2" s="484"/>
      <c r="SQW2" s="484"/>
      <c r="SQX2" s="484"/>
      <c r="SQY2" s="484"/>
      <c r="SQZ2" s="484"/>
      <c r="SRA2" s="484"/>
      <c r="SRB2" s="484"/>
      <c r="SRC2" s="484"/>
      <c r="SRD2" s="484"/>
      <c r="SRE2" s="484"/>
      <c r="SRF2" s="484"/>
      <c r="SRG2" s="484"/>
      <c r="SRH2" s="484"/>
      <c r="SRI2" s="484"/>
      <c r="SRJ2" s="484"/>
      <c r="SRK2" s="484"/>
      <c r="SRL2" s="484"/>
      <c r="SRM2" s="484"/>
      <c r="SRN2" s="484"/>
      <c r="SRO2" s="484"/>
      <c r="SRP2" s="484"/>
      <c r="SRQ2" s="484"/>
      <c r="SRR2" s="484"/>
      <c r="SRS2" s="484"/>
      <c r="SRT2" s="484"/>
      <c r="SRU2" s="484"/>
      <c r="SRV2" s="484"/>
      <c r="SRW2" s="484"/>
      <c r="SRX2" s="484"/>
      <c r="SRY2" s="484"/>
      <c r="SRZ2" s="484"/>
      <c r="SSA2" s="484"/>
      <c r="SSB2" s="484"/>
      <c r="SSC2" s="484"/>
      <c r="SSD2" s="484"/>
      <c r="SSE2" s="484"/>
      <c r="SSF2" s="484"/>
      <c r="SSG2" s="484"/>
      <c r="SSH2" s="484"/>
      <c r="SSI2" s="484"/>
      <c r="SSJ2" s="484"/>
      <c r="SSK2" s="484"/>
      <c r="SSL2" s="484"/>
      <c r="SSM2" s="484"/>
      <c r="SSN2" s="484"/>
      <c r="SSO2" s="484"/>
      <c r="SSP2" s="484"/>
      <c r="SSQ2" s="484"/>
      <c r="SSR2" s="484"/>
      <c r="SSS2" s="484"/>
      <c r="SST2" s="484"/>
      <c r="SSU2" s="484"/>
      <c r="SSV2" s="484"/>
      <c r="SSW2" s="484"/>
      <c r="SSX2" s="484"/>
      <c r="SSY2" s="484"/>
      <c r="SSZ2" s="484"/>
      <c r="STA2" s="484"/>
      <c r="STB2" s="484"/>
      <c r="STC2" s="484"/>
      <c r="STD2" s="484"/>
      <c r="STE2" s="484"/>
      <c r="STF2" s="484"/>
      <c r="STG2" s="484"/>
      <c r="STH2" s="484"/>
      <c r="STI2" s="484"/>
      <c r="STJ2" s="484"/>
      <c r="STK2" s="484"/>
      <c r="STL2" s="484"/>
      <c r="STM2" s="484"/>
      <c r="STN2" s="484"/>
      <c r="STO2" s="484"/>
      <c r="STP2" s="484"/>
      <c r="STQ2" s="484"/>
      <c r="STR2" s="484"/>
      <c r="STS2" s="484"/>
      <c r="STT2" s="484"/>
      <c r="STU2" s="484"/>
      <c r="STV2" s="484"/>
      <c r="STW2" s="484"/>
      <c r="STX2" s="484"/>
      <c r="STY2" s="484"/>
      <c r="STZ2" s="484"/>
      <c r="SUA2" s="484"/>
      <c r="SUB2" s="484"/>
      <c r="SUC2" s="484"/>
      <c r="SUD2" s="484"/>
      <c r="SUE2" s="484"/>
      <c r="SUF2" s="484"/>
      <c r="SUG2" s="484"/>
      <c r="SUH2" s="484"/>
      <c r="SUI2" s="484"/>
      <c r="SUJ2" s="484"/>
      <c r="SUK2" s="484"/>
      <c r="SUL2" s="484"/>
      <c r="SUM2" s="484"/>
      <c r="SUN2" s="484"/>
      <c r="SUO2" s="484"/>
      <c r="SUP2" s="484"/>
      <c r="SUQ2" s="484"/>
      <c r="SUR2" s="484"/>
      <c r="SUS2" s="484"/>
      <c r="SUT2" s="484"/>
      <c r="SUU2" s="484"/>
      <c r="SUV2" s="484"/>
      <c r="SUW2" s="484"/>
      <c r="SUX2" s="484"/>
      <c r="SUY2" s="484"/>
      <c r="SUZ2" s="484"/>
      <c r="SVA2" s="484"/>
      <c r="SVB2" s="484"/>
      <c r="SVC2" s="484"/>
      <c r="SVD2" s="484"/>
      <c r="SVE2" s="484"/>
      <c r="SVF2" s="484"/>
      <c r="SVG2" s="484"/>
      <c r="SVH2" s="484"/>
      <c r="SVI2" s="484"/>
      <c r="SVJ2" s="484"/>
      <c r="SVK2" s="484"/>
      <c r="SVL2" s="484"/>
      <c r="SVM2" s="484"/>
      <c r="SVN2" s="484"/>
      <c r="SVO2" s="484"/>
      <c r="SVP2" s="484"/>
      <c r="SVQ2" s="484"/>
      <c r="SVR2" s="484"/>
      <c r="SVS2" s="484"/>
      <c r="SVT2" s="484"/>
      <c r="SVU2" s="484"/>
      <c r="SVV2" s="484"/>
      <c r="SVW2" s="484"/>
      <c r="SVX2" s="484"/>
      <c r="SVY2" s="484"/>
      <c r="SVZ2" s="484"/>
      <c r="SWA2" s="484"/>
      <c r="SWB2" s="484"/>
      <c r="SWC2" s="484"/>
      <c r="SWD2" s="484"/>
      <c r="SWE2" s="484"/>
      <c r="SWF2" s="484"/>
      <c r="SWG2" s="484"/>
      <c r="SWH2" s="484"/>
      <c r="SWI2" s="484"/>
      <c r="SWJ2" s="484"/>
      <c r="SWK2" s="484"/>
      <c r="SWL2" s="484"/>
      <c r="SWM2" s="484"/>
      <c r="SWN2" s="484"/>
      <c r="SWO2" s="484"/>
      <c r="SWP2" s="484"/>
      <c r="SWQ2" s="484"/>
      <c r="SWR2" s="484"/>
      <c r="SWS2" s="484"/>
      <c r="SWT2" s="484"/>
      <c r="SWU2" s="484"/>
      <c r="SWV2" s="484"/>
      <c r="SWW2" s="484"/>
      <c r="SWX2" s="484"/>
      <c r="SWY2" s="484"/>
      <c r="SWZ2" s="484"/>
      <c r="SXA2" s="484"/>
      <c r="SXB2" s="484"/>
      <c r="SXC2" s="484"/>
      <c r="SXD2" s="484"/>
      <c r="SXE2" s="484"/>
      <c r="SXF2" s="484"/>
      <c r="SXG2" s="484"/>
      <c r="SXH2" s="484"/>
      <c r="SXI2" s="484"/>
      <c r="SXJ2" s="484"/>
      <c r="SXK2" s="484"/>
      <c r="SXL2" s="484"/>
      <c r="SXM2" s="484"/>
      <c r="SXN2" s="484"/>
      <c r="SXO2" s="484"/>
      <c r="SXP2" s="484"/>
      <c r="SXQ2" s="484"/>
      <c r="SXR2" s="484"/>
      <c r="SXS2" s="484"/>
      <c r="SXT2" s="484"/>
      <c r="SXU2" s="484"/>
      <c r="SXV2" s="484"/>
      <c r="SXW2" s="484"/>
      <c r="SXX2" s="484"/>
      <c r="SXY2" s="484"/>
      <c r="SXZ2" s="484"/>
      <c r="SYA2" s="484"/>
      <c r="SYB2" s="484"/>
      <c r="SYC2" s="484"/>
      <c r="SYD2" s="484"/>
      <c r="SYE2" s="484"/>
      <c r="SYF2" s="484"/>
      <c r="SYG2" s="484"/>
      <c r="SYH2" s="484"/>
      <c r="SYI2" s="484"/>
      <c r="SYJ2" s="484"/>
      <c r="SYK2" s="484"/>
      <c r="SYL2" s="484"/>
      <c r="SYM2" s="484"/>
      <c r="SYN2" s="484"/>
      <c r="SYO2" s="484"/>
      <c r="SYP2" s="484"/>
      <c r="SYQ2" s="484"/>
      <c r="SYR2" s="484"/>
      <c r="SYS2" s="484"/>
      <c r="SYT2" s="484"/>
      <c r="SYU2" s="484"/>
      <c r="SYV2" s="484"/>
      <c r="SYW2" s="484"/>
      <c r="SYX2" s="484"/>
      <c r="SYY2" s="484"/>
      <c r="SYZ2" s="484"/>
      <c r="SZA2" s="484"/>
      <c r="SZB2" s="484"/>
      <c r="SZC2" s="484"/>
      <c r="SZD2" s="484"/>
      <c r="SZE2" s="484"/>
      <c r="SZF2" s="484"/>
      <c r="SZG2" s="484"/>
      <c r="SZH2" s="484"/>
      <c r="SZI2" s="484"/>
      <c r="SZJ2" s="484"/>
      <c r="SZK2" s="484"/>
      <c r="SZL2" s="484"/>
      <c r="SZM2" s="484"/>
      <c r="SZN2" s="484"/>
      <c r="SZO2" s="484"/>
      <c r="SZP2" s="484"/>
      <c r="SZQ2" s="484"/>
      <c r="SZR2" s="484"/>
      <c r="SZS2" s="484"/>
      <c r="SZT2" s="484"/>
      <c r="SZU2" s="484"/>
      <c r="SZV2" s="484"/>
      <c r="SZW2" s="484"/>
      <c r="SZX2" s="484"/>
      <c r="SZY2" s="484"/>
      <c r="SZZ2" s="484"/>
      <c r="TAA2" s="484"/>
      <c r="TAB2" s="484"/>
      <c r="TAC2" s="484"/>
      <c r="TAD2" s="484"/>
      <c r="TAE2" s="484"/>
      <c r="TAF2" s="484"/>
      <c r="TAG2" s="484"/>
      <c r="TAH2" s="484"/>
      <c r="TAI2" s="484"/>
      <c r="TAJ2" s="484"/>
      <c r="TAK2" s="484"/>
      <c r="TAL2" s="484"/>
      <c r="TAM2" s="484"/>
      <c r="TAN2" s="484"/>
      <c r="TAO2" s="484"/>
      <c r="TAP2" s="484"/>
      <c r="TAQ2" s="484"/>
      <c r="TAR2" s="484"/>
      <c r="TAS2" s="484"/>
      <c r="TAT2" s="484"/>
      <c r="TAU2" s="484"/>
      <c r="TAV2" s="484"/>
      <c r="TAW2" s="484"/>
      <c r="TAX2" s="484"/>
      <c r="TAY2" s="484"/>
      <c r="TAZ2" s="484"/>
      <c r="TBA2" s="484"/>
      <c r="TBB2" s="484"/>
      <c r="TBC2" s="484"/>
      <c r="TBD2" s="484"/>
      <c r="TBE2" s="484"/>
      <c r="TBF2" s="484"/>
      <c r="TBG2" s="484"/>
      <c r="TBH2" s="484"/>
      <c r="TBI2" s="484"/>
      <c r="TBJ2" s="484"/>
      <c r="TBK2" s="484"/>
      <c r="TBL2" s="484"/>
      <c r="TBM2" s="484"/>
      <c r="TBN2" s="484"/>
      <c r="TBO2" s="484"/>
      <c r="TBP2" s="484"/>
      <c r="TBQ2" s="484"/>
      <c r="TBR2" s="484"/>
      <c r="TBS2" s="484"/>
      <c r="TBT2" s="484"/>
      <c r="TBU2" s="484"/>
      <c r="TBV2" s="484"/>
      <c r="TBW2" s="484"/>
      <c r="TBX2" s="484"/>
      <c r="TBY2" s="484"/>
      <c r="TBZ2" s="484"/>
      <c r="TCA2" s="484"/>
      <c r="TCB2" s="484"/>
      <c r="TCC2" s="484"/>
      <c r="TCD2" s="484"/>
      <c r="TCE2" s="484"/>
      <c r="TCF2" s="484"/>
      <c r="TCG2" s="484"/>
      <c r="TCH2" s="484"/>
      <c r="TCI2" s="484"/>
      <c r="TCJ2" s="484"/>
      <c r="TCK2" s="484"/>
      <c r="TCL2" s="484"/>
      <c r="TCM2" s="484"/>
      <c r="TCN2" s="484"/>
      <c r="TCO2" s="484"/>
      <c r="TCP2" s="484"/>
      <c r="TCQ2" s="484"/>
      <c r="TCR2" s="484"/>
      <c r="TCS2" s="484"/>
      <c r="TCT2" s="484"/>
      <c r="TCU2" s="484"/>
      <c r="TCV2" s="484"/>
      <c r="TCW2" s="484"/>
      <c r="TCX2" s="484"/>
      <c r="TCY2" s="484"/>
      <c r="TCZ2" s="484"/>
      <c r="TDA2" s="484"/>
      <c r="TDB2" s="484"/>
      <c r="TDC2" s="484"/>
      <c r="TDD2" s="484"/>
      <c r="TDE2" s="484"/>
      <c r="TDF2" s="484"/>
      <c r="TDG2" s="484"/>
      <c r="TDH2" s="484"/>
      <c r="TDI2" s="484"/>
      <c r="TDJ2" s="484"/>
      <c r="TDK2" s="484"/>
      <c r="TDL2" s="484"/>
      <c r="TDM2" s="484"/>
      <c r="TDN2" s="484"/>
      <c r="TDO2" s="484"/>
      <c r="TDP2" s="484"/>
      <c r="TDQ2" s="484"/>
      <c r="TDR2" s="484"/>
      <c r="TDS2" s="484"/>
      <c r="TDT2" s="484"/>
      <c r="TDU2" s="484"/>
      <c r="TDV2" s="484"/>
      <c r="TDW2" s="484"/>
      <c r="TDX2" s="484"/>
      <c r="TDY2" s="484"/>
      <c r="TDZ2" s="484"/>
      <c r="TEA2" s="484"/>
      <c r="TEB2" s="484"/>
      <c r="TEC2" s="484"/>
      <c r="TED2" s="484"/>
      <c r="TEE2" s="484"/>
      <c r="TEF2" s="484"/>
      <c r="TEG2" s="484"/>
      <c r="TEH2" s="484"/>
      <c r="TEI2" s="484"/>
      <c r="TEJ2" s="484"/>
      <c r="TEK2" s="484"/>
      <c r="TEL2" s="484"/>
      <c r="TEM2" s="484"/>
      <c r="TEN2" s="484"/>
      <c r="TEO2" s="484"/>
      <c r="TEP2" s="484"/>
      <c r="TEQ2" s="484"/>
      <c r="TER2" s="484"/>
      <c r="TES2" s="484"/>
      <c r="TET2" s="484"/>
      <c r="TEU2" s="484"/>
      <c r="TEV2" s="484"/>
      <c r="TEW2" s="484"/>
      <c r="TEX2" s="484"/>
      <c r="TEY2" s="484"/>
      <c r="TEZ2" s="484"/>
      <c r="TFA2" s="484"/>
      <c r="TFB2" s="484"/>
      <c r="TFC2" s="484"/>
      <c r="TFD2" s="484"/>
      <c r="TFE2" s="484"/>
      <c r="TFF2" s="484"/>
      <c r="TFG2" s="484"/>
      <c r="TFH2" s="484"/>
      <c r="TFI2" s="484"/>
      <c r="TFJ2" s="484"/>
      <c r="TFK2" s="484"/>
      <c r="TFL2" s="484"/>
      <c r="TFM2" s="484"/>
      <c r="TFN2" s="484"/>
      <c r="TFO2" s="484"/>
      <c r="TFP2" s="484"/>
      <c r="TFQ2" s="484"/>
      <c r="TFR2" s="484"/>
      <c r="TFS2" s="484"/>
      <c r="TFT2" s="484"/>
      <c r="TFU2" s="484"/>
      <c r="TFV2" s="484"/>
      <c r="TFW2" s="484"/>
      <c r="TFX2" s="484"/>
      <c r="TFY2" s="484"/>
      <c r="TFZ2" s="484"/>
      <c r="TGA2" s="484"/>
      <c r="TGB2" s="484"/>
      <c r="TGC2" s="484"/>
      <c r="TGD2" s="484"/>
      <c r="TGE2" s="484"/>
      <c r="TGF2" s="484"/>
      <c r="TGG2" s="484"/>
      <c r="TGH2" s="484"/>
      <c r="TGI2" s="484"/>
      <c r="TGJ2" s="484"/>
      <c r="TGK2" s="484"/>
      <c r="TGL2" s="484"/>
      <c r="TGM2" s="484"/>
      <c r="TGN2" s="484"/>
      <c r="TGO2" s="484"/>
      <c r="TGP2" s="484"/>
      <c r="TGQ2" s="484"/>
      <c r="TGR2" s="484"/>
      <c r="TGS2" s="484"/>
      <c r="TGT2" s="484"/>
      <c r="TGU2" s="484"/>
      <c r="TGV2" s="484"/>
      <c r="TGW2" s="484"/>
      <c r="TGX2" s="484"/>
      <c r="TGY2" s="484"/>
      <c r="TGZ2" s="484"/>
      <c r="THA2" s="484"/>
      <c r="THB2" s="484"/>
      <c r="THC2" s="484"/>
      <c r="THD2" s="484"/>
      <c r="THE2" s="484"/>
      <c r="THF2" s="484"/>
      <c r="THG2" s="484"/>
      <c r="THH2" s="484"/>
      <c r="THI2" s="484"/>
      <c r="THJ2" s="484"/>
      <c r="THK2" s="484"/>
      <c r="THL2" s="484"/>
      <c r="THM2" s="484"/>
      <c r="THN2" s="484"/>
      <c r="THO2" s="484"/>
      <c r="THP2" s="484"/>
      <c r="THQ2" s="484"/>
      <c r="THR2" s="484"/>
      <c r="THS2" s="484"/>
      <c r="THT2" s="484"/>
      <c r="THU2" s="484"/>
      <c r="THV2" s="484"/>
      <c r="THW2" s="484"/>
      <c r="THX2" s="484"/>
      <c r="THY2" s="484"/>
      <c r="THZ2" s="484"/>
      <c r="TIA2" s="484"/>
      <c r="TIB2" s="484"/>
      <c r="TIC2" s="484"/>
      <c r="TID2" s="484"/>
      <c r="TIE2" s="484"/>
      <c r="TIF2" s="484"/>
      <c r="TIG2" s="484"/>
      <c r="TIH2" s="484"/>
      <c r="TII2" s="484"/>
      <c r="TIJ2" s="484"/>
      <c r="TIK2" s="484"/>
      <c r="TIL2" s="484"/>
      <c r="TIM2" s="484"/>
      <c r="TIN2" s="484"/>
      <c r="TIO2" s="484"/>
      <c r="TIP2" s="484"/>
      <c r="TIQ2" s="484"/>
      <c r="TIR2" s="484"/>
      <c r="TIS2" s="484"/>
      <c r="TIT2" s="484"/>
      <c r="TIU2" s="484"/>
      <c r="TIV2" s="484"/>
      <c r="TIW2" s="484"/>
      <c r="TIX2" s="484"/>
      <c r="TIY2" s="484"/>
      <c r="TIZ2" s="484"/>
      <c r="TJA2" s="484"/>
      <c r="TJB2" s="484"/>
      <c r="TJC2" s="484"/>
      <c r="TJD2" s="484"/>
      <c r="TJE2" s="484"/>
      <c r="TJF2" s="484"/>
      <c r="TJG2" s="484"/>
      <c r="TJH2" s="484"/>
      <c r="TJI2" s="484"/>
      <c r="TJJ2" s="484"/>
      <c r="TJK2" s="484"/>
      <c r="TJL2" s="484"/>
      <c r="TJM2" s="484"/>
      <c r="TJN2" s="484"/>
      <c r="TJO2" s="484"/>
      <c r="TJP2" s="484"/>
      <c r="TJQ2" s="484"/>
      <c r="TJR2" s="484"/>
      <c r="TJS2" s="484"/>
      <c r="TJT2" s="484"/>
      <c r="TJU2" s="484"/>
      <c r="TJV2" s="484"/>
      <c r="TJW2" s="484"/>
      <c r="TJX2" s="484"/>
      <c r="TJY2" s="484"/>
      <c r="TJZ2" s="484"/>
      <c r="TKA2" s="484"/>
      <c r="TKB2" s="484"/>
      <c r="TKC2" s="484"/>
      <c r="TKD2" s="484"/>
      <c r="TKE2" s="484"/>
      <c r="TKF2" s="484"/>
      <c r="TKG2" s="484"/>
      <c r="TKH2" s="484"/>
      <c r="TKI2" s="484"/>
      <c r="TKJ2" s="484"/>
      <c r="TKK2" s="484"/>
      <c r="TKL2" s="484"/>
      <c r="TKM2" s="484"/>
      <c r="TKN2" s="484"/>
      <c r="TKO2" s="484"/>
      <c r="TKP2" s="484"/>
      <c r="TKQ2" s="484"/>
      <c r="TKR2" s="484"/>
      <c r="TKS2" s="484"/>
      <c r="TKT2" s="484"/>
      <c r="TKU2" s="484"/>
      <c r="TKV2" s="484"/>
      <c r="TKW2" s="484"/>
      <c r="TKX2" s="484"/>
      <c r="TKY2" s="484"/>
      <c r="TKZ2" s="484"/>
      <c r="TLA2" s="484"/>
      <c r="TLB2" s="484"/>
      <c r="TLC2" s="484"/>
      <c r="TLD2" s="484"/>
      <c r="TLE2" s="484"/>
      <c r="TLF2" s="484"/>
      <c r="TLG2" s="484"/>
      <c r="TLH2" s="484"/>
      <c r="TLI2" s="484"/>
      <c r="TLJ2" s="484"/>
      <c r="TLK2" s="484"/>
      <c r="TLL2" s="484"/>
      <c r="TLM2" s="484"/>
      <c r="TLN2" s="484"/>
      <c r="TLO2" s="484"/>
      <c r="TLP2" s="484"/>
      <c r="TLQ2" s="484"/>
      <c r="TLR2" s="484"/>
      <c r="TLS2" s="484"/>
      <c r="TLT2" s="484"/>
      <c r="TLU2" s="484"/>
      <c r="TLV2" s="484"/>
      <c r="TLW2" s="484"/>
      <c r="TLX2" s="484"/>
      <c r="TLY2" s="484"/>
      <c r="TLZ2" s="484"/>
      <c r="TMA2" s="484"/>
      <c r="TMB2" s="484"/>
      <c r="TMC2" s="484"/>
      <c r="TMD2" s="484"/>
      <c r="TME2" s="484"/>
      <c r="TMF2" s="484"/>
      <c r="TMG2" s="484"/>
      <c r="TMH2" s="484"/>
      <c r="TMI2" s="484"/>
      <c r="TMJ2" s="484"/>
      <c r="TMK2" s="484"/>
      <c r="TML2" s="484"/>
      <c r="TMM2" s="484"/>
      <c r="TMN2" s="484"/>
      <c r="TMO2" s="484"/>
      <c r="TMP2" s="484"/>
      <c r="TMQ2" s="484"/>
      <c r="TMR2" s="484"/>
      <c r="TMS2" s="484"/>
      <c r="TMT2" s="484"/>
      <c r="TMU2" s="484"/>
      <c r="TMV2" s="484"/>
      <c r="TMW2" s="484"/>
      <c r="TMX2" s="484"/>
      <c r="TMY2" s="484"/>
      <c r="TMZ2" s="484"/>
      <c r="TNA2" s="484"/>
      <c r="TNB2" s="484"/>
      <c r="TNC2" s="484"/>
      <c r="TND2" s="484"/>
      <c r="TNE2" s="484"/>
      <c r="TNF2" s="484"/>
      <c r="TNG2" s="484"/>
      <c r="TNH2" s="484"/>
      <c r="TNI2" s="484"/>
      <c r="TNJ2" s="484"/>
      <c r="TNK2" s="484"/>
      <c r="TNL2" s="484"/>
      <c r="TNM2" s="484"/>
      <c r="TNN2" s="484"/>
      <c r="TNO2" s="484"/>
      <c r="TNP2" s="484"/>
      <c r="TNQ2" s="484"/>
      <c r="TNR2" s="484"/>
      <c r="TNS2" s="484"/>
      <c r="TNT2" s="484"/>
      <c r="TNU2" s="484"/>
      <c r="TNV2" s="484"/>
      <c r="TNW2" s="484"/>
      <c r="TNX2" s="484"/>
      <c r="TNY2" s="484"/>
      <c r="TNZ2" s="484"/>
      <c r="TOA2" s="484"/>
      <c r="TOB2" s="484"/>
      <c r="TOC2" s="484"/>
      <c r="TOD2" s="484"/>
      <c r="TOE2" s="484"/>
      <c r="TOF2" s="484"/>
      <c r="TOG2" s="484"/>
      <c r="TOH2" s="484"/>
      <c r="TOI2" s="484"/>
      <c r="TOJ2" s="484"/>
      <c r="TOK2" s="484"/>
      <c r="TOL2" s="484"/>
      <c r="TOM2" s="484"/>
      <c r="TON2" s="484"/>
      <c r="TOO2" s="484"/>
      <c r="TOP2" s="484"/>
      <c r="TOQ2" s="484"/>
      <c r="TOR2" s="484"/>
      <c r="TOS2" s="484"/>
      <c r="TOT2" s="484"/>
      <c r="TOU2" s="484"/>
      <c r="TOV2" s="484"/>
      <c r="TOW2" s="484"/>
      <c r="TOX2" s="484"/>
      <c r="TOY2" s="484"/>
      <c r="TOZ2" s="484"/>
      <c r="TPA2" s="484"/>
      <c r="TPB2" s="484"/>
      <c r="TPC2" s="484"/>
      <c r="TPD2" s="484"/>
      <c r="TPE2" s="484"/>
      <c r="TPF2" s="484"/>
      <c r="TPG2" s="484"/>
      <c r="TPH2" s="484"/>
      <c r="TPI2" s="484"/>
      <c r="TPJ2" s="484"/>
      <c r="TPK2" s="484"/>
      <c r="TPL2" s="484"/>
      <c r="TPM2" s="484"/>
      <c r="TPN2" s="484"/>
      <c r="TPO2" s="484"/>
      <c r="TPP2" s="484"/>
      <c r="TPQ2" s="484"/>
      <c r="TPR2" s="484"/>
      <c r="TPS2" s="484"/>
      <c r="TPT2" s="484"/>
      <c r="TPU2" s="484"/>
      <c r="TPV2" s="484"/>
      <c r="TPW2" s="484"/>
      <c r="TPX2" s="484"/>
      <c r="TPY2" s="484"/>
      <c r="TPZ2" s="484"/>
      <c r="TQA2" s="484"/>
      <c r="TQB2" s="484"/>
      <c r="TQC2" s="484"/>
      <c r="TQD2" s="484"/>
      <c r="TQE2" s="484"/>
      <c r="TQF2" s="484"/>
      <c r="TQG2" s="484"/>
      <c r="TQH2" s="484"/>
      <c r="TQI2" s="484"/>
      <c r="TQJ2" s="484"/>
      <c r="TQK2" s="484"/>
      <c r="TQL2" s="484"/>
      <c r="TQM2" s="484"/>
      <c r="TQN2" s="484"/>
      <c r="TQO2" s="484"/>
      <c r="TQP2" s="484"/>
      <c r="TQQ2" s="484"/>
      <c r="TQR2" s="484"/>
      <c r="TQS2" s="484"/>
      <c r="TQT2" s="484"/>
      <c r="TQU2" s="484"/>
      <c r="TQV2" s="484"/>
      <c r="TQW2" s="484"/>
      <c r="TQX2" s="484"/>
      <c r="TQY2" s="484"/>
      <c r="TQZ2" s="484"/>
      <c r="TRA2" s="484"/>
      <c r="TRB2" s="484"/>
      <c r="TRC2" s="484"/>
      <c r="TRD2" s="484"/>
      <c r="TRE2" s="484"/>
      <c r="TRF2" s="484"/>
      <c r="TRG2" s="484"/>
      <c r="TRH2" s="484"/>
      <c r="TRI2" s="484"/>
      <c r="TRJ2" s="484"/>
      <c r="TRK2" s="484"/>
      <c r="TRL2" s="484"/>
      <c r="TRM2" s="484"/>
      <c r="TRN2" s="484"/>
      <c r="TRO2" s="484"/>
      <c r="TRP2" s="484"/>
      <c r="TRQ2" s="484"/>
      <c r="TRR2" s="484"/>
      <c r="TRS2" s="484"/>
      <c r="TRT2" s="484"/>
      <c r="TRU2" s="484"/>
      <c r="TRV2" s="484"/>
      <c r="TRW2" s="484"/>
      <c r="TRX2" s="484"/>
      <c r="TRY2" s="484"/>
      <c r="TRZ2" s="484"/>
      <c r="TSA2" s="484"/>
      <c r="TSB2" s="484"/>
      <c r="TSC2" s="484"/>
      <c r="TSD2" s="484"/>
      <c r="TSE2" s="484"/>
      <c r="TSF2" s="484"/>
      <c r="TSG2" s="484"/>
      <c r="TSH2" s="484"/>
      <c r="TSI2" s="484"/>
      <c r="TSJ2" s="484"/>
      <c r="TSK2" s="484"/>
      <c r="TSL2" s="484"/>
      <c r="TSM2" s="484"/>
      <c r="TSN2" s="484"/>
      <c r="TSO2" s="484"/>
      <c r="TSP2" s="484"/>
      <c r="TSQ2" s="484"/>
      <c r="TSR2" s="484"/>
      <c r="TSS2" s="484"/>
      <c r="TST2" s="484"/>
      <c r="TSU2" s="484"/>
      <c r="TSV2" s="484"/>
      <c r="TSW2" s="484"/>
      <c r="TSX2" s="484"/>
      <c r="TSY2" s="484"/>
      <c r="TSZ2" s="484"/>
      <c r="TTA2" s="484"/>
      <c r="TTB2" s="484"/>
      <c r="TTC2" s="484"/>
      <c r="TTD2" s="484"/>
      <c r="TTE2" s="484"/>
      <c r="TTF2" s="484"/>
      <c r="TTG2" s="484"/>
      <c r="TTH2" s="484"/>
      <c r="TTI2" s="484"/>
      <c r="TTJ2" s="484"/>
      <c r="TTK2" s="484"/>
      <c r="TTL2" s="484"/>
      <c r="TTM2" s="484"/>
      <c r="TTN2" s="484"/>
      <c r="TTO2" s="484"/>
      <c r="TTP2" s="484"/>
      <c r="TTQ2" s="484"/>
      <c r="TTR2" s="484"/>
      <c r="TTS2" s="484"/>
      <c r="TTT2" s="484"/>
      <c r="TTU2" s="484"/>
      <c r="TTV2" s="484"/>
      <c r="TTW2" s="484"/>
      <c r="TTX2" s="484"/>
      <c r="TTY2" s="484"/>
      <c r="TTZ2" s="484"/>
      <c r="TUA2" s="484"/>
      <c r="TUB2" s="484"/>
      <c r="TUC2" s="484"/>
      <c r="TUD2" s="484"/>
      <c r="TUE2" s="484"/>
      <c r="TUF2" s="484"/>
      <c r="TUG2" s="484"/>
      <c r="TUH2" s="484"/>
      <c r="TUI2" s="484"/>
      <c r="TUJ2" s="484"/>
      <c r="TUK2" s="484"/>
      <c r="TUL2" s="484"/>
      <c r="TUM2" s="484"/>
      <c r="TUN2" s="484"/>
      <c r="TUO2" s="484"/>
      <c r="TUP2" s="484"/>
      <c r="TUQ2" s="484"/>
      <c r="TUR2" s="484"/>
      <c r="TUS2" s="484"/>
      <c r="TUT2" s="484"/>
      <c r="TUU2" s="484"/>
      <c r="TUV2" s="484"/>
      <c r="TUW2" s="484"/>
      <c r="TUX2" s="484"/>
      <c r="TUY2" s="484"/>
      <c r="TUZ2" s="484"/>
      <c r="TVA2" s="484"/>
      <c r="TVB2" s="484"/>
      <c r="TVC2" s="484"/>
      <c r="TVD2" s="484"/>
      <c r="TVE2" s="484"/>
      <c r="TVF2" s="484"/>
      <c r="TVG2" s="484"/>
      <c r="TVH2" s="484"/>
      <c r="TVI2" s="484"/>
      <c r="TVJ2" s="484"/>
      <c r="TVK2" s="484"/>
      <c r="TVL2" s="484"/>
      <c r="TVM2" s="484"/>
      <c r="TVN2" s="484"/>
      <c r="TVO2" s="484"/>
      <c r="TVP2" s="484"/>
      <c r="TVQ2" s="484"/>
      <c r="TVR2" s="484"/>
      <c r="TVS2" s="484"/>
      <c r="TVT2" s="484"/>
      <c r="TVU2" s="484"/>
      <c r="TVV2" s="484"/>
      <c r="TVW2" s="484"/>
      <c r="TVX2" s="484"/>
      <c r="TVY2" s="484"/>
      <c r="TVZ2" s="484"/>
      <c r="TWA2" s="484"/>
      <c r="TWB2" s="484"/>
      <c r="TWC2" s="484"/>
      <c r="TWD2" s="484"/>
      <c r="TWE2" s="484"/>
      <c r="TWF2" s="484"/>
      <c r="TWG2" s="484"/>
      <c r="TWH2" s="484"/>
      <c r="TWI2" s="484"/>
      <c r="TWJ2" s="484"/>
      <c r="TWK2" s="484"/>
      <c r="TWL2" s="484"/>
      <c r="TWM2" s="484"/>
      <c r="TWN2" s="484"/>
      <c r="TWO2" s="484"/>
      <c r="TWP2" s="484"/>
      <c r="TWQ2" s="484"/>
      <c r="TWR2" s="484"/>
      <c r="TWS2" s="484"/>
      <c r="TWT2" s="484"/>
      <c r="TWU2" s="484"/>
      <c r="TWV2" s="484"/>
      <c r="TWW2" s="484"/>
      <c r="TWX2" s="484"/>
      <c r="TWY2" s="484"/>
      <c r="TWZ2" s="484"/>
      <c r="TXA2" s="484"/>
      <c r="TXB2" s="484"/>
      <c r="TXC2" s="484"/>
      <c r="TXD2" s="484"/>
      <c r="TXE2" s="484"/>
      <c r="TXF2" s="484"/>
      <c r="TXG2" s="484"/>
      <c r="TXH2" s="484"/>
      <c r="TXI2" s="484"/>
      <c r="TXJ2" s="484"/>
      <c r="TXK2" s="484"/>
      <c r="TXL2" s="484"/>
      <c r="TXM2" s="484"/>
      <c r="TXN2" s="484"/>
      <c r="TXO2" s="484"/>
      <c r="TXP2" s="484"/>
      <c r="TXQ2" s="484"/>
      <c r="TXR2" s="484"/>
      <c r="TXS2" s="484"/>
      <c r="TXT2" s="484"/>
      <c r="TXU2" s="484"/>
      <c r="TXV2" s="484"/>
      <c r="TXW2" s="484"/>
      <c r="TXX2" s="484"/>
      <c r="TXY2" s="484"/>
      <c r="TXZ2" s="484"/>
      <c r="TYA2" s="484"/>
      <c r="TYB2" s="484"/>
      <c r="TYC2" s="484"/>
      <c r="TYD2" s="484"/>
      <c r="TYE2" s="484"/>
      <c r="TYF2" s="484"/>
      <c r="TYG2" s="484"/>
      <c r="TYH2" s="484"/>
      <c r="TYI2" s="484"/>
      <c r="TYJ2" s="484"/>
      <c r="TYK2" s="484"/>
      <c r="TYL2" s="484"/>
      <c r="TYM2" s="484"/>
      <c r="TYN2" s="484"/>
      <c r="TYO2" s="484"/>
      <c r="TYP2" s="484"/>
      <c r="TYQ2" s="484"/>
      <c r="TYR2" s="484"/>
      <c r="TYS2" s="484"/>
      <c r="TYT2" s="484"/>
      <c r="TYU2" s="484"/>
      <c r="TYV2" s="484"/>
      <c r="TYW2" s="484"/>
      <c r="TYX2" s="484"/>
      <c r="TYY2" s="484"/>
      <c r="TYZ2" s="484"/>
      <c r="TZA2" s="484"/>
      <c r="TZB2" s="484"/>
      <c r="TZC2" s="484"/>
      <c r="TZD2" s="484"/>
      <c r="TZE2" s="484"/>
      <c r="TZF2" s="484"/>
      <c r="TZG2" s="484"/>
      <c r="TZH2" s="484"/>
      <c r="TZI2" s="484"/>
      <c r="TZJ2" s="484"/>
      <c r="TZK2" s="484"/>
      <c r="TZL2" s="484"/>
      <c r="TZM2" s="484"/>
      <c r="TZN2" s="484"/>
      <c r="TZO2" s="484"/>
      <c r="TZP2" s="484"/>
      <c r="TZQ2" s="484"/>
      <c r="TZR2" s="484"/>
      <c r="TZS2" s="484"/>
      <c r="TZT2" s="484"/>
      <c r="TZU2" s="484"/>
      <c r="TZV2" s="484"/>
      <c r="TZW2" s="484"/>
      <c r="TZX2" s="484"/>
      <c r="TZY2" s="484"/>
      <c r="TZZ2" s="484"/>
      <c r="UAA2" s="484"/>
      <c r="UAB2" s="484"/>
      <c r="UAC2" s="484"/>
      <c r="UAD2" s="484"/>
      <c r="UAE2" s="484"/>
      <c r="UAF2" s="484"/>
      <c r="UAG2" s="484"/>
      <c r="UAH2" s="484"/>
      <c r="UAI2" s="484"/>
      <c r="UAJ2" s="484"/>
      <c r="UAK2" s="484"/>
      <c r="UAL2" s="484"/>
      <c r="UAM2" s="484"/>
      <c r="UAN2" s="484"/>
      <c r="UAO2" s="484"/>
      <c r="UAP2" s="484"/>
      <c r="UAQ2" s="484"/>
      <c r="UAR2" s="484"/>
      <c r="UAS2" s="484"/>
      <c r="UAT2" s="484"/>
      <c r="UAU2" s="484"/>
      <c r="UAV2" s="484"/>
      <c r="UAW2" s="484"/>
      <c r="UAX2" s="484"/>
      <c r="UAY2" s="484"/>
      <c r="UAZ2" s="484"/>
      <c r="UBA2" s="484"/>
      <c r="UBB2" s="484"/>
      <c r="UBC2" s="484"/>
      <c r="UBD2" s="484"/>
      <c r="UBE2" s="484"/>
      <c r="UBF2" s="484"/>
      <c r="UBG2" s="484"/>
      <c r="UBH2" s="484"/>
      <c r="UBI2" s="484"/>
      <c r="UBJ2" s="484"/>
      <c r="UBK2" s="484"/>
      <c r="UBL2" s="484"/>
      <c r="UBM2" s="484"/>
      <c r="UBN2" s="484"/>
      <c r="UBO2" s="484"/>
      <c r="UBP2" s="484"/>
      <c r="UBQ2" s="484"/>
      <c r="UBR2" s="484"/>
      <c r="UBS2" s="484"/>
      <c r="UBT2" s="484"/>
      <c r="UBU2" s="484"/>
      <c r="UBV2" s="484"/>
      <c r="UBW2" s="484"/>
      <c r="UBX2" s="484"/>
      <c r="UBY2" s="484"/>
      <c r="UBZ2" s="484"/>
      <c r="UCA2" s="484"/>
      <c r="UCB2" s="484"/>
      <c r="UCC2" s="484"/>
      <c r="UCD2" s="484"/>
      <c r="UCE2" s="484"/>
      <c r="UCF2" s="484"/>
      <c r="UCG2" s="484"/>
      <c r="UCH2" s="484"/>
      <c r="UCI2" s="484"/>
      <c r="UCJ2" s="484"/>
      <c r="UCK2" s="484"/>
      <c r="UCL2" s="484"/>
      <c r="UCM2" s="484"/>
      <c r="UCN2" s="484"/>
      <c r="UCO2" s="484"/>
      <c r="UCP2" s="484"/>
      <c r="UCQ2" s="484"/>
      <c r="UCR2" s="484"/>
      <c r="UCS2" s="484"/>
      <c r="UCT2" s="484"/>
      <c r="UCU2" s="484"/>
      <c r="UCV2" s="484"/>
      <c r="UCW2" s="484"/>
      <c r="UCX2" s="484"/>
      <c r="UCY2" s="484"/>
      <c r="UCZ2" s="484"/>
      <c r="UDA2" s="484"/>
      <c r="UDB2" s="484"/>
      <c r="UDC2" s="484"/>
      <c r="UDD2" s="484"/>
      <c r="UDE2" s="484"/>
      <c r="UDF2" s="484"/>
      <c r="UDG2" s="484"/>
      <c r="UDH2" s="484"/>
      <c r="UDI2" s="484"/>
      <c r="UDJ2" s="484"/>
      <c r="UDK2" s="484"/>
      <c r="UDL2" s="484"/>
      <c r="UDM2" s="484"/>
      <c r="UDN2" s="484"/>
      <c r="UDO2" s="484"/>
      <c r="UDP2" s="484"/>
      <c r="UDQ2" s="484"/>
      <c r="UDR2" s="484"/>
      <c r="UDS2" s="484"/>
      <c r="UDT2" s="484"/>
      <c r="UDU2" s="484"/>
      <c r="UDV2" s="484"/>
      <c r="UDW2" s="484"/>
      <c r="UDX2" s="484"/>
      <c r="UDY2" s="484"/>
      <c r="UDZ2" s="484"/>
      <c r="UEA2" s="484"/>
      <c r="UEB2" s="484"/>
      <c r="UEC2" s="484"/>
      <c r="UED2" s="484"/>
      <c r="UEE2" s="484"/>
      <c r="UEF2" s="484"/>
      <c r="UEG2" s="484"/>
      <c r="UEH2" s="484"/>
      <c r="UEI2" s="484"/>
      <c r="UEJ2" s="484"/>
      <c r="UEK2" s="484"/>
      <c r="UEL2" s="484"/>
      <c r="UEM2" s="484"/>
      <c r="UEN2" s="484"/>
      <c r="UEO2" s="484"/>
      <c r="UEP2" s="484"/>
      <c r="UEQ2" s="484"/>
      <c r="UER2" s="484"/>
      <c r="UES2" s="484"/>
      <c r="UET2" s="484"/>
      <c r="UEU2" s="484"/>
      <c r="UEV2" s="484"/>
      <c r="UEW2" s="484"/>
      <c r="UEX2" s="484"/>
      <c r="UEY2" s="484"/>
      <c r="UEZ2" s="484"/>
      <c r="UFA2" s="484"/>
      <c r="UFB2" s="484"/>
      <c r="UFC2" s="484"/>
      <c r="UFD2" s="484"/>
      <c r="UFE2" s="484"/>
      <c r="UFF2" s="484"/>
      <c r="UFG2" s="484"/>
      <c r="UFH2" s="484"/>
      <c r="UFI2" s="484"/>
      <c r="UFJ2" s="484"/>
      <c r="UFK2" s="484"/>
      <c r="UFL2" s="484"/>
      <c r="UFM2" s="484"/>
      <c r="UFN2" s="484"/>
      <c r="UFO2" s="484"/>
      <c r="UFP2" s="484"/>
      <c r="UFQ2" s="484"/>
      <c r="UFR2" s="484"/>
      <c r="UFS2" s="484"/>
      <c r="UFT2" s="484"/>
      <c r="UFU2" s="484"/>
      <c r="UFV2" s="484"/>
      <c r="UFW2" s="484"/>
      <c r="UFX2" s="484"/>
      <c r="UFY2" s="484"/>
      <c r="UFZ2" s="484"/>
      <c r="UGA2" s="484"/>
      <c r="UGB2" s="484"/>
      <c r="UGC2" s="484"/>
      <c r="UGD2" s="484"/>
      <c r="UGE2" s="484"/>
      <c r="UGF2" s="484"/>
      <c r="UGG2" s="484"/>
      <c r="UGH2" s="484"/>
      <c r="UGI2" s="484"/>
      <c r="UGJ2" s="484"/>
      <c r="UGK2" s="484"/>
      <c r="UGL2" s="484"/>
      <c r="UGM2" s="484"/>
      <c r="UGN2" s="484"/>
      <c r="UGO2" s="484"/>
      <c r="UGP2" s="484"/>
      <c r="UGQ2" s="484"/>
      <c r="UGR2" s="484"/>
      <c r="UGS2" s="484"/>
      <c r="UGT2" s="484"/>
      <c r="UGU2" s="484"/>
      <c r="UGV2" s="484"/>
      <c r="UGW2" s="484"/>
      <c r="UGX2" s="484"/>
      <c r="UGY2" s="484"/>
      <c r="UGZ2" s="484"/>
      <c r="UHA2" s="484"/>
      <c r="UHB2" s="484"/>
      <c r="UHC2" s="484"/>
      <c r="UHD2" s="484"/>
      <c r="UHE2" s="484"/>
      <c r="UHF2" s="484"/>
      <c r="UHG2" s="484"/>
      <c r="UHH2" s="484"/>
      <c r="UHI2" s="484"/>
      <c r="UHJ2" s="484"/>
      <c r="UHK2" s="484"/>
      <c r="UHL2" s="484"/>
      <c r="UHM2" s="484"/>
      <c r="UHN2" s="484"/>
      <c r="UHO2" s="484"/>
      <c r="UHP2" s="484"/>
      <c r="UHQ2" s="484"/>
      <c r="UHR2" s="484"/>
      <c r="UHS2" s="484"/>
      <c r="UHT2" s="484"/>
      <c r="UHU2" s="484"/>
      <c r="UHV2" s="484"/>
      <c r="UHW2" s="484"/>
      <c r="UHX2" s="484"/>
      <c r="UHY2" s="484"/>
      <c r="UHZ2" s="484"/>
      <c r="UIA2" s="484"/>
      <c r="UIB2" s="484"/>
      <c r="UIC2" s="484"/>
      <c r="UID2" s="484"/>
      <c r="UIE2" s="484"/>
      <c r="UIF2" s="484"/>
      <c r="UIG2" s="484"/>
      <c r="UIH2" s="484"/>
      <c r="UII2" s="484"/>
      <c r="UIJ2" s="484"/>
      <c r="UIK2" s="484"/>
      <c r="UIL2" s="484"/>
      <c r="UIM2" s="484"/>
      <c r="UIN2" s="484"/>
      <c r="UIO2" s="484"/>
      <c r="UIP2" s="484"/>
      <c r="UIQ2" s="484"/>
      <c r="UIR2" s="484"/>
      <c r="UIS2" s="484"/>
      <c r="UIT2" s="484"/>
      <c r="UIU2" s="484"/>
      <c r="UIV2" s="484"/>
      <c r="UIW2" s="484"/>
      <c r="UIX2" s="484"/>
      <c r="UIY2" s="484"/>
      <c r="UIZ2" s="484"/>
      <c r="UJA2" s="484"/>
      <c r="UJB2" s="484"/>
      <c r="UJC2" s="484"/>
      <c r="UJD2" s="484"/>
      <c r="UJE2" s="484"/>
      <c r="UJF2" s="484"/>
      <c r="UJG2" s="484"/>
      <c r="UJH2" s="484"/>
      <c r="UJI2" s="484"/>
      <c r="UJJ2" s="484"/>
      <c r="UJK2" s="484"/>
      <c r="UJL2" s="484"/>
      <c r="UJM2" s="484"/>
      <c r="UJN2" s="484"/>
      <c r="UJO2" s="484"/>
      <c r="UJP2" s="484"/>
      <c r="UJQ2" s="484"/>
      <c r="UJR2" s="484"/>
      <c r="UJS2" s="484"/>
      <c r="UJT2" s="484"/>
      <c r="UJU2" s="484"/>
      <c r="UJV2" s="484"/>
      <c r="UJW2" s="484"/>
      <c r="UJX2" s="484"/>
      <c r="UJY2" s="484"/>
      <c r="UJZ2" s="484"/>
      <c r="UKA2" s="484"/>
      <c r="UKB2" s="484"/>
      <c r="UKC2" s="484"/>
      <c r="UKD2" s="484"/>
      <c r="UKE2" s="484"/>
      <c r="UKF2" s="484"/>
      <c r="UKG2" s="484"/>
      <c r="UKH2" s="484"/>
      <c r="UKI2" s="484"/>
      <c r="UKJ2" s="484"/>
      <c r="UKK2" s="484"/>
      <c r="UKL2" s="484"/>
      <c r="UKM2" s="484"/>
      <c r="UKN2" s="484"/>
      <c r="UKO2" s="484"/>
      <c r="UKP2" s="484"/>
      <c r="UKQ2" s="484"/>
      <c r="UKR2" s="484"/>
      <c r="UKS2" s="484"/>
      <c r="UKT2" s="484"/>
      <c r="UKU2" s="484"/>
      <c r="UKV2" s="484"/>
      <c r="UKW2" s="484"/>
      <c r="UKX2" s="484"/>
      <c r="UKY2" s="484"/>
      <c r="UKZ2" s="484"/>
      <c r="ULA2" s="484"/>
      <c r="ULB2" s="484"/>
      <c r="ULC2" s="484"/>
      <c r="ULD2" s="484"/>
      <c r="ULE2" s="484"/>
      <c r="ULF2" s="484"/>
      <c r="ULG2" s="484"/>
      <c r="ULH2" s="484"/>
      <c r="ULI2" s="484"/>
      <c r="ULJ2" s="484"/>
      <c r="ULK2" s="484"/>
      <c r="ULL2" s="484"/>
      <c r="ULM2" s="484"/>
      <c r="ULN2" s="484"/>
      <c r="ULO2" s="484"/>
      <c r="ULP2" s="484"/>
      <c r="ULQ2" s="484"/>
      <c r="ULR2" s="484"/>
      <c r="ULS2" s="484"/>
      <c r="ULT2" s="484"/>
      <c r="ULU2" s="484"/>
      <c r="ULV2" s="484"/>
      <c r="ULW2" s="484"/>
      <c r="ULX2" s="484"/>
      <c r="ULY2" s="484"/>
      <c r="ULZ2" s="484"/>
      <c r="UMA2" s="484"/>
      <c r="UMB2" s="484"/>
      <c r="UMC2" s="484"/>
      <c r="UMD2" s="484"/>
      <c r="UME2" s="484"/>
      <c r="UMF2" s="484"/>
      <c r="UMG2" s="484"/>
      <c r="UMH2" s="484"/>
      <c r="UMI2" s="484"/>
      <c r="UMJ2" s="484"/>
      <c r="UMK2" s="484"/>
      <c r="UML2" s="484"/>
      <c r="UMM2" s="484"/>
      <c r="UMN2" s="484"/>
      <c r="UMO2" s="484"/>
      <c r="UMP2" s="484"/>
      <c r="UMQ2" s="484"/>
      <c r="UMR2" s="484"/>
      <c r="UMS2" s="484"/>
      <c r="UMT2" s="484"/>
      <c r="UMU2" s="484"/>
      <c r="UMV2" s="484"/>
      <c r="UMW2" s="484"/>
      <c r="UMX2" s="484"/>
      <c r="UMY2" s="484"/>
      <c r="UMZ2" s="484"/>
      <c r="UNA2" s="484"/>
      <c r="UNB2" s="484"/>
      <c r="UNC2" s="484"/>
      <c r="UND2" s="484"/>
      <c r="UNE2" s="484"/>
      <c r="UNF2" s="484"/>
      <c r="UNG2" s="484"/>
      <c r="UNH2" s="484"/>
      <c r="UNI2" s="484"/>
      <c r="UNJ2" s="484"/>
      <c r="UNK2" s="484"/>
      <c r="UNL2" s="484"/>
      <c r="UNM2" s="484"/>
      <c r="UNN2" s="484"/>
      <c r="UNO2" s="484"/>
      <c r="UNP2" s="484"/>
      <c r="UNQ2" s="484"/>
      <c r="UNR2" s="484"/>
      <c r="UNS2" s="484"/>
      <c r="UNT2" s="484"/>
      <c r="UNU2" s="484"/>
      <c r="UNV2" s="484"/>
      <c r="UNW2" s="484"/>
      <c r="UNX2" s="484"/>
      <c r="UNY2" s="484"/>
      <c r="UNZ2" s="484"/>
      <c r="UOA2" s="484"/>
      <c r="UOB2" s="484"/>
      <c r="UOC2" s="484"/>
      <c r="UOD2" s="484"/>
      <c r="UOE2" s="484"/>
      <c r="UOF2" s="484"/>
      <c r="UOG2" s="484"/>
      <c r="UOH2" s="484"/>
      <c r="UOI2" s="484"/>
      <c r="UOJ2" s="484"/>
      <c r="UOK2" s="484"/>
      <c r="UOL2" s="484"/>
      <c r="UOM2" s="484"/>
      <c r="UON2" s="484"/>
      <c r="UOO2" s="484"/>
      <c r="UOP2" s="484"/>
      <c r="UOQ2" s="484"/>
      <c r="UOR2" s="484"/>
      <c r="UOS2" s="484"/>
      <c r="UOT2" s="484"/>
      <c r="UOU2" s="484"/>
      <c r="UOV2" s="484"/>
      <c r="UOW2" s="484"/>
      <c r="UOX2" s="484"/>
      <c r="UOY2" s="484"/>
      <c r="UOZ2" s="484"/>
      <c r="UPA2" s="484"/>
      <c r="UPB2" s="484"/>
      <c r="UPC2" s="484"/>
      <c r="UPD2" s="484"/>
      <c r="UPE2" s="484"/>
      <c r="UPF2" s="484"/>
      <c r="UPG2" s="484"/>
      <c r="UPH2" s="484"/>
      <c r="UPI2" s="484"/>
      <c r="UPJ2" s="484"/>
      <c r="UPK2" s="484"/>
      <c r="UPL2" s="484"/>
      <c r="UPM2" s="484"/>
      <c r="UPN2" s="484"/>
      <c r="UPO2" s="484"/>
      <c r="UPP2" s="484"/>
      <c r="UPQ2" s="484"/>
      <c r="UPR2" s="484"/>
      <c r="UPS2" s="484"/>
      <c r="UPT2" s="484"/>
      <c r="UPU2" s="484"/>
      <c r="UPV2" s="484"/>
      <c r="UPW2" s="484"/>
      <c r="UPX2" s="484"/>
      <c r="UPY2" s="484"/>
      <c r="UPZ2" s="484"/>
      <c r="UQA2" s="484"/>
      <c r="UQB2" s="484"/>
      <c r="UQC2" s="484"/>
      <c r="UQD2" s="484"/>
      <c r="UQE2" s="484"/>
      <c r="UQF2" s="484"/>
      <c r="UQG2" s="484"/>
      <c r="UQH2" s="484"/>
      <c r="UQI2" s="484"/>
      <c r="UQJ2" s="484"/>
      <c r="UQK2" s="484"/>
      <c r="UQL2" s="484"/>
      <c r="UQM2" s="484"/>
      <c r="UQN2" s="484"/>
      <c r="UQO2" s="484"/>
      <c r="UQP2" s="484"/>
      <c r="UQQ2" s="484"/>
      <c r="UQR2" s="484"/>
      <c r="UQS2" s="484"/>
      <c r="UQT2" s="484"/>
      <c r="UQU2" s="484"/>
      <c r="UQV2" s="484"/>
      <c r="UQW2" s="484"/>
      <c r="UQX2" s="484"/>
      <c r="UQY2" s="484"/>
      <c r="UQZ2" s="484"/>
      <c r="URA2" s="484"/>
      <c r="URB2" s="484"/>
      <c r="URC2" s="484"/>
      <c r="URD2" s="484"/>
      <c r="URE2" s="484"/>
      <c r="URF2" s="484"/>
      <c r="URG2" s="484"/>
      <c r="URH2" s="484"/>
      <c r="URI2" s="484"/>
      <c r="URJ2" s="484"/>
      <c r="URK2" s="484"/>
      <c r="URL2" s="484"/>
      <c r="URM2" s="484"/>
      <c r="URN2" s="484"/>
      <c r="URO2" s="484"/>
      <c r="URP2" s="484"/>
      <c r="URQ2" s="484"/>
      <c r="URR2" s="484"/>
      <c r="URS2" s="484"/>
      <c r="URT2" s="484"/>
      <c r="URU2" s="484"/>
      <c r="URV2" s="484"/>
      <c r="URW2" s="484"/>
      <c r="URX2" s="484"/>
      <c r="URY2" s="484"/>
      <c r="URZ2" s="484"/>
      <c r="USA2" s="484"/>
      <c r="USB2" s="484"/>
      <c r="USC2" s="484"/>
      <c r="USD2" s="484"/>
      <c r="USE2" s="484"/>
      <c r="USF2" s="484"/>
      <c r="USG2" s="484"/>
      <c r="USH2" s="484"/>
      <c r="USI2" s="484"/>
      <c r="USJ2" s="484"/>
      <c r="USK2" s="484"/>
      <c r="USL2" s="484"/>
      <c r="USM2" s="484"/>
      <c r="USN2" s="484"/>
      <c r="USO2" s="484"/>
      <c r="USP2" s="484"/>
      <c r="USQ2" s="484"/>
      <c r="USR2" s="484"/>
      <c r="USS2" s="484"/>
      <c r="UST2" s="484"/>
      <c r="USU2" s="484"/>
      <c r="USV2" s="484"/>
      <c r="USW2" s="484"/>
      <c r="USX2" s="484"/>
      <c r="USY2" s="484"/>
      <c r="USZ2" s="484"/>
      <c r="UTA2" s="484"/>
      <c r="UTB2" s="484"/>
      <c r="UTC2" s="484"/>
      <c r="UTD2" s="484"/>
      <c r="UTE2" s="484"/>
      <c r="UTF2" s="484"/>
      <c r="UTG2" s="484"/>
      <c r="UTH2" s="484"/>
      <c r="UTI2" s="484"/>
      <c r="UTJ2" s="484"/>
      <c r="UTK2" s="484"/>
      <c r="UTL2" s="484"/>
      <c r="UTM2" s="484"/>
      <c r="UTN2" s="484"/>
      <c r="UTO2" s="484"/>
      <c r="UTP2" s="484"/>
      <c r="UTQ2" s="484"/>
      <c r="UTR2" s="484"/>
      <c r="UTS2" s="484"/>
      <c r="UTT2" s="484"/>
      <c r="UTU2" s="484"/>
      <c r="UTV2" s="484"/>
      <c r="UTW2" s="484"/>
      <c r="UTX2" s="484"/>
      <c r="UTY2" s="484"/>
      <c r="UTZ2" s="484"/>
      <c r="UUA2" s="484"/>
      <c r="UUB2" s="484"/>
      <c r="UUC2" s="484"/>
      <c r="UUD2" s="484"/>
      <c r="UUE2" s="484"/>
      <c r="UUF2" s="484"/>
      <c r="UUG2" s="484"/>
      <c r="UUH2" s="484"/>
      <c r="UUI2" s="484"/>
      <c r="UUJ2" s="484"/>
      <c r="UUK2" s="484"/>
      <c r="UUL2" s="484"/>
      <c r="UUM2" s="484"/>
      <c r="UUN2" s="484"/>
      <c r="UUO2" s="484"/>
      <c r="UUP2" s="484"/>
      <c r="UUQ2" s="484"/>
      <c r="UUR2" s="484"/>
      <c r="UUS2" s="484"/>
      <c r="UUT2" s="484"/>
      <c r="UUU2" s="484"/>
      <c r="UUV2" s="484"/>
      <c r="UUW2" s="484"/>
      <c r="UUX2" s="484"/>
      <c r="UUY2" s="484"/>
      <c r="UUZ2" s="484"/>
      <c r="UVA2" s="484"/>
      <c r="UVB2" s="484"/>
      <c r="UVC2" s="484"/>
      <c r="UVD2" s="484"/>
      <c r="UVE2" s="484"/>
      <c r="UVF2" s="484"/>
      <c r="UVG2" s="484"/>
      <c r="UVH2" s="484"/>
      <c r="UVI2" s="484"/>
      <c r="UVJ2" s="484"/>
      <c r="UVK2" s="484"/>
      <c r="UVL2" s="484"/>
      <c r="UVM2" s="484"/>
      <c r="UVN2" s="484"/>
      <c r="UVO2" s="484"/>
      <c r="UVP2" s="484"/>
      <c r="UVQ2" s="484"/>
      <c r="UVR2" s="484"/>
      <c r="UVS2" s="484"/>
      <c r="UVT2" s="484"/>
      <c r="UVU2" s="484"/>
      <c r="UVV2" s="484"/>
      <c r="UVW2" s="484"/>
      <c r="UVX2" s="484"/>
      <c r="UVY2" s="484"/>
      <c r="UVZ2" s="484"/>
      <c r="UWA2" s="484"/>
      <c r="UWB2" s="484"/>
      <c r="UWC2" s="484"/>
      <c r="UWD2" s="484"/>
      <c r="UWE2" s="484"/>
      <c r="UWF2" s="484"/>
      <c r="UWG2" s="484"/>
      <c r="UWH2" s="484"/>
      <c r="UWI2" s="484"/>
      <c r="UWJ2" s="484"/>
      <c r="UWK2" s="484"/>
      <c r="UWL2" s="484"/>
      <c r="UWM2" s="484"/>
      <c r="UWN2" s="484"/>
      <c r="UWO2" s="484"/>
      <c r="UWP2" s="484"/>
      <c r="UWQ2" s="484"/>
      <c r="UWR2" s="484"/>
      <c r="UWS2" s="484"/>
      <c r="UWT2" s="484"/>
      <c r="UWU2" s="484"/>
      <c r="UWV2" s="484"/>
      <c r="UWW2" s="484"/>
      <c r="UWX2" s="484"/>
      <c r="UWY2" s="484"/>
      <c r="UWZ2" s="484"/>
      <c r="UXA2" s="484"/>
      <c r="UXB2" s="484"/>
      <c r="UXC2" s="484"/>
      <c r="UXD2" s="484"/>
      <c r="UXE2" s="484"/>
      <c r="UXF2" s="484"/>
      <c r="UXG2" s="484"/>
      <c r="UXH2" s="484"/>
      <c r="UXI2" s="484"/>
      <c r="UXJ2" s="484"/>
      <c r="UXK2" s="484"/>
      <c r="UXL2" s="484"/>
      <c r="UXM2" s="484"/>
      <c r="UXN2" s="484"/>
      <c r="UXO2" s="484"/>
      <c r="UXP2" s="484"/>
      <c r="UXQ2" s="484"/>
      <c r="UXR2" s="484"/>
      <c r="UXS2" s="484"/>
      <c r="UXT2" s="484"/>
      <c r="UXU2" s="484"/>
      <c r="UXV2" s="484"/>
      <c r="UXW2" s="484"/>
      <c r="UXX2" s="484"/>
      <c r="UXY2" s="484"/>
      <c r="UXZ2" s="484"/>
      <c r="UYA2" s="484"/>
      <c r="UYB2" s="484"/>
      <c r="UYC2" s="484"/>
      <c r="UYD2" s="484"/>
      <c r="UYE2" s="484"/>
      <c r="UYF2" s="484"/>
      <c r="UYG2" s="484"/>
      <c r="UYH2" s="484"/>
      <c r="UYI2" s="484"/>
      <c r="UYJ2" s="484"/>
      <c r="UYK2" s="484"/>
      <c r="UYL2" s="484"/>
      <c r="UYM2" s="484"/>
      <c r="UYN2" s="484"/>
      <c r="UYO2" s="484"/>
      <c r="UYP2" s="484"/>
      <c r="UYQ2" s="484"/>
      <c r="UYR2" s="484"/>
      <c r="UYS2" s="484"/>
      <c r="UYT2" s="484"/>
      <c r="UYU2" s="484"/>
      <c r="UYV2" s="484"/>
      <c r="UYW2" s="484"/>
      <c r="UYX2" s="484"/>
      <c r="UYY2" s="484"/>
      <c r="UYZ2" s="484"/>
      <c r="UZA2" s="484"/>
      <c r="UZB2" s="484"/>
      <c r="UZC2" s="484"/>
      <c r="UZD2" s="484"/>
      <c r="UZE2" s="484"/>
      <c r="UZF2" s="484"/>
      <c r="UZG2" s="484"/>
      <c r="UZH2" s="484"/>
      <c r="UZI2" s="484"/>
      <c r="UZJ2" s="484"/>
      <c r="UZK2" s="484"/>
      <c r="UZL2" s="484"/>
      <c r="UZM2" s="484"/>
      <c r="UZN2" s="484"/>
      <c r="UZO2" s="484"/>
      <c r="UZP2" s="484"/>
      <c r="UZQ2" s="484"/>
      <c r="UZR2" s="484"/>
      <c r="UZS2" s="484"/>
      <c r="UZT2" s="484"/>
      <c r="UZU2" s="484"/>
      <c r="UZV2" s="484"/>
      <c r="UZW2" s="484"/>
      <c r="UZX2" s="484"/>
      <c r="UZY2" s="484"/>
      <c r="UZZ2" s="484"/>
      <c r="VAA2" s="484"/>
      <c r="VAB2" s="484"/>
      <c r="VAC2" s="484"/>
      <c r="VAD2" s="484"/>
      <c r="VAE2" s="484"/>
      <c r="VAF2" s="484"/>
      <c r="VAG2" s="484"/>
      <c r="VAH2" s="484"/>
      <c r="VAI2" s="484"/>
      <c r="VAJ2" s="484"/>
      <c r="VAK2" s="484"/>
      <c r="VAL2" s="484"/>
      <c r="VAM2" s="484"/>
      <c r="VAN2" s="484"/>
      <c r="VAO2" s="484"/>
      <c r="VAP2" s="484"/>
      <c r="VAQ2" s="484"/>
      <c r="VAR2" s="484"/>
      <c r="VAS2" s="484"/>
      <c r="VAT2" s="484"/>
      <c r="VAU2" s="484"/>
      <c r="VAV2" s="484"/>
      <c r="VAW2" s="484"/>
      <c r="VAX2" s="484"/>
      <c r="VAY2" s="484"/>
      <c r="VAZ2" s="484"/>
      <c r="VBA2" s="484"/>
      <c r="VBB2" s="484"/>
      <c r="VBC2" s="484"/>
      <c r="VBD2" s="484"/>
      <c r="VBE2" s="484"/>
      <c r="VBF2" s="484"/>
      <c r="VBG2" s="484"/>
      <c r="VBH2" s="484"/>
      <c r="VBI2" s="484"/>
      <c r="VBJ2" s="484"/>
      <c r="VBK2" s="484"/>
      <c r="VBL2" s="484"/>
      <c r="VBM2" s="484"/>
      <c r="VBN2" s="484"/>
      <c r="VBO2" s="484"/>
      <c r="VBP2" s="484"/>
      <c r="VBQ2" s="484"/>
      <c r="VBR2" s="484"/>
      <c r="VBS2" s="484"/>
      <c r="VBT2" s="484"/>
      <c r="VBU2" s="484"/>
      <c r="VBV2" s="484"/>
      <c r="VBW2" s="484"/>
      <c r="VBX2" s="484"/>
      <c r="VBY2" s="484"/>
      <c r="VBZ2" s="484"/>
      <c r="VCA2" s="484"/>
      <c r="VCB2" s="484"/>
      <c r="VCC2" s="484"/>
      <c r="VCD2" s="484"/>
      <c r="VCE2" s="484"/>
      <c r="VCF2" s="484"/>
      <c r="VCG2" s="484"/>
      <c r="VCH2" s="484"/>
      <c r="VCI2" s="484"/>
      <c r="VCJ2" s="484"/>
      <c r="VCK2" s="484"/>
      <c r="VCL2" s="484"/>
      <c r="VCM2" s="484"/>
      <c r="VCN2" s="484"/>
      <c r="VCO2" s="484"/>
      <c r="VCP2" s="484"/>
      <c r="VCQ2" s="484"/>
      <c r="VCR2" s="484"/>
      <c r="VCS2" s="484"/>
      <c r="VCT2" s="484"/>
      <c r="VCU2" s="484"/>
      <c r="VCV2" s="484"/>
      <c r="VCW2" s="484"/>
      <c r="VCX2" s="484"/>
      <c r="VCY2" s="484"/>
      <c r="VCZ2" s="484"/>
      <c r="VDA2" s="484"/>
      <c r="VDB2" s="484"/>
      <c r="VDC2" s="484"/>
      <c r="VDD2" s="484"/>
      <c r="VDE2" s="484"/>
      <c r="VDF2" s="484"/>
      <c r="VDG2" s="484"/>
      <c r="VDH2" s="484"/>
      <c r="VDI2" s="484"/>
      <c r="VDJ2" s="484"/>
      <c r="VDK2" s="484"/>
      <c r="VDL2" s="484"/>
      <c r="VDM2" s="484"/>
      <c r="VDN2" s="484"/>
      <c r="VDO2" s="484"/>
      <c r="VDP2" s="484"/>
      <c r="VDQ2" s="484"/>
      <c r="VDR2" s="484"/>
      <c r="VDS2" s="484"/>
      <c r="VDT2" s="484"/>
      <c r="VDU2" s="484"/>
      <c r="VDV2" s="484"/>
      <c r="VDW2" s="484"/>
      <c r="VDX2" s="484"/>
      <c r="VDY2" s="484"/>
      <c r="VDZ2" s="484"/>
      <c r="VEA2" s="484"/>
      <c r="VEB2" s="484"/>
      <c r="VEC2" s="484"/>
      <c r="VED2" s="484"/>
      <c r="VEE2" s="484"/>
      <c r="VEF2" s="484"/>
      <c r="VEG2" s="484"/>
      <c r="VEH2" s="484"/>
      <c r="VEI2" s="484"/>
      <c r="VEJ2" s="484"/>
      <c r="VEK2" s="484"/>
      <c r="VEL2" s="484"/>
      <c r="VEM2" s="484"/>
      <c r="VEN2" s="484"/>
      <c r="VEO2" s="484"/>
      <c r="VEP2" s="484"/>
      <c r="VEQ2" s="484"/>
      <c r="VER2" s="484"/>
      <c r="VES2" s="484"/>
      <c r="VET2" s="484"/>
      <c r="VEU2" s="484"/>
      <c r="VEV2" s="484"/>
      <c r="VEW2" s="484"/>
      <c r="VEX2" s="484"/>
      <c r="VEY2" s="484"/>
      <c r="VEZ2" s="484"/>
      <c r="VFA2" s="484"/>
      <c r="VFB2" s="484"/>
      <c r="VFC2" s="484"/>
      <c r="VFD2" s="484"/>
      <c r="VFE2" s="484"/>
      <c r="VFF2" s="484"/>
      <c r="VFG2" s="484"/>
      <c r="VFH2" s="484"/>
      <c r="VFI2" s="484"/>
      <c r="VFJ2" s="484"/>
      <c r="VFK2" s="484"/>
      <c r="VFL2" s="484"/>
      <c r="VFM2" s="484"/>
      <c r="VFN2" s="484"/>
      <c r="VFO2" s="484"/>
      <c r="VFP2" s="484"/>
      <c r="VFQ2" s="484"/>
      <c r="VFR2" s="484"/>
      <c r="VFS2" s="484"/>
      <c r="VFT2" s="484"/>
      <c r="VFU2" s="484"/>
      <c r="VFV2" s="484"/>
      <c r="VFW2" s="484"/>
      <c r="VFX2" s="484"/>
      <c r="VFY2" s="484"/>
      <c r="VFZ2" s="484"/>
      <c r="VGA2" s="484"/>
      <c r="VGB2" s="484"/>
      <c r="VGC2" s="484"/>
      <c r="VGD2" s="484"/>
      <c r="VGE2" s="484"/>
      <c r="VGF2" s="484"/>
      <c r="VGG2" s="484"/>
      <c r="VGH2" s="484"/>
      <c r="VGI2" s="484"/>
      <c r="VGJ2" s="484"/>
      <c r="VGK2" s="484"/>
      <c r="VGL2" s="484"/>
      <c r="VGM2" s="484"/>
      <c r="VGN2" s="484"/>
      <c r="VGO2" s="484"/>
      <c r="VGP2" s="484"/>
      <c r="VGQ2" s="484"/>
      <c r="VGR2" s="484"/>
      <c r="VGS2" s="484"/>
      <c r="VGT2" s="484"/>
      <c r="VGU2" s="484"/>
      <c r="VGV2" s="484"/>
      <c r="VGW2" s="484"/>
      <c r="VGX2" s="484"/>
      <c r="VGY2" s="484"/>
      <c r="VGZ2" s="484"/>
      <c r="VHA2" s="484"/>
      <c r="VHB2" s="484"/>
      <c r="VHC2" s="484"/>
      <c r="VHD2" s="484"/>
      <c r="VHE2" s="484"/>
      <c r="VHF2" s="484"/>
      <c r="VHG2" s="484"/>
      <c r="VHH2" s="484"/>
      <c r="VHI2" s="484"/>
      <c r="VHJ2" s="484"/>
      <c r="VHK2" s="484"/>
      <c r="VHL2" s="484"/>
      <c r="VHM2" s="484"/>
      <c r="VHN2" s="484"/>
      <c r="VHO2" s="484"/>
      <c r="VHP2" s="484"/>
      <c r="VHQ2" s="484"/>
      <c r="VHR2" s="484"/>
      <c r="VHS2" s="484"/>
      <c r="VHT2" s="484"/>
      <c r="VHU2" s="484"/>
      <c r="VHV2" s="484"/>
      <c r="VHW2" s="484"/>
      <c r="VHX2" s="484"/>
      <c r="VHY2" s="484"/>
      <c r="VHZ2" s="484"/>
      <c r="VIA2" s="484"/>
      <c r="VIB2" s="484"/>
      <c r="VIC2" s="484"/>
      <c r="VID2" s="484"/>
      <c r="VIE2" s="484"/>
      <c r="VIF2" s="484"/>
      <c r="VIG2" s="484"/>
      <c r="VIH2" s="484"/>
      <c r="VII2" s="484"/>
      <c r="VIJ2" s="484"/>
      <c r="VIK2" s="484"/>
      <c r="VIL2" s="484"/>
      <c r="VIM2" s="484"/>
      <c r="VIN2" s="484"/>
      <c r="VIO2" s="484"/>
      <c r="VIP2" s="484"/>
      <c r="VIQ2" s="484"/>
      <c r="VIR2" s="484"/>
      <c r="VIS2" s="484"/>
      <c r="VIT2" s="484"/>
      <c r="VIU2" s="484"/>
      <c r="VIV2" s="484"/>
      <c r="VIW2" s="484"/>
      <c r="VIX2" s="484"/>
      <c r="VIY2" s="484"/>
      <c r="VIZ2" s="484"/>
      <c r="VJA2" s="484"/>
      <c r="VJB2" s="484"/>
      <c r="VJC2" s="484"/>
      <c r="VJD2" s="484"/>
      <c r="VJE2" s="484"/>
      <c r="VJF2" s="484"/>
      <c r="VJG2" s="484"/>
      <c r="VJH2" s="484"/>
      <c r="VJI2" s="484"/>
      <c r="VJJ2" s="484"/>
      <c r="VJK2" s="484"/>
      <c r="VJL2" s="484"/>
      <c r="VJM2" s="484"/>
      <c r="VJN2" s="484"/>
      <c r="VJO2" s="484"/>
      <c r="VJP2" s="484"/>
      <c r="VJQ2" s="484"/>
      <c r="VJR2" s="484"/>
      <c r="VJS2" s="484"/>
      <c r="VJT2" s="484"/>
      <c r="VJU2" s="484"/>
      <c r="VJV2" s="484"/>
      <c r="VJW2" s="484"/>
      <c r="VJX2" s="484"/>
      <c r="VJY2" s="484"/>
      <c r="VJZ2" s="484"/>
      <c r="VKA2" s="484"/>
      <c r="VKB2" s="484"/>
      <c r="VKC2" s="484"/>
      <c r="VKD2" s="484"/>
      <c r="VKE2" s="484"/>
      <c r="VKF2" s="484"/>
      <c r="VKG2" s="484"/>
      <c r="VKH2" s="484"/>
      <c r="VKI2" s="484"/>
      <c r="VKJ2" s="484"/>
      <c r="VKK2" s="484"/>
      <c r="VKL2" s="484"/>
      <c r="VKM2" s="484"/>
      <c r="VKN2" s="484"/>
      <c r="VKO2" s="484"/>
      <c r="VKP2" s="484"/>
      <c r="VKQ2" s="484"/>
      <c r="VKR2" s="484"/>
      <c r="VKS2" s="484"/>
      <c r="VKT2" s="484"/>
      <c r="VKU2" s="484"/>
      <c r="VKV2" s="484"/>
      <c r="VKW2" s="484"/>
      <c r="VKX2" s="484"/>
      <c r="VKY2" s="484"/>
      <c r="VKZ2" s="484"/>
      <c r="VLA2" s="484"/>
      <c r="VLB2" s="484"/>
      <c r="VLC2" s="484"/>
      <c r="VLD2" s="484"/>
      <c r="VLE2" s="484"/>
      <c r="VLF2" s="484"/>
      <c r="VLG2" s="484"/>
      <c r="VLH2" s="484"/>
      <c r="VLI2" s="484"/>
      <c r="VLJ2" s="484"/>
      <c r="VLK2" s="484"/>
      <c r="VLL2" s="484"/>
      <c r="VLM2" s="484"/>
      <c r="VLN2" s="484"/>
      <c r="VLO2" s="484"/>
      <c r="VLP2" s="484"/>
      <c r="VLQ2" s="484"/>
      <c r="VLR2" s="484"/>
      <c r="VLS2" s="484"/>
      <c r="VLT2" s="484"/>
      <c r="VLU2" s="484"/>
      <c r="VLV2" s="484"/>
      <c r="VLW2" s="484"/>
      <c r="VLX2" s="484"/>
      <c r="VLY2" s="484"/>
      <c r="VLZ2" s="484"/>
      <c r="VMA2" s="484"/>
      <c r="VMB2" s="484"/>
      <c r="VMC2" s="484"/>
      <c r="VMD2" s="484"/>
      <c r="VME2" s="484"/>
      <c r="VMF2" s="484"/>
      <c r="VMG2" s="484"/>
      <c r="VMH2" s="484"/>
      <c r="VMI2" s="484"/>
      <c r="VMJ2" s="484"/>
      <c r="VMK2" s="484"/>
      <c r="VML2" s="484"/>
      <c r="VMM2" s="484"/>
      <c r="VMN2" s="484"/>
      <c r="VMO2" s="484"/>
      <c r="VMP2" s="484"/>
      <c r="VMQ2" s="484"/>
      <c r="VMR2" s="484"/>
      <c r="VMS2" s="484"/>
      <c r="VMT2" s="484"/>
      <c r="VMU2" s="484"/>
      <c r="VMV2" s="484"/>
      <c r="VMW2" s="484"/>
      <c r="VMX2" s="484"/>
      <c r="VMY2" s="484"/>
      <c r="VMZ2" s="484"/>
      <c r="VNA2" s="484"/>
      <c r="VNB2" s="484"/>
      <c r="VNC2" s="484"/>
      <c r="VND2" s="484"/>
      <c r="VNE2" s="484"/>
      <c r="VNF2" s="484"/>
      <c r="VNG2" s="484"/>
      <c r="VNH2" s="484"/>
      <c r="VNI2" s="484"/>
      <c r="VNJ2" s="484"/>
      <c r="VNK2" s="484"/>
      <c r="VNL2" s="484"/>
      <c r="VNM2" s="484"/>
      <c r="VNN2" s="484"/>
      <c r="VNO2" s="484"/>
      <c r="VNP2" s="484"/>
      <c r="VNQ2" s="484"/>
      <c r="VNR2" s="484"/>
      <c r="VNS2" s="484"/>
      <c r="VNT2" s="484"/>
      <c r="VNU2" s="484"/>
      <c r="VNV2" s="484"/>
      <c r="VNW2" s="484"/>
      <c r="VNX2" s="484"/>
      <c r="VNY2" s="484"/>
      <c r="VNZ2" s="484"/>
      <c r="VOA2" s="484"/>
      <c r="VOB2" s="484"/>
      <c r="VOC2" s="484"/>
      <c r="VOD2" s="484"/>
      <c r="VOE2" s="484"/>
      <c r="VOF2" s="484"/>
      <c r="VOG2" s="484"/>
      <c r="VOH2" s="484"/>
      <c r="VOI2" s="484"/>
      <c r="VOJ2" s="484"/>
      <c r="VOK2" s="484"/>
      <c r="VOL2" s="484"/>
      <c r="VOM2" s="484"/>
      <c r="VON2" s="484"/>
      <c r="VOO2" s="484"/>
      <c r="VOP2" s="484"/>
      <c r="VOQ2" s="484"/>
      <c r="VOR2" s="484"/>
      <c r="VOS2" s="484"/>
      <c r="VOT2" s="484"/>
      <c r="VOU2" s="484"/>
      <c r="VOV2" s="484"/>
      <c r="VOW2" s="484"/>
      <c r="VOX2" s="484"/>
      <c r="VOY2" s="484"/>
      <c r="VOZ2" s="484"/>
      <c r="VPA2" s="484"/>
      <c r="VPB2" s="484"/>
      <c r="VPC2" s="484"/>
      <c r="VPD2" s="484"/>
      <c r="VPE2" s="484"/>
      <c r="VPF2" s="484"/>
      <c r="VPG2" s="484"/>
      <c r="VPH2" s="484"/>
      <c r="VPI2" s="484"/>
      <c r="VPJ2" s="484"/>
      <c r="VPK2" s="484"/>
      <c r="VPL2" s="484"/>
      <c r="VPM2" s="484"/>
      <c r="VPN2" s="484"/>
      <c r="VPO2" s="484"/>
      <c r="VPP2" s="484"/>
      <c r="VPQ2" s="484"/>
      <c r="VPR2" s="484"/>
      <c r="VPS2" s="484"/>
      <c r="VPT2" s="484"/>
      <c r="VPU2" s="484"/>
      <c r="VPV2" s="484"/>
      <c r="VPW2" s="484"/>
      <c r="VPX2" s="484"/>
      <c r="VPY2" s="484"/>
      <c r="VPZ2" s="484"/>
      <c r="VQA2" s="484"/>
      <c r="VQB2" s="484"/>
      <c r="VQC2" s="484"/>
      <c r="VQD2" s="484"/>
      <c r="VQE2" s="484"/>
      <c r="VQF2" s="484"/>
      <c r="VQG2" s="484"/>
      <c r="VQH2" s="484"/>
      <c r="VQI2" s="484"/>
      <c r="VQJ2" s="484"/>
      <c r="VQK2" s="484"/>
      <c r="VQL2" s="484"/>
      <c r="VQM2" s="484"/>
      <c r="VQN2" s="484"/>
      <c r="VQO2" s="484"/>
      <c r="VQP2" s="484"/>
      <c r="VQQ2" s="484"/>
      <c r="VQR2" s="484"/>
      <c r="VQS2" s="484"/>
      <c r="VQT2" s="484"/>
      <c r="VQU2" s="484"/>
      <c r="VQV2" s="484"/>
      <c r="VQW2" s="484"/>
      <c r="VQX2" s="484"/>
      <c r="VQY2" s="484"/>
      <c r="VQZ2" s="484"/>
      <c r="VRA2" s="484"/>
      <c r="VRB2" s="484"/>
      <c r="VRC2" s="484"/>
      <c r="VRD2" s="484"/>
      <c r="VRE2" s="484"/>
      <c r="VRF2" s="484"/>
      <c r="VRG2" s="484"/>
      <c r="VRH2" s="484"/>
      <c r="VRI2" s="484"/>
      <c r="VRJ2" s="484"/>
      <c r="VRK2" s="484"/>
      <c r="VRL2" s="484"/>
      <c r="VRM2" s="484"/>
      <c r="VRN2" s="484"/>
      <c r="VRO2" s="484"/>
      <c r="VRP2" s="484"/>
      <c r="VRQ2" s="484"/>
      <c r="VRR2" s="484"/>
      <c r="VRS2" s="484"/>
      <c r="VRT2" s="484"/>
      <c r="VRU2" s="484"/>
      <c r="VRV2" s="484"/>
      <c r="VRW2" s="484"/>
      <c r="VRX2" s="484"/>
      <c r="VRY2" s="484"/>
      <c r="VRZ2" s="484"/>
      <c r="VSA2" s="484"/>
      <c r="VSB2" s="484"/>
      <c r="VSC2" s="484"/>
      <c r="VSD2" s="484"/>
      <c r="VSE2" s="484"/>
      <c r="VSF2" s="484"/>
      <c r="VSG2" s="484"/>
      <c r="VSH2" s="484"/>
      <c r="VSI2" s="484"/>
      <c r="VSJ2" s="484"/>
      <c r="VSK2" s="484"/>
      <c r="VSL2" s="484"/>
      <c r="VSM2" s="484"/>
      <c r="VSN2" s="484"/>
      <c r="VSO2" s="484"/>
      <c r="VSP2" s="484"/>
      <c r="VSQ2" s="484"/>
      <c r="VSR2" s="484"/>
      <c r="VSS2" s="484"/>
      <c r="VST2" s="484"/>
      <c r="VSU2" s="484"/>
      <c r="VSV2" s="484"/>
      <c r="VSW2" s="484"/>
      <c r="VSX2" s="484"/>
      <c r="VSY2" s="484"/>
      <c r="VSZ2" s="484"/>
      <c r="VTA2" s="484"/>
      <c r="VTB2" s="484"/>
      <c r="VTC2" s="484"/>
      <c r="VTD2" s="484"/>
      <c r="VTE2" s="484"/>
      <c r="VTF2" s="484"/>
      <c r="VTG2" s="484"/>
      <c r="VTH2" s="484"/>
      <c r="VTI2" s="484"/>
      <c r="VTJ2" s="484"/>
      <c r="VTK2" s="484"/>
      <c r="VTL2" s="484"/>
      <c r="VTM2" s="484"/>
      <c r="VTN2" s="484"/>
      <c r="VTO2" s="484"/>
      <c r="VTP2" s="484"/>
      <c r="VTQ2" s="484"/>
      <c r="VTR2" s="484"/>
      <c r="VTS2" s="484"/>
      <c r="VTT2" s="484"/>
      <c r="VTU2" s="484"/>
      <c r="VTV2" s="484"/>
      <c r="VTW2" s="484"/>
      <c r="VTX2" s="484"/>
      <c r="VTY2" s="484"/>
      <c r="VTZ2" s="484"/>
      <c r="VUA2" s="484"/>
      <c r="VUB2" s="484"/>
      <c r="VUC2" s="484"/>
      <c r="VUD2" s="484"/>
      <c r="VUE2" s="484"/>
      <c r="VUF2" s="484"/>
      <c r="VUG2" s="484"/>
      <c r="VUH2" s="484"/>
      <c r="VUI2" s="484"/>
      <c r="VUJ2" s="484"/>
      <c r="VUK2" s="484"/>
      <c r="VUL2" s="484"/>
      <c r="VUM2" s="484"/>
      <c r="VUN2" s="484"/>
      <c r="VUO2" s="484"/>
      <c r="VUP2" s="484"/>
      <c r="VUQ2" s="484"/>
      <c r="VUR2" s="484"/>
      <c r="VUS2" s="484"/>
      <c r="VUT2" s="484"/>
      <c r="VUU2" s="484"/>
      <c r="VUV2" s="484"/>
      <c r="VUW2" s="484"/>
      <c r="VUX2" s="484"/>
      <c r="VUY2" s="484"/>
      <c r="VUZ2" s="484"/>
      <c r="VVA2" s="484"/>
      <c r="VVB2" s="484"/>
      <c r="VVC2" s="484"/>
      <c r="VVD2" s="484"/>
      <c r="VVE2" s="484"/>
      <c r="VVF2" s="484"/>
      <c r="VVG2" s="484"/>
      <c r="VVH2" s="484"/>
      <c r="VVI2" s="484"/>
      <c r="VVJ2" s="484"/>
      <c r="VVK2" s="484"/>
      <c r="VVL2" s="484"/>
      <c r="VVM2" s="484"/>
      <c r="VVN2" s="484"/>
      <c r="VVO2" s="484"/>
      <c r="VVP2" s="484"/>
      <c r="VVQ2" s="484"/>
      <c r="VVR2" s="484"/>
      <c r="VVS2" s="484"/>
      <c r="VVT2" s="484"/>
      <c r="VVU2" s="484"/>
      <c r="VVV2" s="484"/>
      <c r="VVW2" s="484"/>
      <c r="VVX2" s="484"/>
      <c r="VVY2" s="484"/>
      <c r="VVZ2" s="484"/>
      <c r="VWA2" s="484"/>
      <c r="VWB2" s="484"/>
      <c r="VWC2" s="484"/>
      <c r="VWD2" s="484"/>
      <c r="VWE2" s="484"/>
      <c r="VWF2" s="484"/>
      <c r="VWG2" s="484"/>
      <c r="VWH2" s="484"/>
      <c r="VWI2" s="484"/>
      <c r="VWJ2" s="484"/>
      <c r="VWK2" s="484"/>
      <c r="VWL2" s="484"/>
      <c r="VWM2" s="484"/>
      <c r="VWN2" s="484"/>
      <c r="VWO2" s="484"/>
      <c r="VWP2" s="484"/>
      <c r="VWQ2" s="484"/>
      <c r="VWR2" s="484"/>
      <c r="VWS2" s="484"/>
      <c r="VWT2" s="484"/>
      <c r="VWU2" s="484"/>
      <c r="VWV2" s="484"/>
      <c r="VWW2" s="484"/>
      <c r="VWX2" s="484"/>
      <c r="VWY2" s="484"/>
      <c r="VWZ2" s="484"/>
      <c r="VXA2" s="484"/>
      <c r="VXB2" s="484"/>
      <c r="VXC2" s="484"/>
      <c r="VXD2" s="484"/>
      <c r="VXE2" s="484"/>
      <c r="VXF2" s="484"/>
      <c r="VXG2" s="484"/>
      <c r="VXH2" s="484"/>
      <c r="VXI2" s="484"/>
      <c r="VXJ2" s="484"/>
      <c r="VXK2" s="484"/>
      <c r="VXL2" s="484"/>
      <c r="VXM2" s="484"/>
      <c r="VXN2" s="484"/>
      <c r="VXO2" s="484"/>
      <c r="VXP2" s="484"/>
      <c r="VXQ2" s="484"/>
      <c r="VXR2" s="484"/>
      <c r="VXS2" s="484"/>
      <c r="VXT2" s="484"/>
      <c r="VXU2" s="484"/>
      <c r="VXV2" s="484"/>
      <c r="VXW2" s="484"/>
      <c r="VXX2" s="484"/>
      <c r="VXY2" s="484"/>
      <c r="VXZ2" s="484"/>
      <c r="VYA2" s="484"/>
      <c r="VYB2" s="484"/>
      <c r="VYC2" s="484"/>
      <c r="VYD2" s="484"/>
      <c r="VYE2" s="484"/>
      <c r="VYF2" s="484"/>
      <c r="VYG2" s="484"/>
      <c r="VYH2" s="484"/>
      <c r="VYI2" s="484"/>
      <c r="VYJ2" s="484"/>
      <c r="VYK2" s="484"/>
      <c r="VYL2" s="484"/>
      <c r="VYM2" s="484"/>
      <c r="VYN2" s="484"/>
      <c r="VYO2" s="484"/>
      <c r="VYP2" s="484"/>
      <c r="VYQ2" s="484"/>
      <c r="VYR2" s="484"/>
      <c r="VYS2" s="484"/>
      <c r="VYT2" s="484"/>
      <c r="VYU2" s="484"/>
      <c r="VYV2" s="484"/>
      <c r="VYW2" s="484"/>
      <c r="VYX2" s="484"/>
      <c r="VYY2" s="484"/>
      <c r="VYZ2" s="484"/>
      <c r="VZA2" s="484"/>
      <c r="VZB2" s="484"/>
      <c r="VZC2" s="484"/>
      <c r="VZD2" s="484"/>
      <c r="VZE2" s="484"/>
      <c r="VZF2" s="484"/>
      <c r="VZG2" s="484"/>
      <c r="VZH2" s="484"/>
      <c r="VZI2" s="484"/>
      <c r="VZJ2" s="484"/>
      <c r="VZK2" s="484"/>
      <c r="VZL2" s="484"/>
      <c r="VZM2" s="484"/>
      <c r="VZN2" s="484"/>
      <c r="VZO2" s="484"/>
      <c r="VZP2" s="484"/>
      <c r="VZQ2" s="484"/>
      <c r="VZR2" s="484"/>
      <c r="VZS2" s="484"/>
      <c r="VZT2" s="484"/>
      <c r="VZU2" s="484"/>
      <c r="VZV2" s="484"/>
      <c r="VZW2" s="484"/>
      <c r="VZX2" s="484"/>
      <c r="VZY2" s="484"/>
      <c r="VZZ2" s="484"/>
      <c r="WAA2" s="484"/>
      <c r="WAB2" s="484"/>
      <c r="WAC2" s="484"/>
      <c r="WAD2" s="484"/>
      <c r="WAE2" s="484"/>
      <c r="WAF2" s="484"/>
      <c r="WAG2" s="484"/>
      <c r="WAH2" s="484"/>
      <c r="WAI2" s="484"/>
      <c r="WAJ2" s="484"/>
      <c r="WAK2" s="484"/>
      <c r="WAL2" s="484"/>
      <c r="WAM2" s="484"/>
      <c r="WAN2" s="484"/>
      <c r="WAO2" s="484"/>
      <c r="WAP2" s="484"/>
      <c r="WAQ2" s="484"/>
      <c r="WAR2" s="484"/>
      <c r="WAS2" s="484"/>
      <c r="WAT2" s="484"/>
      <c r="WAU2" s="484"/>
      <c r="WAV2" s="484"/>
      <c r="WAW2" s="484"/>
      <c r="WAX2" s="484"/>
      <c r="WAY2" s="484"/>
      <c r="WAZ2" s="484"/>
      <c r="WBA2" s="484"/>
      <c r="WBB2" s="484"/>
      <c r="WBC2" s="484"/>
      <c r="WBD2" s="484"/>
      <c r="WBE2" s="484"/>
      <c r="WBF2" s="484"/>
      <c r="WBG2" s="484"/>
      <c r="WBH2" s="484"/>
      <c r="WBI2" s="484"/>
      <c r="WBJ2" s="484"/>
      <c r="WBK2" s="484"/>
      <c r="WBL2" s="484"/>
      <c r="WBM2" s="484"/>
      <c r="WBN2" s="484"/>
      <c r="WBO2" s="484"/>
      <c r="WBP2" s="484"/>
      <c r="WBQ2" s="484"/>
      <c r="WBR2" s="484"/>
      <c r="WBS2" s="484"/>
      <c r="WBT2" s="484"/>
      <c r="WBU2" s="484"/>
      <c r="WBV2" s="484"/>
      <c r="WBW2" s="484"/>
      <c r="WBX2" s="484"/>
      <c r="WBY2" s="484"/>
      <c r="WBZ2" s="484"/>
      <c r="WCA2" s="484"/>
      <c r="WCB2" s="484"/>
      <c r="WCC2" s="484"/>
      <c r="WCD2" s="484"/>
      <c r="WCE2" s="484"/>
      <c r="WCF2" s="484"/>
      <c r="WCG2" s="484"/>
      <c r="WCH2" s="484"/>
      <c r="WCI2" s="484"/>
      <c r="WCJ2" s="484"/>
      <c r="WCK2" s="484"/>
      <c r="WCL2" s="484"/>
      <c r="WCM2" s="484"/>
      <c r="WCN2" s="484"/>
      <c r="WCO2" s="484"/>
      <c r="WCP2" s="484"/>
      <c r="WCQ2" s="484"/>
      <c r="WCR2" s="484"/>
      <c r="WCS2" s="484"/>
      <c r="WCT2" s="484"/>
      <c r="WCU2" s="484"/>
      <c r="WCV2" s="484"/>
      <c r="WCW2" s="484"/>
      <c r="WCX2" s="484"/>
      <c r="WCY2" s="484"/>
      <c r="WCZ2" s="484"/>
      <c r="WDA2" s="484"/>
      <c r="WDB2" s="484"/>
      <c r="WDC2" s="484"/>
      <c r="WDD2" s="484"/>
      <c r="WDE2" s="484"/>
      <c r="WDF2" s="484"/>
      <c r="WDG2" s="484"/>
      <c r="WDH2" s="484"/>
      <c r="WDI2" s="484"/>
      <c r="WDJ2" s="484"/>
      <c r="WDK2" s="484"/>
      <c r="WDL2" s="484"/>
      <c r="WDM2" s="484"/>
      <c r="WDN2" s="484"/>
      <c r="WDO2" s="484"/>
      <c r="WDP2" s="484"/>
      <c r="WDQ2" s="484"/>
      <c r="WDR2" s="484"/>
      <c r="WDS2" s="484"/>
      <c r="WDT2" s="484"/>
      <c r="WDU2" s="484"/>
      <c r="WDV2" s="484"/>
      <c r="WDW2" s="484"/>
      <c r="WDX2" s="484"/>
      <c r="WDY2" s="484"/>
      <c r="WDZ2" s="484"/>
      <c r="WEA2" s="484"/>
      <c r="WEB2" s="484"/>
      <c r="WEC2" s="484"/>
      <c r="WED2" s="484"/>
      <c r="WEE2" s="484"/>
      <c r="WEF2" s="484"/>
      <c r="WEG2" s="484"/>
      <c r="WEH2" s="484"/>
      <c r="WEI2" s="484"/>
      <c r="WEJ2" s="484"/>
      <c r="WEK2" s="484"/>
      <c r="WEL2" s="484"/>
      <c r="WEM2" s="484"/>
      <c r="WEN2" s="484"/>
      <c r="WEO2" s="484"/>
      <c r="WEP2" s="484"/>
      <c r="WEQ2" s="484"/>
      <c r="WER2" s="484"/>
      <c r="WES2" s="484"/>
      <c r="WET2" s="484"/>
      <c r="WEU2" s="484"/>
      <c r="WEV2" s="484"/>
      <c r="WEW2" s="484"/>
      <c r="WEX2" s="484"/>
      <c r="WEY2" s="484"/>
      <c r="WEZ2" s="484"/>
      <c r="WFA2" s="484"/>
      <c r="WFB2" s="484"/>
      <c r="WFC2" s="484"/>
      <c r="WFD2" s="484"/>
      <c r="WFE2" s="484"/>
      <c r="WFF2" s="484"/>
      <c r="WFG2" s="484"/>
      <c r="WFH2" s="484"/>
      <c r="WFI2" s="484"/>
      <c r="WFJ2" s="484"/>
      <c r="WFK2" s="484"/>
      <c r="WFL2" s="484"/>
      <c r="WFM2" s="484"/>
      <c r="WFN2" s="484"/>
      <c r="WFO2" s="484"/>
      <c r="WFP2" s="484"/>
      <c r="WFQ2" s="484"/>
      <c r="WFR2" s="484"/>
      <c r="WFS2" s="484"/>
      <c r="WFT2" s="484"/>
      <c r="WFU2" s="484"/>
      <c r="WFV2" s="484"/>
      <c r="WFW2" s="484"/>
      <c r="WFX2" s="484"/>
      <c r="WFY2" s="484"/>
      <c r="WFZ2" s="484"/>
      <c r="WGA2" s="484"/>
      <c r="WGB2" s="484"/>
      <c r="WGC2" s="484"/>
      <c r="WGD2" s="484"/>
      <c r="WGE2" s="484"/>
      <c r="WGF2" s="484"/>
      <c r="WGG2" s="484"/>
      <c r="WGH2" s="484"/>
      <c r="WGI2" s="484"/>
      <c r="WGJ2" s="484"/>
      <c r="WGK2" s="484"/>
      <c r="WGL2" s="484"/>
      <c r="WGM2" s="484"/>
      <c r="WGN2" s="484"/>
      <c r="WGO2" s="484"/>
      <c r="WGP2" s="484"/>
      <c r="WGQ2" s="484"/>
      <c r="WGR2" s="484"/>
      <c r="WGS2" s="484"/>
      <c r="WGT2" s="484"/>
      <c r="WGU2" s="484"/>
      <c r="WGV2" s="484"/>
      <c r="WGW2" s="484"/>
      <c r="WGX2" s="484"/>
      <c r="WGY2" s="484"/>
      <c r="WGZ2" s="484"/>
      <c r="WHA2" s="484"/>
      <c r="WHB2" s="484"/>
      <c r="WHC2" s="484"/>
      <c r="WHD2" s="484"/>
      <c r="WHE2" s="484"/>
      <c r="WHF2" s="484"/>
      <c r="WHG2" s="484"/>
      <c r="WHH2" s="484"/>
      <c r="WHI2" s="484"/>
      <c r="WHJ2" s="484"/>
      <c r="WHK2" s="484"/>
      <c r="WHL2" s="484"/>
      <c r="WHM2" s="484"/>
      <c r="WHN2" s="484"/>
      <c r="WHO2" s="484"/>
      <c r="WHP2" s="484"/>
      <c r="WHQ2" s="484"/>
      <c r="WHR2" s="484"/>
      <c r="WHS2" s="484"/>
      <c r="WHT2" s="484"/>
      <c r="WHU2" s="484"/>
      <c r="WHV2" s="484"/>
      <c r="WHW2" s="484"/>
      <c r="WHX2" s="484"/>
      <c r="WHY2" s="484"/>
      <c r="WHZ2" s="484"/>
      <c r="WIA2" s="484"/>
      <c r="WIB2" s="484"/>
      <c r="WIC2" s="484"/>
      <c r="WID2" s="484"/>
      <c r="WIE2" s="484"/>
      <c r="WIF2" s="484"/>
      <c r="WIG2" s="484"/>
      <c r="WIH2" s="484"/>
      <c r="WII2" s="484"/>
      <c r="WIJ2" s="484"/>
      <c r="WIK2" s="484"/>
      <c r="WIL2" s="484"/>
      <c r="WIM2" s="484"/>
      <c r="WIN2" s="484"/>
      <c r="WIO2" s="484"/>
      <c r="WIP2" s="484"/>
      <c r="WIQ2" s="484"/>
      <c r="WIR2" s="484"/>
      <c r="WIS2" s="484"/>
      <c r="WIT2" s="484"/>
      <c r="WIU2" s="484"/>
      <c r="WIV2" s="484"/>
      <c r="WIW2" s="484"/>
      <c r="WIX2" s="484"/>
      <c r="WIY2" s="484"/>
      <c r="WIZ2" s="484"/>
      <c r="WJA2" s="484"/>
      <c r="WJB2" s="484"/>
      <c r="WJC2" s="484"/>
      <c r="WJD2" s="484"/>
      <c r="WJE2" s="484"/>
      <c r="WJF2" s="484"/>
      <c r="WJG2" s="484"/>
      <c r="WJH2" s="484"/>
      <c r="WJI2" s="484"/>
      <c r="WJJ2" s="484"/>
      <c r="WJK2" s="484"/>
      <c r="WJL2" s="484"/>
      <c r="WJM2" s="484"/>
      <c r="WJN2" s="484"/>
      <c r="WJO2" s="484"/>
      <c r="WJP2" s="484"/>
      <c r="WJQ2" s="484"/>
      <c r="WJR2" s="484"/>
      <c r="WJS2" s="484"/>
      <c r="WJT2" s="484"/>
      <c r="WJU2" s="484"/>
      <c r="WJV2" s="484"/>
      <c r="WJW2" s="484"/>
      <c r="WJX2" s="484"/>
      <c r="WJY2" s="484"/>
      <c r="WJZ2" s="484"/>
      <c r="WKA2" s="484"/>
      <c r="WKB2" s="484"/>
      <c r="WKC2" s="484"/>
      <c r="WKD2" s="484"/>
      <c r="WKE2" s="484"/>
      <c r="WKF2" s="484"/>
      <c r="WKG2" s="484"/>
      <c r="WKH2" s="484"/>
      <c r="WKI2" s="484"/>
      <c r="WKJ2" s="484"/>
      <c r="WKK2" s="484"/>
      <c r="WKL2" s="484"/>
      <c r="WKM2" s="484"/>
      <c r="WKN2" s="484"/>
      <c r="WKO2" s="484"/>
      <c r="WKP2" s="484"/>
      <c r="WKQ2" s="484"/>
      <c r="WKR2" s="484"/>
      <c r="WKS2" s="484"/>
      <c r="WKT2" s="484"/>
      <c r="WKU2" s="484"/>
      <c r="WKV2" s="484"/>
      <c r="WKW2" s="484"/>
      <c r="WKX2" s="484"/>
      <c r="WKY2" s="484"/>
      <c r="WKZ2" s="484"/>
      <c r="WLA2" s="484"/>
      <c r="WLB2" s="484"/>
      <c r="WLC2" s="484"/>
      <c r="WLD2" s="484"/>
      <c r="WLE2" s="484"/>
      <c r="WLF2" s="484"/>
      <c r="WLG2" s="484"/>
      <c r="WLH2" s="484"/>
      <c r="WLI2" s="484"/>
      <c r="WLJ2" s="484"/>
      <c r="WLK2" s="484"/>
      <c r="WLL2" s="484"/>
      <c r="WLM2" s="484"/>
      <c r="WLN2" s="484"/>
      <c r="WLO2" s="484"/>
      <c r="WLP2" s="484"/>
      <c r="WLQ2" s="484"/>
      <c r="WLR2" s="484"/>
      <c r="WLS2" s="484"/>
      <c r="WLT2" s="484"/>
      <c r="WLU2" s="484"/>
      <c r="WLV2" s="484"/>
      <c r="WLW2" s="484"/>
      <c r="WLX2" s="484"/>
      <c r="WLY2" s="484"/>
      <c r="WLZ2" s="484"/>
      <c r="WMA2" s="484"/>
      <c r="WMB2" s="484"/>
      <c r="WMC2" s="484"/>
      <c r="WMD2" s="484"/>
      <c r="WME2" s="484"/>
      <c r="WMF2" s="484"/>
      <c r="WMG2" s="484"/>
      <c r="WMH2" s="484"/>
      <c r="WMI2" s="484"/>
      <c r="WMJ2" s="484"/>
      <c r="WMK2" s="484"/>
      <c r="WML2" s="484"/>
      <c r="WMM2" s="484"/>
      <c r="WMN2" s="484"/>
      <c r="WMO2" s="484"/>
      <c r="WMP2" s="484"/>
      <c r="WMQ2" s="484"/>
      <c r="WMR2" s="484"/>
      <c r="WMS2" s="484"/>
      <c r="WMT2" s="484"/>
      <c r="WMU2" s="484"/>
      <c r="WMV2" s="484"/>
      <c r="WMW2" s="484"/>
      <c r="WMX2" s="484"/>
      <c r="WMY2" s="484"/>
      <c r="WMZ2" s="484"/>
      <c r="WNA2" s="484"/>
      <c r="WNB2" s="484"/>
      <c r="WNC2" s="484"/>
      <c r="WND2" s="484"/>
      <c r="WNE2" s="484"/>
      <c r="WNF2" s="484"/>
      <c r="WNG2" s="484"/>
      <c r="WNH2" s="484"/>
      <c r="WNI2" s="484"/>
      <c r="WNJ2" s="484"/>
      <c r="WNK2" s="484"/>
      <c r="WNL2" s="484"/>
      <c r="WNM2" s="484"/>
      <c r="WNN2" s="484"/>
      <c r="WNO2" s="484"/>
      <c r="WNP2" s="484"/>
      <c r="WNQ2" s="484"/>
      <c r="WNR2" s="484"/>
      <c r="WNS2" s="484"/>
      <c r="WNT2" s="484"/>
      <c r="WNU2" s="484"/>
      <c r="WNV2" s="484"/>
      <c r="WNW2" s="484"/>
      <c r="WNX2" s="484"/>
      <c r="WNY2" s="484"/>
      <c r="WNZ2" s="484"/>
      <c r="WOA2" s="484"/>
      <c r="WOB2" s="484"/>
      <c r="WOC2" s="484"/>
      <c r="WOD2" s="484"/>
      <c r="WOE2" s="484"/>
      <c r="WOF2" s="484"/>
      <c r="WOG2" s="484"/>
      <c r="WOH2" s="484"/>
      <c r="WOI2" s="484"/>
      <c r="WOJ2" s="484"/>
      <c r="WOK2" s="484"/>
      <c r="WOL2" s="484"/>
      <c r="WOM2" s="484"/>
      <c r="WON2" s="484"/>
      <c r="WOO2" s="484"/>
      <c r="WOP2" s="484"/>
      <c r="WOQ2" s="484"/>
      <c r="WOR2" s="484"/>
      <c r="WOS2" s="484"/>
      <c r="WOT2" s="484"/>
      <c r="WOU2" s="484"/>
      <c r="WOV2" s="484"/>
      <c r="WOW2" s="484"/>
      <c r="WOX2" s="484"/>
      <c r="WOY2" s="484"/>
      <c r="WOZ2" s="484"/>
      <c r="WPA2" s="484"/>
      <c r="WPB2" s="484"/>
      <c r="WPC2" s="484"/>
      <c r="WPD2" s="484"/>
      <c r="WPE2" s="484"/>
      <c r="WPF2" s="484"/>
      <c r="WPG2" s="484"/>
      <c r="WPH2" s="484"/>
      <c r="WPI2" s="484"/>
      <c r="WPJ2" s="484"/>
      <c r="WPK2" s="484"/>
      <c r="WPL2" s="484"/>
      <c r="WPM2" s="484"/>
      <c r="WPN2" s="484"/>
      <c r="WPO2" s="484"/>
      <c r="WPP2" s="484"/>
      <c r="WPQ2" s="484"/>
      <c r="WPR2" s="484"/>
      <c r="WPS2" s="484"/>
      <c r="WPT2" s="484"/>
      <c r="WPU2" s="484"/>
      <c r="WPV2" s="484"/>
      <c r="WPW2" s="484"/>
      <c r="WPX2" s="484"/>
      <c r="WPY2" s="484"/>
      <c r="WPZ2" s="484"/>
      <c r="WQA2" s="484"/>
      <c r="WQB2" s="484"/>
      <c r="WQC2" s="484"/>
      <c r="WQD2" s="484"/>
      <c r="WQE2" s="484"/>
      <c r="WQF2" s="484"/>
      <c r="WQG2" s="484"/>
      <c r="WQH2" s="484"/>
      <c r="WQI2" s="484"/>
      <c r="WQJ2" s="484"/>
      <c r="WQK2" s="484"/>
      <c r="WQL2" s="484"/>
      <c r="WQM2" s="484"/>
      <c r="WQN2" s="484"/>
      <c r="WQO2" s="484"/>
      <c r="WQP2" s="484"/>
      <c r="WQQ2" s="484"/>
      <c r="WQR2" s="484"/>
      <c r="WQS2" s="484"/>
      <c r="WQT2" s="484"/>
      <c r="WQU2" s="484"/>
      <c r="WQV2" s="484"/>
      <c r="WQW2" s="484"/>
      <c r="WQX2" s="484"/>
      <c r="WQY2" s="484"/>
      <c r="WQZ2" s="484"/>
      <c r="WRA2" s="484"/>
      <c r="WRB2" s="484"/>
      <c r="WRC2" s="484"/>
      <c r="WRD2" s="484"/>
      <c r="WRE2" s="484"/>
      <c r="WRF2" s="484"/>
      <c r="WRG2" s="484"/>
      <c r="WRH2" s="484"/>
      <c r="WRI2" s="484"/>
      <c r="WRJ2" s="484"/>
      <c r="WRK2" s="484"/>
      <c r="WRL2" s="484"/>
      <c r="WRM2" s="484"/>
      <c r="WRN2" s="484"/>
      <c r="WRO2" s="484"/>
      <c r="WRP2" s="484"/>
      <c r="WRQ2" s="484"/>
      <c r="WRR2" s="484"/>
      <c r="WRS2" s="484"/>
      <c r="WRT2" s="484"/>
      <c r="WRU2" s="484"/>
      <c r="WRV2" s="484"/>
      <c r="WRW2" s="484"/>
      <c r="WRX2" s="484"/>
      <c r="WRY2" s="484"/>
      <c r="WRZ2" s="484"/>
      <c r="WSA2" s="484"/>
      <c r="WSB2" s="484"/>
      <c r="WSC2" s="484"/>
      <c r="WSD2" s="484"/>
      <c r="WSE2" s="484"/>
      <c r="WSF2" s="484"/>
      <c r="WSG2" s="484"/>
      <c r="WSH2" s="484"/>
      <c r="WSI2" s="484"/>
      <c r="WSJ2" s="484"/>
      <c r="WSK2" s="484"/>
      <c r="WSL2" s="484"/>
      <c r="WSM2" s="484"/>
      <c r="WSN2" s="484"/>
      <c r="WSO2" s="484"/>
      <c r="WSP2" s="484"/>
      <c r="WSQ2" s="484"/>
      <c r="WSR2" s="484"/>
      <c r="WSS2" s="484"/>
      <c r="WST2" s="484"/>
      <c r="WSU2" s="484"/>
      <c r="WSV2" s="484"/>
      <c r="WSW2" s="484"/>
      <c r="WSX2" s="484"/>
      <c r="WSY2" s="484"/>
      <c r="WSZ2" s="484"/>
      <c r="WTA2" s="484"/>
      <c r="WTB2" s="484"/>
      <c r="WTC2" s="484"/>
      <c r="WTD2" s="484"/>
      <c r="WTE2" s="484"/>
      <c r="WTF2" s="484"/>
      <c r="WTG2" s="484"/>
      <c r="WTH2" s="484"/>
      <c r="WTI2" s="484"/>
      <c r="WTJ2" s="484"/>
      <c r="WTK2" s="484"/>
      <c r="WTL2" s="484"/>
      <c r="WTM2" s="484"/>
      <c r="WTN2" s="484"/>
      <c r="WTO2" s="484"/>
      <c r="WTP2" s="484"/>
      <c r="WTQ2" s="484"/>
      <c r="WTR2" s="484"/>
      <c r="WTS2" s="484"/>
      <c r="WTT2" s="484"/>
      <c r="WTU2" s="484"/>
      <c r="WTV2" s="484"/>
      <c r="WTW2" s="484"/>
      <c r="WTX2" s="484"/>
      <c r="WTY2" s="484"/>
      <c r="WTZ2" s="484"/>
      <c r="WUA2" s="484"/>
      <c r="WUB2" s="484"/>
      <c r="WUC2" s="484"/>
      <c r="WUD2" s="484"/>
      <c r="WUE2" s="484"/>
      <c r="WUF2" s="484"/>
      <c r="WUG2" s="484"/>
      <c r="WUH2" s="484"/>
      <c r="WUI2" s="484"/>
      <c r="WUJ2" s="484"/>
      <c r="WUK2" s="484"/>
      <c r="WUL2" s="484"/>
      <c r="WUM2" s="484"/>
      <c r="WUN2" s="484"/>
      <c r="WUO2" s="484"/>
      <c r="WUP2" s="484"/>
      <c r="WUQ2" s="484"/>
      <c r="WUR2" s="484"/>
      <c r="WUS2" s="484"/>
      <c r="WUT2" s="484"/>
      <c r="WUU2" s="484"/>
      <c r="WUV2" s="484"/>
      <c r="WUW2" s="484"/>
      <c r="WUX2" s="484"/>
      <c r="WUY2" s="484"/>
      <c r="WUZ2" s="484"/>
      <c r="WVA2" s="484"/>
      <c r="WVB2" s="484"/>
      <c r="WVC2" s="484"/>
      <c r="WVD2" s="484"/>
      <c r="WVE2" s="484"/>
      <c r="WVF2" s="484"/>
      <c r="WVG2" s="484"/>
      <c r="WVH2" s="484"/>
      <c r="WVI2" s="484"/>
      <c r="WVJ2" s="484"/>
      <c r="WVK2" s="484"/>
      <c r="WVL2" s="484"/>
      <c r="WVM2" s="484"/>
      <c r="WVN2" s="484"/>
      <c r="WVO2" s="484"/>
      <c r="WVP2" s="484"/>
      <c r="WVQ2" s="484"/>
      <c r="WVR2" s="484"/>
      <c r="WVS2" s="484"/>
      <c r="WVT2" s="484"/>
      <c r="WVU2" s="484"/>
      <c r="WVV2" s="484"/>
      <c r="WVW2" s="484"/>
      <c r="WVX2" s="484"/>
      <c r="WVY2" s="484"/>
      <c r="WVZ2" s="484"/>
      <c r="WWA2" s="484"/>
      <c r="WWB2" s="484"/>
      <c r="WWC2" s="484"/>
      <c r="WWD2" s="484"/>
      <c r="WWE2" s="484"/>
      <c r="WWF2" s="484"/>
      <c r="WWG2" s="484"/>
      <c r="WWH2" s="484"/>
      <c r="WWI2" s="484"/>
      <c r="WWJ2" s="484"/>
      <c r="WWK2" s="484"/>
      <c r="WWL2" s="484"/>
      <c r="WWM2" s="484"/>
      <c r="WWN2" s="484"/>
      <c r="WWO2" s="484"/>
      <c r="WWP2" s="484"/>
      <c r="WWQ2" s="484"/>
      <c r="WWR2" s="484"/>
      <c r="WWS2" s="484"/>
      <c r="WWT2" s="484"/>
      <c r="WWU2" s="484"/>
      <c r="WWV2" s="484"/>
      <c r="WWW2" s="484"/>
      <c r="WWX2" s="484"/>
      <c r="WWY2" s="484"/>
      <c r="WWZ2" s="484"/>
      <c r="WXA2" s="484"/>
      <c r="WXB2" s="484"/>
      <c r="WXC2" s="484"/>
      <c r="WXD2" s="484"/>
      <c r="WXE2" s="484"/>
      <c r="WXF2" s="484"/>
      <c r="WXG2" s="484"/>
      <c r="WXH2" s="484"/>
      <c r="WXI2" s="484"/>
      <c r="WXJ2" s="484"/>
      <c r="WXK2" s="484"/>
      <c r="WXL2" s="484"/>
      <c r="WXM2" s="484"/>
      <c r="WXN2" s="484"/>
      <c r="WXO2" s="484"/>
      <c r="WXP2" s="484"/>
      <c r="WXQ2" s="484"/>
      <c r="WXR2" s="484"/>
      <c r="WXS2" s="484"/>
      <c r="WXT2" s="484"/>
      <c r="WXU2" s="484"/>
      <c r="WXV2" s="484"/>
      <c r="WXW2" s="484"/>
      <c r="WXX2" s="484"/>
      <c r="WXY2" s="484"/>
      <c r="WXZ2" s="484"/>
      <c r="WYA2" s="484"/>
      <c r="WYB2" s="484"/>
      <c r="WYC2" s="484"/>
      <c r="WYD2" s="484"/>
      <c r="WYE2" s="484"/>
      <c r="WYF2" s="484"/>
      <c r="WYG2" s="484"/>
      <c r="WYH2" s="484"/>
      <c r="WYI2" s="484"/>
      <c r="WYJ2" s="484"/>
      <c r="WYK2" s="484"/>
      <c r="WYL2" s="484"/>
      <c r="WYM2" s="484"/>
      <c r="WYN2" s="484"/>
      <c r="WYO2" s="484"/>
      <c r="WYP2" s="484"/>
      <c r="WYQ2" s="484"/>
      <c r="WYR2" s="484"/>
      <c r="WYS2" s="484"/>
      <c r="WYT2" s="484"/>
      <c r="WYU2" s="484"/>
      <c r="WYV2" s="484"/>
      <c r="WYW2" s="484"/>
      <c r="WYX2" s="484"/>
      <c r="WYY2" s="484"/>
      <c r="WYZ2" s="484"/>
      <c r="WZA2" s="484"/>
      <c r="WZB2" s="484"/>
      <c r="WZC2" s="484"/>
      <c r="WZD2" s="484"/>
      <c r="WZE2" s="484"/>
      <c r="WZF2" s="484"/>
      <c r="WZG2" s="484"/>
      <c r="WZH2" s="484"/>
      <c r="WZI2" s="484"/>
      <c r="WZJ2" s="484"/>
      <c r="WZK2" s="484"/>
      <c r="WZL2" s="484"/>
      <c r="WZM2" s="484"/>
      <c r="WZN2" s="484"/>
      <c r="WZO2" s="484"/>
      <c r="WZP2" s="484"/>
      <c r="WZQ2" s="484"/>
      <c r="WZR2" s="484"/>
      <c r="WZS2" s="484"/>
      <c r="WZT2" s="484"/>
      <c r="WZU2" s="484"/>
      <c r="WZV2" s="484"/>
      <c r="WZW2" s="484"/>
      <c r="WZX2" s="484"/>
      <c r="WZY2" s="484"/>
      <c r="WZZ2" s="484"/>
      <c r="XAA2" s="484"/>
      <c r="XAB2" s="484"/>
      <c r="XAC2" s="484"/>
      <c r="XAD2" s="484"/>
      <c r="XAE2" s="484"/>
      <c r="XAF2" s="484"/>
      <c r="XAG2" s="484"/>
      <c r="XAH2" s="484"/>
      <c r="XAI2" s="484"/>
      <c r="XAJ2" s="484"/>
      <c r="XAK2" s="484"/>
      <c r="XAL2" s="484"/>
      <c r="XAM2" s="484"/>
      <c r="XAN2" s="484"/>
      <c r="XAO2" s="484"/>
      <c r="XAP2" s="484"/>
      <c r="XAQ2" s="484"/>
      <c r="XAR2" s="484"/>
      <c r="XAS2" s="484"/>
      <c r="XAT2" s="484"/>
      <c r="XAU2" s="484"/>
      <c r="XAV2" s="484"/>
      <c r="XAW2" s="484"/>
      <c r="XAX2" s="484"/>
      <c r="XAY2" s="484"/>
      <c r="XAZ2" s="484"/>
      <c r="XBA2" s="484"/>
      <c r="XBB2" s="484"/>
      <c r="XBC2" s="484"/>
      <c r="XBD2" s="484"/>
      <c r="XBE2" s="484"/>
      <c r="XBF2" s="484"/>
      <c r="XBG2" s="484"/>
      <c r="XBH2" s="484"/>
      <c r="XBI2" s="484"/>
      <c r="XBJ2" s="484"/>
      <c r="XBK2" s="484"/>
      <c r="XBL2" s="484"/>
      <c r="XBM2" s="484"/>
      <c r="XBN2" s="484"/>
      <c r="XBO2" s="484"/>
      <c r="XBP2" s="484"/>
      <c r="XBQ2" s="484"/>
      <c r="XBR2" s="484"/>
      <c r="XBS2" s="484"/>
      <c r="XBT2" s="484"/>
      <c r="XBU2" s="484"/>
      <c r="XBV2" s="484"/>
      <c r="XBW2" s="484"/>
      <c r="XBX2" s="484"/>
      <c r="XBY2" s="484"/>
      <c r="XBZ2" s="484"/>
      <c r="XCA2" s="484"/>
      <c r="XCB2" s="484"/>
      <c r="XCC2" s="484"/>
      <c r="XCD2" s="484"/>
      <c r="XCE2" s="484"/>
      <c r="XCF2" s="484"/>
      <c r="XCG2" s="484"/>
      <c r="XCH2" s="484"/>
      <c r="XCI2" s="484"/>
      <c r="XCJ2" s="484"/>
      <c r="XCK2" s="484"/>
      <c r="XCL2" s="484"/>
      <c r="XCM2" s="484"/>
      <c r="XCN2" s="484"/>
      <c r="XCO2" s="484"/>
      <c r="XCP2" s="484"/>
      <c r="XCQ2" s="484"/>
      <c r="XCR2" s="484"/>
      <c r="XCS2" s="484"/>
      <c r="XCT2" s="484"/>
      <c r="XCU2" s="484"/>
      <c r="XCV2" s="484"/>
      <c r="XCW2" s="484"/>
      <c r="XCX2" s="484"/>
      <c r="XCY2" s="484"/>
      <c r="XCZ2" s="484"/>
      <c r="XDA2" s="484"/>
      <c r="XDB2" s="484"/>
      <c r="XDC2" s="484"/>
      <c r="XDD2" s="484"/>
      <c r="XDE2" s="484"/>
      <c r="XDF2" s="484"/>
      <c r="XDG2" s="484"/>
      <c r="XDH2" s="484"/>
      <c r="XDI2" s="484"/>
      <c r="XDJ2" s="484"/>
      <c r="XDK2" s="484"/>
      <c r="XDL2" s="484"/>
      <c r="XDM2" s="484"/>
      <c r="XDN2" s="484"/>
      <c r="XDO2" s="484"/>
      <c r="XDP2" s="484"/>
      <c r="XDQ2" s="484"/>
      <c r="XDR2" s="484"/>
      <c r="XDS2" s="484"/>
      <c r="XDT2" s="484"/>
      <c r="XDU2" s="484"/>
      <c r="XDV2" s="484"/>
      <c r="XDW2" s="484"/>
      <c r="XDX2" s="484"/>
      <c r="XDY2" s="484"/>
      <c r="XDZ2" s="484"/>
      <c r="XEA2" s="484"/>
      <c r="XEB2" s="484"/>
      <c r="XEC2" s="484"/>
      <c r="XED2" s="484"/>
      <c r="XEE2" s="484"/>
      <c r="XEF2" s="484"/>
      <c r="XEG2" s="484"/>
      <c r="XEH2" s="484"/>
      <c r="XEI2" s="484"/>
      <c r="XEJ2" s="484"/>
      <c r="XEK2" s="484"/>
      <c r="XEL2" s="484"/>
      <c r="XEM2" s="484"/>
      <c r="XEN2" s="484"/>
      <c r="XEO2" s="484"/>
      <c r="XEP2" s="484"/>
      <c r="XEQ2" s="484"/>
      <c r="XER2" s="484"/>
      <c r="XES2" s="484"/>
      <c r="XET2" s="484"/>
      <c r="XEU2" s="484"/>
      <c r="XEV2" s="484"/>
      <c r="XEW2" s="484"/>
      <c r="XEX2" s="484"/>
      <c r="XEY2" s="484"/>
      <c r="XEZ2" s="484"/>
      <c r="XFA2" s="484"/>
      <c r="XFB2" s="484"/>
      <c r="XFC2" s="484"/>
      <c r="XFD2" s="4"/>
    </row>
    <row r="3" spans="1:16384" x14ac:dyDescent="0.25">
      <c r="A3" s="485"/>
      <c r="B3" s="485"/>
      <c r="C3" s="485"/>
      <c r="D3" s="484"/>
      <c r="E3" s="484"/>
      <c r="F3" s="484"/>
      <c r="G3" s="484"/>
      <c r="H3" s="484"/>
      <c r="I3" s="484"/>
      <c r="J3" s="484"/>
      <c r="K3" s="484"/>
      <c r="L3" s="484"/>
      <c r="M3" s="484"/>
      <c r="N3" s="484"/>
      <c r="O3" s="484"/>
      <c r="P3" s="484"/>
      <c r="Q3" s="484"/>
      <c r="R3" s="484"/>
      <c r="S3" s="484"/>
      <c r="T3" s="484"/>
      <c r="U3" s="484"/>
      <c r="V3" s="484"/>
      <c r="W3" s="484"/>
      <c r="X3" s="484"/>
      <c r="Y3" s="484"/>
      <c r="Z3" s="484"/>
      <c r="AA3" s="484"/>
      <c r="AB3" s="484"/>
      <c r="AC3" s="484"/>
      <c r="AD3" s="484"/>
      <c r="AE3" s="484"/>
      <c r="AF3" s="484"/>
      <c r="AG3" s="484"/>
      <c r="AH3" s="484"/>
      <c r="AI3" s="484"/>
      <c r="AJ3" s="484"/>
      <c r="AK3" s="484"/>
      <c r="AL3" s="484"/>
      <c r="AM3" s="484"/>
      <c r="AN3" s="484"/>
      <c r="AO3" s="484"/>
      <c r="AP3" s="484"/>
      <c r="AQ3" s="484"/>
      <c r="AR3" s="484"/>
      <c r="AS3" s="484"/>
      <c r="AT3" s="484"/>
      <c r="AU3" s="484"/>
      <c r="AV3" s="484"/>
      <c r="AW3" s="484"/>
      <c r="AX3" s="484"/>
      <c r="AY3" s="484"/>
      <c r="AZ3" s="484"/>
      <c r="BA3" s="484"/>
      <c r="BB3" s="484"/>
      <c r="BC3" s="484"/>
      <c r="BD3" s="484"/>
      <c r="BE3" s="484"/>
      <c r="BF3" s="484"/>
      <c r="BG3" s="484"/>
      <c r="BH3" s="484"/>
      <c r="BI3" s="484"/>
      <c r="BJ3" s="484"/>
      <c r="BK3" s="484"/>
      <c r="BL3" s="484"/>
      <c r="BM3" s="484"/>
      <c r="BN3" s="484"/>
      <c r="BO3" s="484"/>
      <c r="BP3" s="484"/>
      <c r="BQ3" s="484"/>
      <c r="BR3" s="484"/>
      <c r="BS3" s="484"/>
      <c r="BT3" s="484"/>
      <c r="BU3" s="484"/>
      <c r="BV3" s="484"/>
      <c r="BW3" s="484"/>
      <c r="BX3" s="484"/>
      <c r="BY3" s="484"/>
      <c r="BZ3" s="484"/>
      <c r="CA3" s="484"/>
      <c r="CB3" s="484"/>
      <c r="CC3" s="484"/>
      <c r="CD3" s="484"/>
      <c r="CE3" s="484"/>
      <c r="CF3" s="484"/>
      <c r="CG3" s="484"/>
      <c r="CH3" s="484"/>
      <c r="CI3" s="484"/>
      <c r="CJ3" s="484"/>
      <c r="CK3" s="484"/>
      <c r="CL3" s="484"/>
      <c r="CM3" s="484"/>
      <c r="CN3" s="484"/>
      <c r="CO3" s="484"/>
      <c r="CP3" s="484"/>
      <c r="CQ3" s="484"/>
      <c r="CR3" s="484"/>
      <c r="CS3" s="484"/>
      <c r="CT3" s="484"/>
      <c r="CU3" s="484"/>
      <c r="CV3" s="484"/>
      <c r="CW3" s="484"/>
      <c r="CX3" s="484"/>
      <c r="CY3" s="484"/>
      <c r="CZ3" s="484"/>
      <c r="DA3" s="484"/>
      <c r="DB3" s="484"/>
      <c r="DC3" s="484"/>
      <c r="DD3" s="484"/>
      <c r="DE3" s="484"/>
      <c r="DF3" s="484"/>
      <c r="DG3" s="484"/>
      <c r="DH3" s="484"/>
      <c r="DI3" s="484"/>
      <c r="DJ3" s="484"/>
      <c r="DK3" s="484"/>
      <c r="DL3" s="484"/>
      <c r="DM3" s="484"/>
      <c r="DN3" s="484"/>
      <c r="DO3" s="484"/>
      <c r="DP3" s="484"/>
      <c r="DQ3" s="484"/>
      <c r="DR3" s="484"/>
      <c r="DS3" s="484"/>
      <c r="DT3" s="484"/>
      <c r="DU3" s="484"/>
      <c r="DV3" s="484"/>
      <c r="DW3" s="484"/>
      <c r="DX3" s="484"/>
      <c r="DY3" s="484"/>
      <c r="DZ3" s="484"/>
      <c r="EA3" s="484"/>
      <c r="EB3" s="484"/>
      <c r="EC3" s="484"/>
      <c r="ED3" s="484"/>
      <c r="EE3" s="484"/>
      <c r="EF3" s="484"/>
      <c r="EG3" s="484"/>
      <c r="EH3" s="484"/>
      <c r="EI3" s="484"/>
      <c r="EJ3" s="484"/>
      <c r="EK3" s="484"/>
      <c r="EL3" s="484"/>
      <c r="EM3" s="484"/>
      <c r="EN3" s="484"/>
      <c r="EO3" s="484"/>
      <c r="EP3" s="484"/>
      <c r="EQ3" s="484"/>
      <c r="ER3" s="484"/>
      <c r="ES3" s="484"/>
      <c r="ET3" s="484"/>
      <c r="EU3" s="484"/>
      <c r="EV3" s="484"/>
      <c r="EW3" s="484"/>
      <c r="EX3" s="484"/>
      <c r="EY3" s="484"/>
      <c r="EZ3" s="484"/>
      <c r="FA3" s="484"/>
      <c r="FB3" s="484"/>
      <c r="FC3" s="484"/>
      <c r="FD3" s="484"/>
      <c r="FE3" s="484"/>
      <c r="FF3" s="484"/>
      <c r="FG3" s="484"/>
      <c r="FH3" s="484"/>
      <c r="FI3" s="484"/>
      <c r="FJ3" s="484"/>
      <c r="FK3" s="484"/>
      <c r="FL3" s="484"/>
      <c r="FM3" s="484"/>
      <c r="FN3" s="484"/>
      <c r="FO3" s="484"/>
      <c r="FP3" s="484"/>
      <c r="FQ3" s="484"/>
      <c r="FR3" s="484"/>
      <c r="FS3" s="484"/>
      <c r="FT3" s="484"/>
      <c r="FU3" s="484"/>
      <c r="FV3" s="484"/>
      <c r="FW3" s="484"/>
      <c r="FX3" s="484"/>
      <c r="FY3" s="484"/>
      <c r="FZ3" s="484"/>
      <c r="GA3" s="484"/>
      <c r="GB3" s="484"/>
      <c r="GC3" s="484"/>
      <c r="GD3" s="484"/>
      <c r="GE3" s="484"/>
      <c r="GF3" s="484"/>
      <c r="GG3" s="484"/>
      <c r="GH3" s="484"/>
      <c r="GI3" s="484"/>
      <c r="GJ3" s="484"/>
      <c r="GK3" s="484"/>
      <c r="GL3" s="484"/>
      <c r="GM3" s="484"/>
      <c r="GN3" s="484"/>
      <c r="GO3" s="484"/>
      <c r="GP3" s="484"/>
      <c r="GQ3" s="484"/>
      <c r="GR3" s="484"/>
      <c r="GS3" s="484"/>
      <c r="GT3" s="484"/>
      <c r="GU3" s="484"/>
      <c r="GV3" s="484"/>
      <c r="GW3" s="484"/>
      <c r="GX3" s="484"/>
      <c r="GY3" s="484"/>
      <c r="GZ3" s="484"/>
      <c r="HA3" s="484"/>
      <c r="HB3" s="484"/>
      <c r="HC3" s="484"/>
      <c r="HD3" s="484"/>
      <c r="HE3" s="484"/>
      <c r="HF3" s="484"/>
      <c r="HG3" s="484"/>
      <c r="HH3" s="484"/>
      <c r="HI3" s="484"/>
      <c r="HJ3" s="484"/>
      <c r="HK3" s="484"/>
      <c r="HL3" s="484"/>
      <c r="HM3" s="484"/>
      <c r="HN3" s="484"/>
      <c r="HO3" s="484"/>
      <c r="HP3" s="484"/>
      <c r="HQ3" s="484"/>
      <c r="HR3" s="484"/>
      <c r="HS3" s="484"/>
      <c r="HT3" s="484"/>
      <c r="HU3" s="484"/>
      <c r="HV3" s="484"/>
      <c r="HW3" s="484"/>
      <c r="HX3" s="484"/>
      <c r="HY3" s="484"/>
      <c r="HZ3" s="484"/>
      <c r="IA3" s="484"/>
      <c r="IB3" s="484"/>
      <c r="IC3" s="484"/>
      <c r="ID3" s="484"/>
      <c r="IE3" s="484"/>
      <c r="IF3" s="484"/>
      <c r="IG3" s="484"/>
      <c r="IH3" s="484"/>
      <c r="II3" s="484"/>
      <c r="IJ3" s="484"/>
      <c r="IK3" s="484"/>
      <c r="IL3" s="484"/>
      <c r="IM3" s="484"/>
      <c r="IN3" s="484"/>
      <c r="IO3" s="484"/>
      <c r="IP3" s="484"/>
      <c r="IQ3" s="484"/>
      <c r="IR3" s="484"/>
      <c r="IS3" s="484"/>
      <c r="IT3" s="484"/>
      <c r="IU3" s="484"/>
      <c r="IV3" s="484"/>
      <c r="IW3" s="484"/>
      <c r="IX3" s="484"/>
      <c r="IY3" s="484"/>
      <c r="IZ3" s="484"/>
      <c r="JA3" s="484"/>
      <c r="JB3" s="484"/>
      <c r="JC3" s="484"/>
      <c r="JD3" s="484"/>
      <c r="JE3" s="484"/>
      <c r="JF3" s="484"/>
      <c r="JG3" s="484"/>
      <c r="JH3" s="484"/>
      <c r="JI3" s="484"/>
      <c r="JJ3" s="484"/>
      <c r="JK3" s="484"/>
      <c r="JL3" s="484"/>
      <c r="JM3" s="484"/>
      <c r="JN3" s="484"/>
      <c r="JO3" s="484"/>
      <c r="JP3" s="484"/>
      <c r="JQ3" s="484"/>
      <c r="JR3" s="484"/>
      <c r="JS3" s="484"/>
      <c r="JT3" s="484"/>
      <c r="JU3" s="484"/>
      <c r="JV3" s="484"/>
      <c r="JW3" s="484"/>
      <c r="JX3" s="484"/>
      <c r="JY3" s="484"/>
      <c r="JZ3" s="484"/>
      <c r="KA3" s="484"/>
      <c r="KB3" s="484"/>
      <c r="KC3" s="484"/>
      <c r="KD3" s="484"/>
      <c r="KE3" s="484"/>
      <c r="KF3" s="484"/>
      <c r="KG3" s="484"/>
      <c r="KH3" s="484"/>
      <c r="KI3" s="484"/>
      <c r="KJ3" s="484"/>
      <c r="KK3" s="484"/>
      <c r="KL3" s="484"/>
      <c r="KM3" s="484"/>
      <c r="KN3" s="484"/>
      <c r="KO3" s="484"/>
      <c r="KP3" s="484"/>
      <c r="KQ3" s="484"/>
      <c r="KR3" s="484"/>
      <c r="KS3" s="484"/>
      <c r="KT3" s="484"/>
      <c r="KU3" s="484"/>
      <c r="KV3" s="484"/>
      <c r="KW3" s="484"/>
      <c r="KX3" s="484"/>
      <c r="KY3" s="484"/>
      <c r="KZ3" s="484"/>
      <c r="LA3" s="484"/>
      <c r="LB3" s="484"/>
      <c r="LC3" s="484"/>
      <c r="LD3" s="484"/>
      <c r="LE3" s="484"/>
      <c r="LF3" s="484"/>
      <c r="LG3" s="484"/>
      <c r="LH3" s="484"/>
      <c r="LI3" s="484"/>
      <c r="LJ3" s="484"/>
      <c r="LK3" s="484"/>
      <c r="LL3" s="484"/>
      <c r="LM3" s="484"/>
      <c r="LN3" s="484"/>
      <c r="LO3" s="484"/>
      <c r="LP3" s="484"/>
      <c r="LQ3" s="484"/>
      <c r="LR3" s="484"/>
      <c r="LS3" s="484"/>
      <c r="LT3" s="484"/>
      <c r="LU3" s="484"/>
      <c r="LV3" s="484"/>
      <c r="LW3" s="484"/>
      <c r="LX3" s="484"/>
      <c r="LY3" s="484"/>
      <c r="LZ3" s="484"/>
      <c r="MA3" s="484"/>
      <c r="MB3" s="484"/>
      <c r="MC3" s="484"/>
      <c r="MD3" s="484"/>
      <c r="ME3" s="484"/>
      <c r="MF3" s="484"/>
      <c r="MG3" s="484"/>
      <c r="MH3" s="484"/>
      <c r="MI3" s="484"/>
      <c r="MJ3" s="484"/>
      <c r="MK3" s="484"/>
      <c r="ML3" s="484"/>
      <c r="MM3" s="484"/>
      <c r="MN3" s="484"/>
      <c r="MO3" s="484"/>
      <c r="MP3" s="484"/>
      <c r="MQ3" s="484"/>
      <c r="MR3" s="484"/>
      <c r="MS3" s="484"/>
      <c r="MT3" s="484"/>
      <c r="MU3" s="484"/>
      <c r="MV3" s="484"/>
      <c r="MW3" s="484"/>
      <c r="MX3" s="484"/>
      <c r="MY3" s="484"/>
      <c r="MZ3" s="484"/>
      <c r="NA3" s="484"/>
      <c r="NB3" s="484"/>
      <c r="NC3" s="484"/>
      <c r="ND3" s="484"/>
      <c r="NE3" s="484"/>
      <c r="NF3" s="484"/>
      <c r="NG3" s="484"/>
      <c r="NH3" s="484"/>
      <c r="NI3" s="484"/>
      <c r="NJ3" s="484"/>
      <c r="NK3" s="484"/>
      <c r="NL3" s="484"/>
      <c r="NM3" s="484"/>
      <c r="NN3" s="484"/>
      <c r="NO3" s="484"/>
      <c r="NP3" s="484"/>
      <c r="NQ3" s="484"/>
      <c r="NR3" s="484"/>
      <c r="NS3" s="484"/>
      <c r="NT3" s="484"/>
      <c r="NU3" s="484"/>
      <c r="NV3" s="484"/>
      <c r="NW3" s="484"/>
      <c r="NX3" s="484"/>
      <c r="NY3" s="484"/>
      <c r="NZ3" s="484"/>
      <c r="OA3" s="484"/>
      <c r="OB3" s="484"/>
      <c r="OC3" s="484"/>
      <c r="OD3" s="484"/>
      <c r="OE3" s="484"/>
      <c r="OF3" s="484"/>
      <c r="OG3" s="484"/>
      <c r="OH3" s="484"/>
      <c r="OI3" s="484"/>
      <c r="OJ3" s="484"/>
      <c r="OK3" s="484"/>
      <c r="OL3" s="484"/>
      <c r="OM3" s="484"/>
      <c r="ON3" s="484"/>
      <c r="OO3" s="484"/>
      <c r="OP3" s="484"/>
      <c r="OQ3" s="484"/>
      <c r="OR3" s="484"/>
      <c r="OS3" s="484"/>
      <c r="OT3" s="484"/>
      <c r="OU3" s="484"/>
      <c r="OV3" s="484"/>
      <c r="OW3" s="484"/>
      <c r="OX3" s="484"/>
      <c r="OY3" s="484"/>
      <c r="OZ3" s="484"/>
      <c r="PA3" s="484"/>
      <c r="PB3" s="484"/>
      <c r="PC3" s="484"/>
      <c r="PD3" s="484"/>
      <c r="PE3" s="484"/>
      <c r="PF3" s="484"/>
      <c r="PG3" s="484"/>
      <c r="PH3" s="484"/>
      <c r="PI3" s="484"/>
      <c r="PJ3" s="484"/>
      <c r="PK3" s="484"/>
      <c r="PL3" s="484"/>
      <c r="PM3" s="484"/>
      <c r="PN3" s="484"/>
      <c r="PO3" s="484"/>
      <c r="PP3" s="484"/>
      <c r="PQ3" s="484"/>
      <c r="PR3" s="484"/>
      <c r="PS3" s="484"/>
      <c r="PT3" s="484"/>
      <c r="PU3" s="484"/>
      <c r="PV3" s="484"/>
      <c r="PW3" s="484"/>
      <c r="PX3" s="484"/>
      <c r="PY3" s="484"/>
      <c r="PZ3" s="484"/>
      <c r="QA3" s="484"/>
      <c r="QB3" s="484"/>
      <c r="QC3" s="484"/>
      <c r="QD3" s="484"/>
      <c r="QE3" s="484"/>
      <c r="QF3" s="484"/>
      <c r="QG3" s="484"/>
      <c r="QH3" s="484"/>
      <c r="QI3" s="484"/>
      <c r="QJ3" s="484"/>
      <c r="QK3" s="484"/>
      <c r="QL3" s="484"/>
      <c r="QM3" s="484"/>
      <c r="QN3" s="484"/>
      <c r="QO3" s="484"/>
      <c r="QP3" s="484"/>
      <c r="QQ3" s="484"/>
      <c r="QR3" s="484"/>
      <c r="QS3" s="484"/>
      <c r="QT3" s="484"/>
      <c r="QU3" s="484"/>
      <c r="QV3" s="484"/>
      <c r="QW3" s="484"/>
      <c r="QX3" s="484"/>
      <c r="QY3" s="484"/>
      <c r="QZ3" s="484"/>
      <c r="RA3" s="484"/>
      <c r="RB3" s="484"/>
      <c r="RC3" s="484"/>
      <c r="RD3" s="484"/>
      <c r="RE3" s="484"/>
      <c r="RF3" s="484"/>
      <c r="RG3" s="484"/>
      <c r="RH3" s="484"/>
      <c r="RI3" s="484"/>
      <c r="RJ3" s="484"/>
      <c r="RK3" s="484"/>
      <c r="RL3" s="484"/>
      <c r="RM3" s="484"/>
      <c r="RN3" s="484"/>
      <c r="RO3" s="484"/>
      <c r="RP3" s="484"/>
      <c r="RQ3" s="484"/>
      <c r="RR3" s="484"/>
      <c r="RS3" s="484"/>
      <c r="RT3" s="484"/>
      <c r="RU3" s="484"/>
      <c r="RV3" s="484"/>
      <c r="RW3" s="484"/>
      <c r="RX3" s="484"/>
      <c r="RY3" s="484"/>
      <c r="RZ3" s="484"/>
      <c r="SA3" s="484"/>
      <c r="SB3" s="484"/>
      <c r="SC3" s="484"/>
      <c r="SD3" s="484"/>
      <c r="SE3" s="484"/>
      <c r="SF3" s="484"/>
      <c r="SG3" s="484"/>
      <c r="SH3" s="484"/>
      <c r="SI3" s="484"/>
      <c r="SJ3" s="484"/>
      <c r="SK3" s="484"/>
      <c r="SL3" s="484"/>
      <c r="SM3" s="484"/>
      <c r="SN3" s="484"/>
      <c r="SO3" s="484"/>
      <c r="SP3" s="484"/>
      <c r="SQ3" s="484"/>
      <c r="SR3" s="484"/>
      <c r="SS3" s="484"/>
      <c r="ST3" s="484"/>
      <c r="SU3" s="484"/>
      <c r="SV3" s="484"/>
      <c r="SW3" s="484"/>
      <c r="SX3" s="484"/>
      <c r="SY3" s="484"/>
      <c r="SZ3" s="484"/>
      <c r="TA3" s="484"/>
      <c r="TB3" s="484"/>
      <c r="TC3" s="484"/>
      <c r="TD3" s="484"/>
      <c r="TE3" s="484"/>
      <c r="TF3" s="484"/>
      <c r="TG3" s="484"/>
      <c r="TH3" s="484"/>
      <c r="TI3" s="484"/>
      <c r="TJ3" s="484"/>
      <c r="TK3" s="484"/>
      <c r="TL3" s="484"/>
      <c r="TM3" s="484"/>
      <c r="TN3" s="484"/>
      <c r="TO3" s="484"/>
      <c r="TP3" s="484"/>
      <c r="TQ3" s="484"/>
      <c r="TR3" s="484"/>
      <c r="TS3" s="484"/>
      <c r="TT3" s="484"/>
      <c r="TU3" s="484"/>
      <c r="TV3" s="484"/>
      <c r="TW3" s="484"/>
      <c r="TX3" s="484"/>
      <c r="TY3" s="484"/>
      <c r="TZ3" s="484"/>
      <c r="UA3" s="484"/>
      <c r="UB3" s="484"/>
      <c r="UC3" s="484"/>
      <c r="UD3" s="484"/>
      <c r="UE3" s="484"/>
      <c r="UF3" s="484"/>
      <c r="UG3" s="484"/>
      <c r="UH3" s="484"/>
      <c r="UI3" s="484"/>
      <c r="UJ3" s="484"/>
      <c r="UK3" s="484"/>
      <c r="UL3" s="484"/>
      <c r="UM3" s="484"/>
      <c r="UN3" s="484"/>
      <c r="UO3" s="484"/>
      <c r="UP3" s="484"/>
      <c r="UQ3" s="484"/>
      <c r="UR3" s="484"/>
      <c r="US3" s="484"/>
      <c r="UT3" s="484"/>
      <c r="UU3" s="484"/>
      <c r="UV3" s="484"/>
      <c r="UW3" s="484"/>
      <c r="UX3" s="484"/>
      <c r="UY3" s="484"/>
      <c r="UZ3" s="484"/>
      <c r="VA3" s="484"/>
      <c r="VB3" s="484"/>
      <c r="VC3" s="484"/>
      <c r="VD3" s="484"/>
      <c r="VE3" s="484"/>
      <c r="VF3" s="484"/>
      <c r="VG3" s="484"/>
      <c r="VH3" s="484"/>
      <c r="VI3" s="484"/>
      <c r="VJ3" s="484"/>
      <c r="VK3" s="484"/>
      <c r="VL3" s="484"/>
      <c r="VM3" s="484"/>
      <c r="VN3" s="484"/>
      <c r="VO3" s="484"/>
      <c r="VP3" s="484"/>
      <c r="VQ3" s="484"/>
      <c r="VR3" s="484"/>
      <c r="VS3" s="484"/>
      <c r="VT3" s="484"/>
      <c r="VU3" s="484"/>
      <c r="VV3" s="484"/>
      <c r="VW3" s="484"/>
      <c r="VX3" s="484"/>
      <c r="VY3" s="484"/>
      <c r="VZ3" s="484"/>
      <c r="WA3" s="484"/>
      <c r="WB3" s="484"/>
      <c r="WC3" s="484"/>
      <c r="WD3" s="484"/>
      <c r="WE3" s="484"/>
      <c r="WF3" s="484"/>
      <c r="WG3" s="484"/>
      <c r="WH3" s="484"/>
      <c r="WI3" s="484"/>
      <c r="WJ3" s="484"/>
      <c r="WK3" s="484"/>
      <c r="WL3" s="484"/>
      <c r="WM3" s="484"/>
      <c r="WN3" s="484"/>
      <c r="WO3" s="484"/>
      <c r="WP3" s="484"/>
      <c r="WQ3" s="484"/>
      <c r="WR3" s="484"/>
      <c r="WS3" s="484"/>
      <c r="WT3" s="484"/>
      <c r="WU3" s="484"/>
      <c r="WV3" s="484"/>
      <c r="WW3" s="484"/>
      <c r="WX3" s="484"/>
      <c r="WY3" s="484"/>
      <c r="WZ3" s="484"/>
      <c r="XA3" s="484"/>
      <c r="XB3" s="484"/>
      <c r="XC3" s="484"/>
      <c r="XD3" s="484"/>
      <c r="XE3" s="484"/>
      <c r="XF3" s="484"/>
      <c r="XG3" s="484"/>
      <c r="XH3" s="484"/>
      <c r="XI3" s="484"/>
      <c r="XJ3" s="484"/>
      <c r="XK3" s="484"/>
      <c r="XL3" s="484"/>
      <c r="XM3" s="484"/>
      <c r="XN3" s="484"/>
      <c r="XO3" s="484"/>
      <c r="XP3" s="484"/>
      <c r="XQ3" s="484"/>
      <c r="XR3" s="484"/>
      <c r="XS3" s="484"/>
      <c r="XT3" s="484"/>
      <c r="XU3" s="484"/>
      <c r="XV3" s="484"/>
      <c r="XW3" s="484"/>
      <c r="XX3" s="484"/>
      <c r="XY3" s="484"/>
      <c r="XZ3" s="484"/>
      <c r="YA3" s="484"/>
      <c r="YB3" s="484"/>
      <c r="YC3" s="484"/>
      <c r="YD3" s="484"/>
      <c r="YE3" s="484"/>
      <c r="YF3" s="484"/>
      <c r="YG3" s="484"/>
      <c r="YH3" s="484"/>
      <c r="YI3" s="484"/>
      <c r="YJ3" s="484"/>
      <c r="YK3" s="484"/>
      <c r="YL3" s="484"/>
      <c r="YM3" s="484"/>
      <c r="YN3" s="484"/>
      <c r="YO3" s="484"/>
      <c r="YP3" s="484"/>
      <c r="YQ3" s="484"/>
      <c r="YR3" s="484"/>
      <c r="YS3" s="484"/>
      <c r="YT3" s="484"/>
      <c r="YU3" s="484"/>
      <c r="YV3" s="484"/>
      <c r="YW3" s="484"/>
      <c r="YX3" s="484"/>
      <c r="YY3" s="484"/>
      <c r="YZ3" s="484"/>
      <c r="ZA3" s="484"/>
      <c r="ZB3" s="484"/>
      <c r="ZC3" s="484"/>
      <c r="ZD3" s="484"/>
      <c r="ZE3" s="484"/>
      <c r="ZF3" s="484"/>
      <c r="ZG3" s="484"/>
      <c r="ZH3" s="484"/>
      <c r="ZI3" s="484"/>
      <c r="ZJ3" s="484"/>
      <c r="ZK3" s="484"/>
      <c r="ZL3" s="484"/>
      <c r="ZM3" s="484"/>
      <c r="ZN3" s="484"/>
      <c r="ZO3" s="484"/>
      <c r="ZP3" s="484"/>
      <c r="ZQ3" s="484"/>
      <c r="ZR3" s="484"/>
      <c r="ZS3" s="484"/>
      <c r="ZT3" s="484"/>
      <c r="ZU3" s="484"/>
      <c r="ZV3" s="484"/>
      <c r="ZW3" s="484"/>
      <c r="ZX3" s="484"/>
      <c r="ZY3" s="484"/>
      <c r="ZZ3" s="484"/>
      <c r="AAA3" s="484"/>
      <c r="AAB3" s="484"/>
      <c r="AAC3" s="484"/>
      <c r="AAD3" s="484"/>
      <c r="AAE3" s="484"/>
      <c r="AAF3" s="484"/>
      <c r="AAG3" s="484"/>
      <c r="AAH3" s="484"/>
      <c r="AAI3" s="484"/>
      <c r="AAJ3" s="484"/>
      <c r="AAK3" s="484"/>
      <c r="AAL3" s="484"/>
      <c r="AAM3" s="484"/>
      <c r="AAN3" s="484"/>
      <c r="AAO3" s="484"/>
      <c r="AAP3" s="484"/>
      <c r="AAQ3" s="484"/>
      <c r="AAR3" s="484"/>
      <c r="AAS3" s="484"/>
      <c r="AAT3" s="484"/>
      <c r="AAU3" s="484"/>
      <c r="AAV3" s="484"/>
      <c r="AAW3" s="484"/>
      <c r="AAX3" s="484"/>
      <c r="AAY3" s="484"/>
      <c r="AAZ3" s="484"/>
      <c r="ABA3" s="484"/>
      <c r="ABB3" s="484"/>
      <c r="ABC3" s="484"/>
      <c r="ABD3" s="484"/>
      <c r="ABE3" s="484"/>
      <c r="ABF3" s="484"/>
      <c r="ABG3" s="484"/>
      <c r="ABH3" s="484"/>
      <c r="ABI3" s="484"/>
      <c r="ABJ3" s="484"/>
      <c r="ABK3" s="484"/>
      <c r="ABL3" s="484"/>
      <c r="ABM3" s="484"/>
      <c r="ABN3" s="484"/>
      <c r="ABO3" s="484"/>
      <c r="ABP3" s="484"/>
      <c r="ABQ3" s="484"/>
      <c r="ABR3" s="484"/>
      <c r="ABS3" s="484"/>
      <c r="ABT3" s="484"/>
      <c r="ABU3" s="484"/>
      <c r="ABV3" s="484"/>
      <c r="ABW3" s="484"/>
      <c r="ABX3" s="484"/>
      <c r="ABY3" s="484"/>
      <c r="ABZ3" s="484"/>
      <c r="ACA3" s="484"/>
      <c r="ACB3" s="484"/>
      <c r="ACC3" s="484"/>
      <c r="ACD3" s="484"/>
      <c r="ACE3" s="484"/>
      <c r="ACF3" s="484"/>
      <c r="ACG3" s="484"/>
      <c r="ACH3" s="484"/>
      <c r="ACI3" s="484"/>
      <c r="ACJ3" s="484"/>
      <c r="ACK3" s="484"/>
      <c r="ACL3" s="484"/>
      <c r="ACM3" s="484"/>
      <c r="ACN3" s="484"/>
      <c r="ACO3" s="484"/>
      <c r="ACP3" s="484"/>
      <c r="ACQ3" s="484"/>
      <c r="ACR3" s="484"/>
      <c r="ACS3" s="484"/>
      <c r="ACT3" s="484"/>
      <c r="ACU3" s="484"/>
      <c r="ACV3" s="484"/>
      <c r="ACW3" s="484"/>
      <c r="ACX3" s="484"/>
      <c r="ACY3" s="484"/>
      <c r="ACZ3" s="484"/>
      <c r="ADA3" s="484"/>
      <c r="ADB3" s="484"/>
      <c r="ADC3" s="484"/>
      <c r="ADD3" s="484"/>
      <c r="ADE3" s="484"/>
      <c r="ADF3" s="484"/>
      <c r="ADG3" s="484"/>
      <c r="ADH3" s="484"/>
      <c r="ADI3" s="484"/>
      <c r="ADJ3" s="484"/>
      <c r="ADK3" s="484"/>
      <c r="ADL3" s="484"/>
      <c r="ADM3" s="484"/>
      <c r="ADN3" s="484"/>
      <c r="ADO3" s="484"/>
      <c r="ADP3" s="484"/>
      <c r="ADQ3" s="484"/>
      <c r="ADR3" s="484"/>
      <c r="ADS3" s="484"/>
      <c r="ADT3" s="484"/>
      <c r="ADU3" s="484"/>
      <c r="ADV3" s="484"/>
      <c r="ADW3" s="484"/>
      <c r="ADX3" s="484"/>
      <c r="ADY3" s="484"/>
      <c r="ADZ3" s="484"/>
      <c r="AEA3" s="484"/>
      <c r="AEB3" s="484"/>
      <c r="AEC3" s="484"/>
      <c r="AED3" s="484"/>
      <c r="AEE3" s="484"/>
      <c r="AEF3" s="484"/>
      <c r="AEG3" s="484"/>
      <c r="AEH3" s="484"/>
      <c r="AEI3" s="484"/>
      <c r="AEJ3" s="484"/>
      <c r="AEK3" s="484"/>
      <c r="AEL3" s="484"/>
      <c r="AEM3" s="484"/>
      <c r="AEN3" s="484"/>
      <c r="AEO3" s="484"/>
      <c r="AEP3" s="484"/>
      <c r="AEQ3" s="484"/>
      <c r="AER3" s="484"/>
      <c r="AES3" s="484"/>
      <c r="AET3" s="484"/>
      <c r="AEU3" s="484"/>
      <c r="AEV3" s="484"/>
      <c r="AEW3" s="484"/>
      <c r="AEX3" s="484"/>
      <c r="AEY3" s="484"/>
      <c r="AEZ3" s="484"/>
      <c r="AFA3" s="484"/>
      <c r="AFB3" s="484"/>
      <c r="AFC3" s="484"/>
      <c r="AFD3" s="484"/>
      <c r="AFE3" s="484"/>
      <c r="AFF3" s="484"/>
      <c r="AFG3" s="484"/>
      <c r="AFH3" s="484"/>
      <c r="AFI3" s="484"/>
      <c r="AFJ3" s="484"/>
      <c r="AFK3" s="484"/>
      <c r="AFL3" s="484"/>
      <c r="AFM3" s="484"/>
      <c r="AFN3" s="484"/>
      <c r="AFO3" s="484"/>
      <c r="AFP3" s="484"/>
      <c r="AFQ3" s="484"/>
      <c r="AFR3" s="484"/>
      <c r="AFS3" s="484"/>
      <c r="AFT3" s="484"/>
      <c r="AFU3" s="484"/>
      <c r="AFV3" s="484"/>
      <c r="AFW3" s="484"/>
      <c r="AFX3" s="484"/>
      <c r="AFY3" s="484"/>
      <c r="AFZ3" s="484"/>
      <c r="AGA3" s="484"/>
      <c r="AGB3" s="484"/>
      <c r="AGC3" s="484"/>
      <c r="AGD3" s="484"/>
      <c r="AGE3" s="484"/>
      <c r="AGF3" s="484"/>
      <c r="AGG3" s="484"/>
      <c r="AGH3" s="484"/>
      <c r="AGI3" s="484"/>
      <c r="AGJ3" s="484"/>
      <c r="AGK3" s="484"/>
      <c r="AGL3" s="484"/>
      <c r="AGM3" s="484"/>
      <c r="AGN3" s="484"/>
      <c r="AGO3" s="484"/>
      <c r="AGP3" s="484"/>
      <c r="AGQ3" s="484"/>
      <c r="AGR3" s="484"/>
      <c r="AGS3" s="484"/>
      <c r="AGT3" s="484"/>
      <c r="AGU3" s="484"/>
      <c r="AGV3" s="484"/>
      <c r="AGW3" s="484"/>
      <c r="AGX3" s="484"/>
      <c r="AGY3" s="484"/>
      <c r="AGZ3" s="484"/>
      <c r="AHA3" s="484"/>
      <c r="AHB3" s="484"/>
      <c r="AHC3" s="484"/>
      <c r="AHD3" s="484"/>
      <c r="AHE3" s="484"/>
      <c r="AHF3" s="484"/>
      <c r="AHG3" s="484"/>
      <c r="AHH3" s="484"/>
      <c r="AHI3" s="484"/>
      <c r="AHJ3" s="484"/>
      <c r="AHK3" s="484"/>
      <c r="AHL3" s="484"/>
      <c r="AHM3" s="484"/>
      <c r="AHN3" s="484"/>
      <c r="AHO3" s="484"/>
      <c r="AHP3" s="484"/>
      <c r="AHQ3" s="484"/>
      <c r="AHR3" s="484"/>
      <c r="AHS3" s="484"/>
      <c r="AHT3" s="484"/>
      <c r="AHU3" s="484"/>
      <c r="AHV3" s="484"/>
      <c r="AHW3" s="484"/>
      <c r="AHX3" s="484"/>
      <c r="AHY3" s="484"/>
      <c r="AHZ3" s="484"/>
      <c r="AIA3" s="484"/>
      <c r="AIB3" s="484"/>
      <c r="AIC3" s="484"/>
      <c r="AID3" s="484"/>
      <c r="AIE3" s="484"/>
      <c r="AIF3" s="484"/>
      <c r="AIG3" s="484"/>
      <c r="AIH3" s="484"/>
      <c r="AII3" s="484"/>
      <c r="AIJ3" s="484"/>
      <c r="AIK3" s="484"/>
      <c r="AIL3" s="484"/>
      <c r="AIM3" s="484"/>
      <c r="AIN3" s="484"/>
      <c r="AIO3" s="484"/>
      <c r="AIP3" s="484"/>
      <c r="AIQ3" s="484"/>
      <c r="AIR3" s="484"/>
      <c r="AIS3" s="484"/>
      <c r="AIT3" s="484"/>
      <c r="AIU3" s="484"/>
      <c r="AIV3" s="484"/>
      <c r="AIW3" s="484"/>
      <c r="AIX3" s="484"/>
      <c r="AIY3" s="484"/>
      <c r="AIZ3" s="484"/>
      <c r="AJA3" s="484"/>
      <c r="AJB3" s="484"/>
      <c r="AJC3" s="484"/>
      <c r="AJD3" s="484"/>
      <c r="AJE3" s="484"/>
      <c r="AJF3" s="484"/>
      <c r="AJG3" s="484"/>
      <c r="AJH3" s="484"/>
      <c r="AJI3" s="484"/>
      <c r="AJJ3" s="484"/>
      <c r="AJK3" s="484"/>
      <c r="AJL3" s="484"/>
      <c r="AJM3" s="484"/>
      <c r="AJN3" s="484"/>
      <c r="AJO3" s="484"/>
      <c r="AJP3" s="484"/>
      <c r="AJQ3" s="484"/>
      <c r="AJR3" s="484"/>
      <c r="AJS3" s="484"/>
      <c r="AJT3" s="484"/>
      <c r="AJU3" s="484"/>
      <c r="AJV3" s="484"/>
      <c r="AJW3" s="484"/>
      <c r="AJX3" s="484"/>
      <c r="AJY3" s="484"/>
      <c r="AJZ3" s="484"/>
      <c r="AKA3" s="484"/>
      <c r="AKB3" s="484"/>
      <c r="AKC3" s="484"/>
      <c r="AKD3" s="484"/>
      <c r="AKE3" s="484"/>
      <c r="AKF3" s="484"/>
      <c r="AKG3" s="484"/>
      <c r="AKH3" s="484"/>
      <c r="AKI3" s="484"/>
      <c r="AKJ3" s="484"/>
      <c r="AKK3" s="484"/>
      <c r="AKL3" s="484"/>
      <c r="AKM3" s="484"/>
      <c r="AKN3" s="484"/>
      <c r="AKO3" s="484"/>
      <c r="AKP3" s="484"/>
      <c r="AKQ3" s="484"/>
      <c r="AKR3" s="484"/>
      <c r="AKS3" s="484"/>
      <c r="AKT3" s="484"/>
      <c r="AKU3" s="484"/>
      <c r="AKV3" s="484"/>
      <c r="AKW3" s="484"/>
      <c r="AKX3" s="484"/>
      <c r="AKY3" s="484"/>
      <c r="AKZ3" s="484"/>
      <c r="ALA3" s="484"/>
      <c r="ALB3" s="484"/>
      <c r="ALC3" s="484"/>
      <c r="ALD3" s="484"/>
      <c r="ALE3" s="484"/>
      <c r="ALF3" s="484"/>
      <c r="ALG3" s="484"/>
      <c r="ALH3" s="484"/>
      <c r="ALI3" s="484"/>
      <c r="ALJ3" s="484"/>
      <c r="ALK3" s="484"/>
      <c r="ALL3" s="484"/>
      <c r="ALM3" s="484"/>
      <c r="ALN3" s="484"/>
      <c r="ALO3" s="484"/>
      <c r="ALP3" s="484"/>
      <c r="ALQ3" s="484"/>
      <c r="ALR3" s="484"/>
      <c r="ALS3" s="484"/>
      <c r="ALT3" s="484"/>
      <c r="ALU3" s="484"/>
      <c r="ALV3" s="484"/>
      <c r="ALW3" s="484"/>
      <c r="ALX3" s="484"/>
      <c r="ALY3" s="484"/>
      <c r="ALZ3" s="484"/>
      <c r="AMA3" s="484"/>
      <c r="AMB3" s="484"/>
      <c r="AMC3" s="484"/>
      <c r="AMD3" s="484"/>
      <c r="AME3" s="484"/>
      <c r="AMF3" s="484"/>
      <c r="AMG3" s="484"/>
      <c r="AMH3" s="484"/>
      <c r="AMI3" s="484"/>
      <c r="AMJ3" s="484"/>
      <c r="AMK3" s="484"/>
      <c r="AML3" s="484"/>
      <c r="AMM3" s="484"/>
      <c r="AMN3" s="484"/>
      <c r="AMO3" s="484"/>
      <c r="AMP3" s="484"/>
      <c r="AMQ3" s="484"/>
      <c r="AMR3" s="484"/>
      <c r="AMS3" s="484"/>
      <c r="AMT3" s="484"/>
      <c r="AMU3" s="484"/>
      <c r="AMV3" s="484"/>
      <c r="AMW3" s="484"/>
      <c r="AMX3" s="484"/>
      <c r="AMY3" s="484"/>
      <c r="AMZ3" s="484"/>
      <c r="ANA3" s="484"/>
      <c r="ANB3" s="484"/>
      <c r="ANC3" s="484"/>
      <c r="AND3" s="484"/>
      <c r="ANE3" s="484"/>
      <c r="ANF3" s="484"/>
      <c r="ANG3" s="484"/>
      <c r="ANH3" s="484"/>
      <c r="ANI3" s="484"/>
      <c r="ANJ3" s="484"/>
      <c r="ANK3" s="484"/>
      <c r="ANL3" s="484"/>
      <c r="ANM3" s="484"/>
      <c r="ANN3" s="484"/>
      <c r="ANO3" s="484"/>
      <c r="ANP3" s="484"/>
      <c r="ANQ3" s="484"/>
      <c r="ANR3" s="484"/>
      <c r="ANS3" s="484"/>
      <c r="ANT3" s="484"/>
      <c r="ANU3" s="484"/>
      <c r="ANV3" s="484"/>
      <c r="ANW3" s="484"/>
      <c r="ANX3" s="484"/>
      <c r="ANY3" s="484"/>
      <c r="ANZ3" s="484"/>
      <c r="AOA3" s="484"/>
      <c r="AOB3" s="484"/>
      <c r="AOC3" s="484"/>
      <c r="AOD3" s="484"/>
      <c r="AOE3" s="484"/>
      <c r="AOF3" s="484"/>
      <c r="AOG3" s="484"/>
      <c r="AOH3" s="484"/>
      <c r="AOI3" s="484"/>
      <c r="AOJ3" s="484"/>
      <c r="AOK3" s="484"/>
      <c r="AOL3" s="484"/>
      <c r="AOM3" s="484"/>
      <c r="AON3" s="484"/>
      <c r="AOO3" s="484"/>
      <c r="AOP3" s="484"/>
      <c r="AOQ3" s="484"/>
      <c r="AOR3" s="484"/>
      <c r="AOS3" s="484"/>
      <c r="AOT3" s="484"/>
      <c r="AOU3" s="484"/>
      <c r="AOV3" s="484"/>
      <c r="AOW3" s="484"/>
      <c r="AOX3" s="484"/>
      <c r="AOY3" s="484"/>
      <c r="AOZ3" s="484"/>
      <c r="APA3" s="484"/>
      <c r="APB3" s="484"/>
      <c r="APC3" s="484"/>
      <c r="APD3" s="484"/>
      <c r="APE3" s="484"/>
      <c r="APF3" s="484"/>
      <c r="APG3" s="484"/>
      <c r="APH3" s="484"/>
      <c r="API3" s="484"/>
      <c r="APJ3" s="484"/>
      <c r="APK3" s="484"/>
      <c r="APL3" s="484"/>
      <c r="APM3" s="484"/>
      <c r="APN3" s="484"/>
      <c r="APO3" s="484"/>
      <c r="APP3" s="484"/>
      <c r="APQ3" s="484"/>
      <c r="APR3" s="484"/>
      <c r="APS3" s="484"/>
      <c r="APT3" s="484"/>
      <c r="APU3" s="484"/>
      <c r="APV3" s="484"/>
      <c r="APW3" s="484"/>
      <c r="APX3" s="484"/>
      <c r="APY3" s="484"/>
      <c r="APZ3" s="484"/>
      <c r="AQA3" s="484"/>
      <c r="AQB3" s="484"/>
      <c r="AQC3" s="484"/>
      <c r="AQD3" s="484"/>
      <c r="AQE3" s="484"/>
      <c r="AQF3" s="484"/>
      <c r="AQG3" s="484"/>
      <c r="AQH3" s="484"/>
      <c r="AQI3" s="484"/>
      <c r="AQJ3" s="484"/>
      <c r="AQK3" s="484"/>
      <c r="AQL3" s="484"/>
      <c r="AQM3" s="484"/>
      <c r="AQN3" s="484"/>
      <c r="AQO3" s="484"/>
      <c r="AQP3" s="484"/>
      <c r="AQQ3" s="484"/>
      <c r="AQR3" s="484"/>
      <c r="AQS3" s="484"/>
      <c r="AQT3" s="484"/>
      <c r="AQU3" s="484"/>
      <c r="AQV3" s="484"/>
      <c r="AQW3" s="484"/>
      <c r="AQX3" s="484"/>
      <c r="AQY3" s="484"/>
      <c r="AQZ3" s="484"/>
      <c r="ARA3" s="484"/>
      <c r="ARB3" s="484"/>
      <c r="ARC3" s="484"/>
      <c r="ARD3" s="484"/>
      <c r="ARE3" s="484"/>
      <c r="ARF3" s="484"/>
      <c r="ARG3" s="484"/>
      <c r="ARH3" s="484"/>
      <c r="ARI3" s="484"/>
      <c r="ARJ3" s="484"/>
      <c r="ARK3" s="484"/>
      <c r="ARL3" s="484"/>
      <c r="ARM3" s="484"/>
      <c r="ARN3" s="484"/>
      <c r="ARO3" s="484"/>
      <c r="ARP3" s="484"/>
      <c r="ARQ3" s="484"/>
      <c r="ARR3" s="484"/>
      <c r="ARS3" s="484"/>
      <c r="ART3" s="484"/>
      <c r="ARU3" s="484"/>
      <c r="ARV3" s="484"/>
      <c r="ARW3" s="484"/>
      <c r="ARX3" s="484"/>
      <c r="ARY3" s="484"/>
      <c r="ARZ3" s="484"/>
      <c r="ASA3" s="484"/>
      <c r="ASB3" s="484"/>
      <c r="ASC3" s="484"/>
      <c r="ASD3" s="484"/>
      <c r="ASE3" s="484"/>
      <c r="ASF3" s="484"/>
      <c r="ASG3" s="484"/>
      <c r="ASH3" s="484"/>
      <c r="ASI3" s="484"/>
      <c r="ASJ3" s="484"/>
      <c r="ASK3" s="484"/>
      <c r="ASL3" s="484"/>
      <c r="ASM3" s="484"/>
      <c r="ASN3" s="484"/>
      <c r="ASO3" s="484"/>
      <c r="ASP3" s="484"/>
      <c r="ASQ3" s="484"/>
      <c r="ASR3" s="484"/>
      <c r="ASS3" s="484"/>
      <c r="AST3" s="484"/>
      <c r="ASU3" s="484"/>
      <c r="ASV3" s="484"/>
      <c r="ASW3" s="484"/>
      <c r="ASX3" s="484"/>
      <c r="ASY3" s="484"/>
      <c r="ASZ3" s="484"/>
      <c r="ATA3" s="484"/>
      <c r="ATB3" s="484"/>
      <c r="ATC3" s="484"/>
      <c r="ATD3" s="484"/>
      <c r="ATE3" s="484"/>
      <c r="ATF3" s="484"/>
      <c r="ATG3" s="484"/>
      <c r="ATH3" s="484"/>
      <c r="ATI3" s="484"/>
      <c r="ATJ3" s="484"/>
      <c r="ATK3" s="484"/>
      <c r="ATL3" s="484"/>
      <c r="ATM3" s="484"/>
      <c r="ATN3" s="484"/>
      <c r="ATO3" s="484"/>
      <c r="ATP3" s="484"/>
      <c r="ATQ3" s="484"/>
      <c r="ATR3" s="484"/>
      <c r="ATS3" s="484"/>
      <c r="ATT3" s="484"/>
      <c r="ATU3" s="484"/>
      <c r="ATV3" s="484"/>
      <c r="ATW3" s="484"/>
      <c r="ATX3" s="484"/>
      <c r="ATY3" s="484"/>
      <c r="ATZ3" s="484"/>
      <c r="AUA3" s="484"/>
      <c r="AUB3" s="484"/>
      <c r="AUC3" s="484"/>
      <c r="AUD3" s="484"/>
      <c r="AUE3" s="484"/>
      <c r="AUF3" s="484"/>
      <c r="AUG3" s="484"/>
      <c r="AUH3" s="484"/>
      <c r="AUI3" s="484"/>
      <c r="AUJ3" s="484"/>
      <c r="AUK3" s="484"/>
      <c r="AUL3" s="484"/>
      <c r="AUM3" s="484"/>
      <c r="AUN3" s="484"/>
      <c r="AUO3" s="484"/>
      <c r="AUP3" s="484"/>
      <c r="AUQ3" s="484"/>
      <c r="AUR3" s="484"/>
      <c r="AUS3" s="484"/>
      <c r="AUT3" s="484"/>
      <c r="AUU3" s="484"/>
      <c r="AUV3" s="484"/>
      <c r="AUW3" s="484"/>
      <c r="AUX3" s="484"/>
      <c r="AUY3" s="484"/>
      <c r="AUZ3" s="484"/>
      <c r="AVA3" s="484"/>
      <c r="AVB3" s="484"/>
      <c r="AVC3" s="484"/>
      <c r="AVD3" s="484"/>
      <c r="AVE3" s="484"/>
      <c r="AVF3" s="484"/>
      <c r="AVG3" s="484"/>
      <c r="AVH3" s="484"/>
      <c r="AVI3" s="484"/>
      <c r="AVJ3" s="484"/>
      <c r="AVK3" s="484"/>
      <c r="AVL3" s="484"/>
      <c r="AVM3" s="484"/>
      <c r="AVN3" s="484"/>
      <c r="AVO3" s="484"/>
      <c r="AVP3" s="484"/>
      <c r="AVQ3" s="484"/>
      <c r="AVR3" s="484"/>
      <c r="AVS3" s="484"/>
      <c r="AVT3" s="484"/>
      <c r="AVU3" s="484"/>
      <c r="AVV3" s="484"/>
      <c r="AVW3" s="484"/>
      <c r="AVX3" s="484"/>
      <c r="AVY3" s="484"/>
      <c r="AVZ3" s="484"/>
      <c r="AWA3" s="484"/>
      <c r="AWB3" s="484"/>
      <c r="AWC3" s="484"/>
      <c r="AWD3" s="484"/>
      <c r="AWE3" s="484"/>
      <c r="AWF3" s="484"/>
      <c r="AWG3" s="484"/>
      <c r="AWH3" s="484"/>
      <c r="AWI3" s="484"/>
      <c r="AWJ3" s="484"/>
      <c r="AWK3" s="484"/>
      <c r="AWL3" s="484"/>
      <c r="AWM3" s="484"/>
      <c r="AWN3" s="484"/>
      <c r="AWO3" s="484"/>
      <c r="AWP3" s="484"/>
      <c r="AWQ3" s="484"/>
      <c r="AWR3" s="484"/>
      <c r="AWS3" s="484"/>
      <c r="AWT3" s="484"/>
      <c r="AWU3" s="484"/>
      <c r="AWV3" s="484"/>
      <c r="AWW3" s="484"/>
      <c r="AWX3" s="484"/>
      <c r="AWY3" s="484"/>
      <c r="AWZ3" s="484"/>
      <c r="AXA3" s="484"/>
      <c r="AXB3" s="484"/>
      <c r="AXC3" s="484"/>
      <c r="AXD3" s="484"/>
      <c r="AXE3" s="484"/>
      <c r="AXF3" s="484"/>
      <c r="AXG3" s="484"/>
      <c r="AXH3" s="484"/>
      <c r="AXI3" s="484"/>
      <c r="AXJ3" s="484"/>
      <c r="AXK3" s="484"/>
      <c r="AXL3" s="484"/>
      <c r="AXM3" s="484"/>
      <c r="AXN3" s="484"/>
      <c r="AXO3" s="484"/>
      <c r="AXP3" s="484"/>
      <c r="AXQ3" s="484"/>
      <c r="AXR3" s="484"/>
      <c r="AXS3" s="484"/>
      <c r="AXT3" s="484"/>
      <c r="AXU3" s="484"/>
      <c r="AXV3" s="484"/>
      <c r="AXW3" s="484"/>
      <c r="AXX3" s="484"/>
      <c r="AXY3" s="484"/>
      <c r="AXZ3" s="484"/>
      <c r="AYA3" s="484"/>
      <c r="AYB3" s="484"/>
      <c r="AYC3" s="484"/>
      <c r="AYD3" s="484"/>
      <c r="AYE3" s="484"/>
      <c r="AYF3" s="484"/>
      <c r="AYG3" s="484"/>
      <c r="AYH3" s="484"/>
      <c r="AYI3" s="484"/>
      <c r="AYJ3" s="484"/>
      <c r="AYK3" s="484"/>
      <c r="AYL3" s="484"/>
      <c r="AYM3" s="484"/>
      <c r="AYN3" s="484"/>
      <c r="AYO3" s="484"/>
      <c r="AYP3" s="484"/>
      <c r="AYQ3" s="484"/>
      <c r="AYR3" s="484"/>
      <c r="AYS3" s="484"/>
      <c r="AYT3" s="484"/>
      <c r="AYU3" s="484"/>
      <c r="AYV3" s="484"/>
      <c r="AYW3" s="484"/>
      <c r="AYX3" s="484"/>
      <c r="AYY3" s="484"/>
      <c r="AYZ3" s="484"/>
      <c r="AZA3" s="484"/>
      <c r="AZB3" s="484"/>
      <c r="AZC3" s="484"/>
      <c r="AZD3" s="484"/>
      <c r="AZE3" s="484"/>
      <c r="AZF3" s="484"/>
      <c r="AZG3" s="484"/>
      <c r="AZH3" s="484"/>
      <c r="AZI3" s="484"/>
      <c r="AZJ3" s="484"/>
      <c r="AZK3" s="484"/>
      <c r="AZL3" s="484"/>
      <c r="AZM3" s="484"/>
      <c r="AZN3" s="484"/>
      <c r="AZO3" s="484"/>
      <c r="AZP3" s="484"/>
      <c r="AZQ3" s="484"/>
      <c r="AZR3" s="484"/>
      <c r="AZS3" s="484"/>
      <c r="AZT3" s="484"/>
      <c r="AZU3" s="484"/>
      <c r="AZV3" s="484"/>
      <c r="AZW3" s="484"/>
      <c r="AZX3" s="484"/>
      <c r="AZY3" s="484"/>
      <c r="AZZ3" s="484"/>
      <c r="BAA3" s="484"/>
      <c r="BAB3" s="484"/>
      <c r="BAC3" s="484"/>
      <c r="BAD3" s="484"/>
      <c r="BAE3" s="484"/>
      <c r="BAF3" s="484"/>
      <c r="BAG3" s="484"/>
      <c r="BAH3" s="484"/>
      <c r="BAI3" s="484"/>
      <c r="BAJ3" s="484"/>
      <c r="BAK3" s="484"/>
      <c r="BAL3" s="484"/>
      <c r="BAM3" s="484"/>
      <c r="BAN3" s="484"/>
      <c r="BAO3" s="484"/>
      <c r="BAP3" s="484"/>
      <c r="BAQ3" s="484"/>
      <c r="BAR3" s="484"/>
      <c r="BAS3" s="484"/>
      <c r="BAT3" s="484"/>
      <c r="BAU3" s="484"/>
      <c r="BAV3" s="484"/>
      <c r="BAW3" s="484"/>
      <c r="BAX3" s="484"/>
      <c r="BAY3" s="484"/>
      <c r="BAZ3" s="484"/>
      <c r="BBA3" s="484"/>
      <c r="BBB3" s="484"/>
      <c r="BBC3" s="484"/>
      <c r="BBD3" s="484"/>
      <c r="BBE3" s="484"/>
      <c r="BBF3" s="484"/>
      <c r="BBG3" s="484"/>
      <c r="BBH3" s="484"/>
      <c r="BBI3" s="484"/>
      <c r="BBJ3" s="484"/>
      <c r="BBK3" s="484"/>
      <c r="BBL3" s="484"/>
      <c r="BBM3" s="484"/>
      <c r="BBN3" s="484"/>
      <c r="BBO3" s="484"/>
      <c r="BBP3" s="484"/>
      <c r="BBQ3" s="484"/>
      <c r="BBR3" s="484"/>
      <c r="BBS3" s="484"/>
      <c r="BBT3" s="484"/>
      <c r="BBU3" s="484"/>
      <c r="BBV3" s="484"/>
      <c r="BBW3" s="484"/>
      <c r="BBX3" s="484"/>
      <c r="BBY3" s="484"/>
      <c r="BBZ3" s="484"/>
      <c r="BCA3" s="484"/>
      <c r="BCB3" s="484"/>
      <c r="BCC3" s="484"/>
      <c r="BCD3" s="484"/>
      <c r="BCE3" s="484"/>
      <c r="BCF3" s="484"/>
      <c r="BCG3" s="484"/>
      <c r="BCH3" s="484"/>
      <c r="BCI3" s="484"/>
      <c r="BCJ3" s="484"/>
      <c r="BCK3" s="484"/>
      <c r="BCL3" s="484"/>
      <c r="BCM3" s="484"/>
      <c r="BCN3" s="484"/>
      <c r="BCO3" s="484"/>
      <c r="BCP3" s="484"/>
      <c r="BCQ3" s="484"/>
      <c r="BCR3" s="484"/>
      <c r="BCS3" s="484"/>
      <c r="BCT3" s="484"/>
      <c r="BCU3" s="484"/>
      <c r="BCV3" s="484"/>
      <c r="BCW3" s="484"/>
      <c r="BCX3" s="484"/>
      <c r="BCY3" s="484"/>
      <c r="BCZ3" s="484"/>
      <c r="BDA3" s="484"/>
      <c r="BDB3" s="484"/>
      <c r="BDC3" s="484"/>
      <c r="BDD3" s="484"/>
      <c r="BDE3" s="484"/>
      <c r="BDF3" s="484"/>
      <c r="BDG3" s="484"/>
      <c r="BDH3" s="484"/>
      <c r="BDI3" s="484"/>
      <c r="BDJ3" s="484"/>
      <c r="BDK3" s="484"/>
      <c r="BDL3" s="484"/>
      <c r="BDM3" s="484"/>
      <c r="BDN3" s="484"/>
      <c r="BDO3" s="484"/>
      <c r="BDP3" s="484"/>
      <c r="BDQ3" s="484"/>
      <c r="BDR3" s="484"/>
      <c r="BDS3" s="484"/>
      <c r="BDT3" s="484"/>
      <c r="BDU3" s="484"/>
      <c r="BDV3" s="484"/>
      <c r="BDW3" s="484"/>
      <c r="BDX3" s="484"/>
      <c r="BDY3" s="484"/>
      <c r="BDZ3" s="484"/>
      <c r="BEA3" s="484"/>
      <c r="BEB3" s="484"/>
      <c r="BEC3" s="484"/>
      <c r="BED3" s="484"/>
      <c r="BEE3" s="484"/>
      <c r="BEF3" s="484"/>
      <c r="BEG3" s="484"/>
      <c r="BEH3" s="484"/>
      <c r="BEI3" s="484"/>
      <c r="BEJ3" s="484"/>
      <c r="BEK3" s="484"/>
      <c r="BEL3" s="484"/>
      <c r="BEM3" s="484"/>
      <c r="BEN3" s="484"/>
      <c r="BEO3" s="484"/>
      <c r="BEP3" s="484"/>
      <c r="BEQ3" s="484"/>
      <c r="BER3" s="484"/>
      <c r="BES3" s="484"/>
      <c r="BET3" s="484"/>
      <c r="BEU3" s="484"/>
      <c r="BEV3" s="484"/>
      <c r="BEW3" s="484"/>
      <c r="BEX3" s="484"/>
      <c r="BEY3" s="484"/>
      <c r="BEZ3" s="484"/>
      <c r="BFA3" s="484"/>
      <c r="BFB3" s="484"/>
      <c r="BFC3" s="484"/>
      <c r="BFD3" s="484"/>
      <c r="BFE3" s="484"/>
      <c r="BFF3" s="484"/>
      <c r="BFG3" s="484"/>
      <c r="BFH3" s="484"/>
      <c r="BFI3" s="484"/>
      <c r="BFJ3" s="484"/>
      <c r="BFK3" s="484"/>
      <c r="BFL3" s="484"/>
      <c r="BFM3" s="484"/>
      <c r="BFN3" s="484"/>
      <c r="BFO3" s="484"/>
      <c r="BFP3" s="484"/>
      <c r="BFQ3" s="484"/>
      <c r="BFR3" s="484"/>
      <c r="BFS3" s="484"/>
      <c r="BFT3" s="484"/>
      <c r="BFU3" s="484"/>
      <c r="BFV3" s="484"/>
      <c r="BFW3" s="484"/>
      <c r="BFX3" s="484"/>
      <c r="BFY3" s="484"/>
      <c r="BFZ3" s="484"/>
      <c r="BGA3" s="484"/>
      <c r="BGB3" s="484"/>
      <c r="BGC3" s="484"/>
      <c r="BGD3" s="484"/>
      <c r="BGE3" s="484"/>
      <c r="BGF3" s="484"/>
      <c r="BGG3" s="484"/>
      <c r="BGH3" s="484"/>
      <c r="BGI3" s="484"/>
      <c r="BGJ3" s="484"/>
      <c r="BGK3" s="484"/>
      <c r="BGL3" s="484"/>
      <c r="BGM3" s="484"/>
      <c r="BGN3" s="484"/>
      <c r="BGO3" s="484"/>
      <c r="BGP3" s="484"/>
      <c r="BGQ3" s="484"/>
      <c r="BGR3" s="484"/>
      <c r="BGS3" s="484"/>
      <c r="BGT3" s="484"/>
      <c r="BGU3" s="484"/>
      <c r="BGV3" s="484"/>
      <c r="BGW3" s="484"/>
      <c r="BGX3" s="484"/>
      <c r="BGY3" s="484"/>
      <c r="BGZ3" s="484"/>
      <c r="BHA3" s="484"/>
      <c r="BHB3" s="484"/>
      <c r="BHC3" s="484"/>
      <c r="BHD3" s="484"/>
      <c r="BHE3" s="484"/>
      <c r="BHF3" s="484"/>
      <c r="BHG3" s="484"/>
      <c r="BHH3" s="484"/>
      <c r="BHI3" s="484"/>
      <c r="BHJ3" s="484"/>
      <c r="BHK3" s="484"/>
      <c r="BHL3" s="484"/>
      <c r="BHM3" s="484"/>
      <c r="BHN3" s="484"/>
      <c r="BHO3" s="484"/>
      <c r="BHP3" s="484"/>
      <c r="BHQ3" s="484"/>
      <c r="BHR3" s="484"/>
      <c r="BHS3" s="484"/>
      <c r="BHT3" s="484"/>
      <c r="BHU3" s="484"/>
      <c r="BHV3" s="484"/>
      <c r="BHW3" s="484"/>
      <c r="BHX3" s="484"/>
      <c r="BHY3" s="484"/>
      <c r="BHZ3" s="484"/>
      <c r="BIA3" s="484"/>
      <c r="BIB3" s="484"/>
      <c r="BIC3" s="484"/>
      <c r="BID3" s="484"/>
      <c r="BIE3" s="484"/>
      <c r="BIF3" s="484"/>
      <c r="BIG3" s="484"/>
      <c r="BIH3" s="484"/>
      <c r="BII3" s="484"/>
      <c r="BIJ3" s="484"/>
      <c r="BIK3" s="484"/>
      <c r="BIL3" s="484"/>
      <c r="BIM3" s="484"/>
      <c r="BIN3" s="484"/>
      <c r="BIO3" s="484"/>
      <c r="BIP3" s="484"/>
      <c r="BIQ3" s="484"/>
      <c r="BIR3" s="484"/>
      <c r="BIS3" s="484"/>
      <c r="BIT3" s="484"/>
      <c r="BIU3" s="484"/>
      <c r="BIV3" s="484"/>
      <c r="BIW3" s="484"/>
      <c r="BIX3" s="484"/>
      <c r="BIY3" s="484"/>
      <c r="BIZ3" s="484"/>
      <c r="BJA3" s="484"/>
      <c r="BJB3" s="484"/>
      <c r="BJC3" s="484"/>
      <c r="BJD3" s="484"/>
      <c r="BJE3" s="484"/>
      <c r="BJF3" s="484"/>
      <c r="BJG3" s="484"/>
      <c r="BJH3" s="484"/>
      <c r="BJI3" s="484"/>
      <c r="BJJ3" s="484"/>
      <c r="BJK3" s="484"/>
      <c r="BJL3" s="484"/>
      <c r="BJM3" s="484"/>
      <c r="BJN3" s="484"/>
      <c r="BJO3" s="484"/>
      <c r="BJP3" s="484"/>
      <c r="BJQ3" s="484"/>
      <c r="BJR3" s="484"/>
      <c r="BJS3" s="484"/>
      <c r="BJT3" s="484"/>
      <c r="BJU3" s="484"/>
      <c r="BJV3" s="484"/>
      <c r="BJW3" s="484"/>
      <c r="BJX3" s="484"/>
      <c r="BJY3" s="484"/>
      <c r="BJZ3" s="484"/>
      <c r="BKA3" s="484"/>
      <c r="BKB3" s="484"/>
      <c r="BKC3" s="484"/>
      <c r="BKD3" s="484"/>
      <c r="BKE3" s="484"/>
      <c r="BKF3" s="484"/>
      <c r="BKG3" s="484"/>
      <c r="BKH3" s="484"/>
      <c r="BKI3" s="484"/>
      <c r="BKJ3" s="484"/>
      <c r="BKK3" s="484"/>
      <c r="BKL3" s="484"/>
      <c r="BKM3" s="484"/>
      <c r="BKN3" s="484"/>
      <c r="BKO3" s="484"/>
      <c r="BKP3" s="484"/>
      <c r="BKQ3" s="484"/>
      <c r="BKR3" s="484"/>
      <c r="BKS3" s="484"/>
      <c r="BKT3" s="484"/>
      <c r="BKU3" s="484"/>
      <c r="BKV3" s="484"/>
      <c r="BKW3" s="484"/>
      <c r="BKX3" s="484"/>
      <c r="BKY3" s="484"/>
      <c r="BKZ3" s="484"/>
      <c r="BLA3" s="484"/>
      <c r="BLB3" s="484"/>
      <c r="BLC3" s="484"/>
      <c r="BLD3" s="484"/>
      <c r="BLE3" s="484"/>
      <c r="BLF3" s="484"/>
      <c r="BLG3" s="484"/>
      <c r="BLH3" s="484"/>
      <c r="BLI3" s="484"/>
      <c r="BLJ3" s="484"/>
      <c r="BLK3" s="484"/>
      <c r="BLL3" s="484"/>
      <c r="BLM3" s="484"/>
      <c r="BLN3" s="484"/>
      <c r="BLO3" s="484"/>
      <c r="BLP3" s="484"/>
      <c r="BLQ3" s="484"/>
      <c r="BLR3" s="484"/>
      <c r="BLS3" s="484"/>
      <c r="BLT3" s="484"/>
      <c r="BLU3" s="484"/>
      <c r="BLV3" s="484"/>
      <c r="BLW3" s="484"/>
      <c r="BLX3" s="484"/>
      <c r="BLY3" s="484"/>
      <c r="BLZ3" s="484"/>
      <c r="BMA3" s="484"/>
      <c r="BMB3" s="484"/>
      <c r="BMC3" s="484"/>
      <c r="BMD3" s="484"/>
      <c r="BME3" s="484"/>
      <c r="BMF3" s="484"/>
      <c r="BMG3" s="484"/>
      <c r="BMH3" s="484"/>
      <c r="BMI3" s="484"/>
      <c r="BMJ3" s="484"/>
      <c r="BMK3" s="484"/>
      <c r="BML3" s="484"/>
      <c r="BMM3" s="484"/>
      <c r="BMN3" s="484"/>
      <c r="BMO3" s="484"/>
      <c r="BMP3" s="484"/>
      <c r="BMQ3" s="484"/>
      <c r="BMR3" s="484"/>
      <c r="BMS3" s="484"/>
      <c r="BMT3" s="484"/>
      <c r="BMU3" s="484"/>
      <c r="BMV3" s="484"/>
      <c r="BMW3" s="484"/>
      <c r="BMX3" s="484"/>
      <c r="BMY3" s="484"/>
      <c r="BMZ3" s="484"/>
      <c r="BNA3" s="484"/>
      <c r="BNB3" s="484"/>
      <c r="BNC3" s="484"/>
      <c r="BND3" s="484"/>
      <c r="BNE3" s="484"/>
      <c r="BNF3" s="484"/>
      <c r="BNG3" s="484"/>
      <c r="BNH3" s="484"/>
      <c r="BNI3" s="484"/>
      <c r="BNJ3" s="484"/>
      <c r="BNK3" s="484"/>
      <c r="BNL3" s="484"/>
      <c r="BNM3" s="484"/>
      <c r="BNN3" s="484"/>
      <c r="BNO3" s="484"/>
      <c r="BNP3" s="484"/>
      <c r="BNQ3" s="484"/>
      <c r="BNR3" s="484"/>
      <c r="BNS3" s="484"/>
      <c r="BNT3" s="484"/>
      <c r="BNU3" s="484"/>
      <c r="BNV3" s="484"/>
      <c r="BNW3" s="484"/>
      <c r="BNX3" s="484"/>
      <c r="BNY3" s="484"/>
      <c r="BNZ3" s="484"/>
      <c r="BOA3" s="484"/>
      <c r="BOB3" s="484"/>
      <c r="BOC3" s="484"/>
      <c r="BOD3" s="484"/>
      <c r="BOE3" s="484"/>
      <c r="BOF3" s="484"/>
      <c r="BOG3" s="484"/>
      <c r="BOH3" s="484"/>
      <c r="BOI3" s="484"/>
      <c r="BOJ3" s="484"/>
      <c r="BOK3" s="484"/>
      <c r="BOL3" s="484"/>
      <c r="BOM3" s="484"/>
      <c r="BON3" s="484"/>
      <c r="BOO3" s="484"/>
      <c r="BOP3" s="484"/>
      <c r="BOQ3" s="484"/>
      <c r="BOR3" s="484"/>
      <c r="BOS3" s="484"/>
      <c r="BOT3" s="484"/>
      <c r="BOU3" s="484"/>
      <c r="BOV3" s="484"/>
      <c r="BOW3" s="484"/>
      <c r="BOX3" s="484"/>
      <c r="BOY3" s="484"/>
      <c r="BOZ3" s="484"/>
      <c r="BPA3" s="484"/>
      <c r="BPB3" s="484"/>
      <c r="BPC3" s="484"/>
      <c r="BPD3" s="484"/>
      <c r="BPE3" s="484"/>
      <c r="BPF3" s="484"/>
      <c r="BPG3" s="484"/>
      <c r="BPH3" s="484"/>
      <c r="BPI3" s="484"/>
      <c r="BPJ3" s="484"/>
      <c r="BPK3" s="484"/>
      <c r="BPL3" s="484"/>
      <c r="BPM3" s="484"/>
      <c r="BPN3" s="484"/>
      <c r="BPO3" s="484"/>
      <c r="BPP3" s="484"/>
      <c r="BPQ3" s="484"/>
      <c r="BPR3" s="484"/>
      <c r="BPS3" s="484"/>
      <c r="BPT3" s="484"/>
      <c r="BPU3" s="484"/>
      <c r="BPV3" s="484"/>
      <c r="BPW3" s="484"/>
      <c r="BPX3" s="484"/>
      <c r="BPY3" s="484"/>
      <c r="BPZ3" s="484"/>
      <c r="BQA3" s="484"/>
      <c r="BQB3" s="484"/>
      <c r="BQC3" s="484"/>
      <c r="BQD3" s="484"/>
      <c r="BQE3" s="484"/>
      <c r="BQF3" s="484"/>
      <c r="BQG3" s="484"/>
      <c r="BQH3" s="484"/>
      <c r="BQI3" s="484"/>
      <c r="BQJ3" s="484"/>
      <c r="BQK3" s="484"/>
      <c r="BQL3" s="484"/>
      <c r="BQM3" s="484"/>
      <c r="BQN3" s="484"/>
      <c r="BQO3" s="484"/>
      <c r="BQP3" s="484"/>
      <c r="BQQ3" s="484"/>
      <c r="BQR3" s="484"/>
      <c r="BQS3" s="484"/>
      <c r="BQT3" s="484"/>
      <c r="BQU3" s="484"/>
      <c r="BQV3" s="484"/>
      <c r="BQW3" s="484"/>
      <c r="BQX3" s="484"/>
      <c r="BQY3" s="484"/>
      <c r="BQZ3" s="484"/>
      <c r="BRA3" s="484"/>
      <c r="BRB3" s="484"/>
      <c r="BRC3" s="484"/>
      <c r="BRD3" s="484"/>
      <c r="BRE3" s="484"/>
      <c r="BRF3" s="484"/>
      <c r="BRG3" s="484"/>
      <c r="BRH3" s="484"/>
      <c r="BRI3" s="484"/>
      <c r="BRJ3" s="484"/>
      <c r="BRK3" s="484"/>
      <c r="BRL3" s="484"/>
      <c r="BRM3" s="484"/>
      <c r="BRN3" s="484"/>
      <c r="BRO3" s="484"/>
      <c r="BRP3" s="484"/>
      <c r="BRQ3" s="484"/>
      <c r="BRR3" s="484"/>
      <c r="BRS3" s="484"/>
      <c r="BRT3" s="484"/>
      <c r="BRU3" s="484"/>
      <c r="BRV3" s="484"/>
      <c r="BRW3" s="484"/>
      <c r="BRX3" s="484"/>
      <c r="BRY3" s="484"/>
      <c r="BRZ3" s="484"/>
      <c r="BSA3" s="484"/>
      <c r="BSB3" s="484"/>
      <c r="BSC3" s="484"/>
      <c r="BSD3" s="484"/>
      <c r="BSE3" s="484"/>
      <c r="BSF3" s="484"/>
      <c r="BSG3" s="484"/>
      <c r="BSH3" s="484"/>
      <c r="BSI3" s="484"/>
      <c r="BSJ3" s="484"/>
      <c r="BSK3" s="484"/>
      <c r="BSL3" s="484"/>
      <c r="BSM3" s="484"/>
      <c r="BSN3" s="484"/>
      <c r="BSO3" s="484"/>
      <c r="BSP3" s="484"/>
      <c r="BSQ3" s="484"/>
      <c r="BSR3" s="484"/>
      <c r="BSS3" s="484"/>
      <c r="BST3" s="484"/>
      <c r="BSU3" s="484"/>
      <c r="BSV3" s="484"/>
      <c r="BSW3" s="484"/>
      <c r="BSX3" s="484"/>
      <c r="BSY3" s="484"/>
      <c r="BSZ3" s="484"/>
      <c r="BTA3" s="484"/>
      <c r="BTB3" s="484"/>
      <c r="BTC3" s="484"/>
      <c r="BTD3" s="484"/>
      <c r="BTE3" s="484"/>
      <c r="BTF3" s="484"/>
      <c r="BTG3" s="484"/>
      <c r="BTH3" s="484"/>
      <c r="BTI3" s="484"/>
      <c r="BTJ3" s="484"/>
      <c r="BTK3" s="484"/>
      <c r="BTL3" s="484"/>
      <c r="BTM3" s="484"/>
      <c r="BTN3" s="484"/>
      <c r="BTO3" s="484"/>
      <c r="BTP3" s="484"/>
      <c r="BTQ3" s="484"/>
      <c r="BTR3" s="484"/>
      <c r="BTS3" s="484"/>
      <c r="BTT3" s="484"/>
      <c r="BTU3" s="484"/>
      <c r="BTV3" s="484"/>
      <c r="BTW3" s="484"/>
      <c r="BTX3" s="484"/>
      <c r="BTY3" s="484"/>
      <c r="BTZ3" s="484"/>
      <c r="BUA3" s="484"/>
      <c r="BUB3" s="484"/>
      <c r="BUC3" s="484"/>
      <c r="BUD3" s="484"/>
      <c r="BUE3" s="484"/>
      <c r="BUF3" s="484"/>
      <c r="BUG3" s="484"/>
      <c r="BUH3" s="484"/>
      <c r="BUI3" s="484"/>
      <c r="BUJ3" s="484"/>
      <c r="BUK3" s="484"/>
      <c r="BUL3" s="484"/>
      <c r="BUM3" s="484"/>
      <c r="BUN3" s="484"/>
      <c r="BUO3" s="484"/>
      <c r="BUP3" s="484"/>
      <c r="BUQ3" s="484"/>
      <c r="BUR3" s="484"/>
      <c r="BUS3" s="484"/>
      <c r="BUT3" s="484"/>
      <c r="BUU3" s="484"/>
      <c r="BUV3" s="484"/>
      <c r="BUW3" s="484"/>
      <c r="BUX3" s="484"/>
      <c r="BUY3" s="484"/>
      <c r="BUZ3" s="484"/>
      <c r="BVA3" s="484"/>
      <c r="BVB3" s="484"/>
      <c r="BVC3" s="484"/>
      <c r="BVD3" s="484"/>
      <c r="BVE3" s="484"/>
      <c r="BVF3" s="484"/>
      <c r="BVG3" s="484"/>
      <c r="BVH3" s="484"/>
      <c r="BVI3" s="484"/>
      <c r="BVJ3" s="484"/>
      <c r="BVK3" s="484"/>
      <c r="BVL3" s="484"/>
      <c r="BVM3" s="484"/>
      <c r="BVN3" s="484"/>
      <c r="BVO3" s="484"/>
      <c r="BVP3" s="484"/>
      <c r="BVQ3" s="484"/>
      <c r="BVR3" s="484"/>
      <c r="BVS3" s="484"/>
      <c r="BVT3" s="484"/>
      <c r="BVU3" s="484"/>
      <c r="BVV3" s="484"/>
      <c r="BVW3" s="484"/>
      <c r="BVX3" s="484"/>
      <c r="BVY3" s="484"/>
      <c r="BVZ3" s="484"/>
      <c r="BWA3" s="484"/>
      <c r="BWB3" s="484"/>
      <c r="BWC3" s="484"/>
      <c r="BWD3" s="484"/>
      <c r="BWE3" s="484"/>
      <c r="BWF3" s="484"/>
      <c r="BWG3" s="484"/>
      <c r="BWH3" s="484"/>
      <c r="BWI3" s="484"/>
      <c r="BWJ3" s="484"/>
      <c r="BWK3" s="484"/>
      <c r="BWL3" s="484"/>
      <c r="BWM3" s="484"/>
      <c r="BWN3" s="484"/>
      <c r="BWO3" s="484"/>
      <c r="BWP3" s="484"/>
      <c r="BWQ3" s="484"/>
      <c r="BWR3" s="484"/>
      <c r="BWS3" s="484"/>
      <c r="BWT3" s="484"/>
      <c r="BWU3" s="484"/>
      <c r="BWV3" s="484"/>
      <c r="BWW3" s="484"/>
      <c r="BWX3" s="484"/>
      <c r="BWY3" s="484"/>
      <c r="BWZ3" s="484"/>
      <c r="BXA3" s="484"/>
      <c r="BXB3" s="484"/>
      <c r="BXC3" s="484"/>
      <c r="BXD3" s="484"/>
      <c r="BXE3" s="484"/>
      <c r="BXF3" s="484"/>
      <c r="BXG3" s="484"/>
      <c r="BXH3" s="484"/>
      <c r="BXI3" s="484"/>
      <c r="BXJ3" s="484"/>
      <c r="BXK3" s="484"/>
      <c r="BXL3" s="484"/>
      <c r="BXM3" s="484"/>
      <c r="BXN3" s="484"/>
      <c r="BXO3" s="484"/>
      <c r="BXP3" s="484"/>
      <c r="BXQ3" s="484"/>
      <c r="BXR3" s="484"/>
      <c r="BXS3" s="484"/>
      <c r="BXT3" s="484"/>
      <c r="BXU3" s="484"/>
      <c r="BXV3" s="484"/>
      <c r="BXW3" s="484"/>
      <c r="BXX3" s="484"/>
      <c r="BXY3" s="484"/>
      <c r="BXZ3" s="484"/>
      <c r="BYA3" s="484"/>
      <c r="BYB3" s="484"/>
      <c r="BYC3" s="484"/>
      <c r="BYD3" s="484"/>
      <c r="BYE3" s="484"/>
      <c r="BYF3" s="484"/>
      <c r="BYG3" s="484"/>
      <c r="BYH3" s="484"/>
      <c r="BYI3" s="484"/>
      <c r="BYJ3" s="484"/>
      <c r="BYK3" s="484"/>
      <c r="BYL3" s="484"/>
      <c r="BYM3" s="484"/>
      <c r="BYN3" s="484"/>
      <c r="BYO3" s="484"/>
      <c r="BYP3" s="484"/>
      <c r="BYQ3" s="484"/>
      <c r="BYR3" s="484"/>
      <c r="BYS3" s="484"/>
      <c r="BYT3" s="484"/>
      <c r="BYU3" s="484"/>
      <c r="BYV3" s="484"/>
      <c r="BYW3" s="484"/>
      <c r="BYX3" s="484"/>
      <c r="BYY3" s="484"/>
      <c r="BYZ3" s="484"/>
      <c r="BZA3" s="484"/>
      <c r="BZB3" s="484"/>
      <c r="BZC3" s="484"/>
      <c r="BZD3" s="484"/>
      <c r="BZE3" s="484"/>
      <c r="BZF3" s="484"/>
      <c r="BZG3" s="484"/>
      <c r="BZH3" s="484"/>
      <c r="BZI3" s="484"/>
      <c r="BZJ3" s="484"/>
      <c r="BZK3" s="484"/>
      <c r="BZL3" s="484"/>
      <c r="BZM3" s="484"/>
      <c r="BZN3" s="484"/>
      <c r="BZO3" s="484"/>
      <c r="BZP3" s="484"/>
      <c r="BZQ3" s="484"/>
      <c r="BZR3" s="484"/>
      <c r="BZS3" s="484"/>
      <c r="BZT3" s="484"/>
      <c r="BZU3" s="484"/>
      <c r="BZV3" s="484"/>
      <c r="BZW3" s="484"/>
      <c r="BZX3" s="484"/>
      <c r="BZY3" s="484"/>
      <c r="BZZ3" s="484"/>
      <c r="CAA3" s="484"/>
      <c r="CAB3" s="484"/>
      <c r="CAC3" s="484"/>
      <c r="CAD3" s="484"/>
      <c r="CAE3" s="484"/>
      <c r="CAF3" s="484"/>
      <c r="CAG3" s="484"/>
      <c r="CAH3" s="484"/>
      <c r="CAI3" s="484"/>
      <c r="CAJ3" s="484"/>
      <c r="CAK3" s="484"/>
      <c r="CAL3" s="484"/>
      <c r="CAM3" s="484"/>
      <c r="CAN3" s="484"/>
      <c r="CAO3" s="484"/>
      <c r="CAP3" s="484"/>
      <c r="CAQ3" s="484"/>
      <c r="CAR3" s="484"/>
      <c r="CAS3" s="484"/>
      <c r="CAT3" s="484"/>
      <c r="CAU3" s="484"/>
      <c r="CAV3" s="484"/>
      <c r="CAW3" s="484"/>
      <c r="CAX3" s="484"/>
      <c r="CAY3" s="484"/>
      <c r="CAZ3" s="484"/>
      <c r="CBA3" s="484"/>
      <c r="CBB3" s="484"/>
      <c r="CBC3" s="484"/>
      <c r="CBD3" s="484"/>
      <c r="CBE3" s="484"/>
      <c r="CBF3" s="484"/>
      <c r="CBG3" s="484"/>
      <c r="CBH3" s="484"/>
      <c r="CBI3" s="484"/>
      <c r="CBJ3" s="484"/>
      <c r="CBK3" s="484"/>
      <c r="CBL3" s="484"/>
      <c r="CBM3" s="484"/>
      <c r="CBN3" s="484"/>
      <c r="CBO3" s="484"/>
      <c r="CBP3" s="484"/>
      <c r="CBQ3" s="484"/>
      <c r="CBR3" s="484"/>
      <c r="CBS3" s="484"/>
      <c r="CBT3" s="484"/>
      <c r="CBU3" s="484"/>
      <c r="CBV3" s="484"/>
      <c r="CBW3" s="484"/>
      <c r="CBX3" s="484"/>
      <c r="CBY3" s="484"/>
      <c r="CBZ3" s="484"/>
      <c r="CCA3" s="484"/>
      <c r="CCB3" s="484"/>
      <c r="CCC3" s="484"/>
      <c r="CCD3" s="484"/>
      <c r="CCE3" s="484"/>
      <c r="CCF3" s="484"/>
      <c r="CCG3" s="484"/>
      <c r="CCH3" s="484"/>
      <c r="CCI3" s="484"/>
      <c r="CCJ3" s="484"/>
      <c r="CCK3" s="484"/>
      <c r="CCL3" s="484"/>
      <c r="CCM3" s="484"/>
      <c r="CCN3" s="484"/>
      <c r="CCO3" s="484"/>
      <c r="CCP3" s="484"/>
      <c r="CCQ3" s="484"/>
      <c r="CCR3" s="484"/>
      <c r="CCS3" s="484"/>
      <c r="CCT3" s="484"/>
      <c r="CCU3" s="484"/>
      <c r="CCV3" s="484"/>
      <c r="CCW3" s="484"/>
      <c r="CCX3" s="484"/>
      <c r="CCY3" s="484"/>
      <c r="CCZ3" s="484"/>
      <c r="CDA3" s="484"/>
      <c r="CDB3" s="484"/>
      <c r="CDC3" s="484"/>
      <c r="CDD3" s="484"/>
      <c r="CDE3" s="484"/>
      <c r="CDF3" s="484"/>
      <c r="CDG3" s="484"/>
      <c r="CDH3" s="484"/>
      <c r="CDI3" s="484"/>
      <c r="CDJ3" s="484"/>
      <c r="CDK3" s="484"/>
      <c r="CDL3" s="484"/>
      <c r="CDM3" s="484"/>
      <c r="CDN3" s="484"/>
      <c r="CDO3" s="484"/>
      <c r="CDP3" s="484"/>
      <c r="CDQ3" s="484"/>
      <c r="CDR3" s="484"/>
      <c r="CDS3" s="484"/>
      <c r="CDT3" s="484"/>
      <c r="CDU3" s="484"/>
      <c r="CDV3" s="484"/>
      <c r="CDW3" s="484"/>
      <c r="CDX3" s="484"/>
      <c r="CDY3" s="484"/>
      <c r="CDZ3" s="484"/>
      <c r="CEA3" s="484"/>
      <c r="CEB3" s="484"/>
      <c r="CEC3" s="484"/>
      <c r="CED3" s="484"/>
      <c r="CEE3" s="484"/>
      <c r="CEF3" s="484"/>
      <c r="CEG3" s="484"/>
      <c r="CEH3" s="484"/>
      <c r="CEI3" s="484"/>
      <c r="CEJ3" s="484"/>
      <c r="CEK3" s="484"/>
      <c r="CEL3" s="484"/>
      <c r="CEM3" s="484"/>
      <c r="CEN3" s="484"/>
      <c r="CEO3" s="484"/>
      <c r="CEP3" s="484"/>
      <c r="CEQ3" s="484"/>
      <c r="CER3" s="484"/>
      <c r="CES3" s="484"/>
      <c r="CET3" s="484"/>
      <c r="CEU3" s="484"/>
      <c r="CEV3" s="484"/>
      <c r="CEW3" s="484"/>
      <c r="CEX3" s="484"/>
      <c r="CEY3" s="484"/>
      <c r="CEZ3" s="484"/>
      <c r="CFA3" s="484"/>
      <c r="CFB3" s="484"/>
      <c r="CFC3" s="484"/>
      <c r="CFD3" s="484"/>
      <c r="CFE3" s="484"/>
      <c r="CFF3" s="484"/>
      <c r="CFG3" s="484"/>
      <c r="CFH3" s="484"/>
      <c r="CFI3" s="484"/>
      <c r="CFJ3" s="484"/>
      <c r="CFK3" s="484"/>
      <c r="CFL3" s="484"/>
      <c r="CFM3" s="484"/>
      <c r="CFN3" s="484"/>
      <c r="CFO3" s="484"/>
      <c r="CFP3" s="484"/>
      <c r="CFQ3" s="484"/>
      <c r="CFR3" s="484"/>
      <c r="CFS3" s="484"/>
      <c r="CFT3" s="484"/>
      <c r="CFU3" s="484"/>
      <c r="CFV3" s="484"/>
      <c r="CFW3" s="484"/>
      <c r="CFX3" s="484"/>
      <c r="CFY3" s="484"/>
      <c r="CFZ3" s="484"/>
      <c r="CGA3" s="484"/>
      <c r="CGB3" s="484"/>
      <c r="CGC3" s="484"/>
      <c r="CGD3" s="484"/>
      <c r="CGE3" s="484"/>
      <c r="CGF3" s="484"/>
      <c r="CGG3" s="484"/>
      <c r="CGH3" s="484"/>
      <c r="CGI3" s="484"/>
      <c r="CGJ3" s="484"/>
      <c r="CGK3" s="484"/>
      <c r="CGL3" s="484"/>
      <c r="CGM3" s="484"/>
      <c r="CGN3" s="484"/>
      <c r="CGO3" s="484"/>
      <c r="CGP3" s="484"/>
      <c r="CGQ3" s="484"/>
      <c r="CGR3" s="484"/>
      <c r="CGS3" s="484"/>
      <c r="CGT3" s="484"/>
      <c r="CGU3" s="484"/>
      <c r="CGV3" s="484"/>
      <c r="CGW3" s="484"/>
      <c r="CGX3" s="484"/>
      <c r="CGY3" s="484"/>
      <c r="CGZ3" s="484"/>
      <c r="CHA3" s="484"/>
      <c r="CHB3" s="484"/>
      <c r="CHC3" s="484"/>
      <c r="CHD3" s="484"/>
      <c r="CHE3" s="484"/>
      <c r="CHF3" s="484"/>
      <c r="CHG3" s="484"/>
      <c r="CHH3" s="484"/>
      <c r="CHI3" s="484"/>
      <c r="CHJ3" s="484"/>
      <c r="CHK3" s="484"/>
      <c r="CHL3" s="484"/>
      <c r="CHM3" s="484"/>
      <c r="CHN3" s="484"/>
      <c r="CHO3" s="484"/>
      <c r="CHP3" s="484"/>
      <c r="CHQ3" s="484"/>
      <c r="CHR3" s="484"/>
      <c r="CHS3" s="484"/>
      <c r="CHT3" s="484"/>
      <c r="CHU3" s="484"/>
      <c r="CHV3" s="484"/>
      <c r="CHW3" s="484"/>
      <c r="CHX3" s="484"/>
      <c r="CHY3" s="484"/>
      <c r="CHZ3" s="484"/>
      <c r="CIA3" s="484"/>
      <c r="CIB3" s="484"/>
      <c r="CIC3" s="484"/>
      <c r="CID3" s="484"/>
      <c r="CIE3" s="484"/>
      <c r="CIF3" s="484"/>
      <c r="CIG3" s="484"/>
      <c r="CIH3" s="484"/>
      <c r="CII3" s="484"/>
      <c r="CIJ3" s="484"/>
      <c r="CIK3" s="484"/>
      <c r="CIL3" s="484"/>
      <c r="CIM3" s="484"/>
      <c r="CIN3" s="484"/>
      <c r="CIO3" s="484"/>
      <c r="CIP3" s="484"/>
      <c r="CIQ3" s="484"/>
      <c r="CIR3" s="484"/>
      <c r="CIS3" s="484"/>
      <c r="CIT3" s="484"/>
      <c r="CIU3" s="484"/>
      <c r="CIV3" s="484"/>
      <c r="CIW3" s="484"/>
      <c r="CIX3" s="484"/>
      <c r="CIY3" s="484"/>
      <c r="CIZ3" s="484"/>
      <c r="CJA3" s="484"/>
      <c r="CJB3" s="484"/>
      <c r="CJC3" s="484"/>
      <c r="CJD3" s="484"/>
      <c r="CJE3" s="484"/>
      <c r="CJF3" s="484"/>
      <c r="CJG3" s="484"/>
      <c r="CJH3" s="484"/>
      <c r="CJI3" s="484"/>
      <c r="CJJ3" s="484"/>
      <c r="CJK3" s="484"/>
      <c r="CJL3" s="484"/>
      <c r="CJM3" s="484"/>
      <c r="CJN3" s="484"/>
      <c r="CJO3" s="484"/>
      <c r="CJP3" s="484"/>
      <c r="CJQ3" s="484"/>
      <c r="CJR3" s="484"/>
      <c r="CJS3" s="484"/>
      <c r="CJT3" s="484"/>
      <c r="CJU3" s="484"/>
      <c r="CJV3" s="484"/>
      <c r="CJW3" s="484"/>
      <c r="CJX3" s="484"/>
      <c r="CJY3" s="484"/>
      <c r="CJZ3" s="484"/>
      <c r="CKA3" s="484"/>
      <c r="CKB3" s="484"/>
      <c r="CKC3" s="484"/>
      <c r="CKD3" s="484"/>
      <c r="CKE3" s="484"/>
      <c r="CKF3" s="484"/>
      <c r="CKG3" s="484"/>
      <c r="CKH3" s="484"/>
      <c r="CKI3" s="484"/>
      <c r="CKJ3" s="484"/>
      <c r="CKK3" s="484"/>
      <c r="CKL3" s="484"/>
      <c r="CKM3" s="484"/>
      <c r="CKN3" s="484"/>
      <c r="CKO3" s="484"/>
      <c r="CKP3" s="484"/>
      <c r="CKQ3" s="484"/>
      <c r="CKR3" s="484"/>
      <c r="CKS3" s="484"/>
      <c r="CKT3" s="484"/>
      <c r="CKU3" s="484"/>
      <c r="CKV3" s="484"/>
      <c r="CKW3" s="484"/>
      <c r="CKX3" s="484"/>
      <c r="CKY3" s="484"/>
      <c r="CKZ3" s="484"/>
      <c r="CLA3" s="484"/>
      <c r="CLB3" s="484"/>
      <c r="CLC3" s="484"/>
      <c r="CLD3" s="484"/>
      <c r="CLE3" s="484"/>
      <c r="CLF3" s="484"/>
      <c r="CLG3" s="484"/>
      <c r="CLH3" s="484"/>
      <c r="CLI3" s="484"/>
      <c r="CLJ3" s="484"/>
      <c r="CLK3" s="484"/>
      <c r="CLL3" s="484"/>
      <c r="CLM3" s="484"/>
      <c r="CLN3" s="484"/>
      <c r="CLO3" s="484"/>
      <c r="CLP3" s="484"/>
      <c r="CLQ3" s="484"/>
      <c r="CLR3" s="484"/>
      <c r="CLS3" s="484"/>
      <c r="CLT3" s="484"/>
      <c r="CLU3" s="484"/>
      <c r="CLV3" s="484"/>
      <c r="CLW3" s="484"/>
      <c r="CLX3" s="484"/>
      <c r="CLY3" s="484"/>
      <c r="CLZ3" s="484"/>
      <c r="CMA3" s="484"/>
      <c r="CMB3" s="484"/>
      <c r="CMC3" s="484"/>
      <c r="CMD3" s="484"/>
      <c r="CME3" s="484"/>
      <c r="CMF3" s="484"/>
      <c r="CMG3" s="484"/>
      <c r="CMH3" s="484"/>
      <c r="CMI3" s="484"/>
      <c r="CMJ3" s="484"/>
      <c r="CMK3" s="484"/>
      <c r="CML3" s="484"/>
      <c r="CMM3" s="484"/>
      <c r="CMN3" s="484"/>
      <c r="CMO3" s="484"/>
      <c r="CMP3" s="484"/>
      <c r="CMQ3" s="484"/>
      <c r="CMR3" s="484"/>
      <c r="CMS3" s="484"/>
      <c r="CMT3" s="484"/>
      <c r="CMU3" s="484"/>
      <c r="CMV3" s="484"/>
      <c r="CMW3" s="484"/>
      <c r="CMX3" s="484"/>
      <c r="CMY3" s="484"/>
      <c r="CMZ3" s="484"/>
      <c r="CNA3" s="484"/>
      <c r="CNB3" s="484"/>
      <c r="CNC3" s="484"/>
      <c r="CND3" s="484"/>
      <c r="CNE3" s="484"/>
      <c r="CNF3" s="484"/>
      <c r="CNG3" s="484"/>
      <c r="CNH3" s="484"/>
      <c r="CNI3" s="484"/>
      <c r="CNJ3" s="484"/>
      <c r="CNK3" s="484"/>
      <c r="CNL3" s="484"/>
      <c r="CNM3" s="484"/>
      <c r="CNN3" s="484"/>
      <c r="CNO3" s="484"/>
      <c r="CNP3" s="484"/>
      <c r="CNQ3" s="484"/>
      <c r="CNR3" s="484"/>
      <c r="CNS3" s="484"/>
      <c r="CNT3" s="484"/>
      <c r="CNU3" s="484"/>
      <c r="CNV3" s="484"/>
      <c r="CNW3" s="484"/>
      <c r="CNX3" s="484"/>
      <c r="CNY3" s="484"/>
      <c r="CNZ3" s="484"/>
      <c r="COA3" s="484"/>
      <c r="COB3" s="484"/>
      <c r="COC3" s="484"/>
      <c r="COD3" s="484"/>
      <c r="COE3" s="484"/>
      <c r="COF3" s="484"/>
      <c r="COG3" s="484"/>
      <c r="COH3" s="484"/>
      <c r="COI3" s="484"/>
      <c r="COJ3" s="484"/>
      <c r="COK3" s="484"/>
      <c r="COL3" s="484"/>
      <c r="COM3" s="484"/>
      <c r="CON3" s="484"/>
      <c r="COO3" s="484"/>
      <c r="COP3" s="484"/>
      <c r="COQ3" s="484"/>
      <c r="COR3" s="484"/>
      <c r="COS3" s="484"/>
      <c r="COT3" s="484"/>
      <c r="COU3" s="484"/>
      <c r="COV3" s="484"/>
      <c r="COW3" s="484"/>
      <c r="COX3" s="484"/>
      <c r="COY3" s="484"/>
      <c r="COZ3" s="484"/>
      <c r="CPA3" s="484"/>
      <c r="CPB3" s="484"/>
      <c r="CPC3" s="484"/>
      <c r="CPD3" s="484"/>
      <c r="CPE3" s="484"/>
      <c r="CPF3" s="484"/>
      <c r="CPG3" s="484"/>
      <c r="CPH3" s="484"/>
      <c r="CPI3" s="484"/>
      <c r="CPJ3" s="484"/>
      <c r="CPK3" s="484"/>
      <c r="CPL3" s="484"/>
      <c r="CPM3" s="484"/>
      <c r="CPN3" s="484"/>
      <c r="CPO3" s="484"/>
      <c r="CPP3" s="484"/>
      <c r="CPQ3" s="484"/>
      <c r="CPR3" s="484"/>
      <c r="CPS3" s="484"/>
      <c r="CPT3" s="484"/>
      <c r="CPU3" s="484"/>
      <c r="CPV3" s="484"/>
      <c r="CPW3" s="484"/>
      <c r="CPX3" s="484"/>
      <c r="CPY3" s="484"/>
      <c r="CPZ3" s="484"/>
      <c r="CQA3" s="484"/>
      <c r="CQB3" s="484"/>
      <c r="CQC3" s="484"/>
      <c r="CQD3" s="484"/>
      <c r="CQE3" s="484"/>
      <c r="CQF3" s="484"/>
      <c r="CQG3" s="484"/>
      <c r="CQH3" s="484"/>
      <c r="CQI3" s="484"/>
      <c r="CQJ3" s="484"/>
      <c r="CQK3" s="484"/>
      <c r="CQL3" s="484"/>
      <c r="CQM3" s="484"/>
      <c r="CQN3" s="484"/>
      <c r="CQO3" s="484"/>
      <c r="CQP3" s="484"/>
      <c r="CQQ3" s="484"/>
      <c r="CQR3" s="484"/>
      <c r="CQS3" s="484"/>
      <c r="CQT3" s="484"/>
      <c r="CQU3" s="484"/>
      <c r="CQV3" s="484"/>
      <c r="CQW3" s="484"/>
      <c r="CQX3" s="484"/>
      <c r="CQY3" s="484"/>
      <c r="CQZ3" s="484"/>
      <c r="CRA3" s="484"/>
      <c r="CRB3" s="484"/>
      <c r="CRC3" s="484"/>
      <c r="CRD3" s="484"/>
      <c r="CRE3" s="484"/>
      <c r="CRF3" s="484"/>
      <c r="CRG3" s="484"/>
      <c r="CRH3" s="484"/>
      <c r="CRI3" s="484"/>
      <c r="CRJ3" s="484"/>
      <c r="CRK3" s="484"/>
      <c r="CRL3" s="484"/>
      <c r="CRM3" s="484"/>
      <c r="CRN3" s="484"/>
      <c r="CRO3" s="484"/>
      <c r="CRP3" s="484"/>
      <c r="CRQ3" s="484"/>
      <c r="CRR3" s="484"/>
      <c r="CRS3" s="484"/>
      <c r="CRT3" s="484"/>
      <c r="CRU3" s="484"/>
      <c r="CRV3" s="484"/>
      <c r="CRW3" s="484"/>
      <c r="CRX3" s="484"/>
      <c r="CRY3" s="484"/>
      <c r="CRZ3" s="484"/>
      <c r="CSA3" s="484"/>
      <c r="CSB3" s="484"/>
      <c r="CSC3" s="484"/>
      <c r="CSD3" s="484"/>
      <c r="CSE3" s="484"/>
      <c r="CSF3" s="484"/>
      <c r="CSG3" s="484"/>
      <c r="CSH3" s="484"/>
      <c r="CSI3" s="484"/>
      <c r="CSJ3" s="484"/>
      <c r="CSK3" s="484"/>
      <c r="CSL3" s="484"/>
      <c r="CSM3" s="484"/>
      <c r="CSN3" s="484"/>
      <c r="CSO3" s="484"/>
      <c r="CSP3" s="484"/>
      <c r="CSQ3" s="484"/>
      <c r="CSR3" s="484"/>
      <c r="CSS3" s="484"/>
      <c r="CST3" s="484"/>
      <c r="CSU3" s="484"/>
      <c r="CSV3" s="484"/>
      <c r="CSW3" s="484"/>
      <c r="CSX3" s="484"/>
      <c r="CSY3" s="484"/>
      <c r="CSZ3" s="484"/>
      <c r="CTA3" s="484"/>
      <c r="CTB3" s="484"/>
      <c r="CTC3" s="484"/>
      <c r="CTD3" s="484"/>
      <c r="CTE3" s="484"/>
      <c r="CTF3" s="484"/>
      <c r="CTG3" s="484"/>
      <c r="CTH3" s="484"/>
      <c r="CTI3" s="484"/>
      <c r="CTJ3" s="484"/>
      <c r="CTK3" s="484"/>
      <c r="CTL3" s="484"/>
      <c r="CTM3" s="484"/>
      <c r="CTN3" s="484"/>
      <c r="CTO3" s="484"/>
      <c r="CTP3" s="484"/>
      <c r="CTQ3" s="484"/>
      <c r="CTR3" s="484"/>
      <c r="CTS3" s="484"/>
      <c r="CTT3" s="484"/>
      <c r="CTU3" s="484"/>
      <c r="CTV3" s="484"/>
      <c r="CTW3" s="484"/>
      <c r="CTX3" s="484"/>
      <c r="CTY3" s="484"/>
      <c r="CTZ3" s="484"/>
      <c r="CUA3" s="484"/>
      <c r="CUB3" s="484"/>
      <c r="CUC3" s="484"/>
      <c r="CUD3" s="484"/>
      <c r="CUE3" s="484"/>
      <c r="CUF3" s="484"/>
      <c r="CUG3" s="484"/>
      <c r="CUH3" s="484"/>
      <c r="CUI3" s="484"/>
      <c r="CUJ3" s="484"/>
      <c r="CUK3" s="484"/>
      <c r="CUL3" s="484"/>
      <c r="CUM3" s="484"/>
      <c r="CUN3" s="484"/>
      <c r="CUO3" s="484"/>
      <c r="CUP3" s="484"/>
      <c r="CUQ3" s="484"/>
      <c r="CUR3" s="484"/>
      <c r="CUS3" s="484"/>
      <c r="CUT3" s="484"/>
      <c r="CUU3" s="484"/>
      <c r="CUV3" s="484"/>
      <c r="CUW3" s="484"/>
      <c r="CUX3" s="484"/>
      <c r="CUY3" s="484"/>
      <c r="CUZ3" s="484"/>
      <c r="CVA3" s="484"/>
      <c r="CVB3" s="484"/>
      <c r="CVC3" s="484"/>
      <c r="CVD3" s="484"/>
      <c r="CVE3" s="484"/>
      <c r="CVF3" s="484"/>
      <c r="CVG3" s="484"/>
      <c r="CVH3" s="484"/>
      <c r="CVI3" s="484"/>
      <c r="CVJ3" s="484"/>
      <c r="CVK3" s="484"/>
      <c r="CVL3" s="484"/>
      <c r="CVM3" s="484"/>
      <c r="CVN3" s="484"/>
      <c r="CVO3" s="484"/>
      <c r="CVP3" s="484"/>
      <c r="CVQ3" s="484"/>
      <c r="CVR3" s="484"/>
      <c r="CVS3" s="484"/>
      <c r="CVT3" s="484"/>
      <c r="CVU3" s="484"/>
      <c r="CVV3" s="484"/>
      <c r="CVW3" s="484"/>
      <c r="CVX3" s="484"/>
      <c r="CVY3" s="484"/>
      <c r="CVZ3" s="484"/>
      <c r="CWA3" s="484"/>
      <c r="CWB3" s="484"/>
      <c r="CWC3" s="484"/>
      <c r="CWD3" s="484"/>
      <c r="CWE3" s="484"/>
      <c r="CWF3" s="484"/>
      <c r="CWG3" s="484"/>
      <c r="CWH3" s="484"/>
      <c r="CWI3" s="484"/>
      <c r="CWJ3" s="484"/>
      <c r="CWK3" s="484"/>
      <c r="CWL3" s="484"/>
      <c r="CWM3" s="484"/>
      <c r="CWN3" s="484"/>
      <c r="CWO3" s="484"/>
      <c r="CWP3" s="484"/>
      <c r="CWQ3" s="484"/>
      <c r="CWR3" s="484"/>
      <c r="CWS3" s="484"/>
      <c r="CWT3" s="484"/>
      <c r="CWU3" s="484"/>
      <c r="CWV3" s="484"/>
      <c r="CWW3" s="484"/>
      <c r="CWX3" s="484"/>
      <c r="CWY3" s="484"/>
      <c r="CWZ3" s="484"/>
      <c r="CXA3" s="484"/>
      <c r="CXB3" s="484"/>
      <c r="CXC3" s="484"/>
      <c r="CXD3" s="484"/>
      <c r="CXE3" s="484"/>
      <c r="CXF3" s="484"/>
      <c r="CXG3" s="484"/>
      <c r="CXH3" s="484"/>
      <c r="CXI3" s="484"/>
      <c r="CXJ3" s="484"/>
      <c r="CXK3" s="484"/>
      <c r="CXL3" s="484"/>
      <c r="CXM3" s="484"/>
      <c r="CXN3" s="484"/>
      <c r="CXO3" s="484"/>
      <c r="CXP3" s="484"/>
      <c r="CXQ3" s="484"/>
      <c r="CXR3" s="484"/>
      <c r="CXS3" s="484"/>
      <c r="CXT3" s="484"/>
      <c r="CXU3" s="484"/>
      <c r="CXV3" s="484"/>
      <c r="CXW3" s="484"/>
      <c r="CXX3" s="484"/>
      <c r="CXY3" s="484"/>
      <c r="CXZ3" s="484"/>
      <c r="CYA3" s="484"/>
      <c r="CYB3" s="484"/>
      <c r="CYC3" s="484"/>
      <c r="CYD3" s="484"/>
      <c r="CYE3" s="484"/>
      <c r="CYF3" s="484"/>
      <c r="CYG3" s="484"/>
      <c r="CYH3" s="484"/>
      <c r="CYI3" s="484"/>
      <c r="CYJ3" s="484"/>
      <c r="CYK3" s="484"/>
      <c r="CYL3" s="484"/>
      <c r="CYM3" s="484"/>
      <c r="CYN3" s="484"/>
      <c r="CYO3" s="484"/>
      <c r="CYP3" s="484"/>
      <c r="CYQ3" s="484"/>
      <c r="CYR3" s="484"/>
      <c r="CYS3" s="484"/>
      <c r="CYT3" s="484"/>
      <c r="CYU3" s="484"/>
      <c r="CYV3" s="484"/>
      <c r="CYW3" s="484"/>
      <c r="CYX3" s="484"/>
      <c r="CYY3" s="484"/>
      <c r="CYZ3" s="484"/>
      <c r="CZA3" s="484"/>
      <c r="CZB3" s="484"/>
      <c r="CZC3" s="484"/>
      <c r="CZD3" s="484"/>
      <c r="CZE3" s="484"/>
      <c r="CZF3" s="484"/>
      <c r="CZG3" s="484"/>
      <c r="CZH3" s="484"/>
      <c r="CZI3" s="484"/>
      <c r="CZJ3" s="484"/>
      <c r="CZK3" s="484"/>
      <c r="CZL3" s="484"/>
      <c r="CZM3" s="484"/>
      <c r="CZN3" s="484"/>
      <c r="CZO3" s="484"/>
      <c r="CZP3" s="484"/>
      <c r="CZQ3" s="484"/>
      <c r="CZR3" s="484"/>
      <c r="CZS3" s="484"/>
      <c r="CZT3" s="484"/>
      <c r="CZU3" s="484"/>
      <c r="CZV3" s="484"/>
      <c r="CZW3" s="484"/>
      <c r="CZX3" s="484"/>
      <c r="CZY3" s="484"/>
      <c r="CZZ3" s="484"/>
      <c r="DAA3" s="484"/>
      <c r="DAB3" s="484"/>
      <c r="DAC3" s="484"/>
      <c r="DAD3" s="484"/>
      <c r="DAE3" s="484"/>
      <c r="DAF3" s="484"/>
      <c r="DAG3" s="484"/>
      <c r="DAH3" s="484"/>
      <c r="DAI3" s="484"/>
      <c r="DAJ3" s="484"/>
      <c r="DAK3" s="484"/>
      <c r="DAL3" s="484"/>
      <c r="DAM3" s="484"/>
      <c r="DAN3" s="484"/>
      <c r="DAO3" s="484"/>
      <c r="DAP3" s="484"/>
      <c r="DAQ3" s="484"/>
      <c r="DAR3" s="484"/>
      <c r="DAS3" s="484"/>
      <c r="DAT3" s="484"/>
      <c r="DAU3" s="484"/>
      <c r="DAV3" s="484"/>
      <c r="DAW3" s="484"/>
      <c r="DAX3" s="484"/>
      <c r="DAY3" s="484"/>
      <c r="DAZ3" s="484"/>
      <c r="DBA3" s="484"/>
      <c r="DBB3" s="484"/>
      <c r="DBC3" s="484"/>
      <c r="DBD3" s="484"/>
      <c r="DBE3" s="484"/>
      <c r="DBF3" s="484"/>
      <c r="DBG3" s="484"/>
      <c r="DBH3" s="484"/>
      <c r="DBI3" s="484"/>
      <c r="DBJ3" s="484"/>
      <c r="DBK3" s="484"/>
      <c r="DBL3" s="484"/>
      <c r="DBM3" s="484"/>
      <c r="DBN3" s="484"/>
      <c r="DBO3" s="484"/>
      <c r="DBP3" s="484"/>
      <c r="DBQ3" s="484"/>
      <c r="DBR3" s="484"/>
      <c r="DBS3" s="484"/>
      <c r="DBT3" s="484"/>
      <c r="DBU3" s="484"/>
      <c r="DBV3" s="484"/>
      <c r="DBW3" s="484"/>
      <c r="DBX3" s="484"/>
      <c r="DBY3" s="484"/>
      <c r="DBZ3" s="484"/>
      <c r="DCA3" s="484"/>
      <c r="DCB3" s="484"/>
      <c r="DCC3" s="484"/>
      <c r="DCD3" s="484"/>
      <c r="DCE3" s="484"/>
      <c r="DCF3" s="484"/>
      <c r="DCG3" s="484"/>
      <c r="DCH3" s="484"/>
      <c r="DCI3" s="484"/>
      <c r="DCJ3" s="484"/>
      <c r="DCK3" s="484"/>
      <c r="DCL3" s="484"/>
      <c r="DCM3" s="484"/>
      <c r="DCN3" s="484"/>
      <c r="DCO3" s="484"/>
      <c r="DCP3" s="484"/>
      <c r="DCQ3" s="484"/>
      <c r="DCR3" s="484"/>
      <c r="DCS3" s="484"/>
      <c r="DCT3" s="484"/>
      <c r="DCU3" s="484"/>
      <c r="DCV3" s="484"/>
      <c r="DCW3" s="484"/>
      <c r="DCX3" s="484"/>
      <c r="DCY3" s="484"/>
      <c r="DCZ3" s="484"/>
      <c r="DDA3" s="484"/>
      <c r="DDB3" s="484"/>
      <c r="DDC3" s="484"/>
      <c r="DDD3" s="484"/>
      <c r="DDE3" s="484"/>
      <c r="DDF3" s="484"/>
      <c r="DDG3" s="484"/>
      <c r="DDH3" s="484"/>
      <c r="DDI3" s="484"/>
      <c r="DDJ3" s="484"/>
      <c r="DDK3" s="484"/>
      <c r="DDL3" s="484"/>
      <c r="DDM3" s="484"/>
      <c r="DDN3" s="484"/>
      <c r="DDO3" s="484"/>
      <c r="DDP3" s="484"/>
      <c r="DDQ3" s="484"/>
      <c r="DDR3" s="484"/>
      <c r="DDS3" s="484"/>
      <c r="DDT3" s="484"/>
      <c r="DDU3" s="484"/>
      <c r="DDV3" s="484"/>
      <c r="DDW3" s="484"/>
      <c r="DDX3" s="484"/>
      <c r="DDY3" s="484"/>
      <c r="DDZ3" s="484"/>
      <c r="DEA3" s="484"/>
      <c r="DEB3" s="484"/>
      <c r="DEC3" s="484"/>
      <c r="DED3" s="484"/>
      <c r="DEE3" s="484"/>
      <c r="DEF3" s="484"/>
      <c r="DEG3" s="484"/>
      <c r="DEH3" s="484"/>
      <c r="DEI3" s="484"/>
      <c r="DEJ3" s="484"/>
      <c r="DEK3" s="484"/>
      <c r="DEL3" s="484"/>
      <c r="DEM3" s="484"/>
      <c r="DEN3" s="484"/>
      <c r="DEO3" s="484"/>
      <c r="DEP3" s="484"/>
      <c r="DEQ3" s="484"/>
      <c r="DER3" s="484"/>
      <c r="DES3" s="484"/>
      <c r="DET3" s="484"/>
      <c r="DEU3" s="484"/>
      <c r="DEV3" s="484"/>
      <c r="DEW3" s="484"/>
      <c r="DEX3" s="484"/>
      <c r="DEY3" s="484"/>
      <c r="DEZ3" s="484"/>
      <c r="DFA3" s="484"/>
      <c r="DFB3" s="484"/>
      <c r="DFC3" s="484"/>
      <c r="DFD3" s="484"/>
      <c r="DFE3" s="484"/>
      <c r="DFF3" s="484"/>
      <c r="DFG3" s="484"/>
      <c r="DFH3" s="484"/>
      <c r="DFI3" s="484"/>
      <c r="DFJ3" s="484"/>
      <c r="DFK3" s="484"/>
      <c r="DFL3" s="484"/>
      <c r="DFM3" s="484"/>
      <c r="DFN3" s="484"/>
      <c r="DFO3" s="484"/>
      <c r="DFP3" s="484"/>
      <c r="DFQ3" s="484"/>
      <c r="DFR3" s="484"/>
      <c r="DFS3" s="484"/>
      <c r="DFT3" s="484"/>
      <c r="DFU3" s="484"/>
      <c r="DFV3" s="484"/>
      <c r="DFW3" s="484"/>
      <c r="DFX3" s="484"/>
      <c r="DFY3" s="484"/>
      <c r="DFZ3" s="484"/>
      <c r="DGA3" s="484"/>
      <c r="DGB3" s="484"/>
      <c r="DGC3" s="484"/>
      <c r="DGD3" s="484"/>
      <c r="DGE3" s="484"/>
      <c r="DGF3" s="484"/>
      <c r="DGG3" s="484"/>
      <c r="DGH3" s="484"/>
      <c r="DGI3" s="484"/>
      <c r="DGJ3" s="484"/>
      <c r="DGK3" s="484"/>
      <c r="DGL3" s="484"/>
      <c r="DGM3" s="484"/>
      <c r="DGN3" s="484"/>
      <c r="DGO3" s="484"/>
      <c r="DGP3" s="484"/>
      <c r="DGQ3" s="484"/>
      <c r="DGR3" s="484"/>
      <c r="DGS3" s="484"/>
      <c r="DGT3" s="484"/>
      <c r="DGU3" s="484"/>
      <c r="DGV3" s="484"/>
      <c r="DGW3" s="484"/>
      <c r="DGX3" s="484"/>
      <c r="DGY3" s="484"/>
      <c r="DGZ3" s="484"/>
      <c r="DHA3" s="484"/>
      <c r="DHB3" s="484"/>
      <c r="DHC3" s="484"/>
      <c r="DHD3" s="484"/>
      <c r="DHE3" s="484"/>
      <c r="DHF3" s="484"/>
      <c r="DHG3" s="484"/>
      <c r="DHH3" s="484"/>
      <c r="DHI3" s="484"/>
      <c r="DHJ3" s="484"/>
      <c r="DHK3" s="484"/>
      <c r="DHL3" s="484"/>
      <c r="DHM3" s="484"/>
      <c r="DHN3" s="484"/>
      <c r="DHO3" s="484"/>
      <c r="DHP3" s="484"/>
      <c r="DHQ3" s="484"/>
      <c r="DHR3" s="484"/>
      <c r="DHS3" s="484"/>
      <c r="DHT3" s="484"/>
      <c r="DHU3" s="484"/>
      <c r="DHV3" s="484"/>
      <c r="DHW3" s="484"/>
      <c r="DHX3" s="484"/>
      <c r="DHY3" s="484"/>
      <c r="DHZ3" s="484"/>
      <c r="DIA3" s="484"/>
      <c r="DIB3" s="484"/>
      <c r="DIC3" s="484"/>
      <c r="DID3" s="484"/>
      <c r="DIE3" s="484"/>
      <c r="DIF3" s="484"/>
      <c r="DIG3" s="484"/>
      <c r="DIH3" s="484"/>
      <c r="DII3" s="484"/>
      <c r="DIJ3" s="484"/>
      <c r="DIK3" s="484"/>
      <c r="DIL3" s="484"/>
      <c r="DIM3" s="484"/>
      <c r="DIN3" s="484"/>
      <c r="DIO3" s="484"/>
      <c r="DIP3" s="484"/>
      <c r="DIQ3" s="484"/>
      <c r="DIR3" s="484"/>
      <c r="DIS3" s="484"/>
      <c r="DIT3" s="484"/>
      <c r="DIU3" s="484"/>
      <c r="DIV3" s="484"/>
      <c r="DIW3" s="484"/>
      <c r="DIX3" s="484"/>
      <c r="DIY3" s="484"/>
      <c r="DIZ3" s="484"/>
      <c r="DJA3" s="484"/>
      <c r="DJB3" s="484"/>
      <c r="DJC3" s="484"/>
      <c r="DJD3" s="484"/>
      <c r="DJE3" s="484"/>
      <c r="DJF3" s="484"/>
      <c r="DJG3" s="484"/>
      <c r="DJH3" s="484"/>
      <c r="DJI3" s="484"/>
      <c r="DJJ3" s="484"/>
      <c r="DJK3" s="484"/>
      <c r="DJL3" s="484"/>
      <c r="DJM3" s="484"/>
      <c r="DJN3" s="484"/>
      <c r="DJO3" s="484"/>
      <c r="DJP3" s="484"/>
      <c r="DJQ3" s="484"/>
      <c r="DJR3" s="484"/>
      <c r="DJS3" s="484"/>
      <c r="DJT3" s="484"/>
      <c r="DJU3" s="484"/>
      <c r="DJV3" s="484"/>
      <c r="DJW3" s="484"/>
      <c r="DJX3" s="484"/>
      <c r="DJY3" s="484"/>
      <c r="DJZ3" s="484"/>
      <c r="DKA3" s="484"/>
      <c r="DKB3" s="484"/>
      <c r="DKC3" s="484"/>
      <c r="DKD3" s="484"/>
      <c r="DKE3" s="484"/>
      <c r="DKF3" s="484"/>
      <c r="DKG3" s="484"/>
      <c r="DKH3" s="484"/>
      <c r="DKI3" s="484"/>
      <c r="DKJ3" s="484"/>
      <c r="DKK3" s="484"/>
      <c r="DKL3" s="484"/>
      <c r="DKM3" s="484"/>
      <c r="DKN3" s="484"/>
      <c r="DKO3" s="484"/>
      <c r="DKP3" s="484"/>
      <c r="DKQ3" s="484"/>
      <c r="DKR3" s="484"/>
      <c r="DKS3" s="484"/>
      <c r="DKT3" s="484"/>
      <c r="DKU3" s="484"/>
      <c r="DKV3" s="484"/>
      <c r="DKW3" s="484"/>
      <c r="DKX3" s="484"/>
      <c r="DKY3" s="484"/>
      <c r="DKZ3" s="484"/>
      <c r="DLA3" s="484"/>
      <c r="DLB3" s="484"/>
      <c r="DLC3" s="484"/>
      <c r="DLD3" s="484"/>
      <c r="DLE3" s="484"/>
      <c r="DLF3" s="484"/>
      <c r="DLG3" s="484"/>
      <c r="DLH3" s="484"/>
      <c r="DLI3" s="484"/>
      <c r="DLJ3" s="484"/>
      <c r="DLK3" s="484"/>
      <c r="DLL3" s="484"/>
      <c r="DLM3" s="484"/>
      <c r="DLN3" s="484"/>
      <c r="DLO3" s="484"/>
      <c r="DLP3" s="484"/>
      <c r="DLQ3" s="484"/>
      <c r="DLR3" s="484"/>
      <c r="DLS3" s="484"/>
      <c r="DLT3" s="484"/>
      <c r="DLU3" s="484"/>
      <c r="DLV3" s="484"/>
      <c r="DLW3" s="484"/>
      <c r="DLX3" s="484"/>
      <c r="DLY3" s="484"/>
      <c r="DLZ3" s="484"/>
      <c r="DMA3" s="484"/>
      <c r="DMB3" s="484"/>
      <c r="DMC3" s="484"/>
      <c r="DMD3" s="484"/>
      <c r="DME3" s="484"/>
      <c r="DMF3" s="484"/>
      <c r="DMG3" s="484"/>
      <c r="DMH3" s="484"/>
      <c r="DMI3" s="484"/>
      <c r="DMJ3" s="484"/>
      <c r="DMK3" s="484"/>
      <c r="DML3" s="484"/>
      <c r="DMM3" s="484"/>
      <c r="DMN3" s="484"/>
      <c r="DMO3" s="484"/>
      <c r="DMP3" s="484"/>
      <c r="DMQ3" s="484"/>
      <c r="DMR3" s="484"/>
      <c r="DMS3" s="484"/>
      <c r="DMT3" s="484"/>
      <c r="DMU3" s="484"/>
      <c r="DMV3" s="484"/>
      <c r="DMW3" s="484"/>
      <c r="DMX3" s="484"/>
      <c r="DMY3" s="484"/>
      <c r="DMZ3" s="484"/>
      <c r="DNA3" s="484"/>
      <c r="DNB3" s="484"/>
      <c r="DNC3" s="484"/>
      <c r="DND3" s="484"/>
      <c r="DNE3" s="484"/>
      <c r="DNF3" s="484"/>
      <c r="DNG3" s="484"/>
      <c r="DNH3" s="484"/>
      <c r="DNI3" s="484"/>
      <c r="DNJ3" s="484"/>
      <c r="DNK3" s="484"/>
      <c r="DNL3" s="484"/>
      <c r="DNM3" s="484"/>
      <c r="DNN3" s="484"/>
      <c r="DNO3" s="484"/>
      <c r="DNP3" s="484"/>
      <c r="DNQ3" s="484"/>
      <c r="DNR3" s="484"/>
      <c r="DNS3" s="484"/>
      <c r="DNT3" s="484"/>
      <c r="DNU3" s="484"/>
      <c r="DNV3" s="484"/>
      <c r="DNW3" s="484"/>
      <c r="DNX3" s="484"/>
      <c r="DNY3" s="484"/>
      <c r="DNZ3" s="484"/>
      <c r="DOA3" s="484"/>
      <c r="DOB3" s="484"/>
      <c r="DOC3" s="484"/>
      <c r="DOD3" s="484"/>
      <c r="DOE3" s="484"/>
      <c r="DOF3" s="484"/>
      <c r="DOG3" s="484"/>
      <c r="DOH3" s="484"/>
      <c r="DOI3" s="484"/>
      <c r="DOJ3" s="484"/>
      <c r="DOK3" s="484"/>
      <c r="DOL3" s="484"/>
      <c r="DOM3" s="484"/>
      <c r="DON3" s="484"/>
      <c r="DOO3" s="484"/>
      <c r="DOP3" s="484"/>
      <c r="DOQ3" s="484"/>
      <c r="DOR3" s="484"/>
      <c r="DOS3" s="484"/>
      <c r="DOT3" s="484"/>
      <c r="DOU3" s="484"/>
      <c r="DOV3" s="484"/>
      <c r="DOW3" s="484"/>
      <c r="DOX3" s="484"/>
      <c r="DOY3" s="484"/>
      <c r="DOZ3" s="484"/>
      <c r="DPA3" s="484"/>
      <c r="DPB3" s="484"/>
      <c r="DPC3" s="484"/>
      <c r="DPD3" s="484"/>
      <c r="DPE3" s="484"/>
      <c r="DPF3" s="484"/>
      <c r="DPG3" s="484"/>
      <c r="DPH3" s="484"/>
      <c r="DPI3" s="484"/>
      <c r="DPJ3" s="484"/>
      <c r="DPK3" s="484"/>
      <c r="DPL3" s="484"/>
      <c r="DPM3" s="484"/>
      <c r="DPN3" s="484"/>
      <c r="DPO3" s="484"/>
      <c r="DPP3" s="484"/>
      <c r="DPQ3" s="484"/>
      <c r="DPR3" s="484"/>
      <c r="DPS3" s="484"/>
      <c r="DPT3" s="484"/>
      <c r="DPU3" s="484"/>
      <c r="DPV3" s="484"/>
      <c r="DPW3" s="484"/>
      <c r="DPX3" s="484"/>
      <c r="DPY3" s="484"/>
      <c r="DPZ3" s="484"/>
      <c r="DQA3" s="484"/>
      <c r="DQB3" s="484"/>
      <c r="DQC3" s="484"/>
      <c r="DQD3" s="484"/>
      <c r="DQE3" s="484"/>
      <c r="DQF3" s="484"/>
      <c r="DQG3" s="484"/>
      <c r="DQH3" s="484"/>
      <c r="DQI3" s="484"/>
      <c r="DQJ3" s="484"/>
      <c r="DQK3" s="484"/>
      <c r="DQL3" s="484"/>
      <c r="DQM3" s="484"/>
      <c r="DQN3" s="484"/>
      <c r="DQO3" s="484"/>
      <c r="DQP3" s="484"/>
      <c r="DQQ3" s="484"/>
      <c r="DQR3" s="484"/>
      <c r="DQS3" s="484"/>
      <c r="DQT3" s="484"/>
      <c r="DQU3" s="484"/>
      <c r="DQV3" s="484"/>
      <c r="DQW3" s="484"/>
      <c r="DQX3" s="484"/>
      <c r="DQY3" s="484"/>
      <c r="DQZ3" s="484"/>
      <c r="DRA3" s="484"/>
      <c r="DRB3" s="484"/>
      <c r="DRC3" s="484"/>
      <c r="DRD3" s="484"/>
      <c r="DRE3" s="484"/>
      <c r="DRF3" s="484"/>
      <c r="DRG3" s="484"/>
      <c r="DRH3" s="484"/>
      <c r="DRI3" s="484"/>
      <c r="DRJ3" s="484"/>
      <c r="DRK3" s="484"/>
      <c r="DRL3" s="484"/>
      <c r="DRM3" s="484"/>
      <c r="DRN3" s="484"/>
      <c r="DRO3" s="484"/>
      <c r="DRP3" s="484"/>
      <c r="DRQ3" s="484"/>
      <c r="DRR3" s="484"/>
      <c r="DRS3" s="484"/>
      <c r="DRT3" s="484"/>
      <c r="DRU3" s="484"/>
      <c r="DRV3" s="484"/>
      <c r="DRW3" s="484"/>
      <c r="DRX3" s="484"/>
      <c r="DRY3" s="484"/>
      <c r="DRZ3" s="484"/>
      <c r="DSA3" s="484"/>
      <c r="DSB3" s="484"/>
      <c r="DSC3" s="484"/>
      <c r="DSD3" s="484"/>
      <c r="DSE3" s="484"/>
      <c r="DSF3" s="484"/>
      <c r="DSG3" s="484"/>
      <c r="DSH3" s="484"/>
      <c r="DSI3" s="484"/>
      <c r="DSJ3" s="484"/>
      <c r="DSK3" s="484"/>
      <c r="DSL3" s="484"/>
      <c r="DSM3" s="484"/>
      <c r="DSN3" s="484"/>
      <c r="DSO3" s="484"/>
      <c r="DSP3" s="484"/>
      <c r="DSQ3" s="484"/>
      <c r="DSR3" s="484"/>
      <c r="DSS3" s="484"/>
      <c r="DST3" s="484"/>
      <c r="DSU3" s="484"/>
      <c r="DSV3" s="484"/>
      <c r="DSW3" s="484"/>
      <c r="DSX3" s="484"/>
      <c r="DSY3" s="484"/>
      <c r="DSZ3" s="484"/>
      <c r="DTA3" s="484"/>
      <c r="DTB3" s="484"/>
      <c r="DTC3" s="484"/>
      <c r="DTD3" s="484"/>
      <c r="DTE3" s="484"/>
      <c r="DTF3" s="484"/>
      <c r="DTG3" s="484"/>
      <c r="DTH3" s="484"/>
      <c r="DTI3" s="484"/>
      <c r="DTJ3" s="484"/>
      <c r="DTK3" s="484"/>
      <c r="DTL3" s="484"/>
      <c r="DTM3" s="484"/>
      <c r="DTN3" s="484"/>
      <c r="DTO3" s="484"/>
      <c r="DTP3" s="484"/>
      <c r="DTQ3" s="484"/>
      <c r="DTR3" s="484"/>
      <c r="DTS3" s="484"/>
      <c r="DTT3" s="484"/>
      <c r="DTU3" s="484"/>
      <c r="DTV3" s="484"/>
      <c r="DTW3" s="484"/>
      <c r="DTX3" s="484"/>
      <c r="DTY3" s="484"/>
      <c r="DTZ3" s="484"/>
      <c r="DUA3" s="484"/>
      <c r="DUB3" s="484"/>
      <c r="DUC3" s="484"/>
      <c r="DUD3" s="484"/>
      <c r="DUE3" s="484"/>
      <c r="DUF3" s="484"/>
      <c r="DUG3" s="484"/>
      <c r="DUH3" s="484"/>
      <c r="DUI3" s="484"/>
      <c r="DUJ3" s="484"/>
      <c r="DUK3" s="484"/>
      <c r="DUL3" s="484"/>
      <c r="DUM3" s="484"/>
      <c r="DUN3" s="484"/>
      <c r="DUO3" s="484"/>
      <c r="DUP3" s="484"/>
      <c r="DUQ3" s="484"/>
      <c r="DUR3" s="484"/>
      <c r="DUS3" s="484"/>
      <c r="DUT3" s="484"/>
      <c r="DUU3" s="484"/>
      <c r="DUV3" s="484"/>
      <c r="DUW3" s="484"/>
      <c r="DUX3" s="484"/>
      <c r="DUY3" s="484"/>
      <c r="DUZ3" s="484"/>
      <c r="DVA3" s="484"/>
      <c r="DVB3" s="484"/>
      <c r="DVC3" s="484"/>
      <c r="DVD3" s="484"/>
      <c r="DVE3" s="484"/>
      <c r="DVF3" s="484"/>
      <c r="DVG3" s="484"/>
      <c r="DVH3" s="484"/>
      <c r="DVI3" s="484"/>
      <c r="DVJ3" s="484"/>
      <c r="DVK3" s="484"/>
      <c r="DVL3" s="484"/>
      <c r="DVM3" s="484"/>
      <c r="DVN3" s="484"/>
      <c r="DVO3" s="484"/>
      <c r="DVP3" s="484"/>
      <c r="DVQ3" s="484"/>
      <c r="DVR3" s="484"/>
      <c r="DVS3" s="484"/>
      <c r="DVT3" s="484"/>
      <c r="DVU3" s="484"/>
      <c r="DVV3" s="484"/>
      <c r="DVW3" s="484"/>
      <c r="DVX3" s="484"/>
      <c r="DVY3" s="484"/>
      <c r="DVZ3" s="484"/>
      <c r="DWA3" s="484"/>
      <c r="DWB3" s="484"/>
      <c r="DWC3" s="484"/>
      <c r="DWD3" s="484"/>
      <c r="DWE3" s="484"/>
      <c r="DWF3" s="484"/>
      <c r="DWG3" s="484"/>
      <c r="DWH3" s="484"/>
      <c r="DWI3" s="484"/>
      <c r="DWJ3" s="484"/>
      <c r="DWK3" s="484"/>
      <c r="DWL3" s="484"/>
      <c r="DWM3" s="484"/>
      <c r="DWN3" s="484"/>
      <c r="DWO3" s="484"/>
      <c r="DWP3" s="484"/>
      <c r="DWQ3" s="484"/>
      <c r="DWR3" s="484"/>
      <c r="DWS3" s="484"/>
      <c r="DWT3" s="484"/>
      <c r="DWU3" s="484"/>
      <c r="DWV3" s="484"/>
      <c r="DWW3" s="484"/>
      <c r="DWX3" s="484"/>
      <c r="DWY3" s="484"/>
      <c r="DWZ3" s="484"/>
      <c r="DXA3" s="484"/>
      <c r="DXB3" s="484"/>
      <c r="DXC3" s="484"/>
      <c r="DXD3" s="484"/>
      <c r="DXE3" s="484"/>
      <c r="DXF3" s="484"/>
      <c r="DXG3" s="484"/>
      <c r="DXH3" s="484"/>
      <c r="DXI3" s="484"/>
      <c r="DXJ3" s="484"/>
      <c r="DXK3" s="484"/>
      <c r="DXL3" s="484"/>
      <c r="DXM3" s="484"/>
      <c r="DXN3" s="484"/>
      <c r="DXO3" s="484"/>
      <c r="DXP3" s="484"/>
      <c r="DXQ3" s="484"/>
      <c r="DXR3" s="484"/>
      <c r="DXS3" s="484"/>
      <c r="DXT3" s="484"/>
      <c r="DXU3" s="484"/>
      <c r="DXV3" s="484"/>
      <c r="DXW3" s="484"/>
      <c r="DXX3" s="484"/>
      <c r="DXY3" s="484"/>
      <c r="DXZ3" s="484"/>
      <c r="DYA3" s="484"/>
      <c r="DYB3" s="484"/>
      <c r="DYC3" s="484"/>
      <c r="DYD3" s="484"/>
      <c r="DYE3" s="484"/>
      <c r="DYF3" s="484"/>
      <c r="DYG3" s="484"/>
      <c r="DYH3" s="484"/>
      <c r="DYI3" s="484"/>
      <c r="DYJ3" s="484"/>
      <c r="DYK3" s="484"/>
      <c r="DYL3" s="484"/>
      <c r="DYM3" s="484"/>
      <c r="DYN3" s="484"/>
      <c r="DYO3" s="484"/>
      <c r="DYP3" s="484"/>
      <c r="DYQ3" s="484"/>
      <c r="DYR3" s="484"/>
      <c r="DYS3" s="484"/>
      <c r="DYT3" s="484"/>
      <c r="DYU3" s="484"/>
      <c r="DYV3" s="484"/>
      <c r="DYW3" s="484"/>
      <c r="DYX3" s="484"/>
      <c r="DYY3" s="484"/>
      <c r="DYZ3" s="484"/>
      <c r="DZA3" s="484"/>
      <c r="DZB3" s="484"/>
      <c r="DZC3" s="484"/>
      <c r="DZD3" s="484"/>
      <c r="DZE3" s="484"/>
      <c r="DZF3" s="484"/>
      <c r="DZG3" s="484"/>
      <c r="DZH3" s="484"/>
      <c r="DZI3" s="484"/>
      <c r="DZJ3" s="484"/>
      <c r="DZK3" s="484"/>
      <c r="DZL3" s="484"/>
      <c r="DZM3" s="484"/>
      <c r="DZN3" s="484"/>
      <c r="DZO3" s="484"/>
      <c r="DZP3" s="484"/>
      <c r="DZQ3" s="484"/>
      <c r="DZR3" s="484"/>
      <c r="DZS3" s="484"/>
      <c r="DZT3" s="484"/>
      <c r="DZU3" s="484"/>
      <c r="DZV3" s="484"/>
      <c r="DZW3" s="484"/>
      <c r="DZX3" s="484"/>
      <c r="DZY3" s="484"/>
      <c r="DZZ3" s="484"/>
      <c r="EAA3" s="484"/>
      <c r="EAB3" s="484"/>
      <c r="EAC3" s="484"/>
      <c r="EAD3" s="484"/>
      <c r="EAE3" s="484"/>
      <c r="EAF3" s="484"/>
      <c r="EAG3" s="484"/>
      <c r="EAH3" s="484"/>
      <c r="EAI3" s="484"/>
      <c r="EAJ3" s="484"/>
      <c r="EAK3" s="484"/>
      <c r="EAL3" s="484"/>
      <c r="EAM3" s="484"/>
      <c r="EAN3" s="484"/>
      <c r="EAO3" s="484"/>
      <c r="EAP3" s="484"/>
      <c r="EAQ3" s="484"/>
      <c r="EAR3" s="484"/>
      <c r="EAS3" s="484"/>
      <c r="EAT3" s="484"/>
      <c r="EAU3" s="484"/>
      <c r="EAV3" s="484"/>
      <c r="EAW3" s="484"/>
      <c r="EAX3" s="484"/>
      <c r="EAY3" s="484"/>
      <c r="EAZ3" s="484"/>
      <c r="EBA3" s="484"/>
      <c r="EBB3" s="484"/>
      <c r="EBC3" s="484"/>
      <c r="EBD3" s="484"/>
      <c r="EBE3" s="484"/>
      <c r="EBF3" s="484"/>
      <c r="EBG3" s="484"/>
      <c r="EBH3" s="484"/>
      <c r="EBI3" s="484"/>
      <c r="EBJ3" s="484"/>
      <c r="EBK3" s="484"/>
      <c r="EBL3" s="484"/>
      <c r="EBM3" s="484"/>
      <c r="EBN3" s="484"/>
      <c r="EBO3" s="484"/>
      <c r="EBP3" s="484"/>
      <c r="EBQ3" s="484"/>
      <c r="EBR3" s="484"/>
      <c r="EBS3" s="484"/>
      <c r="EBT3" s="484"/>
      <c r="EBU3" s="484"/>
      <c r="EBV3" s="484"/>
      <c r="EBW3" s="484"/>
      <c r="EBX3" s="484"/>
      <c r="EBY3" s="484"/>
      <c r="EBZ3" s="484"/>
      <c r="ECA3" s="484"/>
      <c r="ECB3" s="484"/>
      <c r="ECC3" s="484"/>
      <c r="ECD3" s="484"/>
      <c r="ECE3" s="484"/>
      <c r="ECF3" s="484"/>
      <c r="ECG3" s="484"/>
      <c r="ECH3" s="484"/>
      <c r="ECI3" s="484"/>
      <c r="ECJ3" s="484"/>
      <c r="ECK3" s="484"/>
      <c r="ECL3" s="484"/>
      <c r="ECM3" s="484"/>
      <c r="ECN3" s="484"/>
      <c r="ECO3" s="484"/>
      <c r="ECP3" s="484"/>
      <c r="ECQ3" s="484"/>
      <c r="ECR3" s="484"/>
      <c r="ECS3" s="484"/>
      <c r="ECT3" s="484"/>
      <c r="ECU3" s="484"/>
      <c r="ECV3" s="484"/>
      <c r="ECW3" s="484"/>
      <c r="ECX3" s="484"/>
      <c r="ECY3" s="484"/>
      <c r="ECZ3" s="484"/>
      <c r="EDA3" s="484"/>
      <c r="EDB3" s="484"/>
      <c r="EDC3" s="484"/>
      <c r="EDD3" s="484"/>
      <c r="EDE3" s="484"/>
      <c r="EDF3" s="484"/>
      <c r="EDG3" s="484"/>
      <c r="EDH3" s="484"/>
      <c r="EDI3" s="484"/>
      <c r="EDJ3" s="484"/>
      <c r="EDK3" s="484"/>
      <c r="EDL3" s="484"/>
      <c r="EDM3" s="484"/>
      <c r="EDN3" s="484"/>
      <c r="EDO3" s="484"/>
      <c r="EDP3" s="484"/>
      <c r="EDQ3" s="484"/>
      <c r="EDR3" s="484"/>
      <c r="EDS3" s="484"/>
      <c r="EDT3" s="484"/>
      <c r="EDU3" s="484"/>
      <c r="EDV3" s="484"/>
      <c r="EDW3" s="484"/>
      <c r="EDX3" s="484"/>
      <c r="EDY3" s="484"/>
      <c r="EDZ3" s="484"/>
      <c r="EEA3" s="484"/>
      <c r="EEB3" s="484"/>
      <c r="EEC3" s="484"/>
      <c r="EED3" s="484"/>
      <c r="EEE3" s="484"/>
      <c r="EEF3" s="484"/>
      <c r="EEG3" s="484"/>
      <c r="EEH3" s="484"/>
      <c r="EEI3" s="484"/>
      <c r="EEJ3" s="484"/>
      <c r="EEK3" s="484"/>
      <c r="EEL3" s="484"/>
      <c r="EEM3" s="484"/>
      <c r="EEN3" s="484"/>
      <c r="EEO3" s="484"/>
      <c r="EEP3" s="484"/>
      <c r="EEQ3" s="484"/>
      <c r="EER3" s="484"/>
      <c r="EES3" s="484"/>
      <c r="EET3" s="484"/>
      <c r="EEU3" s="484"/>
      <c r="EEV3" s="484"/>
      <c r="EEW3" s="484"/>
      <c r="EEX3" s="484"/>
      <c r="EEY3" s="484"/>
      <c r="EEZ3" s="484"/>
      <c r="EFA3" s="484"/>
      <c r="EFB3" s="484"/>
      <c r="EFC3" s="484"/>
      <c r="EFD3" s="484"/>
      <c r="EFE3" s="484"/>
      <c r="EFF3" s="484"/>
      <c r="EFG3" s="484"/>
      <c r="EFH3" s="484"/>
      <c r="EFI3" s="484"/>
      <c r="EFJ3" s="484"/>
      <c r="EFK3" s="484"/>
      <c r="EFL3" s="484"/>
      <c r="EFM3" s="484"/>
      <c r="EFN3" s="484"/>
      <c r="EFO3" s="484"/>
      <c r="EFP3" s="484"/>
      <c r="EFQ3" s="484"/>
      <c r="EFR3" s="484"/>
      <c r="EFS3" s="484"/>
      <c r="EFT3" s="484"/>
      <c r="EFU3" s="484"/>
      <c r="EFV3" s="484"/>
      <c r="EFW3" s="484"/>
      <c r="EFX3" s="484"/>
      <c r="EFY3" s="484"/>
      <c r="EFZ3" s="484"/>
      <c r="EGA3" s="484"/>
      <c r="EGB3" s="484"/>
      <c r="EGC3" s="484"/>
      <c r="EGD3" s="484"/>
      <c r="EGE3" s="484"/>
      <c r="EGF3" s="484"/>
      <c r="EGG3" s="484"/>
      <c r="EGH3" s="484"/>
      <c r="EGI3" s="484"/>
      <c r="EGJ3" s="484"/>
      <c r="EGK3" s="484"/>
      <c r="EGL3" s="484"/>
      <c r="EGM3" s="484"/>
      <c r="EGN3" s="484"/>
      <c r="EGO3" s="484"/>
      <c r="EGP3" s="484"/>
      <c r="EGQ3" s="484"/>
      <c r="EGR3" s="484"/>
      <c r="EGS3" s="484"/>
      <c r="EGT3" s="484"/>
      <c r="EGU3" s="484"/>
      <c r="EGV3" s="484"/>
      <c r="EGW3" s="484"/>
      <c r="EGX3" s="484"/>
      <c r="EGY3" s="484"/>
      <c r="EGZ3" s="484"/>
      <c r="EHA3" s="484"/>
      <c r="EHB3" s="484"/>
      <c r="EHC3" s="484"/>
      <c r="EHD3" s="484"/>
      <c r="EHE3" s="484"/>
      <c r="EHF3" s="484"/>
      <c r="EHG3" s="484"/>
      <c r="EHH3" s="484"/>
      <c r="EHI3" s="484"/>
      <c r="EHJ3" s="484"/>
      <c r="EHK3" s="484"/>
      <c r="EHL3" s="484"/>
      <c r="EHM3" s="484"/>
      <c r="EHN3" s="484"/>
      <c r="EHO3" s="484"/>
      <c r="EHP3" s="484"/>
      <c r="EHQ3" s="484"/>
      <c r="EHR3" s="484"/>
      <c r="EHS3" s="484"/>
      <c r="EHT3" s="484"/>
      <c r="EHU3" s="484"/>
      <c r="EHV3" s="484"/>
      <c r="EHW3" s="484"/>
      <c r="EHX3" s="484"/>
      <c r="EHY3" s="484"/>
      <c r="EHZ3" s="484"/>
      <c r="EIA3" s="484"/>
      <c r="EIB3" s="484"/>
      <c r="EIC3" s="484"/>
      <c r="EID3" s="484"/>
      <c r="EIE3" s="484"/>
      <c r="EIF3" s="484"/>
      <c r="EIG3" s="484"/>
      <c r="EIH3" s="484"/>
      <c r="EII3" s="484"/>
      <c r="EIJ3" s="484"/>
      <c r="EIK3" s="484"/>
      <c r="EIL3" s="484"/>
      <c r="EIM3" s="484"/>
      <c r="EIN3" s="484"/>
      <c r="EIO3" s="484"/>
      <c r="EIP3" s="484"/>
      <c r="EIQ3" s="484"/>
      <c r="EIR3" s="484"/>
      <c r="EIS3" s="484"/>
      <c r="EIT3" s="484"/>
      <c r="EIU3" s="484"/>
      <c r="EIV3" s="484"/>
      <c r="EIW3" s="484"/>
      <c r="EIX3" s="484"/>
      <c r="EIY3" s="484"/>
      <c r="EIZ3" s="484"/>
      <c r="EJA3" s="484"/>
      <c r="EJB3" s="484"/>
      <c r="EJC3" s="484"/>
      <c r="EJD3" s="484"/>
      <c r="EJE3" s="484"/>
      <c r="EJF3" s="484"/>
      <c r="EJG3" s="484"/>
      <c r="EJH3" s="484"/>
      <c r="EJI3" s="484"/>
      <c r="EJJ3" s="484"/>
      <c r="EJK3" s="484"/>
      <c r="EJL3" s="484"/>
      <c r="EJM3" s="484"/>
      <c r="EJN3" s="484"/>
      <c r="EJO3" s="484"/>
      <c r="EJP3" s="484"/>
      <c r="EJQ3" s="484"/>
      <c r="EJR3" s="484"/>
      <c r="EJS3" s="484"/>
      <c r="EJT3" s="484"/>
      <c r="EJU3" s="484"/>
      <c r="EJV3" s="484"/>
      <c r="EJW3" s="484"/>
      <c r="EJX3" s="484"/>
      <c r="EJY3" s="484"/>
      <c r="EJZ3" s="484"/>
      <c r="EKA3" s="484"/>
      <c r="EKB3" s="484"/>
      <c r="EKC3" s="484"/>
      <c r="EKD3" s="484"/>
      <c r="EKE3" s="484"/>
      <c r="EKF3" s="484"/>
      <c r="EKG3" s="484"/>
      <c r="EKH3" s="484"/>
      <c r="EKI3" s="484"/>
      <c r="EKJ3" s="484"/>
      <c r="EKK3" s="484"/>
      <c r="EKL3" s="484"/>
      <c r="EKM3" s="484"/>
      <c r="EKN3" s="484"/>
      <c r="EKO3" s="484"/>
      <c r="EKP3" s="484"/>
      <c r="EKQ3" s="484"/>
      <c r="EKR3" s="484"/>
      <c r="EKS3" s="484"/>
      <c r="EKT3" s="484"/>
      <c r="EKU3" s="484"/>
      <c r="EKV3" s="484"/>
      <c r="EKW3" s="484"/>
      <c r="EKX3" s="484"/>
      <c r="EKY3" s="484"/>
      <c r="EKZ3" s="484"/>
      <c r="ELA3" s="484"/>
      <c r="ELB3" s="484"/>
      <c r="ELC3" s="484"/>
      <c r="ELD3" s="484"/>
      <c r="ELE3" s="484"/>
      <c r="ELF3" s="484"/>
      <c r="ELG3" s="484"/>
      <c r="ELH3" s="484"/>
      <c r="ELI3" s="484"/>
      <c r="ELJ3" s="484"/>
      <c r="ELK3" s="484"/>
      <c r="ELL3" s="484"/>
      <c r="ELM3" s="484"/>
      <c r="ELN3" s="484"/>
      <c r="ELO3" s="484"/>
      <c r="ELP3" s="484"/>
      <c r="ELQ3" s="484"/>
      <c r="ELR3" s="484"/>
      <c r="ELS3" s="484"/>
      <c r="ELT3" s="484"/>
      <c r="ELU3" s="484"/>
      <c r="ELV3" s="484"/>
      <c r="ELW3" s="484"/>
      <c r="ELX3" s="484"/>
      <c r="ELY3" s="484"/>
      <c r="ELZ3" s="484"/>
      <c r="EMA3" s="484"/>
      <c r="EMB3" s="484"/>
      <c r="EMC3" s="484"/>
      <c r="EMD3" s="484"/>
      <c r="EME3" s="484"/>
      <c r="EMF3" s="484"/>
      <c r="EMG3" s="484"/>
      <c r="EMH3" s="484"/>
      <c r="EMI3" s="484"/>
      <c r="EMJ3" s="484"/>
      <c r="EMK3" s="484"/>
      <c r="EML3" s="484"/>
      <c r="EMM3" s="484"/>
      <c r="EMN3" s="484"/>
      <c r="EMO3" s="484"/>
      <c r="EMP3" s="484"/>
      <c r="EMQ3" s="484"/>
      <c r="EMR3" s="484"/>
      <c r="EMS3" s="484"/>
      <c r="EMT3" s="484"/>
      <c r="EMU3" s="484"/>
      <c r="EMV3" s="484"/>
      <c r="EMW3" s="484"/>
      <c r="EMX3" s="484"/>
      <c r="EMY3" s="484"/>
      <c r="EMZ3" s="484"/>
      <c r="ENA3" s="484"/>
      <c r="ENB3" s="484"/>
      <c r="ENC3" s="484"/>
      <c r="END3" s="484"/>
      <c r="ENE3" s="484"/>
      <c r="ENF3" s="484"/>
      <c r="ENG3" s="484"/>
      <c r="ENH3" s="484"/>
      <c r="ENI3" s="484"/>
      <c r="ENJ3" s="484"/>
      <c r="ENK3" s="484"/>
      <c r="ENL3" s="484"/>
      <c r="ENM3" s="484"/>
      <c r="ENN3" s="484"/>
      <c r="ENO3" s="484"/>
      <c r="ENP3" s="484"/>
      <c r="ENQ3" s="484"/>
      <c r="ENR3" s="484"/>
      <c r="ENS3" s="484"/>
      <c r="ENT3" s="484"/>
      <c r="ENU3" s="484"/>
      <c r="ENV3" s="484"/>
      <c r="ENW3" s="484"/>
      <c r="ENX3" s="484"/>
      <c r="ENY3" s="484"/>
      <c r="ENZ3" s="484"/>
      <c r="EOA3" s="484"/>
      <c r="EOB3" s="484"/>
      <c r="EOC3" s="484"/>
      <c r="EOD3" s="484"/>
      <c r="EOE3" s="484"/>
      <c r="EOF3" s="484"/>
      <c r="EOG3" s="484"/>
      <c r="EOH3" s="484"/>
      <c r="EOI3" s="484"/>
      <c r="EOJ3" s="484"/>
      <c r="EOK3" s="484"/>
      <c r="EOL3" s="484"/>
      <c r="EOM3" s="484"/>
      <c r="EON3" s="484"/>
      <c r="EOO3" s="484"/>
      <c r="EOP3" s="484"/>
      <c r="EOQ3" s="484"/>
      <c r="EOR3" s="484"/>
      <c r="EOS3" s="484"/>
      <c r="EOT3" s="484"/>
      <c r="EOU3" s="484"/>
      <c r="EOV3" s="484"/>
      <c r="EOW3" s="484"/>
      <c r="EOX3" s="484"/>
      <c r="EOY3" s="484"/>
      <c r="EOZ3" s="484"/>
      <c r="EPA3" s="484"/>
      <c r="EPB3" s="484"/>
      <c r="EPC3" s="484"/>
      <c r="EPD3" s="484"/>
      <c r="EPE3" s="484"/>
      <c r="EPF3" s="484"/>
      <c r="EPG3" s="484"/>
      <c r="EPH3" s="484"/>
      <c r="EPI3" s="484"/>
      <c r="EPJ3" s="484"/>
      <c r="EPK3" s="484"/>
      <c r="EPL3" s="484"/>
      <c r="EPM3" s="484"/>
      <c r="EPN3" s="484"/>
      <c r="EPO3" s="484"/>
      <c r="EPP3" s="484"/>
      <c r="EPQ3" s="484"/>
      <c r="EPR3" s="484"/>
      <c r="EPS3" s="484"/>
      <c r="EPT3" s="484"/>
      <c r="EPU3" s="484"/>
      <c r="EPV3" s="484"/>
      <c r="EPW3" s="484"/>
      <c r="EPX3" s="484"/>
      <c r="EPY3" s="484"/>
      <c r="EPZ3" s="484"/>
      <c r="EQA3" s="484"/>
      <c r="EQB3" s="484"/>
      <c r="EQC3" s="484"/>
      <c r="EQD3" s="484"/>
      <c r="EQE3" s="484"/>
      <c r="EQF3" s="484"/>
      <c r="EQG3" s="484"/>
      <c r="EQH3" s="484"/>
      <c r="EQI3" s="484"/>
      <c r="EQJ3" s="484"/>
      <c r="EQK3" s="484"/>
      <c r="EQL3" s="484"/>
      <c r="EQM3" s="484"/>
      <c r="EQN3" s="484"/>
      <c r="EQO3" s="484"/>
      <c r="EQP3" s="484"/>
      <c r="EQQ3" s="484"/>
      <c r="EQR3" s="484"/>
      <c r="EQS3" s="484"/>
      <c r="EQT3" s="484"/>
      <c r="EQU3" s="484"/>
      <c r="EQV3" s="484"/>
      <c r="EQW3" s="484"/>
      <c r="EQX3" s="484"/>
      <c r="EQY3" s="484"/>
      <c r="EQZ3" s="484"/>
      <c r="ERA3" s="484"/>
      <c r="ERB3" s="484"/>
      <c r="ERC3" s="484"/>
      <c r="ERD3" s="484"/>
      <c r="ERE3" s="484"/>
      <c r="ERF3" s="484"/>
      <c r="ERG3" s="484"/>
      <c r="ERH3" s="484"/>
      <c r="ERI3" s="484"/>
      <c r="ERJ3" s="484"/>
      <c r="ERK3" s="484"/>
      <c r="ERL3" s="484"/>
      <c r="ERM3" s="484"/>
      <c r="ERN3" s="484"/>
      <c r="ERO3" s="484"/>
      <c r="ERP3" s="484"/>
      <c r="ERQ3" s="484"/>
      <c r="ERR3" s="484"/>
      <c r="ERS3" s="484"/>
      <c r="ERT3" s="484"/>
      <c r="ERU3" s="484"/>
      <c r="ERV3" s="484"/>
      <c r="ERW3" s="484"/>
      <c r="ERX3" s="484"/>
      <c r="ERY3" s="484"/>
      <c r="ERZ3" s="484"/>
      <c r="ESA3" s="484"/>
      <c r="ESB3" s="484"/>
      <c r="ESC3" s="484"/>
      <c r="ESD3" s="484"/>
      <c r="ESE3" s="484"/>
      <c r="ESF3" s="484"/>
      <c r="ESG3" s="484"/>
      <c r="ESH3" s="484"/>
      <c r="ESI3" s="484"/>
      <c r="ESJ3" s="484"/>
      <c r="ESK3" s="484"/>
      <c r="ESL3" s="484"/>
      <c r="ESM3" s="484"/>
      <c r="ESN3" s="484"/>
      <c r="ESO3" s="484"/>
      <c r="ESP3" s="484"/>
      <c r="ESQ3" s="484"/>
      <c r="ESR3" s="484"/>
      <c r="ESS3" s="484"/>
      <c r="EST3" s="484"/>
      <c r="ESU3" s="484"/>
      <c r="ESV3" s="484"/>
      <c r="ESW3" s="484"/>
      <c r="ESX3" s="484"/>
      <c r="ESY3" s="484"/>
      <c r="ESZ3" s="484"/>
      <c r="ETA3" s="484"/>
      <c r="ETB3" s="484"/>
      <c r="ETC3" s="484"/>
      <c r="ETD3" s="484"/>
      <c r="ETE3" s="484"/>
      <c r="ETF3" s="484"/>
      <c r="ETG3" s="484"/>
      <c r="ETH3" s="484"/>
      <c r="ETI3" s="484"/>
      <c r="ETJ3" s="484"/>
      <c r="ETK3" s="484"/>
      <c r="ETL3" s="484"/>
      <c r="ETM3" s="484"/>
      <c r="ETN3" s="484"/>
      <c r="ETO3" s="484"/>
      <c r="ETP3" s="484"/>
      <c r="ETQ3" s="484"/>
      <c r="ETR3" s="484"/>
      <c r="ETS3" s="484"/>
      <c r="ETT3" s="484"/>
      <c r="ETU3" s="484"/>
      <c r="ETV3" s="484"/>
      <c r="ETW3" s="484"/>
      <c r="ETX3" s="484"/>
      <c r="ETY3" s="484"/>
      <c r="ETZ3" s="484"/>
      <c r="EUA3" s="484"/>
      <c r="EUB3" s="484"/>
      <c r="EUC3" s="484"/>
      <c r="EUD3" s="484"/>
      <c r="EUE3" s="484"/>
      <c r="EUF3" s="484"/>
      <c r="EUG3" s="484"/>
      <c r="EUH3" s="484"/>
      <c r="EUI3" s="484"/>
      <c r="EUJ3" s="484"/>
      <c r="EUK3" s="484"/>
      <c r="EUL3" s="484"/>
      <c r="EUM3" s="484"/>
      <c r="EUN3" s="484"/>
      <c r="EUO3" s="484"/>
      <c r="EUP3" s="484"/>
      <c r="EUQ3" s="484"/>
      <c r="EUR3" s="484"/>
      <c r="EUS3" s="484"/>
      <c r="EUT3" s="484"/>
      <c r="EUU3" s="484"/>
      <c r="EUV3" s="484"/>
      <c r="EUW3" s="484"/>
      <c r="EUX3" s="484"/>
      <c r="EUY3" s="484"/>
      <c r="EUZ3" s="484"/>
      <c r="EVA3" s="484"/>
      <c r="EVB3" s="484"/>
      <c r="EVC3" s="484"/>
      <c r="EVD3" s="484"/>
      <c r="EVE3" s="484"/>
      <c r="EVF3" s="484"/>
      <c r="EVG3" s="484"/>
      <c r="EVH3" s="484"/>
      <c r="EVI3" s="484"/>
      <c r="EVJ3" s="484"/>
      <c r="EVK3" s="484"/>
      <c r="EVL3" s="484"/>
      <c r="EVM3" s="484"/>
      <c r="EVN3" s="484"/>
      <c r="EVO3" s="484"/>
      <c r="EVP3" s="484"/>
      <c r="EVQ3" s="484"/>
      <c r="EVR3" s="484"/>
      <c r="EVS3" s="484"/>
      <c r="EVT3" s="484"/>
      <c r="EVU3" s="484"/>
      <c r="EVV3" s="484"/>
      <c r="EVW3" s="484"/>
      <c r="EVX3" s="484"/>
      <c r="EVY3" s="484"/>
      <c r="EVZ3" s="484"/>
      <c r="EWA3" s="484"/>
      <c r="EWB3" s="484"/>
      <c r="EWC3" s="484"/>
      <c r="EWD3" s="484"/>
      <c r="EWE3" s="484"/>
      <c r="EWF3" s="484"/>
      <c r="EWG3" s="484"/>
      <c r="EWH3" s="484"/>
      <c r="EWI3" s="484"/>
      <c r="EWJ3" s="484"/>
      <c r="EWK3" s="484"/>
      <c r="EWL3" s="484"/>
      <c r="EWM3" s="484"/>
      <c r="EWN3" s="484"/>
      <c r="EWO3" s="484"/>
      <c r="EWP3" s="484"/>
      <c r="EWQ3" s="484"/>
      <c r="EWR3" s="484"/>
      <c r="EWS3" s="484"/>
      <c r="EWT3" s="484"/>
      <c r="EWU3" s="484"/>
      <c r="EWV3" s="484"/>
      <c r="EWW3" s="484"/>
      <c r="EWX3" s="484"/>
      <c r="EWY3" s="484"/>
      <c r="EWZ3" s="484"/>
      <c r="EXA3" s="484"/>
      <c r="EXB3" s="484"/>
      <c r="EXC3" s="484"/>
      <c r="EXD3" s="484"/>
      <c r="EXE3" s="484"/>
      <c r="EXF3" s="484"/>
      <c r="EXG3" s="484"/>
      <c r="EXH3" s="484"/>
      <c r="EXI3" s="484"/>
      <c r="EXJ3" s="484"/>
      <c r="EXK3" s="484"/>
      <c r="EXL3" s="484"/>
      <c r="EXM3" s="484"/>
      <c r="EXN3" s="484"/>
      <c r="EXO3" s="484"/>
      <c r="EXP3" s="484"/>
      <c r="EXQ3" s="484"/>
      <c r="EXR3" s="484"/>
      <c r="EXS3" s="484"/>
      <c r="EXT3" s="484"/>
      <c r="EXU3" s="484"/>
      <c r="EXV3" s="484"/>
      <c r="EXW3" s="484"/>
      <c r="EXX3" s="484"/>
      <c r="EXY3" s="484"/>
      <c r="EXZ3" s="484"/>
      <c r="EYA3" s="484"/>
      <c r="EYB3" s="484"/>
      <c r="EYC3" s="484"/>
      <c r="EYD3" s="484"/>
      <c r="EYE3" s="484"/>
      <c r="EYF3" s="484"/>
      <c r="EYG3" s="484"/>
      <c r="EYH3" s="484"/>
      <c r="EYI3" s="484"/>
      <c r="EYJ3" s="484"/>
      <c r="EYK3" s="484"/>
      <c r="EYL3" s="484"/>
      <c r="EYM3" s="484"/>
      <c r="EYN3" s="484"/>
      <c r="EYO3" s="484"/>
      <c r="EYP3" s="484"/>
      <c r="EYQ3" s="484"/>
      <c r="EYR3" s="484"/>
      <c r="EYS3" s="484"/>
      <c r="EYT3" s="484"/>
      <c r="EYU3" s="484"/>
      <c r="EYV3" s="484"/>
      <c r="EYW3" s="484"/>
      <c r="EYX3" s="484"/>
      <c r="EYY3" s="484"/>
      <c r="EYZ3" s="484"/>
      <c r="EZA3" s="484"/>
      <c r="EZB3" s="484"/>
      <c r="EZC3" s="484"/>
      <c r="EZD3" s="484"/>
      <c r="EZE3" s="484"/>
      <c r="EZF3" s="484"/>
      <c r="EZG3" s="484"/>
      <c r="EZH3" s="484"/>
      <c r="EZI3" s="484"/>
      <c r="EZJ3" s="484"/>
      <c r="EZK3" s="484"/>
      <c r="EZL3" s="484"/>
      <c r="EZM3" s="484"/>
      <c r="EZN3" s="484"/>
      <c r="EZO3" s="484"/>
      <c r="EZP3" s="484"/>
      <c r="EZQ3" s="484"/>
      <c r="EZR3" s="484"/>
      <c r="EZS3" s="484"/>
      <c r="EZT3" s="484"/>
      <c r="EZU3" s="484"/>
      <c r="EZV3" s="484"/>
      <c r="EZW3" s="484"/>
      <c r="EZX3" s="484"/>
      <c r="EZY3" s="484"/>
      <c r="EZZ3" s="484"/>
      <c r="FAA3" s="484"/>
      <c r="FAB3" s="484"/>
      <c r="FAC3" s="484"/>
      <c r="FAD3" s="484"/>
      <c r="FAE3" s="484"/>
      <c r="FAF3" s="484"/>
      <c r="FAG3" s="484"/>
      <c r="FAH3" s="484"/>
      <c r="FAI3" s="484"/>
      <c r="FAJ3" s="484"/>
      <c r="FAK3" s="484"/>
      <c r="FAL3" s="484"/>
      <c r="FAM3" s="484"/>
      <c r="FAN3" s="484"/>
      <c r="FAO3" s="484"/>
      <c r="FAP3" s="484"/>
      <c r="FAQ3" s="484"/>
      <c r="FAR3" s="484"/>
      <c r="FAS3" s="484"/>
      <c r="FAT3" s="484"/>
      <c r="FAU3" s="484"/>
      <c r="FAV3" s="484"/>
      <c r="FAW3" s="484"/>
      <c r="FAX3" s="484"/>
      <c r="FAY3" s="484"/>
      <c r="FAZ3" s="484"/>
      <c r="FBA3" s="484"/>
      <c r="FBB3" s="484"/>
      <c r="FBC3" s="484"/>
      <c r="FBD3" s="484"/>
      <c r="FBE3" s="484"/>
      <c r="FBF3" s="484"/>
      <c r="FBG3" s="484"/>
      <c r="FBH3" s="484"/>
      <c r="FBI3" s="484"/>
      <c r="FBJ3" s="484"/>
      <c r="FBK3" s="484"/>
      <c r="FBL3" s="484"/>
      <c r="FBM3" s="484"/>
      <c r="FBN3" s="484"/>
      <c r="FBO3" s="484"/>
      <c r="FBP3" s="484"/>
      <c r="FBQ3" s="484"/>
      <c r="FBR3" s="484"/>
      <c r="FBS3" s="484"/>
      <c r="FBT3" s="484"/>
      <c r="FBU3" s="484"/>
      <c r="FBV3" s="484"/>
      <c r="FBW3" s="484"/>
      <c r="FBX3" s="484"/>
      <c r="FBY3" s="484"/>
      <c r="FBZ3" s="484"/>
      <c r="FCA3" s="484"/>
      <c r="FCB3" s="484"/>
      <c r="FCC3" s="484"/>
      <c r="FCD3" s="484"/>
      <c r="FCE3" s="484"/>
      <c r="FCF3" s="484"/>
      <c r="FCG3" s="484"/>
      <c r="FCH3" s="484"/>
      <c r="FCI3" s="484"/>
      <c r="FCJ3" s="484"/>
      <c r="FCK3" s="484"/>
      <c r="FCL3" s="484"/>
      <c r="FCM3" s="484"/>
      <c r="FCN3" s="484"/>
      <c r="FCO3" s="484"/>
      <c r="FCP3" s="484"/>
      <c r="FCQ3" s="484"/>
      <c r="FCR3" s="484"/>
      <c r="FCS3" s="484"/>
      <c r="FCT3" s="484"/>
      <c r="FCU3" s="484"/>
      <c r="FCV3" s="484"/>
      <c r="FCW3" s="484"/>
      <c r="FCX3" s="484"/>
      <c r="FCY3" s="484"/>
      <c r="FCZ3" s="484"/>
      <c r="FDA3" s="484"/>
      <c r="FDB3" s="484"/>
      <c r="FDC3" s="484"/>
      <c r="FDD3" s="484"/>
      <c r="FDE3" s="484"/>
      <c r="FDF3" s="484"/>
      <c r="FDG3" s="484"/>
      <c r="FDH3" s="484"/>
      <c r="FDI3" s="484"/>
      <c r="FDJ3" s="484"/>
      <c r="FDK3" s="484"/>
      <c r="FDL3" s="484"/>
      <c r="FDM3" s="484"/>
      <c r="FDN3" s="484"/>
      <c r="FDO3" s="484"/>
      <c r="FDP3" s="484"/>
      <c r="FDQ3" s="484"/>
      <c r="FDR3" s="484"/>
      <c r="FDS3" s="484"/>
      <c r="FDT3" s="484"/>
      <c r="FDU3" s="484"/>
      <c r="FDV3" s="484"/>
      <c r="FDW3" s="484"/>
      <c r="FDX3" s="484"/>
      <c r="FDY3" s="484"/>
      <c r="FDZ3" s="484"/>
      <c r="FEA3" s="484"/>
      <c r="FEB3" s="484"/>
      <c r="FEC3" s="484"/>
      <c r="FED3" s="484"/>
      <c r="FEE3" s="484"/>
      <c r="FEF3" s="484"/>
      <c r="FEG3" s="484"/>
      <c r="FEH3" s="484"/>
      <c r="FEI3" s="484"/>
      <c r="FEJ3" s="484"/>
      <c r="FEK3" s="484"/>
      <c r="FEL3" s="484"/>
      <c r="FEM3" s="484"/>
      <c r="FEN3" s="484"/>
      <c r="FEO3" s="484"/>
      <c r="FEP3" s="484"/>
      <c r="FEQ3" s="484"/>
      <c r="FER3" s="484"/>
      <c r="FES3" s="484"/>
      <c r="FET3" s="484"/>
      <c r="FEU3" s="484"/>
      <c r="FEV3" s="484"/>
      <c r="FEW3" s="484"/>
      <c r="FEX3" s="484"/>
      <c r="FEY3" s="484"/>
      <c r="FEZ3" s="484"/>
      <c r="FFA3" s="484"/>
      <c r="FFB3" s="484"/>
      <c r="FFC3" s="484"/>
      <c r="FFD3" s="484"/>
      <c r="FFE3" s="484"/>
      <c r="FFF3" s="484"/>
      <c r="FFG3" s="484"/>
      <c r="FFH3" s="484"/>
      <c r="FFI3" s="484"/>
      <c r="FFJ3" s="484"/>
      <c r="FFK3" s="484"/>
      <c r="FFL3" s="484"/>
      <c r="FFM3" s="484"/>
      <c r="FFN3" s="484"/>
      <c r="FFO3" s="484"/>
      <c r="FFP3" s="484"/>
      <c r="FFQ3" s="484"/>
      <c r="FFR3" s="484"/>
      <c r="FFS3" s="484"/>
      <c r="FFT3" s="484"/>
      <c r="FFU3" s="484"/>
      <c r="FFV3" s="484"/>
      <c r="FFW3" s="484"/>
      <c r="FFX3" s="484"/>
      <c r="FFY3" s="484"/>
      <c r="FFZ3" s="484"/>
      <c r="FGA3" s="484"/>
      <c r="FGB3" s="484"/>
      <c r="FGC3" s="484"/>
      <c r="FGD3" s="484"/>
      <c r="FGE3" s="484"/>
      <c r="FGF3" s="484"/>
      <c r="FGG3" s="484"/>
      <c r="FGH3" s="484"/>
      <c r="FGI3" s="484"/>
      <c r="FGJ3" s="484"/>
      <c r="FGK3" s="484"/>
      <c r="FGL3" s="484"/>
      <c r="FGM3" s="484"/>
      <c r="FGN3" s="484"/>
      <c r="FGO3" s="484"/>
      <c r="FGP3" s="484"/>
      <c r="FGQ3" s="484"/>
      <c r="FGR3" s="484"/>
      <c r="FGS3" s="484"/>
      <c r="FGT3" s="484"/>
      <c r="FGU3" s="484"/>
      <c r="FGV3" s="484"/>
      <c r="FGW3" s="484"/>
      <c r="FGX3" s="484"/>
      <c r="FGY3" s="484"/>
      <c r="FGZ3" s="484"/>
      <c r="FHA3" s="484"/>
      <c r="FHB3" s="484"/>
      <c r="FHC3" s="484"/>
      <c r="FHD3" s="484"/>
      <c r="FHE3" s="484"/>
      <c r="FHF3" s="484"/>
      <c r="FHG3" s="484"/>
      <c r="FHH3" s="484"/>
      <c r="FHI3" s="484"/>
      <c r="FHJ3" s="484"/>
      <c r="FHK3" s="484"/>
      <c r="FHL3" s="484"/>
      <c r="FHM3" s="484"/>
      <c r="FHN3" s="484"/>
      <c r="FHO3" s="484"/>
      <c r="FHP3" s="484"/>
      <c r="FHQ3" s="484"/>
      <c r="FHR3" s="484"/>
      <c r="FHS3" s="484"/>
      <c r="FHT3" s="484"/>
      <c r="FHU3" s="484"/>
      <c r="FHV3" s="484"/>
      <c r="FHW3" s="484"/>
      <c r="FHX3" s="484"/>
      <c r="FHY3" s="484"/>
      <c r="FHZ3" s="484"/>
      <c r="FIA3" s="484"/>
      <c r="FIB3" s="484"/>
      <c r="FIC3" s="484"/>
      <c r="FID3" s="484"/>
      <c r="FIE3" s="484"/>
      <c r="FIF3" s="484"/>
      <c r="FIG3" s="484"/>
      <c r="FIH3" s="484"/>
      <c r="FII3" s="484"/>
      <c r="FIJ3" s="484"/>
      <c r="FIK3" s="484"/>
      <c r="FIL3" s="484"/>
      <c r="FIM3" s="484"/>
      <c r="FIN3" s="484"/>
      <c r="FIO3" s="484"/>
      <c r="FIP3" s="484"/>
      <c r="FIQ3" s="484"/>
      <c r="FIR3" s="484"/>
      <c r="FIS3" s="484"/>
      <c r="FIT3" s="484"/>
      <c r="FIU3" s="484"/>
      <c r="FIV3" s="484"/>
      <c r="FIW3" s="484"/>
      <c r="FIX3" s="484"/>
      <c r="FIY3" s="484"/>
      <c r="FIZ3" s="484"/>
      <c r="FJA3" s="484"/>
      <c r="FJB3" s="484"/>
      <c r="FJC3" s="484"/>
      <c r="FJD3" s="484"/>
      <c r="FJE3" s="484"/>
      <c r="FJF3" s="484"/>
      <c r="FJG3" s="484"/>
      <c r="FJH3" s="484"/>
      <c r="FJI3" s="484"/>
      <c r="FJJ3" s="484"/>
      <c r="FJK3" s="484"/>
      <c r="FJL3" s="484"/>
      <c r="FJM3" s="484"/>
      <c r="FJN3" s="484"/>
      <c r="FJO3" s="484"/>
      <c r="FJP3" s="484"/>
      <c r="FJQ3" s="484"/>
      <c r="FJR3" s="484"/>
      <c r="FJS3" s="484"/>
      <c r="FJT3" s="484"/>
      <c r="FJU3" s="484"/>
      <c r="FJV3" s="484"/>
      <c r="FJW3" s="484"/>
      <c r="FJX3" s="484"/>
      <c r="FJY3" s="484"/>
      <c r="FJZ3" s="484"/>
      <c r="FKA3" s="484"/>
      <c r="FKB3" s="484"/>
      <c r="FKC3" s="484"/>
      <c r="FKD3" s="484"/>
      <c r="FKE3" s="484"/>
      <c r="FKF3" s="484"/>
      <c r="FKG3" s="484"/>
      <c r="FKH3" s="484"/>
      <c r="FKI3" s="484"/>
      <c r="FKJ3" s="484"/>
      <c r="FKK3" s="484"/>
      <c r="FKL3" s="484"/>
      <c r="FKM3" s="484"/>
      <c r="FKN3" s="484"/>
      <c r="FKO3" s="484"/>
      <c r="FKP3" s="484"/>
      <c r="FKQ3" s="484"/>
      <c r="FKR3" s="484"/>
      <c r="FKS3" s="484"/>
      <c r="FKT3" s="484"/>
      <c r="FKU3" s="484"/>
      <c r="FKV3" s="484"/>
      <c r="FKW3" s="484"/>
      <c r="FKX3" s="484"/>
      <c r="FKY3" s="484"/>
      <c r="FKZ3" s="484"/>
      <c r="FLA3" s="484"/>
      <c r="FLB3" s="484"/>
      <c r="FLC3" s="484"/>
      <c r="FLD3" s="484"/>
      <c r="FLE3" s="484"/>
      <c r="FLF3" s="484"/>
      <c r="FLG3" s="484"/>
      <c r="FLH3" s="484"/>
      <c r="FLI3" s="484"/>
      <c r="FLJ3" s="484"/>
      <c r="FLK3" s="484"/>
      <c r="FLL3" s="484"/>
      <c r="FLM3" s="484"/>
      <c r="FLN3" s="484"/>
      <c r="FLO3" s="484"/>
      <c r="FLP3" s="484"/>
      <c r="FLQ3" s="484"/>
      <c r="FLR3" s="484"/>
      <c r="FLS3" s="484"/>
      <c r="FLT3" s="484"/>
      <c r="FLU3" s="484"/>
      <c r="FLV3" s="484"/>
      <c r="FLW3" s="484"/>
      <c r="FLX3" s="484"/>
      <c r="FLY3" s="484"/>
      <c r="FLZ3" s="484"/>
      <c r="FMA3" s="484"/>
      <c r="FMB3" s="484"/>
      <c r="FMC3" s="484"/>
      <c r="FMD3" s="484"/>
      <c r="FME3" s="484"/>
      <c r="FMF3" s="484"/>
      <c r="FMG3" s="484"/>
      <c r="FMH3" s="484"/>
      <c r="FMI3" s="484"/>
      <c r="FMJ3" s="484"/>
      <c r="FMK3" s="484"/>
      <c r="FML3" s="484"/>
      <c r="FMM3" s="484"/>
      <c r="FMN3" s="484"/>
      <c r="FMO3" s="484"/>
      <c r="FMP3" s="484"/>
      <c r="FMQ3" s="484"/>
      <c r="FMR3" s="484"/>
      <c r="FMS3" s="484"/>
      <c r="FMT3" s="484"/>
      <c r="FMU3" s="484"/>
      <c r="FMV3" s="484"/>
      <c r="FMW3" s="484"/>
      <c r="FMX3" s="484"/>
      <c r="FMY3" s="484"/>
      <c r="FMZ3" s="484"/>
      <c r="FNA3" s="484"/>
      <c r="FNB3" s="484"/>
      <c r="FNC3" s="484"/>
      <c r="FND3" s="484"/>
      <c r="FNE3" s="484"/>
      <c r="FNF3" s="484"/>
      <c r="FNG3" s="484"/>
      <c r="FNH3" s="484"/>
      <c r="FNI3" s="484"/>
      <c r="FNJ3" s="484"/>
      <c r="FNK3" s="484"/>
      <c r="FNL3" s="484"/>
      <c r="FNM3" s="484"/>
      <c r="FNN3" s="484"/>
      <c r="FNO3" s="484"/>
      <c r="FNP3" s="484"/>
      <c r="FNQ3" s="484"/>
      <c r="FNR3" s="484"/>
      <c r="FNS3" s="484"/>
      <c r="FNT3" s="484"/>
      <c r="FNU3" s="484"/>
      <c r="FNV3" s="484"/>
      <c r="FNW3" s="484"/>
      <c r="FNX3" s="484"/>
      <c r="FNY3" s="484"/>
      <c r="FNZ3" s="484"/>
      <c r="FOA3" s="484"/>
      <c r="FOB3" s="484"/>
      <c r="FOC3" s="484"/>
      <c r="FOD3" s="484"/>
      <c r="FOE3" s="484"/>
      <c r="FOF3" s="484"/>
      <c r="FOG3" s="484"/>
      <c r="FOH3" s="484"/>
      <c r="FOI3" s="484"/>
      <c r="FOJ3" s="484"/>
      <c r="FOK3" s="484"/>
      <c r="FOL3" s="484"/>
      <c r="FOM3" s="484"/>
      <c r="FON3" s="484"/>
      <c r="FOO3" s="484"/>
      <c r="FOP3" s="484"/>
      <c r="FOQ3" s="484"/>
      <c r="FOR3" s="484"/>
      <c r="FOS3" s="484"/>
      <c r="FOT3" s="484"/>
      <c r="FOU3" s="484"/>
      <c r="FOV3" s="484"/>
      <c r="FOW3" s="484"/>
      <c r="FOX3" s="484"/>
      <c r="FOY3" s="484"/>
      <c r="FOZ3" s="484"/>
      <c r="FPA3" s="484"/>
      <c r="FPB3" s="484"/>
      <c r="FPC3" s="484"/>
      <c r="FPD3" s="484"/>
      <c r="FPE3" s="484"/>
      <c r="FPF3" s="484"/>
      <c r="FPG3" s="484"/>
      <c r="FPH3" s="484"/>
      <c r="FPI3" s="484"/>
      <c r="FPJ3" s="484"/>
      <c r="FPK3" s="484"/>
      <c r="FPL3" s="484"/>
      <c r="FPM3" s="484"/>
      <c r="FPN3" s="484"/>
      <c r="FPO3" s="484"/>
      <c r="FPP3" s="484"/>
      <c r="FPQ3" s="484"/>
      <c r="FPR3" s="484"/>
      <c r="FPS3" s="484"/>
      <c r="FPT3" s="484"/>
      <c r="FPU3" s="484"/>
      <c r="FPV3" s="484"/>
      <c r="FPW3" s="484"/>
      <c r="FPX3" s="484"/>
      <c r="FPY3" s="484"/>
      <c r="FPZ3" s="484"/>
      <c r="FQA3" s="484"/>
      <c r="FQB3" s="484"/>
      <c r="FQC3" s="484"/>
      <c r="FQD3" s="484"/>
      <c r="FQE3" s="484"/>
      <c r="FQF3" s="484"/>
      <c r="FQG3" s="484"/>
      <c r="FQH3" s="484"/>
      <c r="FQI3" s="484"/>
      <c r="FQJ3" s="484"/>
      <c r="FQK3" s="484"/>
      <c r="FQL3" s="484"/>
      <c r="FQM3" s="484"/>
      <c r="FQN3" s="484"/>
      <c r="FQO3" s="484"/>
      <c r="FQP3" s="484"/>
      <c r="FQQ3" s="484"/>
      <c r="FQR3" s="484"/>
      <c r="FQS3" s="484"/>
      <c r="FQT3" s="484"/>
      <c r="FQU3" s="484"/>
      <c r="FQV3" s="484"/>
      <c r="FQW3" s="484"/>
      <c r="FQX3" s="484"/>
      <c r="FQY3" s="484"/>
      <c r="FQZ3" s="484"/>
      <c r="FRA3" s="484"/>
      <c r="FRB3" s="484"/>
      <c r="FRC3" s="484"/>
      <c r="FRD3" s="484"/>
      <c r="FRE3" s="484"/>
      <c r="FRF3" s="484"/>
      <c r="FRG3" s="484"/>
      <c r="FRH3" s="484"/>
      <c r="FRI3" s="484"/>
      <c r="FRJ3" s="484"/>
      <c r="FRK3" s="484"/>
      <c r="FRL3" s="484"/>
      <c r="FRM3" s="484"/>
      <c r="FRN3" s="484"/>
      <c r="FRO3" s="484"/>
      <c r="FRP3" s="484"/>
      <c r="FRQ3" s="484"/>
      <c r="FRR3" s="484"/>
      <c r="FRS3" s="484"/>
      <c r="FRT3" s="484"/>
      <c r="FRU3" s="484"/>
      <c r="FRV3" s="484"/>
      <c r="FRW3" s="484"/>
      <c r="FRX3" s="484"/>
      <c r="FRY3" s="484"/>
      <c r="FRZ3" s="484"/>
      <c r="FSA3" s="484"/>
      <c r="FSB3" s="484"/>
      <c r="FSC3" s="484"/>
      <c r="FSD3" s="484"/>
      <c r="FSE3" s="484"/>
      <c r="FSF3" s="484"/>
      <c r="FSG3" s="484"/>
      <c r="FSH3" s="484"/>
      <c r="FSI3" s="484"/>
      <c r="FSJ3" s="484"/>
      <c r="FSK3" s="484"/>
      <c r="FSL3" s="484"/>
      <c r="FSM3" s="484"/>
      <c r="FSN3" s="484"/>
      <c r="FSO3" s="484"/>
      <c r="FSP3" s="484"/>
      <c r="FSQ3" s="484"/>
      <c r="FSR3" s="484"/>
      <c r="FSS3" s="484"/>
      <c r="FST3" s="484"/>
      <c r="FSU3" s="484"/>
      <c r="FSV3" s="484"/>
      <c r="FSW3" s="484"/>
      <c r="FSX3" s="484"/>
      <c r="FSY3" s="484"/>
      <c r="FSZ3" s="484"/>
      <c r="FTA3" s="484"/>
      <c r="FTB3" s="484"/>
      <c r="FTC3" s="484"/>
      <c r="FTD3" s="484"/>
      <c r="FTE3" s="484"/>
      <c r="FTF3" s="484"/>
      <c r="FTG3" s="484"/>
      <c r="FTH3" s="484"/>
      <c r="FTI3" s="484"/>
      <c r="FTJ3" s="484"/>
      <c r="FTK3" s="484"/>
      <c r="FTL3" s="484"/>
      <c r="FTM3" s="484"/>
      <c r="FTN3" s="484"/>
      <c r="FTO3" s="484"/>
      <c r="FTP3" s="484"/>
      <c r="FTQ3" s="484"/>
      <c r="FTR3" s="484"/>
      <c r="FTS3" s="484"/>
      <c r="FTT3" s="484"/>
      <c r="FTU3" s="484"/>
      <c r="FTV3" s="484"/>
      <c r="FTW3" s="484"/>
      <c r="FTX3" s="484"/>
      <c r="FTY3" s="484"/>
      <c r="FTZ3" s="484"/>
      <c r="FUA3" s="484"/>
      <c r="FUB3" s="484"/>
      <c r="FUC3" s="484"/>
      <c r="FUD3" s="484"/>
      <c r="FUE3" s="484"/>
      <c r="FUF3" s="484"/>
      <c r="FUG3" s="484"/>
      <c r="FUH3" s="484"/>
      <c r="FUI3" s="484"/>
      <c r="FUJ3" s="484"/>
      <c r="FUK3" s="484"/>
      <c r="FUL3" s="484"/>
      <c r="FUM3" s="484"/>
      <c r="FUN3" s="484"/>
      <c r="FUO3" s="484"/>
      <c r="FUP3" s="484"/>
      <c r="FUQ3" s="484"/>
      <c r="FUR3" s="484"/>
      <c r="FUS3" s="484"/>
      <c r="FUT3" s="484"/>
      <c r="FUU3" s="484"/>
      <c r="FUV3" s="484"/>
      <c r="FUW3" s="484"/>
      <c r="FUX3" s="484"/>
      <c r="FUY3" s="484"/>
      <c r="FUZ3" s="484"/>
      <c r="FVA3" s="484"/>
      <c r="FVB3" s="484"/>
      <c r="FVC3" s="484"/>
      <c r="FVD3" s="484"/>
      <c r="FVE3" s="484"/>
      <c r="FVF3" s="484"/>
      <c r="FVG3" s="484"/>
      <c r="FVH3" s="484"/>
      <c r="FVI3" s="484"/>
      <c r="FVJ3" s="484"/>
      <c r="FVK3" s="484"/>
      <c r="FVL3" s="484"/>
      <c r="FVM3" s="484"/>
      <c r="FVN3" s="484"/>
      <c r="FVO3" s="484"/>
      <c r="FVP3" s="484"/>
      <c r="FVQ3" s="484"/>
      <c r="FVR3" s="484"/>
      <c r="FVS3" s="484"/>
      <c r="FVT3" s="484"/>
      <c r="FVU3" s="484"/>
      <c r="FVV3" s="484"/>
      <c r="FVW3" s="484"/>
      <c r="FVX3" s="484"/>
      <c r="FVY3" s="484"/>
      <c r="FVZ3" s="484"/>
      <c r="FWA3" s="484"/>
      <c r="FWB3" s="484"/>
      <c r="FWC3" s="484"/>
      <c r="FWD3" s="484"/>
      <c r="FWE3" s="484"/>
      <c r="FWF3" s="484"/>
      <c r="FWG3" s="484"/>
      <c r="FWH3" s="484"/>
      <c r="FWI3" s="484"/>
      <c r="FWJ3" s="484"/>
      <c r="FWK3" s="484"/>
      <c r="FWL3" s="484"/>
      <c r="FWM3" s="484"/>
      <c r="FWN3" s="484"/>
      <c r="FWO3" s="484"/>
      <c r="FWP3" s="484"/>
      <c r="FWQ3" s="484"/>
      <c r="FWR3" s="484"/>
      <c r="FWS3" s="484"/>
      <c r="FWT3" s="484"/>
      <c r="FWU3" s="484"/>
      <c r="FWV3" s="484"/>
      <c r="FWW3" s="484"/>
      <c r="FWX3" s="484"/>
      <c r="FWY3" s="484"/>
      <c r="FWZ3" s="484"/>
      <c r="FXA3" s="484"/>
      <c r="FXB3" s="484"/>
      <c r="FXC3" s="484"/>
      <c r="FXD3" s="484"/>
      <c r="FXE3" s="484"/>
      <c r="FXF3" s="484"/>
      <c r="FXG3" s="484"/>
      <c r="FXH3" s="484"/>
      <c r="FXI3" s="484"/>
      <c r="FXJ3" s="484"/>
      <c r="FXK3" s="484"/>
      <c r="FXL3" s="484"/>
      <c r="FXM3" s="484"/>
      <c r="FXN3" s="484"/>
      <c r="FXO3" s="484"/>
      <c r="FXP3" s="484"/>
      <c r="FXQ3" s="484"/>
      <c r="FXR3" s="484"/>
      <c r="FXS3" s="484"/>
      <c r="FXT3" s="484"/>
      <c r="FXU3" s="484"/>
      <c r="FXV3" s="484"/>
      <c r="FXW3" s="484"/>
      <c r="FXX3" s="484"/>
      <c r="FXY3" s="484"/>
      <c r="FXZ3" s="484"/>
      <c r="FYA3" s="484"/>
      <c r="FYB3" s="484"/>
      <c r="FYC3" s="484"/>
      <c r="FYD3" s="484"/>
      <c r="FYE3" s="484"/>
      <c r="FYF3" s="484"/>
      <c r="FYG3" s="484"/>
      <c r="FYH3" s="484"/>
      <c r="FYI3" s="484"/>
      <c r="FYJ3" s="484"/>
      <c r="FYK3" s="484"/>
      <c r="FYL3" s="484"/>
      <c r="FYM3" s="484"/>
      <c r="FYN3" s="484"/>
      <c r="FYO3" s="484"/>
      <c r="FYP3" s="484"/>
      <c r="FYQ3" s="484"/>
      <c r="FYR3" s="484"/>
      <c r="FYS3" s="484"/>
      <c r="FYT3" s="484"/>
      <c r="FYU3" s="484"/>
      <c r="FYV3" s="484"/>
      <c r="FYW3" s="484"/>
      <c r="FYX3" s="484"/>
      <c r="FYY3" s="484"/>
      <c r="FYZ3" s="484"/>
      <c r="FZA3" s="484"/>
      <c r="FZB3" s="484"/>
      <c r="FZC3" s="484"/>
      <c r="FZD3" s="484"/>
      <c r="FZE3" s="484"/>
      <c r="FZF3" s="484"/>
      <c r="FZG3" s="484"/>
      <c r="FZH3" s="484"/>
      <c r="FZI3" s="484"/>
      <c r="FZJ3" s="484"/>
      <c r="FZK3" s="484"/>
      <c r="FZL3" s="484"/>
      <c r="FZM3" s="484"/>
      <c r="FZN3" s="484"/>
      <c r="FZO3" s="484"/>
      <c r="FZP3" s="484"/>
      <c r="FZQ3" s="484"/>
      <c r="FZR3" s="484"/>
      <c r="FZS3" s="484"/>
      <c r="FZT3" s="484"/>
      <c r="FZU3" s="484"/>
      <c r="FZV3" s="484"/>
      <c r="FZW3" s="484"/>
      <c r="FZX3" s="484"/>
      <c r="FZY3" s="484"/>
      <c r="FZZ3" s="484"/>
      <c r="GAA3" s="484"/>
      <c r="GAB3" s="484"/>
      <c r="GAC3" s="484"/>
      <c r="GAD3" s="484"/>
      <c r="GAE3" s="484"/>
      <c r="GAF3" s="484"/>
      <c r="GAG3" s="484"/>
      <c r="GAH3" s="484"/>
      <c r="GAI3" s="484"/>
      <c r="GAJ3" s="484"/>
      <c r="GAK3" s="484"/>
      <c r="GAL3" s="484"/>
      <c r="GAM3" s="484"/>
      <c r="GAN3" s="484"/>
      <c r="GAO3" s="484"/>
      <c r="GAP3" s="484"/>
      <c r="GAQ3" s="484"/>
      <c r="GAR3" s="484"/>
      <c r="GAS3" s="484"/>
      <c r="GAT3" s="484"/>
      <c r="GAU3" s="484"/>
      <c r="GAV3" s="484"/>
      <c r="GAW3" s="484"/>
      <c r="GAX3" s="484"/>
      <c r="GAY3" s="484"/>
      <c r="GAZ3" s="484"/>
      <c r="GBA3" s="484"/>
      <c r="GBB3" s="484"/>
      <c r="GBC3" s="484"/>
      <c r="GBD3" s="484"/>
      <c r="GBE3" s="484"/>
      <c r="GBF3" s="484"/>
      <c r="GBG3" s="484"/>
      <c r="GBH3" s="484"/>
      <c r="GBI3" s="484"/>
      <c r="GBJ3" s="484"/>
      <c r="GBK3" s="484"/>
      <c r="GBL3" s="484"/>
      <c r="GBM3" s="484"/>
      <c r="GBN3" s="484"/>
      <c r="GBO3" s="484"/>
      <c r="GBP3" s="484"/>
      <c r="GBQ3" s="484"/>
      <c r="GBR3" s="484"/>
      <c r="GBS3" s="484"/>
      <c r="GBT3" s="484"/>
      <c r="GBU3" s="484"/>
      <c r="GBV3" s="484"/>
      <c r="GBW3" s="484"/>
      <c r="GBX3" s="484"/>
      <c r="GBY3" s="484"/>
      <c r="GBZ3" s="484"/>
      <c r="GCA3" s="484"/>
      <c r="GCB3" s="484"/>
      <c r="GCC3" s="484"/>
      <c r="GCD3" s="484"/>
      <c r="GCE3" s="484"/>
      <c r="GCF3" s="484"/>
      <c r="GCG3" s="484"/>
      <c r="GCH3" s="484"/>
      <c r="GCI3" s="484"/>
      <c r="GCJ3" s="484"/>
      <c r="GCK3" s="484"/>
      <c r="GCL3" s="484"/>
      <c r="GCM3" s="484"/>
      <c r="GCN3" s="484"/>
      <c r="GCO3" s="484"/>
      <c r="GCP3" s="484"/>
      <c r="GCQ3" s="484"/>
      <c r="GCR3" s="484"/>
      <c r="GCS3" s="484"/>
      <c r="GCT3" s="484"/>
      <c r="GCU3" s="484"/>
      <c r="GCV3" s="484"/>
      <c r="GCW3" s="484"/>
      <c r="GCX3" s="484"/>
      <c r="GCY3" s="484"/>
      <c r="GCZ3" s="484"/>
      <c r="GDA3" s="484"/>
      <c r="GDB3" s="484"/>
      <c r="GDC3" s="484"/>
      <c r="GDD3" s="484"/>
      <c r="GDE3" s="484"/>
      <c r="GDF3" s="484"/>
      <c r="GDG3" s="484"/>
      <c r="GDH3" s="484"/>
      <c r="GDI3" s="484"/>
      <c r="GDJ3" s="484"/>
      <c r="GDK3" s="484"/>
      <c r="GDL3" s="484"/>
      <c r="GDM3" s="484"/>
      <c r="GDN3" s="484"/>
      <c r="GDO3" s="484"/>
      <c r="GDP3" s="484"/>
      <c r="GDQ3" s="484"/>
      <c r="GDR3" s="484"/>
      <c r="GDS3" s="484"/>
      <c r="GDT3" s="484"/>
      <c r="GDU3" s="484"/>
      <c r="GDV3" s="484"/>
      <c r="GDW3" s="484"/>
      <c r="GDX3" s="484"/>
      <c r="GDY3" s="484"/>
      <c r="GDZ3" s="484"/>
      <c r="GEA3" s="484"/>
      <c r="GEB3" s="484"/>
      <c r="GEC3" s="484"/>
      <c r="GED3" s="484"/>
      <c r="GEE3" s="484"/>
      <c r="GEF3" s="484"/>
      <c r="GEG3" s="484"/>
      <c r="GEH3" s="484"/>
      <c r="GEI3" s="484"/>
      <c r="GEJ3" s="484"/>
      <c r="GEK3" s="484"/>
      <c r="GEL3" s="484"/>
      <c r="GEM3" s="484"/>
      <c r="GEN3" s="484"/>
      <c r="GEO3" s="484"/>
      <c r="GEP3" s="484"/>
      <c r="GEQ3" s="484"/>
      <c r="GER3" s="484"/>
      <c r="GES3" s="484"/>
      <c r="GET3" s="484"/>
      <c r="GEU3" s="484"/>
      <c r="GEV3" s="484"/>
      <c r="GEW3" s="484"/>
      <c r="GEX3" s="484"/>
      <c r="GEY3" s="484"/>
      <c r="GEZ3" s="484"/>
      <c r="GFA3" s="484"/>
      <c r="GFB3" s="484"/>
      <c r="GFC3" s="484"/>
      <c r="GFD3" s="484"/>
      <c r="GFE3" s="484"/>
      <c r="GFF3" s="484"/>
      <c r="GFG3" s="484"/>
      <c r="GFH3" s="484"/>
      <c r="GFI3" s="484"/>
      <c r="GFJ3" s="484"/>
      <c r="GFK3" s="484"/>
      <c r="GFL3" s="484"/>
      <c r="GFM3" s="484"/>
      <c r="GFN3" s="484"/>
      <c r="GFO3" s="484"/>
      <c r="GFP3" s="484"/>
      <c r="GFQ3" s="484"/>
      <c r="GFR3" s="484"/>
      <c r="GFS3" s="484"/>
      <c r="GFT3" s="484"/>
      <c r="GFU3" s="484"/>
      <c r="GFV3" s="484"/>
      <c r="GFW3" s="484"/>
      <c r="GFX3" s="484"/>
      <c r="GFY3" s="484"/>
      <c r="GFZ3" s="484"/>
      <c r="GGA3" s="484"/>
      <c r="GGB3" s="484"/>
      <c r="GGC3" s="484"/>
      <c r="GGD3" s="484"/>
      <c r="GGE3" s="484"/>
      <c r="GGF3" s="484"/>
      <c r="GGG3" s="484"/>
      <c r="GGH3" s="484"/>
      <c r="GGI3" s="484"/>
      <c r="GGJ3" s="484"/>
      <c r="GGK3" s="484"/>
      <c r="GGL3" s="484"/>
      <c r="GGM3" s="484"/>
      <c r="GGN3" s="484"/>
      <c r="GGO3" s="484"/>
      <c r="GGP3" s="484"/>
      <c r="GGQ3" s="484"/>
      <c r="GGR3" s="484"/>
      <c r="GGS3" s="484"/>
      <c r="GGT3" s="484"/>
      <c r="GGU3" s="484"/>
      <c r="GGV3" s="484"/>
      <c r="GGW3" s="484"/>
      <c r="GGX3" s="484"/>
      <c r="GGY3" s="484"/>
      <c r="GGZ3" s="484"/>
      <c r="GHA3" s="484"/>
      <c r="GHB3" s="484"/>
      <c r="GHC3" s="484"/>
      <c r="GHD3" s="484"/>
      <c r="GHE3" s="484"/>
      <c r="GHF3" s="484"/>
      <c r="GHG3" s="484"/>
      <c r="GHH3" s="484"/>
      <c r="GHI3" s="484"/>
      <c r="GHJ3" s="484"/>
      <c r="GHK3" s="484"/>
      <c r="GHL3" s="484"/>
      <c r="GHM3" s="484"/>
      <c r="GHN3" s="484"/>
      <c r="GHO3" s="484"/>
      <c r="GHP3" s="484"/>
      <c r="GHQ3" s="484"/>
      <c r="GHR3" s="484"/>
      <c r="GHS3" s="484"/>
      <c r="GHT3" s="484"/>
      <c r="GHU3" s="484"/>
      <c r="GHV3" s="484"/>
      <c r="GHW3" s="484"/>
      <c r="GHX3" s="484"/>
      <c r="GHY3" s="484"/>
      <c r="GHZ3" s="484"/>
      <c r="GIA3" s="484"/>
      <c r="GIB3" s="484"/>
      <c r="GIC3" s="484"/>
      <c r="GID3" s="484"/>
      <c r="GIE3" s="484"/>
      <c r="GIF3" s="484"/>
      <c r="GIG3" s="484"/>
      <c r="GIH3" s="484"/>
      <c r="GII3" s="484"/>
      <c r="GIJ3" s="484"/>
      <c r="GIK3" s="484"/>
      <c r="GIL3" s="484"/>
      <c r="GIM3" s="484"/>
      <c r="GIN3" s="484"/>
      <c r="GIO3" s="484"/>
      <c r="GIP3" s="484"/>
      <c r="GIQ3" s="484"/>
      <c r="GIR3" s="484"/>
      <c r="GIS3" s="484"/>
      <c r="GIT3" s="484"/>
      <c r="GIU3" s="484"/>
      <c r="GIV3" s="484"/>
      <c r="GIW3" s="484"/>
      <c r="GIX3" s="484"/>
      <c r="GIY3" s="484"/>
      <c r="GIZ3" s="484"/>
      <c r="GJA3" s="484"/>
      <c r="GJB3" s="484"/>
      <c r="GJC3" s="484"/>
      <c r="GJD3" s="484"/>
      <c r="GJE3" s="484"/>
      <c r="GJF3" s="484"/>
      <c r="GJG3" s="484"/>
      <c r="GJH3" s="484"/>
      <c r="GJI3" s="484"/>
      <c r="GJJ3" s="484"/>
      <c r="GJK3" s="484"/>
      <c r="GJL3" s="484"/>
      <c r="GJM3" s="484"/>
      <c r="GJN3" s="484"/>
      <c r="GJO3" s="484"/>
      <c r="GJP3" s="484"/>
      <c r="GJQ3" s="484"/>
      <c r="GJR3" s="484"/>
      <c r="GJS3" s="484"/>
      <c r="GJT3" s="484"/>
      <c r="GJU3" s="484"/>
      <c r="GJV3" s="484"/>
      <c r="GJW3" s="484"/>
      <c r="GJX3" s="484"/>
      <c r="GJY3" s="484"/>
      <c r="GJZ3" s="484"/>
      <c r="GKA3" s="484"/>
      <c r="GKB3" s="484"/>
      <c r="GKC3" s="484"/>
      <c r="GKD3" s="484"/>
      <c r="GKE3" s="484"/>
      <c r="GKF3" s="484"/>
      <c r="GKG3" s="484"/>
      <c r="GKH3" s="484"/>
      <c r="GKI3" s="484"/>
      <c r="GKJ3" s="484"/>
      <c r="GKK3" s="484"/>
      <c r="GKL3" s="484"/>
      <c r="GKM3" s="484"/>
      <c r="GKN3" s="484"/>
      <c r="GKO3" s="484"/>
      <c r="GKP3" s="484"/>
      <c r="GKQ3" s="484"/>
      <c r="GKR3" s="484"/>
      <c r="GKS3" s="484"/>
      <c r="GKT3" s="484"/>
      <c r="GKU3" s="484"/>
      <c r="GKV3" s="484"/>
      <c r="GKW3" s="484"/>
      <c r="GKX3" s="484"/>
      <c r="GKY3" s="484"/>
      <c r="GKZ3" s="484"/>
      <c r="GLA3" s="484"/>
      <c r="GLB3" s="484"/>
      <c r="GLC3" s="484"/>
      <c r="GLD3" s="484"/>
      <c r="GLE3" s="484"/>
      <c r="GLF3" s="484"/>
      <c r="GLG3" s="484"/>
      <c r="GLH3" s="484"/>
      <c r="GLI3" s="484"/>
      <c r="GLJ3" s="484"/>
      <c r="GLK3" s="484"/>
      <c r="GLL3" s="484"/>
      <c r="GLM3" s="484"/>
      <c r="GLN3" s="484"/>
      <c r="GLO3" s="484"/>
      <c r="GLP3" s="484"/>
      <c r="GLQ3" s="484"/>
      <c r="GLR3" s="484"/>
      <c r="GLS3" s="484"/>
      <c r="GLT3" s="484"/>
      <c r="GLU3" s="484"/>
      <c r="GLV3" s="484"/>
      <c r="GLW3" s="484"/>
      <c r="GLX3" s="484"/>
      <c r="GLY3" s="484"/>
      <c r="GLZ3" s="484"/>
      <c r="GMA3" s="484"/>
      <c r="GMB3" s="484"/>
      <c r="GMC3" s="484"/>
      <c r="GMD3" s="484"/>
      <c r="GME3" s="484"/>
      <c r="GMF3" s="484"/>
      <c r="GMG3" s="484"/>
      <c r="GMH3" s="484"/>
      <c r="GMI3" s="484"/>
      <c r="GMJ3" s="484"/>
      <c r="GMK3" s="484"/>
      <c r="GML3" s="484"/>
      <c r="GMM3" s="484"/>
      <c r="GMN3" s="484"/>
      <c r="GMO3" s="484"/>
      <c r="GMP3" s="484"/>
      <c r="GMQ3" s="484"/>
      <c r="GMR3" s="484"/>
      <c r="GMS3" s="484"/>
      <c r="GMT3" s="484"/>
      <c r="GMU3" s="484"/>
      <c r="GMV3" s="484"/>
      <c r="GMW3" s="484"/>
      <c r="GMX3" s="484"/>
      <c r="GMY3" s="484"/>
      <c r="GMZ3" s="484"/>
      <c r="GNA3" s="484"/>
      <c r="GNB3" s="484"/>
      <c r="GNC3" s="484"/>
      <c r="GND3" s="484"/>
      <c r="GNE3" s="484"/>
      <c r="GNF3" s="484"/>
      <c r="GNG3" s="484"/>
      <c r="GNH3" s="484"/>
      <c r="GNI3" s="484"/>
      <c r="GNJ3" s="484"/>
      <c r="GNK3" s="484"/>
      <c r="GNL3" s="484"/>
      <c r="GNM3" s="484"/>
      <c r="GNN3" s="484"/>
      <c r="GNO3" s="484"/>
      <c r="GNP3" s="484"/>
      <c r="GNQ3" s="484"/>
      <c r="GNR3" s="484"/>
      <c r="GNS3" s="484"/>
      <c r="GNT3" s="484"/>
      <c r="GNU3" s="484"/>
      <c r="GNV3" s="484"/>
      <c r="GNW3" s="484"/>
      <c r="GNX3" s="484"/>
      <c r="GNY3" s="484"/>
      <c r="GNZ3" s="484"/>
      <c r="GOA3" s="484"/>
      <c r="GOB3" s="484"/>
      <c r="GOC3" s="484"/>
      <c r="GOD3" s="484"/>
      <c r="GOE3" s="484"/>
      <c r="GOF3" s="484"/>
      <c r="GOG3" s="484"/>
      <c r="GOH3" s="484"/>
      <c r="GOI3" s="484"/>
      <c r="GOJ3" s="484"/>
      <c r="GOK3" s="484"/>
      <c r="GOL3" s="484"/>
      <c r="GOM3" s="484"/>
      <c r="GON3" s="484"/>
      <c r="GOO3" s="484"/>
      <c r="GOP3" s="484"/>
      <c r="GOQ3" s="484"/>
      <c r="GOR3" s="484"/>
      <c r="GOS3" s="484"/>
      <c r="GOT3" s="484"/>
      <c r="GOU3" s="484"/>
      <c r="GOV3" s="484"/>
      <c r="GOW3" s="484"/>
      <c r="GOX3" s="484"/>
      <c r="GOY3" s="484"/>
      <c r="GOZ3" s="484"/>
      <c r="GPA3" s="484"/>
      <c r="GPB3" s="484"/>
      <c r="GPC3" s="484"/>
      <c r="GPD3" s="484"/>
      <c r="GPE3" s="484"/>
      <c r="GPF3" s="484"/>
      <c r="GPG3" s="484"/>
      <c r="GPH3" s="484"/>
      <c r="GPI3" s="484"/>
      <c r="GPJ3" s="484"/>
      <c r="GPK3" s="484"/>
      <c r="GPL3" s="484"/>
      <c r="GPM3" s="484"/>
      <c r="GPN3" s="484"/>
      <c r="GPO3" s="484"/>
      <c r="GPP3" s="484"/>
      <c r="GPQ3" s="484"/>
      <c r="GPR3" s="484"/>
      <c r="GPS3" s="484"/>
      <c r="GPT3" s="484"/>
      <c r="GPU3" s="484"/>
      <c r="GPV3" s="484"/>
      <c r="GPW3" s="484"/>
      <c r="GPX3" s="484"/>
      <c r="GPY3" s="484"/>
      <c r="GPZ3" s="484"/>
      <c r="GQA3" s="484"/>
      <c r="GQB3" s="484"/>
      <c r="GQC3" s="484"/>
      <c r="GQD3" s="484"/>
      <c r="GQE3" s="484"/>
      <c r="GQF3" s="484"/>
      <c r="GQG3" s="484"/>
      <c r="GQH3" s="484"/>
      <c r="GQI3" s="484"/>
      <c r="GQJ3" s="484"/>
      <c r="GQK3" s="484"/>
      <c r="GQL3" s="484"/>
      <c r="GQM3" s="484"/>
      <c r="GQN3" s="484"/>
      <c r="GQO3" s="484"/>
      <c r="GQP3" s="484"/>
      <c r="GQQ3" s="484"/>
      <c r="GQR3" s="484"/>
      <c r="GQS3" s="484"/>
      <c r="GQT3" s="484"/>
      <c r="GQU3" s="484"/>
      <c r="GQV3" s="484"/>
      <c r="GQW3" s="484"/>
      <c r="GQX3" s="484"/>
      <c r="GQY3" s="484"/>
      <c r="GQZ3" s="484"/>
      <c r="GRA3" s="484"/>
      <c r="GRB3" s="484"/>
      <c r="GRC3" s="484"/>
      <c r="GRD3" s="484"/>
      <c r="GRE3" s="484"/>
      <c r="GRF3" s="484"/>
      <c r="GRG3" s="484"/>
      <c r="GRH3" s="484"/>
      <c r="GRI3" s="484"/>
      <c r="GRJ3" s="484"/>
      <c r="GRK3" s="484"/>
      <c r="GRL3" s="484"/>
      <c r="GRM3" s="484"/>
      <c r="GRN3" s="484"/>
      <c r="GRO3" s="484"/>
      <c r="GRP3" s="484"/>
      <c r="GRQ3" s="484"/>
      <c r="GRR3" s="484"/>
      <c r="GRS3" s="484"/>
      <c r="GRT3" s="484"/>
      <c r="GRU3" s="484"/>
      <c r="GRV3" s="484"/>
      <c r="GRW3" s="484"/>
      <c r="GRX3" s="484"/>
      <c r="GRY3" s="484"/>
      <c r="GRZ3" s="484"/>
      <c r="GSA3" s="484"/>
      <c r="GSB3" s="484"/>
      <c r="GSC3" s="484"/>
      <c r="GSD3" s="484"/>
      <c r="GSE3" s="484"/>
      <c r="GSF3" s="484"/>
      <c r="GSG3" s="484"/>
      <c r="GSH3" s="484"/>
      <c r="GSI3" s="484"/>
      <c r="GSJ3" s="484"/>
      <c r="GSK3" s="484"/>
      <c r="GSL3" s="484"/>
      <c r="GSM3" s="484"/>
      <c r="GSN3" s="484"/>
      <c r="GSO3" s="484"/>
      <c r="GSP3" s="484"/>
      <c r="GSQ3" s="484"/>
      <c r="GSR3" s="484"/>
      <c r="GSS3" s="484"/>
      <c r="GST3" s="484"/>
      <c r="GSU3" s="484"/>
      <c r="GSV3" s="484"/>
      <c r="GSW3" s="484"/>
      <c r="GSX3" s="484"/>
      <c r="GSY3" s="484"/>
      <c r="GSZ3" s="484"/>
      <c r="GTA3" s="484"/>
      <c r="GTB3" s="484"/>
      <c r="GTC3" s="484"/>
      <c r="GTD3" s="484"/>
      <c r="GTE3" s="484"/>
      <c r="GTF3" s="484"/>
      <c r="GTG3" s="484"/>
      <c r="GTH3" s="484"/>
      <c r="GTI3" s="484"/>
      <c r="GTJ3" s="484"/>
      <c r="GTK3" s="484"/>
      <c r="GTL3" s="484"/>
      <c r="GTM3" s="484"/>
      <c r="GTN3" s="484"/>
      <c r="GTO3" s="484"/>
      <c r="GTP3" s="484"/>
      <c r="GTQ3" s="484"/>
      <c r="GTR3" s="484"/>
      <c r="GTS3" s="484"/>
      <c r="GTT3" s="484"/>
      <c r="GTU3" s="484"/>
      <c r="GTV3" s="484"/>
      <c r="GTW3" s="484"/>
      <c r="GTX3" s="484"/>
      <c r="GTY3" s="484"/>
      <c r="GTZ3" s="484"/>
      <c r="GUA3" s="484"/>
      <c r="GUB3" s="484"/>
      <c r="GUC3" s="484"/>
      <c r="GUD3" s="484"/>
      <c r="GUE3" s="484"/>
      <c r="GUF3" s="484"/>
      <c r="GUG3" s="484"/>
      <c r="GUH3" s="484"/>
      <c r="GUI3" s="484"/>
      <c r="GUJ3" s="484"/>
      <c r="GUK3" s="484"/>
      <c r="GUL3" s="484"/>
      <c r="GUM3" s="484"/>
      <c r="GUN3" s="484"/>
      <c r="GUO3" s="484"/>
      <c r="GUP3" s="484"/>
      <c r="GUQ3" s="484"/>
      <c r="GUR3" s="484"/>
      <c r="GUS3" s="484"/>
      <c r="GUT3" s="484"/>
      <c r="GUU3" s="484"/>
      <c r="GUV3" s="484"/>
      <c r="GUW3" s="484"/>
      <c r="GUX3" s="484"/>
      <c r="GUY3" s="484"/>
      <c r="GUZ3" s="484"/>
      <c r="GVA3" s="484"/>
      <c r="GVB3" s="484"/>
      <c r="GVC3" s="484"/>
      <c r="GVD3" s="484"/>
      <c r="GVE3" s="484"/>
      <c r="GVF3" s="484"/>
      <c r="GVG3" s="484"/>
      <c r="GVH3" s="484"/>
      <c r="GVI3" s="484"/>
      <c r="GVJ3" s="484"/>
      <c r="GVK3" s="484"/>
      <c r="GVL3" s="484"/>
      <c r="GVM3" s="484"/>
      <c r="GVN3" s="484"/>
      <c r="GVO3" s="484"/>
      <c r="GVP3" s="484"/>
      <c r="GVQ3" s="484"/>
      <c r="GVR3" s="484"/>
      <c r="GVS3" s="484"/>
      <c r="GVT3" s="484"/>
      <c r="GVU3" s="484"/>
      <c r="GVV3" s="484"/>
      <c r="GVW3" s="484"/>
      <c r="GVX3" s="484"/>
      <c r="GVY3" s="484"/>
      <c r="GVZ3" s="484"/>
      <c r="GWA3" s="484"/>
      <c r="GWB3" s="484"/>
      <c r="GWC3" s="484"/>
      <c r="GWD3" s="484"/>
      <c r="GWE3" s="484"/>
      <c r="GWF3" s="484"/>
      <c r="GWG3" s="484"/>
      <c r="GWH3" s="484"/>
      <c r="GWI3" s="484"/>
      <c r="GWJ3" s="484"/>
      <c r="GWK3" s="484"/>
      <c r="GWL3" s="484"/>
      <c r="GWM3" s="484"/>
      <c r="GWN3" s="484"/>
      <c r="GWO3" s="484"/>
      <c r="GWP3" s="484"/>
      <c r="GWQ3" s="484"/>
      <c r="GWR3" s="484"/>
      <c r="GWS3" s="484"/>
      <c r="GWT3" s="484"/>
      <c r="GWU3" s="484"/>
      <c r="GWV3" s="484"/>
      <c r="GWW3" s="484"/>
      <c r="GWX3" s="484"/>
      <c r="GWY3" s="484"/>
      <c r="GWZ3" s="484"/>
      <c r="GXA3" s="484"/>
      <c r="GXB3" s="484"/>
      <c r="GXC3" s="484"/>
      <c r="GXD3" s="484"/>
      <c r="GXE3" s="484"/>
      <c r="GXF3" s="484"/>
      <c r="GXG3" s="484"/>
      <c r="GXH3" s="484"/>
      <c r="GXI3" s="484"/>
      <c r="GXJ3" s="484"/>
      <c r="GXK3" s="484"/>
      <c r="GXL3" s="484"/>
      <c r="GXM3" s="484"/>
      <c r="GXN3" s="484"/>
      <c r="GXO3" s="484"/>
      <c r="GXP3" s="484"/>
      <c r="GXQ3" s="484"/>
      <c r="GXR3" s="484"/>
      <c r="GXS3" s="484"/>
      <c r="GXT3" s="484"/>
      <c r="GXU3" s="484"/>
      <c r="GXV3" s="484"/>
      <c r="GXW3" s="484"/>
      <c r="GXX3" s="484"/>
      <c r="GXY3" s="484"/>
      <c r="GXZ3" s="484"/>
      <c r="GYA3" s="484"/>
      <c r="GYB3" s="484"/>
      <c r="GYC3" s="484"/>
      <c r="GYD3" s="484"/>
      <c r="GYE3" s="484"/>
      <c r="GYF3" s="484"/>
      <c r="GYG3" s="484"/>
      <c r="GYH3" s="484"/>
      <c r="GYI3" s="484"/>
      <c r="GYJ3" s="484"/>
      <c r="GYK3" s="484"/>
      <c r="GYL3" s="484"/>
      <c r="GYM3" s="484"/>
      <c r="GYN3" s="484"/>
      <c r="GYO3" s="484"/>
      <c r="GYP3" s="484"/>
      <c r="GYQ3" s="484"/>
      <c r="GYR3" s="484"/>
      <c r="GYS3" s="484"/>
      <c r="GYT3" s="484"/>
      <c r="GYU3" s="484"/>
      <c r="GYV3" s="484"/>
      <c r="GYW3" s="484"/>
      <c r="GYX3" s="484"/>
      <c r="GYY3" s="484"/>
      <c r="GYZ3" s="484"/>
      <c r="GZA3" s="484"/>
      <c r="GZB3" s="484"/>
      <c r="GZC3" s="484"/>
      <c r="GZD3" s="484"/>
      <c r="GZE3" s="484"/>
      <c r="GZF3" s="484"/>
      <c r="GZG3" s="484"/>
      <c r="GZH3" s="484"/>
      <c r="GZI3" s="484"/>
      <c r="GZJ3" s="484"/>
      <c r="GZK3" s="484"/>
      <c r="GZL3" s="484"/>
      <c r="GZM3" s="484"/>
      <c r="GZN3" s="484"/>
      <c r="GZO3" s="484"/>
      <c r="GZP3" s="484"/>
      <c r="GZQ3" s="484"/>
      <c r="GZR3" s="484"/>
      <c r="GZS3" s="484"/>
      <c r="GZT3" s="484"/>
      <c r="GZU3" s="484"/>
      <c r="GZV3" s="484"/>
      <c r="GZW3" s="484"/>
      <c r="GZX3" s="484"/>
      <c r="GZY3" s="484"/>
      <c r="GZZ3" s="484"/>
      <c r="HAA3" s="484"/>
      <c r="HAB3" s="484"/>
      <c r="HAC3" s="484"/>
      <c r="HAD3" s="484"/>
      <c r="HAE3" s="484"/>
      <c r="HAF3" s="484"/>
      <c r="HAG3" s="484"/>
      <c r="HAH3" s="484"/>
      <c r="HAI3" s="484"/>
      <c r="HAJ3" s="484"/>
      <c r="HAK3" s="484"/>
      <c r="HAL3" s="484"/>
      <c r="HAM3" s="484"/>
      <c r="HAN3" s="484"/>
      <c r="HAO3" s="484"/>
      <c r="HAP3" s="484"/>
      <c r="HAQ3" s="484"/>
      <c r="HAR3" s="484"/>
      <c r="HAS3" s="484"/>
      <c r="HAT3" s="484"/>
      <c r="HAU3" s="484"/>
      <c r="HAV3" s="484"/>
      <c r="HAW3" s="484"/>
      <c r="HAX3" s="484"/>
      <c r="HAY3" s="484"/>
      <c r="HAZ3" s="484"/>
      <c r="HBA3" s="484"/>
      <c r="HBB3" s="484"/>
      <c r="HBC3" s="484"/>
      <c r="HBD3" s="484"/>
      <c r="HBE3" s="484"/>
      <c r="HBF3" s="484"/>
      <c r="HBG3" s="484"/>
      <c r="HBH3" s="484"/>
      <c r="HBI3" s="484"/>
      <c r="HBJ3" s="484"/>
      <c r="HBK3" s="484"/>
      <c r="HBL3" s="484"/>
      <c r="HBM3" s="484"/>
      <c r="HBN3" s="484"/>
      <c r="HBO3" s="484"/>
      <c r="HBP3" s="484"/>
      <c r="HBQ3" s="484"/>
      <c r="HBR3" s="484"/>
      <c r="HBS3" s="484"/>
      <c r="HBT3" s="484"/>
      <c r="HBU3" s="484"/>
      <c r="HBV3" s="484"/>
      <c r="HBW3" s="484"/>
      <c r="HBX3" s="484"/>
      <c r="HBY3" s="484"/>
      <c r="HBZ3" s="484"/>
      <c r="HCA3" s="484"/>
      <c r="HCB3" s="484"/>
      <c r="HCC3" s="484"/>
      <c r="HCD3" s="484"/>
      <c r="HCE3" s="484"/>
      <c r="HCF3" s="484"/>
      <c r="HCG3" s="484"/>
      <c r="HCH3" s="484"/>
      <c r="HCI3" s="484"/>
      <c r="HCJ3" s="484"/>
      <c r="HCK3" s="484"/>
      <c r="HCL3" s="484"/>
      <c r="HCM3" s="484"/>
      <c r="HCN3" s="484"/>
      <c r="HCO3" s="484"/>
      <c r="HCP3" s="484"/>
      <c r="HCQ3" s="484"/>
      <c r="HCR3" s="484"/>
      <c r="HCS3" s="484"/>
      <c r="HCT3" s="484"/>
      <c r="HCU3" s="484"/>
      <c r="HCV3" s="484"/>
      <c r="HCW3" s="484"/>
      <c r="HCX3" s="484"/>
      <c r="HCY3" s="484"/>
      <c r="HCZ3" s="484"/>
      <c r="HDA3" s="484"/>
      <c r="HDB3" s="484"/>
      <c r="HDC3" s="484"/>
      <c r="HDD3" s="484"/>
      <c r="HDE3" s="484"/>
      <c r="HDF3" s="484"/>
      <c r="HDG3" s="484"/>
      <c r="HDH3" s="484"/>
      <c r="HDI3" s="484"/>
      <c r="HDJ3" s="484"/>
      <c r="HDK3" s="484"/>
      <c r="HDL3" s="484"/>
      <c r="HDM3" s="484"/>
      <c r="HDN3" s="484"/>
      <c r="HDO3" s="484"/>
      <c r="HDP3" s="484"/>
      <c r="HDQ3" s="484"/>
      <c r="HDR3" s="484"/>
      <c r="HDS3" s="484"/>
      <c r="HDT3" s="484"/>
      <c r="HDU3" s="484"/>
      <c r="HDV3" s="484"/>
      <c r="HDW3" s="484"/>
      <c r="HDX3" s="484"/>
      <c r="HDY3" s="484"/>
      <c r="HDZ3" s="484"/>
      <c r="HEA3" s="484"/>
      <c r="HEB3" s="484"/>
      <c r="HEC3" s="484"/>
      <c r="HED3" s="484"/>
      <c r="HEE3" s="484"/>
      <c r="HEF3" s="484"/>
      <c r="HEG3" s="484"/>
      <c r="HEH3" s="484"/>
      <c r="HEI3" s="484"/>
      <c r="HEJ3" s="484"/>
      <c r="HEK3" s="484"/>
      <c r="HEL3" s="484"/>
      <c r="HEM3" s="484"/>
      <c r="HEN3" s="484"/>
      <c r="HEO3" s="484"/>
      <c r="HEP3" s="484"/>
      <c r="HEQ3" s="484"/>
      <c r="HER3" s="484"/>
      <c r="HES3" s="484"/>
      <c r="HET3" s="484"/>
      <c r="HEU3" s="484"/>
      <c r="HEV3" s="484"/>
      <c r="HEW3" s="484"/>
      <c r="HEX3" s="484"/>
      <c r="HEY3" s="484"/>
      <c r="HEZ3" s="484"/>
      <c r="HFA3" s="484"/>
      <c r="HFB3" s="484"/>
      <c r="HFC3" s="484"/>
      <c r="HFD3" s="484"/>
      <c r="HFE3" s="484"/>
      <c r="HFF3" s="484"/>
      <c r="HFG3" s="484"/>
      <c r="HFH3" s="484"/>
      <c r="HFI3" s="484"/>
      <c r="HFJ3" s="484"/>
      <c r="HFK3" s="484"/>
      <c r="HFL3" s="484"/>
      <c r="HFM3" s="484"/>
      <c r="HFN3" s="484"/>
      <c r="HFO3" s="484"/>
      <c r="HFP3" s="484"/>
      <c r="HFQ3" s="484"/>
      <c r="HFR3" s="484"/>
      <c r="HFS3" s="484"/>
      <c r="HFT3" s="484"/>
      <c r="HFU3" s="484"/>
      <c r="HFV3" s="484"/>
      <c r="HFW3" s="484"/>
      <c r="HFX3" s="484"/>
      <c r="HFY3" s="484"/>
      <c r="HFZ3" s="484"/>
      <c r="HGA3" s="484"/>
      <c r="HGB3" s="484"/>
      <c r="HGC3" s="484"/>
      <c r="HGD3" s="484"/>
      <c r="HGE3" s="484"/>
      <c r="HGF3" s="484"/>
      <c r="HGG3" s="484"/>
      <c r="HGH3" s="484"/>
      <c r="HGI3" s="484"/>
      <c r="HGJ3" s="484"/>
      <c r="HGK3" s="484"/>
      <c r="HGL3" s="484"/>
      <c r="HGM3" s="484"/>
      <c r="HGN3" s="484"/>
      <c r="HGO3" s="484"/>
      <c r="HGP3" s="484"/>
      <c r="HGQ3" s="484"/>
      <c r="HGR3" s="484"/>
      <c r="HGS3" s="484"/>
      <c r="HGT3" s="484"/>
      <c r="HGU3" s="484"/>
      <c r="HGV3" s="484"/>
      <c r="HGW3" s="484"/>
      <c r="HGX3" s="484"/>
      <c r="HGY3" s="484"/>
      <c r="HGZ3" s="484"/>
      <c r="HHA3" s="484"/>
      <c r="HHB3" s="484"/>
      <c r="HHC3" s="484"/>
      <c r="HHD3" s="484"/>
      <c r="HHE3" s="484"/>
      <c r="HHF3" s="484"/>
      <c r="HHG3" s="484"/>
      <c r="HHH3" s="484"/>
      <c r="HHI3" s="484"/>
      <c r="HHJ3" s="484"/>
      <c r="HHK3" s="484"/>
      <c r="HHL3" s="484"/>
      <c r="HHM3" s="484"/>
      <c r="HHN3" s="484"/>
      <c r="HHO3" s="484"/>
      <c r="HHP3" s="484"/>
      <c r="HHQ3" s="484"/>
      <c r="HHR3" s="484"/>
      <c r="HHS3" s="484"/>
      <c r="HHT3" s="484"/>
      <c r="HHU3" s="484"/>
      <c r="HHV3" s="484"/>
      <c r="HHW3" s="484"/>
      <c r="HHX3" s="484"/>
      <c r="HHY3" s="484"/>
      <c r="HHZ3" s="484"/>
      <c r="HIA3" s="484"/>
      <c r="HIB3" s="484"/>
      <c r="HIC3" s="484"/>
      <c r="HID3" s="484"/>
      <c r="HIE3" s="484"/>
      <c r="HIF3" s="484"/>
      <c r="HIG3" s="484"/>
      <c r="HIH3" s="484"/>
      <c r="HII3" s="484"/>
      <c r="HIJ3" s="484"/>
      <c r="HIK3" s="484"/>
      <c r="HIL3" s="484"/>
      <c r="HIM3" s="484"/>
      <c r="HIN3" s="484"/>
      <c r="HIO3" s="484"/>
      <c r="HIP3" s="484"/>
      <c r="HIQ3" s="484"/>
      <c r="HIR3" s="484"/>
      <c r="HIS3" s="484"/>
      <c r="HIT3" s="484"/>
      <c r="HIU3" s="484"/>
      <c r="HIV3" s="484"/>
      <c r="HIW3" s="484"/>
      <c r="HIX3" s="484"/>
      <c r="HIY3" s="484"/>
      <c r="HIZ3" s="484"/>
      <c r="HJA3" s="484"/>
      <c r="HJB3" s="484"/>
      <c r="HJC3" s="484"/>
      <c r="HJD3" s="484"/>
      <c r="HJE3" s="484"/>
      <c r="HJF3" s="484"/>
      <c r="HJG3" s="484"/>
      <c r="HJH3" s="484"/>
      <c r="HJI3" s="484"/>
      <c r="HJJ3" s="484"/>
      <c r="HJK3" s="484"/>
      <c r="HJL3" s="484"/>
      <c r="HJM3" s="484"/>
      <c r="HJN3" s="484"/>
      <c r="HJO3" s="484"/>
      <c r="HJP3" s="484"/>
      <c r="HJQ3" s="484"/>
      <c r="HJR3" s="484"/>
      <c r="HJS3" s="484"/>
      <c r="HJT3" s="484"/>
      <c r="HJU3" s="484"/>
      <c r="HJV3" s="484"/>
      <c r="HJW3" s="484"/>
      <c r="HJX3" s="484"/>
      <c r="HJY3" s="484"/>
      <c r="HJZ3" s="484"/>
      <c r="HKA3" s="484"/>
      <c r="HKB3" s="484"/>
      <c r="HKC3" s="484"/>
      <c r="HKD3" s="484"/>
      <c r="HKE3" s="484"/>
      <c r="HKF3" s="484"/>
      <c r="HKG3" s="484"/>
      <c r="HKH3" s="484"/>
      <c r="HKI3" s="484"/>
      <c r="HKJ3" s="484"/>
      <c r="HKK3" s="484"/>
      <c r="HKL3" s="484"/>
      <c r="HKM3" s="484"/>
      <c r="HKN3" s="484"/>
      <c r="HKO3" s="484"/>
      <c r="HKP3" s="484"/>
      <c r="HKQ3" s="484"/>
      <c r="HKR3" s="484"/>
      <c r="HKS3" s="484"/>
      <c r="HKT3" s="484"/>
      <c r="HKU3" s="484"/>
      <c r="HKV3" s="484"/>
      <c r="HKW3" s="484"/>
      <c r="HKX3" s="484"/>
      <c r="HKY3" s="484"/>
      <c r="HKZ3" s="484"/>
      <c r="HLA3" s="484"/>
      <c r="HLB3" s="484"/>
      <c r="HLC3" s="484"/>
      <c r="HLD3" s="484"/>
      <c r="HLE3" s="484"/>
      <c r="HLF3" s="484"/>
      <c r="HLG3" s="484"/>
      <c r="HLH3" s="484"/>
      <c r="HLI3" s="484"/>
      <c r="HLJ3" s="484"/>
      <c r="HLK3" s="484"/>
      <c r="HLL3" s="484"/>
      <c r="HLM3" s="484"/>
      <c r="HLN3" s="484"/>
      <c r="HLO3" s="484"/>
      <c r="HLP3" s="484"/>
      <c r="HLQ3" s="484"/>
      <c r="HLR3" s="484"/>
      <c r="HLS3" s="484"/>
      <c r="HLT3" s="484"/>
      <c r="HLU3" s="484"/>
      <c r="HLV3" s="484"/>
      <c r="HLW3" s="484"/>
      <c r="HLX3" s="484"/>
      <c r="HLY3" s="484"/>
      <c r="HLZ3" s="484"/>
      <c r="HMA3" s="484"/>
      <c r="HMB3" s="484"/>
      <c r="HMC3" s="484"/>
      <c r="HMD3" s="484"/>
      <c r="HME3" s="484"/>
      <c r="HMF3" s="484"/>
      <c r="HMG3" s="484"/>
      <c r="HMH3" s="484"/>
      <c r="HMI3" s="484"/>
      <c r="HMJ3" s="484"/>
      <c r="HMK3" s="484"/>
      <c r="HML3" s="484"/>
      <c r="HMM3" s="484"/>
      <c r="HMN3" s="484"/>
      <c r="HMO3" s="484"/>
      <c r="HMP3" s="484"/>
      <c r="HMQ3" s="484"/>
      <c r="HMR3" s="484"/>
      <c r="HMS3" s="484"/>
      <c r="HMT3" s="484"/>
      <c r="HMU3" s="484"/>
      <c r="HMV3" s="484"/>
      <c r="HMW3" s="484"/>
      <c r="HMX3" s="484"/>
      <c r="HMY3" s="484"/>
      <c r="HMZ3" s="484"/>
      <c r="HNA3" s="484"/>
      <c r="HNB3" s="484"/>
      <c r="HNC3" s="484"/>
      <c r="HND3" s="484"/>
      <c r="HNE3" s="484"/>
      <c r="HNF3" s="484"/>
      <c r="HNG3" s="484"/>
      <c r="HNH3" s="484"/>
      <c r="HNI3" s="484"/>
      <c r="HNJ3" s="484"/>
      <c r="HNK3" s="484"/>
      <c r="HNL3" s="484"/>
      <c r="HNM3" s="484"/>
      <c r="HNN3" s="484"/>
      <c r="HNO3" s="484"/>
      <c r="HNP3" s="484"/>
      <c r="HNQ3" s="484"/>
      <c r="HNR3" s="484"/>
      <c r="HNS3" s="484"/>
      <c r="HNT3" s="484"/>
      <c r="HNU3" s="484"/>
      <c r="HNV3" s="484"/>
      <c r="HNW3" s="484"/>
      <c r="HNX3" s="484"/>
      <c r="HNY3" s="484"/>
      <c r="HNZ3" s="484"/>
      <c r="HOA3" s="484"/>
      <c r="HOB3" s="484"/>
      <c r="HOC3" s="484"/>
      <c r="HOD3" s="484"/>
      <c r="HOE3" s="484"/>
      <c r="HOF3" s="484"/>
      <c r="HOG3" s="484"/>
      <c r="HOH3" s="484"/>
      <c r="HOI3" s="484"/>
      <c r="HOJ3" s="484"/>
      <c r="HOK3" s="484"/>
      <c r="HOL3" s="484"/>
      <c r="HOM3" s="484"/>
      <c r="HON3" s="484"/>
      <c r="HOO3" s="484"/>
      <c r="HOP3" s="484"/>
      <c r="HOQ3" s="484"/>
      <c r="HOR3" s="484"/>
      <c r="HOS3" s="484"/>
      <c r="HOT3" s="484"/>
      <c r="HOU3" s="484"/>
      <c r="HOV3" s="484"/>
      <c r="HOW3" s="484"/>
      <c r="HOX3" s="484"/>
      <c r="HOY3" s="484"/>
      <c r="HOZ3" s="484"/>
      <c r="HPA3" s="484"/>
      <c r="HPB3" s="484"/>
      <c r="HPC3" s="484"/>
      <c r="HPD3" s="484"/>
      <c r="HPE3" s="484"/>
      <c r="HPF3" s="484"/>
      <c r="HPG3" s="484"/>
      <c r="HPH3" s="484"/>
      <c r="HPI3" s="484"/>
      <c r="HPJ3" s="484"/>
      <c r="HPK3" s="484"/>
      <c r="HPL3" s="484"/>
      <c r="HPM3" s="484"/>
      <c r="HPN3" s="484"/>
      <c r="HPO3" s="484"/>
      <c r="HPP3" s="484"/>
      <c r="HPQ3" s="484"/>
      <c r="HPR3" s="484"/>
      <c r="HPS3" s="484"/>
      <c r="HPT3" s="484"/>
      <c r="HPU3" s="484"/>
      <c r="HPV3" s="484"/>
      <c r="HPW3" s="484"/>
      <c r="HPX3" s="484"/>
      <c r="HPY3" s="484"/>
      <c r="HPZ3" s="484"/>
      <c r="HQA3" s="484"/>
      <c r="HQB3" s="484"/>
      <c r="HQC3" s="484"/>
      <c r="HQD3" s="484"/>
      <c r="HQE3" s="484"/>
      <c r="HQF3" s="484"/>
      <c r="HQG3" s="484"/>
      <c r="HQH3" s="484"/>
      <c r="HQI3" s="484"/>
      <c r="HQJ3" s="484"/>
      <c r="HQK3" s="484"/>
      <c r="HQL3" s="484"/>
      <c r="HQM3" s="484"/>
      <c r="HQN3" s="484"/>
      <c r="HQO3" s="484"/>
      <c r="HQP3" s="484"/>
      <c r="HQQ3" s="484"/>
      <c r="HQR3" s="484"/>
      <c r="HQS3" s="484"/>
      <c r="HQT3" s="484"/>
      <c r="HQU3" s="484"/>
      <c r="HQV3" s="484"/>
      <c r="HQW3" s="484"/>
      <c r="HQX3" s="484"/>
      <c r="HQY3" s="484"/>
      <c r="HQZ3" s="484"/>
      <c r="HRA3" s="484"/>
      <c r="HRB3" s="484"/>
      <c r="HRC3" s="484"/>
      <c r="HRD3" s="484"/>
      <c r="HRE3" s="484"/>
      <c r="HRF3" s="484"/>
      <c r="HRG3" s="484"/>
      <c r="HRH3" s="484"/>
      <c r="HRI3" s="484"/>
      <c r="HRJ3" s="484"/>
      <c r="HRK3" s="484"/>
      <c r="HRL3" s="484"/>
      <c r="HRM3" s="484"/>
      <c r="HRN3" s="484"/>
      <c r="HRO3" s="484"/>
      <c r="HRP3" s="484"/>
      <c r="HRQ3" s="484"/>
      <c r="HRR3" s="484"/>
      <c r="HRS3" s="484"/>
      <c r="HRT3" s="484"/>
      <c r="HRU3" s="484"/>
      <c r="HRV3" s="484"/>
      <c r="HRW3" s="484"/>
      <c r="HRX3" s="484"/>
      <c r="HRY3" s="484"/>
      <c r="HRZ3" s="484"/>
      <c r="HSA3" s="484"/>
      <c r="HSB3" s="484"/>
      <c r="HSC3" s="484"/>
      <c r="HSD3" s="484"/>
      <c r="HSE3" s="484"/>
      <c r="HSF3" s="484"/>
      <c r="HSG3" s="484"/>
      <c r="HSH3" s="484"/>
      <c r="HSI3" s="484"/>
      <c r="HSJ3" s="484"/>
      <c r="HSK3" s="484"/>
      <c r="HSL3" s="484"/>
      <c r="HSM3" s="484"/>
      <c r="HSN3" s="484"/>
      <c r="HSO3" s="484"/>
      <c r="HSP3" s="484"/>
      <c r="HSQ3" s="484"/>
      <c r="HSR3" s="484"/>
      <c r="HSS3" s="484"/>
      <c r="HST3" s="484"/>
      <c r="HSU3" s="484"/>
      <c r="HSV3" s="484"/>
      <c r="HSW3" s="484"/>
      <c r="HSX3" s="484"/>
      <c r="HSY3" s="484"/>
      <c r="HSZ3" s="484"/>
      <c r="HTA3" s="484"/>
      <c r="HTB3" s="484"/>
      <c r="HTC3" s="484"/>
      <c r="HTD3" s="484"/>
      <c r="HTE3" s="484"/>
      <c r="HTF3" s="484"/>
      <c r="HTG3" s="484"/>
      <c r="HTH3" s="484"/>
      <c r="HTI3" s="484"/>
      <c r="HTJ3" s="484"/>
      <c r="HTK3" s="484"/>
      <c r="HTL3" s="484"/>
      <c r="HTM3" s="484"/>
      <c r="HTN3" s="484"/>
      <c r="HTO3" s="484"/>
      <c r="HTP3" s="484"/>
      <c r="HTQ3" s="484"/>
      <c r="HTR3" s="484"/>
      <c r="HTS3" s="484"/>
      <c r="HTT3" s="484"/>
      <c r="HTU3" s="484"/>
      <c r="HTV3" s="484"/>
      <c r="HTW3" s="484"/>
      <c r="HTX3" s="484"/>
      <c r="HTY3" s="484"/>
      <c r="HTZ3" s="484"/>
      <c r="HUA3" s="484"/>
      <c r="HUB3" s="484"/>
      <c r="HUC3" s="484"/>
      <c r="HUD3" s="484"/>
      <c r="HUE3" s="484"/>
      <c r="HUF3" s="484"/>
      <c r="HUG3" s="484"/>
      <c r="HUH3" s="484"/>
      <c r="HUI3" s="484"/>
      <c r="HUJ3" s="484"/>
      <c r="HUK3" s="484"/>
      <c r="HUL3" s="484"/>
      <c r="HUM3" s="484"/>
      <c r="HUN3" s="484"/>
      <c r="HUO3" s="484"/>
      <c r="HUP3" s="484"/>
      <c r="HUQ3" s="484"/>
      <c r="HUR3" s="484"/>
      <c r="HUS3" s="484"/>
      <c r="HUT3" s="484"/>
      <c r="HUU3" s="484"/>
      <c r="HUV3" s="484"/>
      <c r="HUW3" s="484"/>
      <c r="HUX3" s="484"/>
      <c r="HUY3" s="484"/>
      <c r="HUZ3" s="484"/>
      <c r="HVA3" s="484"/>
      <c r="HVB3" s="484"/>
      <c r="HVC3" s="484"/>
      <c r="HVD3" s="484"/>
      <c r="HVE3" s="484"/>
      <c r="HVF3" s="484"/>
      <c r="HVG3" s="484"/>
      <c r="HVH3" s="484"/>
      <c r="HVI3" s="484"/>
      <c r="HVJ3" s="484"/>
      <c r="HVK3" s="484"/>
      <c r="HVL3" s="484"/>
      <c r="HVM3" s="484"/>
      <c r="HVN3" s="484"/>
      <c r="HVO3" s="484"/>
      <c r="HVP3" s="484"/>
      <c r="HVQ3" s="484"/>
      <c r="HVR3" s="484"/>
      <c r="HVS3" s="484"/>
      <c r="HVT3" s="484"/>
      <c r="HVU3" s="484"/>
      <c r="HVV3" s="484"/>
      <c r="HVW3" s="484"/>
      <c r="HVX3" s="484"/>
      <c r="HVY3" s="484"/>
      <c r="HVZ3" s="484"/>
      <c r="HWA3" s="484"/>
      <c r="HWB3" s="484"/>
      <c r="HWC3" s="484"/>
      <c r="HWD3" s="484"/>
      <c r="HWE3" s="484"/>
      <c r="HWF3" s="484"/>
      <c r="HWG3" s="484"/>
      <c r="HWH3" s="484"/>
      <c r="HWI3" s="484"/>
      <c r="HWJ3" s="484"/>
      <c r="HWK3" s="484"/>
      <c r="HWL3" s="484"/>
      <c r="HWM3" s="484"/>
      <c r="HWN3" s="484"/>
      <c r="HWO3" s="484"/>
      <c r="HWP3" s="484"/>
      <c r="HWQ3" s="484"/>
      <c r="HWR3" s="484"/>
      <c r="HWS3" s="484"/>
      <c r="HWT3" s="484"/>
      <c r="HWU3" s="484"/>
      <c r="HWV3" s="484"/>
      <c r="HWW3" s="484"/>
      <c r="HWX3" s="484"/>
      <c r="HWY3" s="484"/>
      <c r="HWZ3" s="484"/>
      <c r="HXA3" s="484"/>
      <c r="HXB3" s="484"/>
      <c r="HXC3" s="484"/>
      <c r="HXD3" s="484"/>
      <c r="HXE3" s="484"/>
      <c r="HXF3" s="484"/>
      <c r="HXG3" s="484"/>
      <c r="HXH3" s="484"/>
      <c r="HXI3" s="484"/>
      <c r="HXJ3" s="484"/>
      <c r="HXK3" s="484"/>
      <c r="HXL3" s="484"/>
      <c r="HXM3" s="484"/>
      <c r="HXN3" s="484"/>
      <c r="HXO3" s="484"/>
      <c r="HXP3" s="484"/>
      <c r="HXQ3" s="484"/>
      <c r="HXR3" s="484"/>
      <c r="HXS3" s="484"/>
      <c r="HXT3" s="484"/>
      <c r="HXU3" s="484"/>
      <c r="HXV3" s="484"/>
      <c r="HXW3" s="484"/>
      <c r="HXX3" s="484"/>
      <c r="HXY3" s="484"/>
      <c r="HXZ3" s="484"/>
      <c r="HYA3" s="484"/>
      <c r="HYB3" s="484"/>
      <c r="HYC3" s="484"/>
      <c r="HYD3" s="484"/>
      <c r="HYE3" s="484"/>
      <c r="HYF3" s="484"/>
      <c r="HYG3" s="484"/>
      <c r="HYH3" s="484"/>
      <c r="HYI3" s="484"/>
      <c r="HYJ3" s="484"/>
      <c r="HYK3" s="484"/>
      <c r="HYL3" s="484"/>
      <c r="HYM3" s="484"/>
      <c r="HYN3" s="484"/>
      <c r="HYO3" s="484"/>
      <c r="HYP3" s="484"/>
      <c r="HYQ3" s="484"/>
      <c r="HYR3" s="484"/>
      <c r="HYS3" s="484"/>
      <c r="HYT3" s="484"/>
      <c r="HYU3" s="484"/>
      <c r="HYV3" s="484"/>
      <c r="HYW3" s="484"/>
      <c r="HYX3" s="484"/>
      <c r="HYY3" s="484"/>
      <c r="HYZ3" s="484"/>
      <c r="HZA3" s="484"/>
      <c r="HZB3" s="484"/>
      <c r="HZC3" s="484"/>
      <c r="HZD3" s="484"/>
      <c r="HZE3" s="484"/>
      <c r="HZF3" s="484"/>
      <c r="HZG3" s="484"/>
      <c r="HZH3" s="484"/>
      <c r="HZI3" s="484"/>
      <c r="HZJ3" s="484"/>
      <c r="HZK3" s="484"/>
      <c r="HZL3" s="484"/>
      <c r="HZM3" s="484"/>
      <c r="HZN3" s="484"/>
      <c r="HZO3" s="484"/>
      <c r="HZP3" s="484"/>
      <c r="HZQ3" s="484"/>
      <c r="HZR3" s="484"/>
      <c r="HZS3" s="484"/>
      <c r="HZT3" s="484"/>
      <c r="HZU3" s="484"/>
      <c r="HZV3" s="484"/>
      <c r="HZW3" s="484"/>
      <c r="HZX3" s="484"/>
      <c r="HZY3" s="484"/>
      <c r="HZZ3" s="484"/>
      <c r="IAA3" s="484"/>
      <c r="IAB3" s="484"/>
      <c r="IAC3" s="484"/>
      <c r="IAD3" s="484"/>
      <c r="IAE3" s="484"/>
      <c r="IAF3" s="484"/>
      <c r="IAG3" s="484"/>
      <c r="IAH3" s="484"/>
      <c r="IAI3" s="484"/>
      <c r="IAJ3" s="484"/>
      <c r="IAK3" s="484"/>
      <c r="IAL3" s="484"/>
      <c r="IAM3" s="484"/>
      <c r="IAN3" s="484"/>
      <c r="IAO3" s="484"/>
      <c r="IAP3" s="484"/>
      <c r="IAQ3" s="484"/>
      <c r="IAR3" s="484"/>
      <c r="IAS3" s="484"/>
      <c r="IAT3" s="484"/>
      <c r="IAU3" s="484"/>
      <c r="IAV3" s="484"/>
      <c r="IAW3" s="484"/>
      <c r="IAX3" s="484"/>
      <c r="IAY3" s="484"/>
      <c r="IAZ3" s="484"/>
      <c r="IBA3" s="484"/>
      <c r="IBB3" s="484"/>
      <c r="IBC3" s="484"/>
      <c r="IBD3" s="484"/>
      <c r="IBE3" s="484"/>
      <c r="IBF3" s="484"/>
      <c r="IBG3" s="484"/>
      <c r="IBH3" s="484"/>
      <c r="IBI3" s="484"/>
      <c r="IBJ3" s="484"/>
      <c r="IBK3" s="484"/>
      <c r="IBL3" s="484"/>
      <c r="IBM3" s="484"/>
      <c r="IBN3" s="484"/>
      <c r="IBO3" s="484"/>
      <c r="IBP3" s="484"/>
      <c r="IBQ3" s="484"/>
      <c r="IBR3" s="484"/>
      <c r="IBS3" s="484"/>
      <c r="IBT3" s="484"/>
      <c r="IBU3" s="484"/>
      <c r="IBV3" s="484"/>
      <c r="IBW3" s="484"/>
      <c r="IBX3" s="484"/>
      <c r="IBY3" s="484"/>
      <c r="IBZ3" s="484"/>
      <c r="ICA3" s="484"/>
      <c r="ICB3" s="484"/>
      <c r="ICC3" s="484"/>
      <c r="ICD3" s="484"/>
      <c r="ICE3" s="484"/>
      <c r="ICF3" s="484"/>
      <c r="ICG3" s="484"/>
      <c r="ICH3" s="484"/>
      <c r="ICI3" s="484"/>
      <c r="ICJ3" s="484"/>
      <c r="ICK3" s="484"/>
      <c r="ICL3" s="484"/>
      <c r="ICM3" s="484"/>
      <c r="ICN3" s="484"/>
      <c r="ICO3" s="484"/>
      <c r="ICP3" s="484"/>
      <c r="ICQ3" s="484"/>
      <c r="ICR3" s="484"/>
      <c r="ICS3" s="484"/>
      <c r="ICT3" s="484"/>
      <c r="ICU3" s="484"/>
      <c r="ICV3" s="484"/>
      <c r="ICW3" s="484"/>
      <c r="ICX3" s="484"/>
      <c r="ICY3" s="484"/>
      <c r="ICZ3" s="484"/>
      <c r="IDA3" s="484"/>
      <c r="IDB3" s="484"/>
      <c r="IDC3" s="484"/>
      <c r="IDD3" s="484"/>
      <c r="IDE3" s="484"/>
      <c r="IDF3" s="484"/>
      <c r="IDG3" s="484"/>
      <c r="IDH3" s="484"/>
      <c r="IDI3" s="484"/>
      <c r="IDJ3" s="484"/>
      <c r="IDK3" s="484"/>
      <c r="IDL3" s="484"/>
      <c r="IDM3" s="484"/>
      <c r="IDN3" s="484"/>
      <c r="IDO3" s="484"/>
      <c r="IDP3" s="484"/>
      <c r="IDQ3" s="484"/>
      <c r="IDR3" s="484"/>
      <c r="IDS3" s="484"/>
      <c r="IDT3" s="484"/>
      <c r="IDU3" s="484"/>
      <c r="IDV3" s="484"/>
      <c r="IDW3" s="484"/>
      <c r="IDX3" s="484"/>
      <c r="IDY3" s="484"/>
      <c r="IDZ3" s="484"/>
      <c r="IEA3" s="484"/>
      <c r="IEB3" s="484"/>
      <c r="IEC3" s="484"/>
      <c r="IED3" s="484"/>
      <c r="IEE3" s="484"/>
      <c r="IEF3" s="484"/>
      <c r="IEG3" s="484"/>
      <c r="IEH3" s="484"/>
      <c r="IEI3" s="484"/>
      <c r="IEJ3" s="484"/>
      <c r="IEK3" s="484"/>
      <c r="IEL3" s="484"/>
      <c r="IEM3" s="484"/>
      <c r="IEN3" s="484"/>
      <c r="IEO3" s="484"/>
      <c r="IEP3" s="484"/>
      <c r="IEQ3" s="484"/>
      <c r="IER3" s="484"/>
      <c r="IES3" s="484"/>
      <c r="IET3" s="484"/>
      <c r="IEU3" s="484"/>
      <c r="IEV3" s="484"/>
      <c r="IEW3" s="484"/>
      <c r="IEX3" s="484"/>
      <c r="IEY3" s="484"/>
      <c r="IEZ3" s="484"/>
      <c r="IFA3" s="484"/>
      <c r="IFB3" s="484"/>
      <c r="IFC3" s="484"/>
      <c r="IFD3" s="484"/>
      <c r="IFE3" s="484"/>
      <c r="IFF3" s="484"/>
      <c r="IFG3" s="484"/>
      <c r="IFH3" s="484"/>
      <c r="IFI3" s="484"/>
      <c r="IFJ3" s="484"/>
      <c r="IFK3" s="484"/>
      <c r="IFL3" s="484"/>
      <c r="IFM3" s="484"/>
      <c r="IFN3" s="484"/>
      <c r="IFO3" s="484"/>
      <c r="IFP3" s="484"/>
      <c r="IFQ3" s="484"/>
      <c r="IFR3" s="484"/>
      <c r="IFS3" s="484"/>
      <c r="IFT3" s="484"/>
      <c r="IFU3" s="484"/>
      <c r="IFV3" s="484"/>
      <c r="IFW3" s="484"/>
      <c r="IFX3" s="484"/>
      <c r="IFY3" s="484"/>
      <c r="IFZ3" s="484"/>
      <c r="IGA3" s="484"/>
      <c r="IGB3" s="484"/>
      <c r="IGC3" s="484"/>
      <c r="IGD3" s="484"/>
      <c r="IGE3" s="484"/>
      <c r="IGF3" s="484"/>
      <c r="IGG3" s="484"/>
      <c r="IGH3" s="484"/>
      <c r="IGI3" s="484"/>
      <c r="IGJ3" s="484"/>
      <c r="IGK3" s="484"/>
      <c r="IGL3" s="484"/>
      <c r="IGM3" s="484"/>
      <c r="IGN3" s="484"/>
      <c r="IGO3" s="484"/>
      <c r="IGP3" s="484"/>
      <c r="IGQ3" s="484"/>
      <c r="IGR3" s="484"/>
      <c r="IGS3" s="484"/>
      <c r="IGT3" s="484"/>
      <c r="IGU3" s="484"/>
      <c r="IGV3" s="484"/>
      <c r="IGW3" s="484"/>
      <c r="IGX3" s="484"/>
      <c r="IGY3" s="484"/>
      <c r="IGZ3" s="484"/>
      <c r="IHA3" s="484"/>
      <c r="IHB3" s="484"/>
      <c r="IHC3" s="484"/>
      <c r="IHD3" s="484"/>
      <c r="IHE3" s="484"/>
      <c r="IHF3" s="484"/>
      <c r="IHG3" s="484"/>
      <c r="IHH3" s="484"/>
      <c r="IHI3" s="484"/>
      <c r="IHJ3" s="484"/>
      <c r="IHK3" s="484"/>
      <c r="IHL3" s="484"/>
      <c r="IHM3" s="484"/>
      <c r="IHN3" s="484"/>
      <c r="IHO3" s="484"/>
      <c r="IHP3" s="484"/>
      <c r="IHQ3" s="484"/>
      <c r="IHR3" s="484"/>
      <c r="IHS3" s="484"/>
      <c r="IHT3" s="484"/>
      <c r="IHU3" s="484"/>
      <c r="IHV3" s="484"/>
      <c r="IHW3" s="484"/>
      <c r="IHX3" s="484"/>
      <c r="IHY3" s="484"/>
      <c r="IHZ3" s="484"/>
      <c r="IIA3" s="484"/>
      <c r="IIB3" s="484"/>
      <c r="IIC3" s="484"/>
      <c r="IID3" s="484"/>
      <c r="IIE3" s="484"/>
      <c r="IIF3" s="484"/>
      <c r="IIG3" s="484"/>
      <c r="IIH3" s="484"/>
      <c r="III3" s="484"/>
      <c r="IIJ3" s="484"/>
      <c r="IIK3" s="484"/>
      <c r="IIL3" s="484"/>
      <c r="IIM3" s="484"/>
      <c r="IIN3" s="484"/>
      <c r="IIO3" s="484"/>
      <c r="IIP3" s="484"/>
      <c r="IIQ3" s="484"/>
      <c r="IIR3" s="484"/>
      <c r="IIS3" s="484"/>
      <c r="IIT3" s="484"/>
      <c r="IIU3" s="484"/>
      <c r="IIV3" s="484"/>
      <c r="IIW3" s="484"/>
      <c r="IIX3" s="484"/>
      <c r="IIY3" s="484"/>
      <c r="IIZ3" s="484"/>
      <c r="IJA3" s="484"/>
      <c r="IJB3" s="484"/>
      <c r="IJC3" s="484"/>
      <c r="IJD3" s="484"/>
      <c r="IJE3" s="484"/>
      <c r="IJF3" s="484"/>
      <c r="IJG3" s="484"/>
      <c r="IJH3" s="484"/>
      <c r="IJI3" s="484"/>
      <c r="IJJ3" s="484"/>
      <c r="IJK3" s="484"/>
      <c r="IJL3" s="484"/>
      <c r="IJM3" s="484"/>
      <c r="IJN3" s="484"/>
      <c r="IJO3" s="484"/>
      <c r="IJP3" s="484"/>
      <c r="IJQ3" s="484"/>
      <c r="IJR3" s="484"/>
      <c r="IJS3" s="484"/>
      <c r="IJT3" s="484"/>
      <c r="IJU3" s="484"/>
      <c r="IJV3" s="484"/>
      <c r="IJW3" s="484"/>
      <c r="IJX3" s="484"/>
      <c r="IJY3" s="484"/>
      <c r="IJZ3" s="484"/>
      <c r="IKA3" s="484"/>
      <c r="IKB3" s="484"/>
      <c r="IKC3" s="484"/>
      <c r="IKD3" s="484"/>
      <c r="IKE3" s="484"/>
      <c r="IKF3" s="484"/>
      <c r="IKG3" s="484"/>
      <c r="IKH3" s="484"/>
      <c r="IKI3" s="484"/>
      <c r="IKJ3" s="484"/>
      <c r="IKK3" s="484"/>
      <c r="IKL3" s="484"/>
      <c r="IKM3" s="484"/>
      <c r="IKN3" s="484"/>
      <c r="IKO3" s="484"/>
      <c r="IKP3" s="484"/>
      <c r="IKQ3" s="484"/>
      <c r="IKR3" s="484"/>
      <c r="IKS3" s="484"/>
      <c r="IKT3" s="484"/>
      <c r="IKU3" s="484"/>
      <c r="IKV3" s="484"/>
      <c r="IKW3" s="484"/>
      <c r="IKX3" s="484"/>
      <c r="IKY3" s="484"/>
      <c r="IKZ3" s="484"/>
      <c r="ILA3" s="484"/>
      <c r="ILB3" s="484"/>
      <c r="ILC3" s="484"/>
      <c r="ILD3" s="484"/>
      <c r="ILE3" s="484"/>
      <c r="ILF3" s="484"/>
      <c r="ILG3" s="484"/>
      <c r="ILH3" s="484"/>
      <c r="ILI3" s="484"/>
      <c r="ILJ3" s="484"/>
      <c r="ILK3" s="484"/>
      <c r="ILL3" s="484"/>
      <c r="ILM3" s="484"/>
      <c r="ILN3" s="484"/>
      <c r="ILO3" s="484"/>
      <c r="ILP3" s="484"/>
      <c r="ILQ3" s="484"/>
      <c r="ILR3" s="484"/>
      <c r="ILS3" s="484"/>
      <c r="ILT3" s="484"/>
      <c r="ILU3" s="484"/>
      <c r="ILV3" s="484"/>
      <c r="ILW3" s="484"/>
      <c r="ILX3" s="484"/>
      <c r="ILY3" s="484"/>
      <c r="ILZ3" s="484"/>
      <c r="IMA3" s="484"/>
      <c r="IMB3" s="484"/>
      <c r="IMC3" s="484"/>
      <c r="IMD3" s="484"/>
      <c r="IME3" s="484"/>
      <c r="IMF3" s="484"/>
      <c r="IMG3" s="484"/>
      <c r="IMH3" s="484"/>
      <c r="IMI3" s="484"/>
      <c r="IMJ3" s="484"/>
      <c r="IMK3" s="484"/>
      <c r="IML3" s="484"/>
      <c r="IMM3" s="484"/>
      <c r="IMN3" s="484"/>
      <c r="IMO3" s="484"/>
      <c r="IMP3" s="484"/>
      <c r="IMQ3" s="484"/>
      <c r="IMR3" s="484"/>
      <c r="IMS3" s="484"/>
      <c r="IMT3" s="484"/>
      <c r="IMU3" s="484"/>
      <c r="IMV3" s="484"/>
      <c r="IMW3" s="484"/>
      <c r="IMX3" s="484"/>
      <c r="IMY3" s="484"/>
      <c r="IMZ3" s="484"/>
      <c r="INA3" s="484"/>
      <c r="INB3" s="484"/>
      <c r="INC3" s="484"/>
      <c r="IND3" s="484"/>
      <c r="INE3" s="484"/>
      <c r="INF3" s="484"/>
      <c r="ING3" s="484"/>
      <c r="INH3" s="484"/>
      <c r="INI3" s="484"/>
      <c r="INJ3" s="484"/>
      <c r="INK3" s="484"/>
      <c r="INL3" s="484"/>
      <c r="INM3" s="484"/>
      <c r="INN3" s="484"/>
      <c r="INO3" s="484"/>
      <c r="INP3" s="484"/>
      <c r="INQ3" s="484"/>
      <c r="INR3" s="484"/>
      <c r="INS3" s="484"/>
      <c r="INT3" s="484"/>
      <c r="INU3" s="484"/>
      <c r="INV3" s="484"/>
      <c r="INW3" s="484"/>
      <c r="INX3" s="484"/>
      <c r="INY3" s="484"/>
      <c r="INZ3" s="484"/>
      <c r="IOA3" s="484"/>
      <c r="IOB3" s="484"/>
      <c r="IOC3" s="484"/>
      <c r="IOD3" s="484"/>
      <c r="IOE3" s="484"/>
      <c r="IOF3" s="484"/>
      <c r="IOG3" s="484"/>
      <c r="IOH3" s="484"/>
      <c r="IOI3" s="484"/>
      <c r="IOJ3" s="484"/>
      <c r="IOK3" s="484"/>
      <c r="IOL3" s="484"/>
      <c r="IOM3" s="484"/>
      <c r="ION3" s="484"/>
      <c r="IOO3" s="484"/>
      <c r="IOP3" s="484"/>
      <c r="IOQ3" s="484"/>
      <c r="IOR3" s="484"/>
      <c r="IOS3" s="484"/>
      <c r="IOT3" s="484"/>
      <c r="IOU3" s="484"/>
      <c r="IOV3" s="484"/>
      <c r="IOW3" s="484"/>
      <c r="IOX3" s="484"/>
      <c r="IOY3" s="484"/>
      <c r="IOZ3" s="484"/>
      <c r="IPA3" s="484"/>
      <c r="IPB3" s="484"/>
      <c r="IPC3" s="484"/>
      <c r="IPD3" s="484"/>
      <c r="IPE3" s="484"/>
      <c r="IPF3" s="484"/>
      <c r="IPG3" s="484"/>
      <c r="IPH3" s="484"/>
      <c r="IPI3" s="484"/>
      <c r="IPJ3" s="484"/>
      <c r="IPK3" s="484"/>
      <c r="IPL3" s="484"/>
      <c r="IPM3" s="484"/>
      <c r="IPN3" s="484"/>
      <c r="IPO3" s="484"/>
      <c r="IPP3" s="484"/>
      <c r="IPQ3" s="484"/>
      <c r="IPR3" s="484"/>
      <c r="IPS3" s="484"/>
      <c r="IPT3" s="484"/>
      <c r="IPU3" s="484"/>
      <c r="IPV3" s="484"/>
      <c r="IPW3" s="484"/>
      <c r="IPX3" s="484"/>
      <c r="IPY3" s="484"/>
      <c r="IPZ3" s="484"/>
      <c r="IQA3" s="484"/>
      <c r="IQB3" s="484"/>
      <c r="IQC3" s="484"/>
      <c r="IQD3" s="484"/>
      <c r="IQE3" s="484"/>
      <c r="IQF3" s="484"/>
      <c r="IQG3" s="484"/>
      <c r="IQH3" s="484"/>
      <c r="IQI3" s="484"/>
      <c r="IQJ3" s="484"/>
      <c r="IQK3" s="484"/>
      <c r="IQL3" s="484"/>
      <c r="IQM3" s="484"/>
      <c r="IQN3" s="484"/>
      <c r="IQO3" s="484"/>
      <c r="IQP3" s="484"/>
      <c r="IQQ3" s="484"/>
      <c r="IQR3" s="484"/>
      <c r="IQS3" s="484"/>
      <c r="IQT3" s="484"/>
      <c r="IQU3" s="484"/>
      <c r="IQV3" s="484"/>
      <c r="IQW3" s="484"/>
      <c r="IQX3" s="484"/>
      <c r="IQY3" s="484"/>
      <c r="IQZ3" s="484"/>
      <c r="IRA3" s="484"/>
      <c r="IRB3" s="484"/>
      <c r="IRC3" s="484"/>
      <c r="IRD3" s="484"/>
      <c r="IRE3" s="484"/>
      <c r="IRF3" s="484"/>
      <c r="IRG3" s="484"/>
      <c r="IRH3" s="484"/>
      <c r="IRI3" s="484"/>
      <c r="IRJ3" s="484"/>
      <c r="IRK3" s="484"/>
      <c r="IRL3" s="484"/>
      <c r="IRM3" s="484"/>
      <c r="IRN3" s="484"/>
      <c r="IRO3" s="484"/>
      <c r="IRP3" s="484"/>
      <c r="IRQ3" s="484"/>
      <c r="IRR3" s="484"/>
      <c r="IRS3" s="484"/>
      <c r="IRT3" s="484"/>
      <c r="IRU3" s="484"/>
      <c r="IRV3" s="484"/>
      <c r="IRW3" s="484"/>
      <c r="IRX3" s="484"/>
      <c r="IRY3" s="484"/>
      <c r="IRZ3" s="484"/>
      <c r="ISA3" s="484"/>
      <c r="ISB3" s="484"/>
      <c r="ISC3" s="484"/>
      <c r="ISD3" s="484"/>
      <c r="ISE3" s="484"/>
      <c r="ISF3" s="484"/>
      <c r="ISG3" s="484"/>
      <c r="ISH3" s="484"/>
      <c r="ISI3" s="484"/>
      <c r="ISJ3" s="484"/>
      <c r="ISK3" s="484"/>
      <c r="ISL3" s="484"/>
      <c r="ISM3" s="484"/>
      <c r="ISN3" s="484"/>
      <c r="ISO3" s="484"/>
      <c r="ISP3" s="484"/>
      <c r="ISQ3" s="484"/>
      <c r="ISR3" s="484"/>
      <c r="ISS3" s="484"/>
      <c r="IST3" s="484"/>
      <c r="ISU3" s="484"/>
      <c r="ISV3" s="484"/>
      <c r="ISW3" s="484"/>
      <c r="ISX3" s="484"/>
      <c r="ISY3" s="484"/>
      <c r="ISZ3" s="484"/>
      <c r="ITA3" s="484"/>
      <c r="ITB3" s="484"/>
      <c r="ITC3" s="484"/>
      <c r="ITD3" s="484"/>
      <c r="ITE3" s="484"/>
      <c r="ITF3" s="484"/>
      <c r="ITG3" s="484"/>
      <c r="ITH3" s="484"/>
      <c r="ITI3" s="484"/>
      <c r="ITJ3" s="484"/>
      <c r="ITK3" s="484"/>
      <c r="ITL3" s="484"/>
      <c r="ITM3" s="484"/>
      <c r="ITN3" s="484"/>
      <c r="ITO3" s="484"/>
      <c r="ITP3" s="484"/>
      <c r="ITQ3" s="484"/>
      <c r="ITR3" s="484"/>
      <c r="ITS3" s="484"/>
      <c r="ITT3" s="484"/>
      <c r="ITU3" s="484"/>
      <c r="ITV3" s="484"/>
      <c r="ITW3" s="484"/>
      <c r="ITX3" s="484"/>
      <c r="ITY3" s="484"/>
      <c r="ITZ3" s="484"/>
      <c r="IUA3" s="484"/>
      <c r="IUB3" s="484"/>
      <c r="IUC3" s="484"/>
      <c r="IUD3" s="484"/>
      <c r="IUE3" s="484"/>
      <c r="IUF3" s="484"/>
      <c r="IUG3" s="484"/>
      <c r="IUH3" s="484"/>
      <c r="IUI3" s="484"/>
      <c r="IUJ3" s="484"/>
      <c r="IUK3" s="484"/>
      <c r="IUL3" s="484"/>
      <c r="IUM3" s="484"/>
      <c r="IUN3" s="484"/>
      <c r="IUO3" s="484"/>
      <c r="IUP3" s="484"/>
      <c r="IUQ3" s="484"/>
      <c r="IUR3" s="484"/>
      <c r="IUS3" s="484"/>
      <c r="IUT3" s="484"/>
      <c r="IUU3" s="484"/>
      <c r="IUV3" s="484"/>
      <c r="IUW3" s="484"/>
      <c r="IUX3" s="484"/>
      <c r="IUY3" s="484"/>
      <c r="IUZ3" s="484"/>
      <c r="IVA3" s="484"/>
      <c r="IVB3" s="484"/>
      <c r="IVC3" s="484"/>
      <c r="IVD3" s="484"/>
      <c r="IVE3" s="484"/>
      <c r="IVF3" s="484"/>
      <c r="IVG3" s="484"/>
      <c r="IVH3" s="484"/>
      <c r="IVI3" s="484"/>
      <c r="IVJ3" s="484"/>
      <c r="IVK3" s="484"/>
      <c r="IVL3" s="484"/>
      <c r="IVM3" s="484"/>
      <c r="IVN3" s="484"/>
      <c r="IVO3" s="484"/>
      <c r="IVP3" s="484"/>
      <c r="IVQ3" s="484"/>
      <c r="IVR3" s="484"/>
      <c r="IVS3" s="484"/>
      <c r="IVT3" s="484"/>
      <c r="IVU3" s="484"/>
      <c r="IVV3" s="484"/>
      <c r="IVW3" s="484"/>
      <c r="IVX3" s="484"/>
      <c r="IVY3" s="484"/>
      <c r="IVZ3" s="484"/>
      <c r="IWA3" s="484"/>
      <c r="IWB3" s="484"/>
      <c r="IWC3" s="484"/>
      <c r="IWD3" s="484"/>
      <c r="IWE3" s="484"/>
      <c r="IWF3" s="484"/>
      <c r="IWG3" s="484"/>
      <c r="IWH3" s="484"/>
      <c r="IWI3" s="484"/>
      <c r="IWJ3" s="484"/>
      <c r="IWK3" s="484"/>
      <c r="IWL3" s="484"/>
      <c r="IWM3" s="484"/>
      <c r="IWN3" s="484"/>
      <c r="IWO3" s="484"/>
      <c r="IWP3" s="484"/>
      <c r="IWQ3" s="484"/>
      <c r="IWR3" s="484"/>
      <c r="IWS3" s="484"/>
      <c r="IWT3" s="484"/>
      <c r="IWU3" s="484"/>
      <c r="IWV3" s="484"/>
      <c r="IWW3" s="484"/>
      <c r="IWX3" s="484"/>
      <c r="IWY3" s="484"/>
      <c r="IWZ3" s="484"/>
      <c r="IXA3" s="484"/>
      <c r="IXB3" s="484"/>
      <c r="IXC3" s="484"/>
      <c r="IXD3" s="484"/>
      <c r="IXE3" s="484"/>
      <c r="IXF3" s="484"/>
      <c r="IXG3" s="484"/>
      <c r="IXH3" s="484"/>
      <c r="IXI3" s="484"/>
      <c r="IXJ3" s="484"/>
      <c r="IXK3" s="484"/>
      <c r="IXL3" s="484"/>
      <c r="IXM3" s="484"/>
      <c r="IXN3" s="484"/>
      <c r="IXO3" s="484"/>
      <c r="IXP3" s="484"/>
      <c r="IXQ3" s="484"/>
      <c r="IXR3" s="484"/>
      <c r="IXS3" s="484"/>
      <c r="IXT3" s="484"/>
      <c r="IXU3" s="484"/>
      <c r="IXV3" s="484"/>
      <c r="IXW3" s="484"/>
      <c r="IXX3" s="484"/>
      <c r="IXY3" s="484"/>
      <c r="IXZ3" s="484"/>
      <c r="IYA3" s="484"/>
      <c r="IYB3" s="484"/>
      <c r="IYC3" s="484"/>
      <c r="IYD3" s="484"/>
      <c r="IYE3" s="484"/>
      <c r="IYF3" s="484"/>
      <c r="IYG3" s="484"/>
      <c r="IYH3" s="484"/>
      <c r="IYI3" s="484"/>
      <c r="IYJ3" s="484"/>
      <c r="IYK3" s="484"/>
      <c r="IYL3" s="484"/>
      <c r="IYM3" s="484"/>
      <c r="IYN3" s="484"/>
      <c r="IYO3" s="484"/>
      <c r="IYP3" s="484"/>
      <c r="IYQ3" s="484"/>
      <c r="IYR3" s="484"/>
      <c r="IYS3" s="484"/>
      <c r="IYT3" s="484"/>
      <c r="IYU3" s="484"/>
      <c r="IYV3" s="484"/>
      <c r="IYW3" s="484"/>
      <c r="IYX3" s="484"/>
      <c r="IYY3" s="484"/>
      <c r="IYZ3" s="484"/>
      <c r="IZA3" s="484"/>
      <c r="IZB3" s="484"/>
      <c r="IZC3" s="484"/>
      <c r="IZD3" s="484"/>
      <c r="IZE3" s="484"/>
      <c r="IZF3" s="484"/>
      <c r="IZG3" s="484"/>
      <c r="IZH3" s="484"/>
      <c r="IZI3" s="484"/>
      <c r="IZJ3" s="484"/>
      <c r="IZK3" s="484"/>
      <c r="IZL3" s="484"/>
      <c r="IZM3" s="484"/>
      <c r="IZN3" s="484"/>
      <c r="IZO3" s="484"/>
      <c r="IZP3" s="484"/>
      <c r="IZQ3" s="484"/>
      <c r="IZR3" s="484"/>
      <c r="IZS3" s="484"/>
      <c r="IZT3" s="484"/>
      <c r="IZU3" s="484"/>
      <c r="IZV3" s="484"/>
      <c r="IZW3" s="484"/>
      <c r="IZX3" s="484"/>
      <c r="IZY3" s="484"/>
      <c r="IZZ3" s="484"/>
      <c r="JAA3" s="484"/>
      <c r="JAB3" s="484"/>
      <c r="JAC3" s="484"/>
      <c r="JAD3" s="484"/>
      <c r="JAE3" s="484"/>
      <c r="JAF3" s="484"/>
      <c r="JAG3" s="484"/>
      <c r="JAH3" s="484"/>
      <c r="JAI3" s="484"/>
      <c r="JAJ3" s="484"/>
      <c r="JAK3" s="484"/>
      <c r="JAL3" s="484"/>
      <c r="JAM3" s="484"/>
      <c r="JAN3" s="484"/>
      <c r="JAO3" s="484"/>
      <c r="JAP3" s="484"/>
      <c r="JAQ3" s="484"/>
      <c r="JAR3" s="484"/>
      <c r="JAS3" s="484"/>
      <c r="JAT3" s="484"/>
      <c r="JAU3" s="484"/>
      <c r="JAV3" s="484"/>
      <c r="JAW3" s="484"/>
      <c r="JAX3" s="484"/>
      <c r="JAY3" s="484"/>
      <c r="JAZ3" s="484"/>
      <c r="JBA3" s="484"/>
      <c r="JBB3" s="484"/>
      <c r="JBC3" s="484"/>
      <c r="JBD3" s="484"/>
      <c r="JBE3" s="484"/>
      <c r="JBF3" s="484"/>
      <c r="JBG3" s="484"/>
      <c r="JBH3" s="484"/>
      <c r="JBI3" s="484"/>
      <c r="JBJ3" s="484"/>
      <c r="JBK3" s="484"/>
      <c r="JBL3" s="484"/>
      <c r="JBM3" s="484"/>
      <c r="JBN3" s="484"/>
      <c r="JBO3" s="484"/>
      <c r="JBP3" s="484"/>
      <c r="JBQ3" s="484"/>
      <c r="JBR3" s="484"/>
      <c r="JBS3" s="484"/>
      <c r="JBT3" s="484"/>
      <c r="JBU3" s="484"/>
      <c r="JBV3" s="484"/>
      <c r="JBW3" s="484"/>
      <c r="JBX3" s="484"/>
      <c r="JBY3" s="484"/>
      <c r="JBZ3" s="484"/>
      <c r="JCA3" s="484"/>
      <c r="JCB3" s="484"/>
      <c r="JCC3" s="484"/>
      <c r="JCD3" s="484"/>
      <c r="JCE3" s="484"/>
      <c r="JCF3" s="484"/>
      <c r="JCG3" s="484"/>
      <c r="JCH3" s="484"/>
      <c r="JCI3" s="484"/>
      <c r="JCJ3" s="484"/>
      <c r="JCK3" s="484"/>
      <c r="JCL3" s="484"/>
      <c r="JCM3" s="484"/>
      <c r="JCN3" s="484"/>
      <c r="JCO3" s="484"/>
      <c r="JCP3" s="484"/>
      <c r="JCQ3" s="484"/>
      <c r="JCR3" s="484"/>
      <c r="JCS3" s="484"/>
      <c r="JCT3" s="484"/>
      <c r="JCU3" s="484"/>
      <c r="JCV3" s="484"/>
      <c r="JCW3" s="484"/>
      <c r="JCX3" s="484"/>
      <c r="JCY3" s="484"/>
      <c r="JCZ3" s="484"/>
      <c r="JDA3" s="484"/>
      <c r="JDB3" s="484"/>
      <c r="JDC3" s="484"/>
      <c r="JDD3" s="484"/>
      <c r="JDE3" s="484"/>
      <c r="JDF3" s="484"/>
      <c r="JDG3" s="484"/>
      <c r="JDH3" s="484"/>
      <c r="JDI3" s="484"/>
      <c r="JDJ3" s="484"/>
      <c r="JDK3" s="484"/>
      <c r="JDL3" s="484"/>
      <c r="JDM3" s="484"/>
      <c r="JDN3" s="484"/>
      <c r="JDO3" s="484"/>
      <c r="JDP3" s="484"/>
      <c r="JDQ3" s="484"/>
      <c r="JDR3" s="484"/>
      <c r="JDS3" s="484"/>
      <c r="JDT3" s="484"/>
      <c r="JDU3" s="484"/>
      <c r="JDV3" s="484"/>
      <c r="JDW3" s="484"/>
      <c r="JDX3" s="484"/>
      <c r="JDY3" s="484"/>
      <c r="JDZ3" s="484"/>
      <c r="JEA3" s="484"/>
      <c r="JEB3" s="484"/>
      <c r="JEC3" s="484"/>
      <c r="JED3" s="484"/>
      <c r="JEE3" s="484"/>
      <c r="JEF3" s="484"/>
      <c r="JEG3" s="484"/>
      <c r="JEH3" s="484"/>
      <c r="JEI3" s="484"/>
      <c r="JEJ3" s="484"/>
      <c r="JEK3" s="484"/>
      <c r="JEL3" s="484"/>
      <c r="JEM3" s="484"/>
      <c r="JEN3" s="484"/>
      <c r="JEO3" s="484"/>
      <c r="JEP3" s="484"/>
      <c r="JEQ3" s="484"/>
      <c r="JER3" s="484"/>
      <c r="JES3" s="484"/>
      <c r="JET3" s="484"/>
      <c r="JEU3" s="484"/>
      <c r="JEV3" s="484"/>
      <c r="JEW3" s="484"/>
      <c r="JEX3" s="484"/>
      <c r="JEY3" s="484"/>
      <c r="JEZ3" s="484"/>
      <c r="JFA3" s="484"/>
      <c r="JFB3" s="484"/>
      <c r="JFC3" s="484"/>
      <c r="JFD3" s="484"/>
      <c r="JFE3" s="484"/>
      <c r="JFF3" s="484"/>
      <c r="JFG3" s="484"/>
      <c r="JFH3" s="484"/>
      <c r="JFI3" s="484"/>
      <c r="JFJ3" s="484"/>
      <c r="JFK3" s="484"/>
      <c r="JFL3" s="484"/>
      <c r="JFM3" s="484"/>
      <c r="JFN3" s="484"/>
      <c r="JFO3" s="484"/>
      <c r="JFP3" s="484"/>
      <c r="JFQ3" s="484"/>
      <c r="JFR3" s="484"/>
      <c r="JFS3" s="484"/>
      <c r="JFT3" s="484"/>
      <c r="JFU3" s="484"/>
      <c r="JFV3" s="484"/>
      <c r="JFW3" s="484"/>
      <c r="JFX3" s="484"/>
      <c r="JFY3" s="484"/>
      <c r="JFZ3" s="484"/>
      <c r="JGA3" s="484"/>
      <c r="JGB3" s="484"/>
      <c r="JGC3" s="484"/>
      <c r="JGD3" s="484"/>
      <c r="JGE3" s="484"/>
      <c r="JGF3" s="484"/>
      <c r="JGG3" s="484"/>
      <c r="JGH3" s="484"/>
      <c r="JGI3" s="484"/>
      <c r="JGJ3" s="484"/>
      <c r="JGK3" s="484"/>
      <c r="JGL3" s="484"/>
      <c r="JGM3" s="484"/>
      <c r="JGN3" s="484"/>
      <c r="JGO3" s="484"/>
      <c r="JGP3" s="484"/>
      <c r="JGQ3" s="484"/>
      <c r="JGR3" s="484"/>
      <c r="JGS3" s="484"/>
      <c r="JGT3" s="484"/>
      <c r="JGU3" s="484"/>
      <c r="JGV3" s="484"/>
      <c r="JGW3" s="484"/>
      <c r="JGX3" s="484"/>
      <c r="JGY3" s="484"/>
      <c r="JGZ3" s="484"/>
      <c r="JHA3" s="484"/>
      <c r="JHB3" s="484"/>
      <c r="JHC3" s="484"/>
      <c r="JHD3" s="484"/>
      <c r="JHE3" s="484"/>
      <c r="JHF3" s="484"/>
      <c r="JHG3" s="484"/>
      <c r="JHH3" s="484"/>
      <c r="JHI3" s="484"/>
      <c r="JHJ3" s="484"/>
      <c r="JHK3" s="484"/>
      <c r="JHL3" s="484"/>
      <c r="JHM3" s="484"/>
      <c r="JHN3" s="484"/>
      <c r="JHO3" s="484"/>
      <c r="JHP3" s="484"/>
      <c r="JHQ3" s="484"/>
      <c r="JHR3" s="484"/>
      <c r="JHS3" s="484"/>
      <c r="JHT3" s="484"/>
      <c r="JHU3" s="484"/>
      <c r="JHV3" s="484"/>
      <c r="JHW3" s="484"/>
      <c r="JHX3" s="484"/>
      <c r="JHY3" s="484"/>
      <c r="JHZ3" s="484"/>
      <c r="JIA3" s="484"/>
      <c r="JIB3" s="484"/>
      <c r="JIC3" s="484"/>
      <c r="JID3" s="484"/>
      <c r="JIE3" s="484"/>
      <c r="JIF3" s="484"/>
      <c r="JIG3" s="484"/>
      <c r="JIH3" s="484"/>
      <c r="JII3" s="484"/>
      <c r="JIJ3" s="484"/>
      <c r="JIK3" s="484"/>
      <c r="JIL3" s="484"/>
      <c r="JIM3" s="484"/>
      <c r="JIN3" s="484"/>
      <c r="JIO3" s="484"/>
      <c r="JIP3" s="484"/>
      <c r="JIQ3" s="484"/>
      <c r="JIR3" s="484"/>
      <c r="JIS3" s="484"/>
      <c r="JIT3" s="484"/>
      <c r="JIU3" s="484"/>
      <c r="JIV3" s="484"/>
      <c r="JIW3" s="484"/>
      <c r="JIX3" s="484"/>
      <c r="JIY3" s="484"/>
      <c r="JIZ3" s="484"/>
      <c r="JJA3" s="484"/>
      <c r="JJB3" s="484"/>
      <c r="JJC3" s="484"/>
      <c r="JJD3" s="484"/>
      <c r="JJE3" s="484"/>
      <c r="JJF3" s="484"/>
      <c r="JJG3" s="484"/>
      <c r="JJH3" s="484"/>
      <c r="JJI3" s="484"/>
      <c r="JJJ3" s="484"/>
      <c r="JJK3" s="484"/>
      <c r="JJL3" s="484"/>
      <c r="JJM3" s="484"/>
      <c r="JJN3" s="484"/>
      <c r="JJO3" s="484"/>
      <c r="JJP3" s="484"/>
      <c r="JJQ3" s="484"/>
      <c r="JJR3" s="484"/>
      <c r="JJS3" s="484"/>
      <c r="JJT3" s="484"/>
      <c r="JJU3" s="484"/>
      <c r="JJV3" s="484"/>
      <c r="JJW3" s="484"/>
      <c r="JJX3" s="484"/>
      <c r="JJY3" s="484"/>
      <c r="JJZ3" s="484"/>
      <c r="JKA3" s="484"/>
      <c r="JKB3" s="484"/>
      <c r="JKC3" s="484"/>
      <c r="JKD3" s="484"/>
      <c r="JKE3" s="484"/>
      <c r="JKF3" s="484"/>
      <c r="JKG3" s="484"/>
      <c r="JKH3" s="484"/>
      <c r="JKI3" s="484"/>
      <c r="JKJ3" s="484"/>
      <c r="JKK3" s="484"/>
      <c r="JKL3" s="484"/>
      <c r="JKM3" s="484"/>
      <c r="JKN3" s="484"/>
      <c r="JKO3" s="484"/>
      <c r="JKP3" s="484"/>
      <c r="JKQ3" s="484"/>
      <c r="JKR3" s="484"/>
      <c r="JKS3" s="484"/>
      <c r="JKT3" s="484"/>
      <c r="JKU3" s="484"/>
      <c r="JKV3" s="484"/>
      <c r="JKW3" s="484"/>
      <c r="JKX3" s="484"/>
      <c r="JKY3" s="484"/>
      <c r="JKZ3" s="484"/>
      <c r="JLA3" s="484"/>
      <c r="JLB3" s="484"/>
      <c r="JLC3" s="484"/>
      <c r="JLD3" s="484"/>
      <c r="JLE3" s="484"/>
      <c r="JLF3" s="484"/>
      <c r="JLG3" s="484"/>
      <c r="JLH3" s="484"/>
      <c r="JLI3" s="484"/>
      <c r="JLJ3" s="484"/>
      <c r="JLK3" s="484"/>
      <c r="JLL3" s="484"/>
      <c r="JLM3" s="484"/>
      <c r="JLN3" s="484"/>
      <c r="JLO3" s="484"/>
      <c r="JLP3" s="484"/>
      <c r="JLQ3" s="484"/>
      <c r="JLR3" s="484"/>
      <c r="JLS3" s="484"/>
      <c r="JLT3" s="484"/>
      <c r="JLU3" s="484"/>
      <c r="JLV3" s="484"/>
      <c r="JLW3" s="484"/>
      <c r="JLX3" s="484"/>
      <c r="JLY3" s="484"/>
      <c r="JLZ3" s="484"/>
      <c r="JMA3" s="484"/>
      <c r="JMB3" s="484"/>
      <c r="JMC3" s="484"/>
      <c r="JMD3" s="484"/>
      <c r="JME3" s="484"/>
      <c r="JMF3" s="484"/>
      <c r="JMG3" s="484"/>
      <c r="JMH3" s="484"/>
      <c r="JMI3" s="484"/>
      <c r="JMJ3" s="484"/>
      <c r="JMK3" s="484"/>
      <c r="JML3" s="484"/>
      <c r="JMM3" s="484"/>
      <c r="JMN3" s="484"/>
      <c r="JMO3" s="484"/>
      <c r="JMP3" s="484"/>
      <c r="JMQ3" s="484"/>
      <c r="JMR3" s="484"/>
      <c r="JMS3" s="484"/>
      <c r="JMT3" s="484"/>
      <c r="JMU3" s="484"/>
      <c r="JMV3" s="484"/>
      <c r="JMW3" s="484"/>
      <c r="JMX3" s="484"/>
      <c r="JMY3" s="484"/>
      <c r="JMZ3" s="484"/>
      <c r="JNA3" s="484"/>
      <c r="JNB3" s="484"/>
      <c r="JNC3" s="484"/>
      <c r="JND3" s="484"/>
      <c r="JNE3" s="484"/>
      <c r="JNF3" s="484"/>
      <c r="JNG3" s="484"/>
      <c r="JNH3" s="484"/>
      <c r="JNI3" s="484"/>
      <c r="JNJ3" s="484"/>
      <c r="JNK3" s="484"/>
      <c r="JNL3" s="484"/>
      <c r="JNM3" s="484"/>
      <c r="JNN3" s="484"/>
      <c r="JNO3" s="484"/>
      <c r="JNP3" s="484"/>
      <c r="JNQ3" s="484"/>
      <c r="JNR3" s="484"/>
      <c r="JNS3" s="484"/>
      <c r="JNT3" s="484"/>
      <c r="JNU3" s="484"/>
      <c r="JNV3" s="484"/>
      <c r="JNW3" s="484"/>
      <c r="JNX3" s="484"/>
      <c r="JNY3" s="484"/>
      <c r="JNZ3" s="484"/>
      <c r="JOA3" s="484"/>
      <c r="JOB3" s="484"/>
      <c r="JOC3" s="484"/>
      <c r="JOD3" s="484"/>
      <c r="JOE3" s="484"/>
      <c r="JOF3" s="484"/>
      <c r="JOG3" s="484"/>
      <c r="JOH3" s="484"/>
      <c r="JOI3" s="484"/>
      <c r="JOJ3" s="484"/>
      <c r="JOK3" s="484"/>
      <c r="JOL3" s="484"/>
      <c r="JOM3" s="484"/>
      <c r="JON3" s="484"/>
      <c r="JOO3" s="484"/>
      <c r="JOP3" s="484"/>
      <c r="JOQ3" s="484"/>
      <c r="JOR3" s="484"/>
      <c r="JOS3" s="484"/>
      <c r="JOT3" s="484"/>
      <c r="JOU3" s="484"/>
      <c r="JOV3" s="484"/>
      <c r="JOW3" s="484"/>
      <c r="JOX3" s="484"/>
      <c r="JOY3" s="484"/>
      <c r="JOZ3" s="484"/>
      <c r="JPA3" s="484"/>
      <c r="JPB3" s="484"/>
      <c r="JPC3" s="484"/>
      <c r="JPD3" s="484"/>
      <c r="JPE3" s="484"/>
      <c r="JPF3" s="484"/>
      <c r="JPG3" s="484"/>
      <c r="JPH3" s="484"/>
      <c r="JPI3" s="484"/>
      <c r="JPJ3" s="484"/>
      <c r="JPK3" s="484"/>
      <c r="JPL3" s="484"/>
      <c r="JPM3" s="484"/>
      <c r="JPN3" s="484"/>
      <c r="JPO3" s="484"/>
      <c r="JPP3" s="484"/>
      <c r="JPQ3" s="484"/>
      <c r="JPR3" s="484"/>
      <c r="JPS3" s="484"/>
      <c r="JPT3" s="484"/>
      <c r="JPU3" s="484"/>
      <c r="JPV3" s="484"/>
      <c r="JPW3" s="484"/>
      <c r="JPX3" s="484"/>
      <c r="JPY3" s="484"/>
      <c r="JPZ3" s="484"/>
      <c r="JQA3" s="484"/>
      <c r="JQB3" s="484"/>
      <c r="JQC3" s="484"/>
      <c r="JQD3" s="484"/>
      <c r="JQE3" s="484"/>
      <c r="JQF3" s="484"/>
      <c r="JQG3" s="484"/>
      <c r="JQH3" s="484"/>
      <c r="JQI3" s="484"/>
      <c r="JQJ3" s="484"/>
      <c r="JQK3" s="484"/>
      <c r="JQL3" s="484"/>
      <c r="JQM3" s="484"/>
      <c r="JQN3" s="484"/>
      <c r="JQO3" s="484"/>
      <c r="JQP3" s="484"/>
      <c r="JQQ3" s="484"/>
      <c r="JQR3" s="484"/>
      <c r="JQS3" s="484"/>
      <c r="JQT3" s="484"/>
      <c r="JQU3" s="484"/>
      <c r="JQV3" s="484"/>
      <c r="JQW3" s="484"/>
      <c r="JQX3" s="484"/>
      <c r="JQY3" s="484"/>
      <c r="JQZ3" s="484"/>
      <c r="JRA3" s="484"/>
      <c r="JRB3" s="484"/>
      <c r="JRC3" s="484"/>
      <c r="JRD3" s="484"/>
      <c r="JRE3" s="484"/>
      <c r="JRF3" s="484"/>
      <c r="JRG3" s="484"/>
      <c r="JRH3" s="484"/>
      <c r="JRI3" s="484"/>
      <c r="JRJ3" s="484"/>
      <c r="JRK3" s="484"/>
      <c r="JRL3" s="484"/>
      <c r="JRM3" s="484"/>
      <c r="JRN3" s="484"/>
      <c r="JRO3" s="484"/>
      <c r="JRP3" s="484"/>
      <c r="JRQ3" s="484"/>
      <c r="JRR3" s="484"/>
      <c r="JRS3" s="484"/>
      <c r="JRT3" s="484"/>
      <c r="JRU3" s="484"/>
      <c r="JRV3" s="484"/>
      <c r="JRW3" s="484"/>
      <c r="JRX3" s="484"/>
      <c r="JRY3" s="484"/>
      <c r="JRZ3" s="484"/>
      <c r="JSA3" s="484"/>
      <c r="JSB3" s="484"/>
      <c r="JSC3" s="484"/>
      <c r="JSD3" s="484"/>
      <c r="JSE3" s="484"/>
      <c r="JSF3" s="484"/>
      <c r="JSG3" s="484"/>
      <c r="JSH3" s="484"/>
      <c r="JSI3" s="484"/>
      <c r="JSJ3" s="484"/>
      <c r="JSK3" s="484"/>
      <c r="JSL3" s="484"/>
      <c r="JSM3" s="484"/>
      <c r="JSN3" s="484"/>
      <c r="JSO3" s="484"/>
      <c r="JSP3" s="484"/>
      <c r="JSQ3" s="484"/>
      <c r="JSR3" s="484"/>
      <c r="JSS3" s="484"/>
      <c r="JST3" s="484"/>
      <c r="JSU3" s="484"/>
      <c r="JSV3" s="484"/>
      <c r="JSW3" s="484"/>
      <c r="JSX3" s="484"/>
      <c r="JSY3" s="484"/>
      <c r="JSZ3" s="484"/>
      <c r="JTA3" s="484"/>
      <c r="JTB3" s="484"/>
      <c r="JTC3" s="484"/>
      <c r="JTD3" s="484"/>
      <c r="JTE3" s="484"/>
      <c r="JTF3" s="484"/>
      <c r="JTG3" s="484"/>
      <c r="JTH3" s="484"/>
      <c r="JTI3" s="484"/>
      <c r="JTJ3" s="484"/>
      <c r="JTK3" s="484"/>
      <c r="JTL3" s="484"/>
      <c r="JTM3" s="484"/>
      <c r="JTN3" s="484"/>
      <c r="JTO3" s="484"/>
      <c r="JTP3" s="484"/>
      <c r="JTQ3" s="484"/>
      <c r="JTR3" s="484"/>
      <c r="JTS3" s="484"/>
      <c r="JTT3" s="484"/>
      <c r="JTU3" s="484"/>
      <c r="JTV3" s="484"/>
      <c r="JTW3" s="484"/>
      <c r="JTX3" s="484"/>
      <c r="JTY3" s="484"/>
      <c r="JTZ3" s="484"/>
      <c r="JUA3" s="484"/>
      <c r="JUB3" s="484"/>
      <c r="JUC3" s="484"/>
      <c r="JUD3" s="484"/>
      <c r="JUE3" s="484"/>
      <c r="JUF3" s="484"/>
      <c r="JUG3" s="484"/>
      <c r="JUH3" s="484"/>
      <c r="JUI3" s="484"/>
      <c r="JUJ3" s="484"/>
      <c r="JUK3" s="484"/>
      <c r="JUL3" s="484"/>
      <c r="JUM3" s="484"/>
      <c r="JUN3" s="484"/>
      <c r="JUO3" s="484"/>
      <c r="JUP3" s="484"/>
      <c r="JUQ3" s="484"/>
      <c r="JUR3" s="484"/>
      <c r="JUS3" s="484"/>
      <c r="JUT3" s="484"/>
      <c r="JUU3" s="484"/>
      <c r="JUV3" s="484"/>
      <c r="JUW3" s="484"/>
      <c r="JUX3" s="484"/>
      <c r="JUY3" s="484"/>
      <c r="JUZ3" s="484"/>
      <c r="JVA3" s="484"/>
      <c r="JVB3" s="484"/>
      <c r="JVC3" s="484"/>
      <c r="JVD3" s="484"/>
      <c r="JVE3" s="484"/>
      <c r="JVF3" s="484"/>
      <c r="JVG3" s="484"/>
      <c r="JVH3" s="484"/>
      <c r="JVI3" s="484"/>
      <c r="JVJ3" s="484"/>
      <c r="JVK3" s="484"/>
      <c r="JVL3" s="484"/>
      <c r="JVM3" s="484"/>
      <c r="JVN3" s="484"/>
      <c r="JVO3" s="484"/>
      <c r="JVP3" s="484"/>
      <c r="JVQ3" s="484"/>
      <c r="JVR3" s="484"/>
      <c r="JVS3" s="484"/>
      <c r="JVT3" s="484"/>
      <c r="JVU3" s="484"/>
      <c r="JVV3" s="484"/>
      <c r="JVW3" s="484"/>
      <c r="JVX3" s="484"/>
      <c r="JVY3" s="484"/>
      <c r="JVZ3" s="484"/>
      <c r="JWA3" s="484"/>
      <c r="JWB3" s="484"/>
      <c r="JWC3" s="484"/>
      <c r="JWD3" s="484"/>
      <c r="JWE3" s="484"/>
      <c r="JWF3" s="484"/>
      <c r="JWG3" s="484"/>
      <c r="JWH3" s="484"/>
      <c r="JWI3" s="484"/>
      <c r="JWJ3" s="484"/>
      <c r="JWK3" s="484"/>
      <c r="JWL3" s="484"/>
      <c r="JWM3" s="484"/>
      <c r="JWN3" s="484"/>
      <c r="JWO3" s="484"/>
      <c r="JWP3" s="484"/>
      <c r="JWQ3" s="484"/>
      <c r="JWR3" s="484"/>
      <c r="JWS3" s="484"/>
      <c r="JWT3" s="484"/>
      <c r="JWU3" s="484"/>
      <c r="JWV3" s="484"/>
      <c r="JWW3" s="484"/>
      <c r="JWX3" s="484"/>
      <c r="JWY3" s="484"/>
      <c r="JWZ3" s="484"/>
      <c r="JXA3" s="484"/>
      <c r="JXB3" s="484"/>
      <c r="JXC3" s="484"/>
      <c r="JXD3" s="484"/>
      <c r="JXE3" s="484"/>
      <c r="JXF3" s="484"/>
      <c r="JXG3" s="484"/>
      <c r="JXH3" s="484"/>
      <c r="JXI3" s="484"/>
      <c r="JXJ3" s="484"/>
      <c r="JXK3" s="484"/>
      <c r="JXL3" s="484"/>
      <c r="JXM3" s="484"/>
      <c r="JXN3" s="484"/>
      <c r="JXO3" s="484"/>
      <c r="JXP3" s="484"/>
      <c r="JXQ3" s="484"/>
      <c r="JXR3" s="484"/>
      <c r="JXS3" s="484"/>
      <c r="JXT3" s="484"/>
      <c r="JXU3" s="484"/>
      <c r="JXV3" s="484"/>
      <c r="JXW3" s="484"/>
      <c r="JXX3" s="484"/>
      <c r="JXY3" s="484"/>
      <c r="JXZ3" s="484"/>
      <c r="JYA3" s="484"/>
      <c r="JYB3" s="484"/>
      <c r="JYC3" s="484"/>
      <c r="JYD3" s="484"/>
      <c r="JYE3" s="484"/>
      <c r="JYF3" s="484"/>
      <c r="JYG3" s="484"/>
      <c r="JYH3" s="484"/>
      <c r="JYI3" s="484"/>
      <c r="JYJ3" s="484"/>
      <c r="JYK3" s="484"/>
      <c r="JYL3" s="484"/>
      <c r="JYM3" s="484"/>
      <c r="JYN3" s="484"/>
      <c r="JYO3" s="484"/>
      <c r="JYP3" s="484"/>
      <c r="JYQ3" s="484"/>
      <c r="JYR3" s="484"/>
      <c r="JYS3" s="484"/>
      <c r="JYT3" s="484"/>
      <c r="JYU3" s="484"/>
      <c r="JYV3" s="484"/>
      <c r="JYW3" s="484"/>
      <c r="JYX3" s="484"/>
      <c r="JYY3" s="484"/>
      <c r="JYZ3" s="484"/>
      <c r="JZA3" s="484"/>
      <c r="JZB3" s="484"/>
      <c r="JZC3" s="484"/>
      <c r="JZD3" s="484"/>
      <c r="JZE3" s="484"/>
      <c r="JZF3" s="484"/>
      <c r="JZG3" s="484"/>
      <c r="JZH3" s="484"/>
      <c r="JZI3" s="484"/>
      <c r="JZJ3" s="484"/>
      <c r="JZK3" s="484"/>
      <c r="JZL3" s="484"/>
      <c r="JZM3" s="484"/>
      <c r="JZN3" s="484"/>
      <c r="JZO3" s="484"/>
      <c r="JZP3" s="484"/>
      <c r="JZQ3" s="484"/>
      <c r="JZR3" s="484"/>
      <c r="JZS3" s="484"/>
      <c r="JZT3" s="484"/>
      <c r="JZU3" s="484"/>
      <c r="JZV3" s="484"/>
      <c r="JZW3" s="484"/>
      <c r="JZX3" s="484"/>
      <c r="JZY3" s="484"/>
      <c r="JZZ3" s="484"/>
      <c r="KAA3" s="484"/>
      <c r="KAB3" s="484"/>
      <c r="KAC3" s="484"/>
      <c r="KAD3" s="484"/>
      <c r="KAE3" s="484"/>
      <c r="KAF3" s="484"/>
      <c r="KAG3" s="484"/>
      <c r="KAH3" s="484"/>
      <c r="KAI3" s="484"/>
      <c r="KAJ3" s="484"/>
      <c r="KAK3" s="484"/>
      <c r="KAL3" s="484"/>
      <c r="KAM3" s="484"/>
      <c r="KAN3" s="484"/>
      <c r="KAO3" s="484"/>
      <c r="KAP3" s="484"/>
      <c r="KAQ3" s="484"/>
      <c r="KAR3" s="484"/>
      <c r="KAS3" s="484"/>
      <c r="KAT3" s="484"/>
      <c r="KAU3" s="484"/>
      <c r="KAV3" s="484"/>
      <c r="KAW3" s="484"/>
      <c r="KAX3" s="484"/>
      <c r="KAY3" s="484"/>
      <c r="KAZ3" s="484"/>
      <c r="KBA3" s="484"/>
      <c r="KBB3" s="484"/>
      <c r="KBC3" s="484"/>
      <c r="KBD3" s="484"/>
      <c r="KBE3" s="484"/>
      <c r="KBF3" s="484"/>
      <c r="KBG3" s="484"/>
      <c r="KBH3" s="484"/>
      <c r="KBI3" s="484"/>
      <c r="KBJ3" s="484"/>
      <c r="KBK3" s="484"/>
      <c r="KBL3" s="484"/>
      <c r="KBM3" s="484"/>
      <c r="KBN3" s="484"/>
      <c r="KBO3" s="484"/>
      <c r="KBP3" s="484"/>
      <c r="KBQ3" s="484"/>
      <c r="KBR3" s="484"/>
      <c r="KBS3" s="484"/>
      <c r="KBT3" s="484"/>
      <c r="KBU3" s="484"/>
      <c r="KBV3" s="484"/>
      <c r="KBW3" s="484"/>
      <c r="KBX3" s="484"/>
      <c r="KBY3" s="484"/>
      <c r="KBZ3" s="484"/>
      <c r="KCA3" s="484"/>
      <c r="KCB3" s="484"/>
      <c r="KCC3" s="484"/>
      <c r="KCD3" s="484"/>
      <c r="KCE3" s="484"/>
      <c r="KCF3" s="484"/>
      <c r="KCG3" s="484"/>
      <c r="KCH3" s="484"/>
      <c r="KCI3" s="484"/>
      <c r="KCJ3" s="484"/>
      <c r="KCK3" s="484"/>
      <c r="KCL3" s="484"/>
      <c r="KCM3" s="484"/>
      <c r="KCN3" s="484"/>
      <c r="KCO3" s="484"/>
      <c r="KCP3" s="484"/>
      <c r="KCQ3" s="484"/>
      <c r="KCR3" s="484"/>
      <c r="KCS3" s="484"/>
      <c r="KCT3" s="484"/>
      <c r="KCU3" s="484"/>
      <c r="KCV3" s="484"/>
      <c r="KCW3" s="484"/>
      <c r="KCX3" s="484"/>
      <c r="KCY3" s="484"/>
      <c r="KCZ3" s="484"/>
      <c r="KDA3" s="484"/>
      <c r="KDB3" s="484"/>
      <c r="KDC3" s="484"/>
      <c r="KDD3" s="484"/>
      <c r="KDE3" s="484"/>
      <c r="KDF3" s="484"/>
      <c r="KDG3" s="484"/>
      <c r="KDH3" s="484"/>
      <c r="KDI3" s="484"/>
      <c r="KDJ3" s="484"/>
      <c r="KDK3" s="484"/>
      <c r="KDL3" s="484"/>
      <c r="KDM3" s="484"/>
      <c r="KDN3" s="484"/>
      <c r="KDO3" s="484"/>
      <c r="KDP3" s="484"/>
      <c r="KDQ3" s="484"/>
      <c r="KDR3" s="484"/>
      <c r="KDS3" s="484"/>
      <c r="KDT3" s="484"/>
      <c r="KDU3" s="484"/>
      <c r="KDV3" s="484"/>
      <c r="KDW3" s="484"/>
      <c r="KDX3" s="484"/>
      <c r="KDY3" s="484"/>
      <c r="KDZ3" s="484"/>
      <c r="KEA3" s="484"/>
      <c r="KEB3" s="484"/>
      <c r="KEC3" s="484"/>
      <c r="KED3" s="484"/>
      <c r="KEE3" s="484"/>
      <c r="KEF3" s="484"/>
      <c r="KEG3" s="484"/>
      <c r="KEH3" s="484"/>
      <c r="KEI3" s="484"/>
      <c r="KEJ3" s="484"/>
      <c r="KEK3" s="484"/>
      <c r="KEL3" s="484"/>
      <c r="KEM3" s="484"/>
      <c r="KEN3" s="484"/>
      <c r="KEO3" s="484"/>
      <c r="KEP3" s="484"/>
      <c r="KEQ3" s="484"/>
      <c r="KER3" s="484"/>
      <c r="KES3" s="484"/>
      <c r="KET3" s="484"/>
      <c r="KEU3" s="484"/>
      <c r="KEV3" s="484"/>
      <c r="KEW3" s="484"/>
      <c r="KEX3" s="484"/>
      <c r="KEY3" s="484"/>
      <c r="KEZ3" s="484"/>
      <c r="KFA3" s="484"/>
      <c r="KFB3" s="484"/>
      <c r="KFC3" s="484"/>
      <c r="KFD3" s="484"/>
      <c r="KFE3" s="484"/>
      <c r="KFF3" s="484"/>
      <c r="KFG3" s="484"/>
      <c r="KFH3" s="484"/>
      <c r="KFI3" s="484"/>
      <c r="KFJ3" s="484"/>
      <c r="KFK3" s="484"/>
      <c r="KFL3" s="484"/>
      <c r="KFM3" s="484"/>
      <c r="KFN3" s="484"/>
      <c r="KFO3" s="484"/>
      <c r="KFP3" s="484"/>
      <c r="KFQ3" s="484"/>
      <c r="KFR3" s="484"/>
      <c r="KFS3" s="484"/>
      <c r="KFT3" s="484"/>
      <c r="KFU3" s="484"/>
      <c r="KFV3" s="484"/>
      <c r="KFW3" s="484"/>
      <c r="KFX3" s="484"/>
      <c r="KFY3" s="484"/>
      <c r="KFZ3" s="484"/>
      <c r="KGA3" s="484"/>
      <c r="KGB3" s="484"/>
      <c r="KGC3" s="484"/>
      <c r="KGD3" s="484"/>
      <c r="KGE3" s="484"/>
      <c r="KGF3" s="484"/>
      <c r="KGG3" s="484"/>
      <c r="KGH3" s="484"/>
      <c r="KGI3" s="484"/>
      <c r="KGJ3" s="484"/>
      <c r="KGK3" s="484"/>
      <c r="KGL3" s="484"/>
      <c r="KGM3" s="484"/>
      <c r="KGN3" s="484"/>
      <c r="KGO3" s="484"/>
      <c r="KGP3" s="484"/>
      <c r="KGQ3" s="484"/>
      <c r="KGR3" s="484"/>
      <c r="KGS3" s="484"/>
      <c r="KGT3" s="484"/>
      <c r="KGU3" s="484"/>
      <c r="KGV3" s="484"/>
      <c r="KGW3" s="484"/>
      <c r="KGX3" s="484"/>
      <c r="KGY3" s="484"/>
      <c r="KGZ3" s="484"/>
      <c r="KHA3" s="484"/>
      <c r="KHB3" s="484"/>
      <c r="KHC3" s="484"/>
      <c r="KHD3" s="484"/>
      <c r="KHE3" s="484"/>
      <c r="KHF3" s="484"/>
      <c r="KHG3" s="484"/>
      <c r="KHH3" s="484"/>
      <c r="KHI3" s="484"/>
      <c r="KHJ3" s="484"/>
      <c r="KHK3" s="484"/>
      <c r="KHL3" s="484"/>
      <c r="KHM3" s="484"/>
      <c r="KHN3" s="484"/>
      <c r="KHO3" s="484"/>
      <c r="KHP3" s="484"/>
      <c r="KHQ3" s="484"/>
      <c r="KHR3" s="484"/>
      <c r="KHS3" s="484"/>
      <c r="KHT3" s="484"/>
      <c r="KHU3" s="484"/>
      <c r="KHV3" s="484"/>
      <c r="KHW3" s="484"/>
      <c r="KHX3" s="484"/>
      <c r="KHY3" s="484"/>
      <c r="KHZ3" s="484"/>
      <c r="KIA3" s="484"/>
      <c r="KIB3" s="484"/>
      <c r="KIC3" s="484"/>
      <c r="KID3" s="484"/>
      <c r="KIE3" s="484"/>
      <c r="KIF3" s="484"/>
      <c r="KIG3" s="484"/>
      <c r="KIH3" s="484"/>
      <c r="KII3" s="484"/>
      <c r="KIJ3" s="484"/>
      <c r="KIK3" s="484"/>
      <c r="KIL3" s="484"/>
      <c r="KIM3" s="484"/>
      <c r="KIN3" s="484"/>
      <c r="KIO3" s="484"/>
      <c r="KIP3" s="484"/>
      <c r="KIQ3" s="484"/>
      <c r="KIR3" s="484"/>
      <c r="KIS3" s="484"/>
      <c r="KIT3" s="484"/>
      <c r="KIU3" s="484"/>
      <c r="KIV3" s="484"/>
      <c r="KIW3" s="484"/>
      <c r="KIX3" s="484"/>
      <c r="KIY3" s="484"/>
      <c r="KIZ3" s="484"/>
      <c r="KJA3" s="484"/>
      <c r="KJB3" s="484"/>
      <c r="KJC3" s="484"/>
      <c r="KJD3" s="484"/>
      <c r="KJE3" s="484"/>
      <c r="KJF3" s="484"/>
      <c r="KJG3" s="484"/>
      <c r="KJH3" s="484"/>
      <c r="KJI3" s="484"/>
      <c r="KJJ3" s="484"/>
      <c r="KJK3" s="484"/>
      <c r="KJL3" s="484"/>
      <c r="KJM3" s="484"/>
      <c r="KJN3" s="484"/>
      <c r="KJO3" s="484"/>
      <c r="KJP3" s="484"/>
      <c r="KJQ3" s="484"/>
      <c r="KJR3" s="484"/>
      <c r="KJS3" s="484"/>
      <c r="KJT3" s="484"/>
      <c r="KJU3" s="484"/>
      <c r="KJV3" s="484"/>
      <c r="KJW3" s="484"/>
      <c r="KJX3" s="484"/>
      <c r="KJY3" s="484"/>
      <c r="KJZ3" s="484"/>
      <c r="KKA3" s="484"/>
      <c r="KKB3" s="484"/>
      <c r="KKC3" s="484"/>
      <c r="KKD3" s="484"/>
      <c r="KKE3" s="484"/>
      <c r="KKF3" s="484"/>
      <c r="KKG3" s="484"/>
      <c r="KKH3" s="484"/>
      <c r="KKI3" s="484"/>
      <c r="KKJ3" s="484"/>
      <c r="KKK3" s="484"/>
      <c r="KKL3" s="484"/>
      <c r="KKM3" s="484"/>
      <c r="KKN3" s="484"/>
      <c r="KKO3" s="484"/>
      <c r="KKP3" s="484"/>
      <c r="KKQ3" s="484"/>
      <c r="KKR3" s="484"/>
      <c r="KKS3" s="484"/>
      <c r="KKT3" s="484"/>
      <c r="KKU3" s="484"/>
      <c r="KKV3" s="484"/>
      <c r="KKW3" s="484"/>
      <c r="KKX3" s="484"/>
      <c r="KKY3" s="484"/>
      <c r="KKZ3" s="484"/>
      <c r="KLA3" s="484"/>
      <c r="KLB3" s="484"/>
      <c r="KLC3" s="484"/>
      <c r="KLD3" s="484"/>
      <c r="KLE3" s="484"/>
      <c r="KLF3" s="484"/>
      <c r="KLG3" s="484"/>
      <c r="KLH3" s="484"/>
      <c r="KLI3" s="484"/>
      <c r="KLJ3" s="484"/>
      <c r="KLK3" s="484"/>
      <c r="KLL3" s="484"/>
      <c r="KLM3" s="484"/>
      <c r="KLN3" s="484"/>
      <c r="KLO3" s="484"/>
      <c r="KLP3" s="484"/>
      <c r="KLQ3" s="484"/>
      <c r="KLR3" s="484"/>
      <c r="KLS3" s="484"/>
      <c r="KLT3" s="484"/>
      <c r="KLU3" s="484"/>
      <c r="KLV3" s="484"/>
      <c r="KLW3" s="484"/>
      <c r="KLX3" s="484"/>
      <c r="KLY3" s="484"/>
      <c r="KLZ3" s="484"/>
      <c r="KMA3" s="484"/>
      <c r="KMB3" s="484"/>
      <c r="KMC3" s="484"/>
      <c r="KMD3" s="484"/>
      <c r="KME3" s="484"/>
      <c r="KMF3" s="484"/>
      <c r="KMG3" s="484"/>
      <c r="KMH3" s="484"/>
      <c r="KMI3" s="484"/>
      <c r="KMJ3" s="484"/>
      <c r="KMK3" s="484"/>
      <c r="KML3" s="484"/>
      <c r="KMM3" s="484"/>
      <c r="KMN3" s="484"/>
      <c r="KMO3" s="484"/>
      <c r="KMP3" s="484"/>
      <c r="KMQ3" s="484"/>
      <c r="KMR3" s="484"/>
      <c r="KMS3" s="484"/>
      <c r="KMT3" s="484"/>
      <c r="KMU3" s="484"/>
      <c r="KMV3" s="484"/>
      <c r="KMW3" s="484"/>
      <c r="KMX3" s="484"/>
      <c r="KMY3" s="484"/>
      <c r="KMZ3" s="484"/>
      <c r="KNA3" s="484"/>
      <c r="KNB3" s="484"/>
      <c r="KNC3" s="484"/>
      <c r="KND3" s="484"/>
      <c r="KNE3" s="484"/>
      <c r="KNF3" s="484"/>
      <c r="KNG3" s="484"/>
      <c r="KNH3" s="484"/>
      <c r="KNI3" s="484"/>
      <c r="KNJ3" s="484"/>
      <c r="KNK3" s="484"/>
      <c r="KNL3" s="484"/>
      <c r="KNM3" s="484"/>
      <c r="KNN3" s="484"/>
      <c r="KNO3" s="484"/>
      <c r="KNP3" s="484"/>
      <c r="KNQ3" s="484"/>
      <c r="KNR3" s="484"/>
      <c r="KNS3" s="484"/>
      <c r="KNT3" s="484"/>
      <c r="KNU3" s="484"/>
      <c r="KNV3" s="484"/>
      <c r="KNW3" s="484"/>
      <c r="KNX3" s="484"/>
      <c r="KNY3" s="484"/>
      <c r="KNZ3" s="484"/>
      <c r="KOA3" s="484"/>
      <c r="KOB3" s="484"/>
      <c r="KOC3" s="484"/>
      <c r="KOD3" s="484"/>
      <c r="KOE3" s="484"/>
      <c r="KOF3" s="484"/>
      <c r="KOG3" s="484"/>
      <c r="KOH3" s="484"/>
      <c r="KOI3" s="484"/>
      <c r="KOJ3" s="484"/>
      <c r="KOK3" s="484"/>
      <c r="KOL3" s="484"/>
      <c r="KOM3" s="484"/>
      <c r="KON3" s="484"/>
      <c r="KOO3" s="484"/>
      <c r="KOP3" s="484"/>
      <c r="KOQ3" s="484"/>
      <c r="KOR3" s="484"/>
      <c r="KOS3" s="484"/>
      <c r="KOT3" s="484"/>
      <c r="KOU3" s="484"/>
      <c r="KOV3" s="484"/>
      <c r="KOW3" s="484"/>
      <c r="KOX3" s="484"/>
      <c r="KOY3" s="484"/>
      <c r="KOZ3" s="484"/>
      <c r="KPA3" s="484"/>
      <c r="KPB3" s="484"/>
      <c r="KPC3" s="484"/>
      <c r="KPD3" s="484"/>
      <c r="KPE3" s="484"/>
      <c r="KPF3" s="484"/>
      <c r="KPG3" s="484"/>
      <c r="KPH3" s="484"/>
      <c r="KPI3" s="484"/>
      <c r="KPJ3" s="484"/>
      <c r="KPK3" s="484"/>
      <c r="KPL3" s="484"/>
      <c r="KPM3" s="484"/>
      <c r="KPN3" s="484"/>
      <c r="KPO3" s="484"/>
      <c r="KPP3" s="484"/>
      <c r="KPQ3" s="484"/>
      <c r="KPR3" s="484"/>
      <c r="KPS3" s="484"/>
      <c r="KPT3" s="484"/>
      <c r="KPU3" s="484"/>
      <c r="KPV3" s="484"/>
      <c r="KPW3" s="484"/>
      <c r="KPX3" s="484"/>
      <c r="KPY3" s="484"/>
      <c r="KPZ3" s="484"/>
      <c r="KQA3" s="484"/>
      <c r="KQB3" s="484"/>
      <c r="KQC3" s="484"/>
      <c r="KQD3" s="484"/>
      <c r="KQE3" s="484"/>
      <c r="KQF3" s="484"/>
      <c r="KQG3" s="484"/>
      <c r="KQH3" s="484"/>
      <c r="KQI3" s="484"/>
      <c r="KQJ3" s="484"/>
      <c r="KQK3" s="484"/>
      <c r="KQL3" s="484"/>
      <c r="KQM3" s="484"/>
      <c r="KQN3" s="484"/>
      <c r="KQO3" s="484"/>
      <c r="KQP3" s="484"/>
      <c r="KQQ3" s="484"/>
      <c r="KQR3" s="484"/>
      <c r="KQS3" s="484"/>
      <c r="KQT3" s="484"/>
      <c r="KQU3" s="484"/>
      <c r="KQV3" s="484"/>
      <c r="KQW3" s="484"/>
      <c r="KQX3" s="484"/>
      <c r="KQY3" s="484"/>
      <c r="KQZ3" s="484"/>
      <c r="KRA3" s="484"/>
      <c r="KRB3" s="484"/>
      <c r="KRC3" s="484"/>
      <c r="KRD3" s="484"/>
      <c r="KRE3" s="484"/>
      <c r="KRF3" s="484"/>
      <c r="KRG3" s="484"/>
      <c r="KRH3" s="484"/>
      <c r="KRI3" s="484"/>
      <c r="KRJ3" s="484"/>
      <c r="KRK3" s="484"/>
      <c r="KRL3" s="484"/>
      <c r="KRM3" s="484"/>
      <c r="KRN3" s="484"/>
      <c r="KRO3" s="484"/>
      <c r="KRP3" s="484"/>
      <c r="KRQ3" s="484"/>
      <c r="KRR3" s="484"/>
      <c r="KRS3" s="484"/>
      <c r="KRT3" s="484"/>
      <c r="KRU3" s="484"/>
      <c r="KRV3" s="484"/>
      <c r="KRW3" s="484"/>
      <c r="KRX3" s="484"/>
      <c r="KRY3" s="484"/>
      <c r="KRZ3" s="484"/>
      <c r="KSA3" s="484"/>
      <c r="KSB3" s="484"/>
      <c r="KSC3" s="484"/>
      <c r="KSD3" s="484"/>
      <c r="KSE3" s="484"/>
      <c r="KSF3" s="484"/>
      <c r="KSG3" s="484"/>
      <c r="KSH3" s="484"/>
      <c r="KSI3" s="484"/>
      <c r="KSJ3" s="484"/>
      <c r="KSK3" s="484"/>
      <c r="KSL3" s="484"/>
      <c r="KSM3" s="484"/>
      <c r="KSN3" s="484"/>
      <c r="KSO3" s="484"/>
      <c r="KSP3" s="484"/>
      <c r="KSQ3" s="484"/>
      <c r="KSR3" s="484"/>
      <c r="KSS3" s="484"/>
      <c r="KST3" s="484"/>
      <c r="KSU3" s="484"/>
      <c r="KSV3" s="484"/>
      <c r="KSW3" s="484"/>
      <c r="KSX3" s="484"/>
      <c r="KSY3" s="484"/>
      <c r="KSZ3" s="484"/>
      <c r="KTA3" s="484"/>
      <c r="KTB3" s="484"/>
      <c r="KTC3" s="484"/>
      <c r="KTD3" s="484"/>
      <c r="KTE3" s="484"/>
      <c r="KTF3" s="484"/>
      <c r="KTG3" s="484"/>
      <c r="KTH3" s="484"/>
      <c r="KTI3" s="484"/>
      <c r="KTJ3" s="484"/>
      <c r="KTK3" s="484"/>
      <c r="KTL3" s="484"/>
      <c r="KTM3" s="484"/>
      <c r="KTN3" s="484"/>
      <c r="KTO3" s="484"/>
      <c r="KTP3" s="484"/>
      <c r="KTQ3" s="484"/>
      <c r="KTR3" s="484"/>
      <c r="KTS3" s="484"/>
      <c r="KTT3" s="484"/>
      <c r="KTU3" s="484"/>
      <c r="KTV3" s="484"/>
      <c r="KTW3" s="484"/>
      <c r="KTX3" s="484"/>
      <c r="KTY3" s="484"/>
      <c r="KTZ3" s="484"/>
      <c r="KUA3" s="484"/>
      <c r="KUB3" s="484"/>
      <c r="KUC3" s="484"/>
      <c r="KUD3" s="484"/>
      <c r="KUE3" s="484"/>
      <c r="KUF3" s="484"/>
      <c r="KUG3" s="484"/>
      <c r="KUH3" s="484"/>
      <c r="KUI3" s="484"/>
      <c r="KUJ3" s="484"/>
      <c r="KUK3" s="484"/>
      <c r="KUL3" s="484"/>
      <c r="KUM3" s="484"/>
      <c r="KUN3" s="484"/>
      <c r="KUO3" s="484"/>
      <c r="KUP3" s="484"/>
      <c r="KUQ3" s="484"/>
      <c r="KUR3" s="484"/>
      <c r="KUS3" s="484"/>
      <c r="KUT3" s="484"/>
      <c r="KUU3" s="484"/>
      <c r="KUV3" s="484"/>
      <c r="KUW3" s="484"/>
      <c r="KUX3" s="484"/>
      <c r="KUY3" s="484"/>
      <c r="KUZ3" s="484"/>
      <c r="KVA3" s="484"/>
      <c r="KVB3" s="484"/>
      <c r="KVC3" s="484"/>
      <c r="KVD3" s="484"/>
      <c r="KVE3" s="484"/>
      <c r="KVF3" s="484"/>
      <c r="KVG3" s="484"/>
      <c r="KVH3" s="484"/>
      <c r="KVI3" s="484"/>
      <c r="KVJ3" s="484"/>
      <c r="KVK3" s="484"/>
      <c r="KVL3" s="484"/>
      <c r="KVM3" s="484"/>
      <c r="KVN3" s="484"/>
      <c r="KVO3" s="484"/>
      <c r="KVP3" s="484"/>
      <c r="KVQ3" s="484"/>
      <c r="KVR3" s="484"/>
      <c r="KVS3" s="484"/>
      <c r="KVT3" s="484"/>
      <c r="KVU3" s="484"/>
      <c r="KVV3" s="484"/>
      <c r="KVW3" s="484"/>
      <c r="KVX3" s="484"/>
      <c r="KVY3" s="484"/>
      <c r="KVZ3" s="484"/>
      <c r="KWA3" s="484"/>
      <c r="KWB3" s="484"/>
      <c r="KWC3" s="484"/>
      <c r="KWD3" s="484"/>
      <c r="KWE3" s="484"/>
      <c r="KWF3" s="484"/>
      <c r="KWG3" s="484"/>
      <c r="KWH3" s="484"/>
      <c r="KWI3" s="484"/>
      <c r="KWJ3" s="484"/>
      <c r="KWK3" s="484"/>
      <c r="KWL3" s="484"/>
      <c r="KWM3" s="484"/>
      <c r="KWN3" s="484"/>
      <c r="KWO3" s="484"/>
      <c r="KWP3" s="484"/>
      <c r="KWQ3" s="484"/>
      <c r="KWR3" s="484"/>
      <c r="KWS3" s="484"/>
      <c r="KWT3" s="484"/>
      <c r="KWU3" s="484"/>
      <c r="KWV3" s="484"/>
      <c r="KWW3" s="484"/>
      <c r="KWX3" s="484"/>
      <c r="KWY3" s="484"/>
      <c r="KWZ3" s="484"/>
      <c r="KXA3" s="484"/>
      <c r="KXB3" s="484"/>
      <c r="KXC3" s="484"/>
      <c r="KXD3" s="484"/>
      <c r="KXE3" s="484"/>
      <c r="KXF3" s="484"/>
      <c r="KXG3" s="484"/>
      <c r="KXH3" s="484"/>
      <c r="KXI3" s="484"/>
      <c r="KXJ3" s="484"/>
      <c r="KXK3" s="484"/>
      <c r="KXL3" s="484"/>
      <c r="KXM3" s="484"/>
      <c r="KXN3" s="484"/>
      <c r="KXO3" s="484"/>
      <c r="KXP3" s="484"/>
      <c r="KXQ3" s="484"/>
      <c r="KXR3" s="484"/>
      <c r="KXS3" s="484"/>
      <c r="KXT3" s="484"/>
      <c r="KXU3" s="484"/>
      <c r="KXV3" s="484"/>
      <c r="KXW3" s="484"/>
      <c r="KXX3" s="484"/>
      <c r="KXY3" s="484"/>
      <c r="KXZ3" s="484"/>
      <c r="KYA3" s="484"/>
      <c r="KYB3" s="484"/>
      <c r="KYC3" s="484"/>
      <c r="KYD3" s="484"/>
      <c r="KYE3" s="484"/>
      <c r="KYF3" s="484"/>
      <c r="KYG3" s="484"/>
      <c r="KYH3" s="484"/>
      <c r="KYI3" s="484"/>
      <c r="KYJ3" s="484"/>
      <c r="KYK3" s="484"/>
      <c r="KYL3" s="484"/>
      <c r="KYM3" s="484"/>
      <c r="KYN3" s="484"/>
      <c r="KYO3" s="484"/>
      <c r="KYP3" s="484"/>
      <c r="KYQ3" s="484"/>
      <c r="KYR3" s="484"/>
      <c r="KYS3" s="484"/>
      <c r="KYT3" s="484"/>
      <c r="KYU3" s="484"/>
      <c r="KYV3" s="484"/>
      <c r="KYW3" s="484"/>
      <c r="KYX3" s="484"/>
      <c r="KYY3" s="484"/>
      <c r="KYZ3" s="484"/>
      <c r="KZA3" s="484"/>
      <c r="KZB3" s="484"/>
      <c r="KZC3" s="484"/>
      <c r="KZD3" s="484"/>
      <c r="KZE3" s="484"/>
      <c r="KZF3" s="484"/>
      <c r="KZG3" s="484"/>
      <c r="KZH3" s="484"/>
      <c r="KZI3" s="484"/>
      <c r="KZJ3" s="484"/>
      <c r="KZK3" s="484"/>
      <c r="KZL3" s="484"/>
      <c r="KZM3" s="484"/>
      <c r="KZN3" s="484"/>
      <c r="KZO3" s="484"/>
      <c r="KZP3" s="484"/>
      <c r="KZQ3" s="484"/>
      <c r="KZR3" s="484"/>
      <c r="KZS3" s="484"/>
      <c r="KZT3" s="484"/>
      <c r="KZU3" s="484"/>
      <c r="KZV3" s="484"/>
      <c r="KZW3" s="484"/>
      <c r="KZX3" s="484"/>
      <c r="KZY3" s="484"/>
      <c r="KZZ3" s="484"/>
      <c r="LAA3" s="484"/>
      <c r="LAB3" s="484"/>
      <c r="LAC3" s="484"/>
      <c r="LAD3" s="484"/>
      <c r="LAE3" s="484"/>
      <c r="LAF3" s="484"/>
      <c r="LAG3" s="484"/>
      <c r="LAH3" s="484"/>
      <c r="LAI3" s="484"/>
      <c r="LAJ3" s="484"/>
      <c r="LAK3" s="484"/>
      <c r="LAL3" s="484"/>
      <c r="LAM3" s="484"/>
      <c r="LAN3" s="484"/>
      <c r="LAO3" s="484"/>
      <c r="LAP3" s="484"/>
      <c r="LAQ3" s="484"/>
      <c r="LAR3" s="484"/>
      <c r="LAS3" s="484"/>
      <c r="LAT3" s="484"/>
      <c r="LAU3" s="484"/>
      <c r="LAV3" s="484"/>
      <c r="LAW3" s="484"/>
      <c r="LAX3" s="484"/>
      <c r="LAY3" s="484"/>
      <c r="LAZ3" s="484"/>
      <c r="LBA3" s="484"/>
      <c r="LBB3" s="484"/>
      <c r="LBC3" s="484"/>
      <c r="LBD3" s="484"/>
      <c r="LBE3" s="484"/>
      <c r="LBF3" s="484"/>
      <c r="LBG3" s="484"/>
      <c r="LBH3" s="484"/>
      <c r="LBI3" s="484"/>
      <c r="LBJ3" s="484"/>
      <c r="LBK3" s="484"/>
      <c r="LBL3" s="484"/>
      <c r="LBM3" s="484"/>
      <c r="LBN3" s="484"/>
      <c r="LBO3" s="484"/>
      <c r="LBP3" s="484"/>
      <c r="LBQ3" s="484"/>
      <c r="LBR3" s="484"/>
      <c r="LBS3" s="484"/>
      <c r="LBT3" s="484"/>
      <c r="LBU3" s="484"/>
      <c r="LBV3" s="484"/>
      <c r="LBW3" s="484"/>
      <c r="LBX3" s="484"/>
      <c r="LBY3" s="484"/>
      <c r="LBZ3" s="484"/>
      <c r="LCA3" s="484"/>
      <c r="LCB3" s="484"/>
      <c r="LCC3" s="484"/>
      <c r="LCD3" s="484"/>
      <c r="LCE3" s="484"/>
      <c r="LCF3" s="484"/>
      <c r="LCG3" s="484"/>
      <c r="LCH3" s="484"/>
      <c r="LCI3" s="484"/>
      <c r="LCJ3" s="484"/>
      <c r="LCK3" s="484"/>
      <c r="LCL3" s="484"/>
      <c r="LCM3" s="484"/>
      <c r="LCN3" s="484"/>
      <c r="LCO3" s="484"/>
      <c r="LCP3" s="484"/>
      <c r="LCQ3" s="484"/>
      <c r="LCR3" s="484"/>
      <c r="LCS3" s="484"/>
      <c r="LCT3" s="484"/>
      <c r="LCU3" s="484"/>
      <c r="LCV3" s="484"/>
      <c r="LCW3" s="484"/>
      <c r="LCX3" s="484"/>
      <c r="LCY3" s="484"/>
      <c r="LCZ3" s="484"/>
      <c r="LDA3" s="484"/>
      <c r="LDB3" s="484"/>
      <c r="LDC3" s="484"/>
      <c r="LDD3" s="484"/>
      <c r="LDE3" s="484"/>
      <c r="LDF3" s="484"/>
      <c r="LDG3" s="484"/>
      <c r="LDH3" s="484"/>
      <c r="LDI3" s="484"/>
      <c r="LDJ3" s="484"/>
      <c r="LDK3" s="484"/>
      <c r="LDL3" s="484"/>
      <c r="LDM3" s="484"/>
      <c r="LDN3" s="484"/>
      <c r="LDO3" s="484"/>
      <c r="LDP3" s="484"/>
      <c r="LDQ3" s="484"/>
      <c r="LDR3" s="484"/>
      <c r="LDS3" s="484"/>
      <c r="LDT3" s="484"/>
      <c r="LDU3" s="484"/>
      <c r="LDV3" s="484"/>
      <c r="LDW3" s="484"/>
      <c r="LDX3" s="484"/>
      <c r="LDY3" s="484"/>
      <c r="LDZ3" s="484"/>
      <c r="LEA3" s="484"/>
      <c r="LEB3" s="484"/>
      <c r="LEC3" s="484"/>
      <c r="LED3" s="484"/>
      <c r="LEE3" s="484"/>
      <c r="LEF3" s="484"/>
      <c r="LEG3" s="484"/>
      <c r="LEH3" s="484"/>
      <c r="LEI3" s="484"/>
      <c r="LEJ3" s="484"/>
      <c r="LEK3" s="484"/>
      <c r="LEL3" s="484"/>
      <c r="LEM3" s="484"/>
      <c r="LEN3" s="484"/>
      <c r="LEO3" s="484"/>
      <c r="LEP3" s="484"/>
      <c r="LEQ3" s="484"/>
      <c r="LER3" s="484"/>
      <c r="LES3" s="484"/>
      <c r="LET3" s="484"/>
      <c r="LEU3" s="484"/>
      <c r="LEV3" s="484"/>
      <c r="LEW3" s="484"/>
      <c r="LEX3" s="484"/>
      <c r="LEY3" s="484"/>
      <c r="LEZ3" s="484"/>
      <c r="LFA3" s="484"/>
      <c r="LFB3" s="484"/>
      <c r="LFC3" s="484"/>
      <c r="LFD3" s="484"/>
      <c r="LFE3" s="484"/>
      <c r="LFF3" s="484"/>
      <c r="LFG3" s="484"/>
      <c r="LFH3" s="484"/>
      <c r="LFI3" s="484"/>
      <c r="LFJ3" s="484"/>
      <c r="LFK3" s="484"/>
      <c r="LFL3" s="484"/>
      <c r="LFM3" s="484"/>
      <c r="LFN3" s="484"/>
      <c r="LFO3" s="484"/>
      <c r="LFP3" s="484"/>
      <c r="LFQ3" s="484"/>
      <c r="LFR3" s="484"/>
      <c r="LFS3" s="484"/>
      <c r="LFT3" s="484"/>
      <c r="LFU3" s="484"/>
      <c r="LFV3" s="484"/>
      <c r="LFW3" s="484"/>
      <c r="LFX3" s="484"/>
      <c r="LFY3" s="484"/>
      <c r="LFZ3" s="484"/>
      <c r="LGA3" s="484"/>
      <c r="LGB3" s="484"/>
      <c r="LGC3" s="484"/>
      <c r="LGD3" s="484"/>
      <c r="LGE3" s="484"/>
      <c r="LGF3" s="484"/>
      <c r="LGG3" s="484"/>
      <c r="LGH3" s="484"/>
      <c r="LGI3" s="484"/>
      <c r="LGJ3" s="484"/>
      <c r="LGK3" s="484"/>
      <c r="LGL3" s="484"/>
      <c r="LGM3" s="484"/>
      <c r="LGN3" s="484"/>
      <c r="LGO3" s="484"/>
      <c r="LGP3" s="484"/>
      <c r="LGQ3" s="484"/>
      <c r="LGR3" s="484"/>
      <c r="LGS3" s="484"/>
      <c r="LGT3" s="484"/>
      <c r="LGU3" s="484"/>
      <c r="LGV3" s="484"/>
      <c r="LGW3" s="484"/>
      <c r="LGX3" s="484"/>
      <c r="LGY3" s="484"/>
      <c r="LGZ3" s="484"/>
      <c r="LHA3" s="484"/>
      <c r="LHB3" s="484"/>
      <c r="LHC3" s="484"/>
      <c r="LHD3" s="484"/>
      <c r="LHE3" s="484"/>
      <c r="LHF3" s="484"/>
      <c r="LHG3" s="484"/>
      <c r="LHH3" s="484"/>
      <c r="LHI3" s="484"/>
      <c r="LHJ3" s="484"/>
      <c r="LHK3" s="484"/>
      <c r="LHL3" s="484"/>
      <c r="LHM3" s="484"/>
      <c r="LHN3" s="484"/>
      <c r="LHO3" s="484"/>
      <c r="LHP3" s="484"/>
      <c r="LHQ3" s="484"/>
      <c r="LHR3" s="484"/>
      <c r="LHS3" s="484"/>
      <c r="LHT3" s="484"/>
      <c r="LHU3" s="484"/>
      <c r="LHV3" s="484"/>
      <c r="LHW3" s="484"/>
      <c r="LHX3" s="484"/>
      <c r="LHY3" s="484"/>
      <c r="LHZ3" s="484"/>
      <c r="LIA3" s="484"/>
      <c r="LIB3" s="484"/>
      <c r="LIC3" s="484"/>
      <c r="LID3" s="484"/>
      <c r="LIE3" s="484"/>
      <c r="LIF3" s="484"/>
      <c r="LIG3" s="484"/>
      <c r="LIH3" s="484"/>
      <c r="LII3" s="484"/>
      <c r="LIJ3" s="484"/>
      <c r="LIK3" s="484"/>
      <c r="LIL3" s="484"/>
      <c r="LIM3" s="484"/>
      <c r="LIN3" s="484"/>
      <c r="LIO3" s="484"/>
      <c r="LIP3" s="484"/>
      <c r="LIQ3" s="484"/>
      <c r="LIR3" s="484"/>
      <c r="LIS3" s="484"/>
      <c r="LIT3" s="484"/>
      <c r="LIU3" s="484"/>
      <c r="LIV3" s="484"/>
      <c r="LIW3" s="484"/>
      <c r="LIX3" s="484"/>
      <c r="LIY3" s="484"/>
      <c r="LIZ3" s="484"/>
      <c r="LJA3" s="484"/>
      <c r="LJB3" s="484"/>
      <c r="LJC3" s="484"/>
      <c r="LJD3" s="484"/>
      <c r="LJE3" s="484"/>
      <c r="LJF3" s="484"/>
      <c r="LJG3" s="484"/>
      <c r="LJH3" s="484"/>
      <c r="LJI3" s="484"/>
      <c r="LJJ3" s="484"/>
      <c r="LJK3" s="484"/>
      <c r="LJL3" s="484"/>
      <c r="LJM3" s="484"/>
      <c r="LJN3" s="484"/>
      <c r="LJO3" s="484"/>
      <c r="LJP3" s="484"/>
      <c r="LJQ3" s="484"/>
      <c r="LJR3" s="484"/>
      <c r="LJS3" s="484"/>
      <c r="LJT3" s="484"/>
      <c r="LJU3" s="484"/>
      <c r="LJV3" s="484"/>
      <c r="LJW3" s="484"/>
      <c r="LJX3" s="484"/>
      <c r="LJY3" s="484"/>
      <c r="LJZ3" s="484"/>
      <c r="LKA3" s="484"/>
      <c r="LKB3" s="484"/>
      <c r="LKC3" s="484"/>
      <c r="LKD3" s="484"/>
      <c r="LKE3" s="484"/>
      <c r="LKF3" s="484"/>
      <c r="LKG3" s="484"/>
      <c r="LKH3" s="484"/>
      <c r="LKI3" s="484"/>
      <c r="LKJ3" s="484"/>
      <c r="LKK3" s="484"/>
      <c r="LKL3" s="484"/>
      <c r="LKM3" s="484"/>
      <c r="LKN3" s="484"/>
      <c r="LKO3" s="484"/>
      <c r="LKP3" s="484"/>
      <c r="LKQ3" s="484"/>
      <c r="LKR3" s="484"/>
      <c r="LKS3" s="484"/>
      <c r="LKT3" s="484"/>
      <c r="LKU3" s="484"/>
      <c r="LKV3" s="484"/>
      <c r="LKW3" s="484"/>
      <c r="LKX3" s="484"/>
      <c r="LKY3" s="484"/>
      <c r="LKZ3" s="484"/>
      <c r="LLA3" s="484"/>
      <c r="LLB3" s="484"/>
      <c r="LLC3" s="484"/>
      <c r="LLD3" s="484"/>
      <c r="LLE3" s="484"/>
      <c r="LLF3" s="484"/>
      <c r="LLG3" s="484"/>
      <c r="LLH3" s="484"/>
      <c r="LLI3" s="484"/>
      <c r="LLJ3" s="484"/>
      <c r="LLK3" s="484"/>
      <c r="LLL3" s="484"/>
      <c r="LLM3" s="484"/>
      <c r="LLN3" s="484"/>
      <c r="LLO3" s="484"/>
      <c r="LLP3" s="484"/>
      <c r="LLQ3" s="484"/>
      <c r="LLR3" s="484"/>
      <c r="LLS3" s="484"/>
      <c r="LLT3" s="484"/>
      <c r="LLU3" s="484"/>
      <c r="LLV3" s="484"/>
      <c r="LLW3" s="484"/>
      <c r="LLX3" s="484"/>
      <c r="LLY3" s="484"/>
      <c r="LLZ3" s="484"/>
      <c r="LMA3" s="484"/>
      <c r="LMB3" s="484"/>
      <c r="LMC3" s="484"/>
      <c r="LMD3" s="484"/>
      <c r="LME3" s="484"/>
      <c r="LMF3" s="484"/>
      <c r="LMG3" s="484"/>
      <c r="LMH3" s="484"/>
      <c r="LMI3" s="484"/>
      <c r="LMJ3" s="484"/>
      <c r="LMK3" s="484"/>
      <c r="LML3" s="484"/>
      <c r="LMM3" s="484"/>
      <c r="LMN3" s="484"/>
      <c r="LMO3" s="484"/>
      <c r="LMP3" s="484"/>
      <c r="LMQ3" s="484"/>
      <c r="LMR3" s="484"/>
      <c r="LMS3" s="484"/>
      <c r="LMT3" s="484"/>
      <c r="LMU3" s="484"/>
      <c r="LMV3" s="484"/>
      <c r="LMW3" s="484"/>
      <c r="LMX3" s="484"/>
      <c r="LMY3" s="484"/>
      <c r="LMZ3" s="484"/>
      <c r="LNA3" s="484"/>
      <c r="LNB3" s="484"/>
      <c r="LNC3" s="484"/>
      <c r="LND3" s="484"/>
      <c r="LNE3" s="484"/>
      <c r="LNF3" s="484"/>
      <c r="LNG3" s="484"/>
      <c r="LNH3" s="484"/>
      <c r="LNI3" s="484"/>
      <c r="LNJ3" s="484"/>
      <c r="LNK3" s="484"/>
      <c r="LNL3" s="484"/>
      <c r="LNM3" s="484"/>
      <c r="LNN3" s="484"/>
      <c r="LNO3" s="484"/>
      <c r="LNP3" s="484"/>
      <c r="LNQ3" s="484"/>
      <c r="LNR3" s="484"/>
      <c r="LNS3" s="484"/>
      <c r="LNT3" s="484"/>
      <c r="LNU3" s="484"/>
      <c r="LNV3" s="484"/>
      <c r="LNW3" s="484"/>
      <c r="LNX3" s="484"/>
      <c r="LNY3" s="484"/>
      <c r="LNZ3" s="484"/>
      <c r="LOA3" s="484"/>
      <c r="LOB3" s="484"/>
      <c r="LOC3" s="484"/>
      <c r="LOD3" s="484"/>
      <c r="LOE3" s="484"/>
      <c r="LOF3" s="484"/>
      <c r="LOG3" s="484"/>
      <c r="LOH3" s="484"/>
      <c r="LOI3" s="484"/>
      <c r="LOJ3" s="484"/>
      <c r="LOK3" s="484"/>
      <c r="LOL3" s="484"/>
      <c r="LOM3" s="484"/>
      <c r="LON3" s="484"/>
      <c r="LOO3" s="484"/>
      <c r="LOP3" s="484"/>
      <c r="LOQ3" s="484"/>
      <c r="LOR3" s="484"/>
      <c r="LOS3" s="484"/>
      <c r="LOT3" s="484"/>
      <c r="LOU3" s="484"/>
      <c r="LOV3" s="484"/>
      <c r="LOW3" s="484"/>
      <c r="LOX3" s="484"/>
      <c r="LOY3" s="484"/>
      <c r="LOZ3" s="484"/>
      <c r="LPA3" s="484"/>
      <c r="LPB3" s="484"/>
      <c r="LPC3" s="484"/>
      <c r="LPD3" s="484"/>
      <c r="LPE3" s="484"/>
      <c r="LPF3" s="484"/>
      <c r="LPG3" s="484"/>
      <c r="LPH3" s="484"/>
      <c r="LPI3" s="484"/>
      <c r="LPJ3" s="484"/>
      <c r="LPK3" s="484"/>
      <c r="LPL3" s="484"/>
      <c r="LPM3" s="484"/>
      <c r="LPN3" s="484"/>
      <c r="LPO3" s="484"/>
      <c r="LPP3" s="484"/>
      <c r="LPQ3" s="484"/>
      <c r="LPR3" s="484"/>
      <c r="LPS3" s="484"/>
      <c r="LPT3" s="484"/>
      <c r="LPU3" s="484"/>
      <c r="LPV3" s="484"/>
      <c r="LPW3" s="484"/>
      <c r="LPX3" s="484"/>
      <c r="LPY3" s="484"/>
      <c r="LPZ3" s="484"/>
      <c r="LQA3" s="484"/>
      <c r="LQB3" s="484"/>
      <c r="LQC3" s="484"/>
      <c r="LQD3" s="484"/>
      <c r="LQE3" s="484"/>
      <c r="LQF3" s="484"/>
      <c r="LQG3" s="484"/>
      <c r="LQH3" s="484"/>
      <c r="LQI3" s="484"/>
      <c r="LQJ3" s="484"/>
      <c r="LQK3" s="484"/>
      <c r="LQL3" s="484"/>
      <c r="LQM3" s="484"/>
      <c r="LQN3" s="484"/>
      <c r="LQO3" s="484"/>
      <c r="LQP3" s="484"/>
      <c r="LQQ3" s="484"/>
      <c r="LQR3" s="484"/>
      <c r="LQS3" s="484"/>
      <c r="LQT3" s="484"/>
      <c r="LQU3" s="484"/>
      <c r="LQV3" s="484"/>
      <c r="LQW3" s="484"/>
      <c r="LQX3" s="484"/>
      <c r="LQY3" s="484"/>
      <c r="LQZ3" s="484"/>
      <c r="LRA3" s="484"/>
      <c r="LRB3" s="484"/>
      <c r="LRC3" s="484"/>
      <c r="LRD3" s="484"/>
      <c r="LRE3" s="484"/>
      <c r="LRF3" s="484"/>
      <c r="LRG3" s="484"/>
      <c r="LRH3" s="484"/>
      <c r="LRI3" s="484"/>
      <c r="LRJ3" s="484"/>
      <c r="LRK3" s="484"/>
      <c r="LRL3" s="484"/>
      <c r="LRM3" s="484"/>
      <c r="LRN3" s="484"/>
      <c r="LRO3" s="484"/>
      <c r="LRP3" s="484"/>
      <c r="LRQ3" s="484"/>
      <c r="LRR3" s="484"/>
      <c r="LRS3" s="484"/>
      <c r="LRT3" s="484"/>
      <c r="LRU3" s="484"/>
      <c r="LRV3" s="484"/>
      <c r="LRW3" s="484"/>
      <c r="LRX3" s="484"/>
      <c r="LRY3" s="484"/>
      <c r="LRZ3" s="484"/>
      <c r="LSA3" s="484"/>
      <c r="LSB3" s="484"/>
      <c r="LSC3" s="484"/>
      <c r="LSD3" s="484"/>
      <c r="LSE3" s="484"/>
      <c r="LSF3" s="484"/>
      <c r="LSG3" s="484"/>
      <c r="LSH3" s="484"/>
      <c r="LSI3" s="484"/>
      <c r="LSJ3" s="484"/>
      <c r="LSK3" s="484"/>
      <c r="LSL3" s="484"/>
      <c r="LSM3" s="484"/>
      <c r="LSN3" s="484"/>
      <c r="LSO3" s="484"/>
      <c r="LSP3" s="484"/>
      <c r="LSQ3" s="484"/>
      <c r="LSR3" s="484"/>
      <c r="LSS3" s="484"/>
      <c r="LST3" s="484"/>
      <c r="LSU3" s="484"/>
      <c r="LSV3" s="484"/>
      <c r="LSW3" s="484"/>
      <c r="LSX3" s="484"/>
      <c r="LSY3" s="484"/>
      <c r="LSZ3" s="484"/>
      <c r="LTA3" s="484"/>
      <c r="LTB3" s="484"/>
      <c r="LTC3" s="484"/>
      <c r="LTD3" s="484"/>
      <c r="LTE3" s="484"/>
      <c r="LTF3" s="484"/>
      <c r="LTG3" s="484"/>
      <c r="LTH3" s="484"/>
      <c r="LTI3" s="484"/>
      <c r="LTJ3" s="484"/>
      <c r="LTK3" s="484"/>
      <c r="LTL3" s="484"/>
      <c r="LTM3" s="484"/>
      <c r="LTN3" s="484"/>
      <c r="LTO3" s="484"/>
      <c r="LTP3" s="484"/>
      <c r="LTQ3" s="484"/>
      <c r="LTR3" s="484"/>
      <c r="LTS3" s="484"/>
      <c r="LTT3" s="484"/>
      <c r="LTU3" s="484"/>
      <c r="LTV3" s="484"/>
      <c r="LTW3" s="484"/>
      <c r="LTX3" s="484"/>
      <c r="LTY3" s="484"/>
      <c r="LTZ3" s="484"/>
      <c r="LUA3" s="484"/>
      <c r="LUB3" s="484"/>
      <c r="LUC3" s="484"/>
      <c r="LUD3" s="484"/>
      <c r="LUE3" s="484"/>
      <c r="LUF3" s="484"/>
      <c r="LUG3" s="484"/>
      <c r="LUH3" s="484"/>
      <c r="LUI3" s="484"/>
      <c r="LUJ3" s="484"/>
      <c r="LUK3" s="484"/>
      <c r="LUL3" s="484"/>
      <c r="LUM3" s="484"/>
      <c r="LUN3" s="484"/>
      <c r="LUO3" s="484"/>
      <c r="LUP3" s="484"/>
      <c r="LUQ3" s="484"/>
      <c r="LUR3" s="484"/>
      <c r="LUS3" s="484"/>
      <c r="LUT3" s="484"/>
      <c r="LUU3" s="484"/>
      <c r="LUV3" s="484"/>
      <c r="LUW3" s="484"/>
      <c r="LUX3" s="484"/>
      <c r="LUY3" s="484"/>
      <c r="LUZ3" s="484"/>
      <c r="LVA3" s="484"/>
      <c r="LVB3" s="484"/>
      <c r="LVC3" s="484"/>
      <c r="LVD3" s="484"/>
      <c r="LVE3" s="484"/>
      <c r="LVF3" s="484"/>
      <c r="LVG3" s="484"/>
      <c r="LVH3" s="484"/>
      <c r="LVI3" s="484"/>
      <c r="LVJ3" s="484"/>
      <c r="LVK3" s="484"/>
      <c r="LVL3" s="484"/>
      <c r="LVM3" s="484"/>
      <c r="LVN3" s="484"/>
      <c r="LVO3" s="484"/>
      <c r="LVP3" s="484"/>
      <c r="LVQ3" s="484"/>
      <c r="LVR3" s="484"/>
      <c r="LVS3" s="484"/>
      <c r="LVT3" s="484"/>
      <c r="LVU3" s="484"/>
      <c r="LVV3" s="484"/>
      <c r="LVW3" s="484"/>
      <c r="LVX3" s="484"/>
      <c r="LVY3" s="484"/>
      <c r="LVZ3" s="484"/>
      <c r="LWA3" s="484"/>
      <c r="LWB3" s="484"/>
      <c r="LWC3" s="484"/>
      <c r="LWD3" s="484"/>
      <c r="LWE3" s="484"/>
      <c r="LWF3" s="484"/>
      <c r="LWG3" s="484"/>
      <c r="LWH3" s="484"/>
      <c r="LWI3" s="484"/>
      <c r="LWJ3" s="484"/>
      <c r="LWK3" s="484"/>
      <c r="LWL3" s="484"/>
      <c r="LWM3" s="484"/>
      <c r="LWN3" s="484"/>
      <c r="LWO3" s="484"/>
      <c r="LWP3" s="484"/>
      <c r="LWQ3" s="484"/>
      <c r="LWR3" s="484"/>
      <c r="LWS3" s="484"/>
      <c r="LWT3" s="484"/>
      <c r="LWU3" s="484"/>
      <c r="LWV3" s="484"/>
      <c r="LWW3" s="484"/>
      <c r="LWX3" s="484"/>
      <c r="LWY3" s="484"/>
      <c r="LWZ3" s="484"/>
      <c r="LXA3" s="484"/>
      <c r="LXB3" s="484"/>
      <c r="LXC3" s="484"/>
      <c r="LXD3" s="484"/>
      <c r="LXE3" s="484"/>
      <c r="LXF3" s="484"/>
      <c r="LXG3" s="484"/>
      <c r="LXH3" s="484"/>
      <c r="LXI3" s="484"/>
      <c r="LXJ3" s="484"/>
      <c r="LXK3" s="484"/>
      <c r="LXL3" s="484"/>
      <c r="LXM3" s="484"/>
      <c r="LXN3" s="484"/>
      <c r="LXO3" s="484"/>
      <c r="LXP3" s="484"/>
      <c r="LXQ3" s="484"/>
      <c r="LXR3" s="484"/>
      <c r="LXS3" s="484"/>
      <c r="LXT3" s="484"/>
      <c r="LXU3" s="484"/>
      <c r="LXV3" s="484"/>
      <c r="LXW3" s="484"/>
      <c r="LXX3" s="484"/>
      <c r="LXY3" s="484"/>
      <c r="LXZ3" s="484"/>
      <c r="LYA3" s="484"/>
      <c r="LYB3" s="484"/>
      <c r="LYC3" s="484"/>
      <c r="LYD3" s="484"/>
      <c r="LYE3" s="484"/>
      <c r="LYF3" s="484"/>
      <c r="LYG3" s="484"/>
      <c r="LYH3" s="484"/>
      <c r="LYI3" s="484"/>
      <c r="LYJ3" s="484"/>
      <c r="LYK3" s="484"/>
      <c r="LYL3" s="484"/>
      <c r="LYM3" s="484"/>
      <c r="LYN3" s="484"/>
      <c r="LYO3" s="484"/>
      <c r="LYP3" s="484"/>
      <c r="LYQ3" s="484"/>
      <c r="LYR3" s="484"/>
      <c r="LYS3" s="484"/>
      <c r="LYT3" s="484"/>
      <c r="LYU3" s="484"/>
      <c r="LYV3" s="484"/>
      <c r="LYW3" s="484"/>
      <c r="LYX3" s="484"/>
      <c r="LYY3" s="484"/>
      <c r="LYZ3" s="484"/>
      <c r="LZA3" s="484"/>
      <c r="LZB3" s="484"/>
      <c r="LZC3" s="484"/>
      <c r="LZD3" s="484"/>
      <c r="LZE3" s="484"/>
      <c r="LZF3" s="484"/>
      <c r="LZG3" s="484"/>
      <c r="LZH3" s="484"/>
      <c r="LZI3" s="484"/>
      <c r="LZJ3" s="484"/>
      <c r="LZK3" s="484"/>
      <c r="LZL3" s="484"/>
      <c r="LZM3" s="484"/>
      <c r="LZN3" s="484"/>
      <c r="LZO3" s="484"/>
      <c r="LZP3" s="484"/>
      <c r="LZQ3" s="484"/>
      <c r="LZR3" s="484"/>
      <c r="LZS3" s="484"/>
      <c r="LZT3" s="484"/>
      <c r="LZU3" s="484"/>
      <c r="LZV3" s="484"/>
      <c r="LZW3" s="484"/>
      <c r="LZX3" s="484"/>
      <c r="LZY3" s="484"/>
      <c r="LZZ3" s="484"/>
      <c r="MAA3" s="484"/>
      <c r="MAB3" s="484"/>
      <c r="MAC3" s="484"/>
      <c r="MAD3" s="484"/>
      <c r="MAE3" s="484"/>
      <c r="MAF3" s="484"/>
      <c r="MAG3" s="484"/>
      <c r="MAH3" s="484"/>
      <c r="MAI3" s="484"/>
      <c r="MAJ3" s="484"/>
      <c r="MAK3" s="484"/>
      <c r="MAL3" s="484"/>
      <c r="MAM3" s="484"/>
      <c r="MAN3" s="484"/>
      <c r="MAO3" s="484"/>
      <c r="MAP3" s="484"/>
      <c r="MAQ3" s="484"/>
      <c r="MAR3" s="484"/>
      <c r="MAS3" s="484"/>
      <c r="MAT3" s="484"/>
      <c r="MAU3" s="484"/>
      <c r="MAV3" s="484"/>
      <c r="MAW3" s="484"/>
      <c r="MAX3" s="484"/>
      <c r="MAY3" s="484"/>
      <c r="MAZ3" s="484"/>
      <c r="MBA3" s="484"/>
      <c r="MBB3" s="484"/>
      <c r="MBC3" s="484"/>
      <c r="MBD3" s="484"/>
      <c r="MBE3" s="484"/>
      <c r="MBF3" s="484"/>
      <c r="MBG3" s="484"/>
      <c r="MBH3" s="484"/>
      <c r="MBI3" s="484"/>
      <c r="MBJ3" s="484"/>
      <c r="MBK3" s="484"/>
      <c r="MBL3" s="484"/>
      <c r="MBM3" s="484"/>
      <c r="MBN3" s="484"/>
      <c r="MBO3" s="484"/>
      <c r="MBP3" s="484"/>
      <c r="MBQ3" s="484"/>
      <c r="MBR3" s="484"/>
      <c r="MBS3" s="484"/>
      <c r="MBT3" s="484"/>
      <c r="MBU3" s="484"/>
      <c r="MBV3" s="484"/>
      <c r="MBW3" s="484"/>
      <c r="MBX3" s="484"/>
      <c r="MBY3" s="484"/>
      <c r="MBZ3" s="484"/>
      <c r="MCA3" s="484"/>
      <c r="MCB3" s="484"/>
      <c r="MCC3" s="484"/>
      <c r="MCD3" s="484"/>
      <c r="MCE3" s="484"/>
      <c r="MCF3" s="484"/>
      <c r="MCG3" s="484"/>
      <c r="MCH3" s="484"/>
      <c r="MCI3" s="484"/>
      <c r="MCJ3" s="484"/>
      <c r="MCK3" s="484"/>
      <c r="MCL3" s="484"/>
      <c r="MCM3" s="484"/>
      <c r="MCN3" s="484"/>
      <c r="MCO3" s="484"/>
      <c r="MCP3" s="484"/>
      <c r="MCQ3" s="484"/>
      <c r="MCR3" s="484"/>
      <c r="MCS3" s="484"/>
      <c r="MCT3" s="484"/>
      <c r="MCU3" s="484"/>
      <c r="MCV3" s="484"/>
      <c r="MCW3" s="484"/>
      <c r="MCX3" s="484"/>
      <c r="MCY3" s="484"/>
      <c r="MCZ3" s="484"/>
      <c r="MDA3" s="484"/>
      <c r="MDB3" s="484"/>
      <c r="MDC3" s="484"/>
      <c r="MDD3" s="484"/>
      <c r="MDE3" s="484"/>
      <c r="MDF3" s="484"/>
      <c r="MDG3" s="484"/>
      <c r="MDH3" s="484"/>
      <c r="MDI3" s="484"/>
      <c r="MDJ3" s="484"/>
      <c r="MDK3" s="484"/>
      <c r="MDL3" s="484"/>
      <c r="MDM3" s="484"/>
      <c r="MDN3" s="484"/>
      <c r="MDO3" s="484"/>
      <c r="MDP3" s="484"/>
      <c r="MDQ3" s="484"/>
      <c r="MDR3" s="484"/>
      <c r="MDS3" s="484"/>
      <c r="MDT3" s="484"/>
      <c r="MDU3" s="484"/>
      <c r="MDV3" s="484"/>
      <c r="MDW3" s="484"/>
      <c r="MDX3" s="484"/>
      <c r="MDY3" s="484"/>
      <c r="MDZ3" s="484"/>
      <c r="MEA3" s="484"/>
      <c r="MEB3" s="484"/>
      <c r="MEC3" s="484"/>
      <c r="MED3" s="484"/>
      <c r="MEE3" s="484"/>
      <c r="MEF3" s="484"/>
      <c r="MEG3" s="484"/>
      <c r="MEH3" s="484"/>
      <c r="MEI3" s="484"/>
      <c r="MEJ3" s="484"/>
      <c r="MEK3" s="484"/>
      <c r="MEL3" s="484"/>
      <c r="MEM3" s="484"/>
      <c r="MEN3" s="484"/>
      <c r="MEO3" s="484"/>
      <c r="MEP3" s="484"/>
      <c r="MEQ3" s="484"/>
      <c r="MER3" s="484"/>
      <c r="MES3" s="484"/>
      <c r="MET3" s="484"/>
      <c r="MEU3" s="484"/>
      <c r="MEV3" s="484"/>
      <c r="MEW3" s="484"/>
      <c r="MEX3" s="484"/>
      <c r="MEY3" s="484"/>
      <c r="MEZ3" s="484"/>
      <c r="MFA3" s="484"/>
      <c r="MFB3" s="484"/>
      <c r="MFC3" s="484"/>
      <c r="MFD3" s="484"/>
      <c r="MFE3" s="484"/>
      <c r="MFF3" s="484"/>
      <c r="MFG3" s="484"/>
      <c r="MFH3" s="484"/>
      <c r="MFI3" s="484"/>
      <c r="MFJ3" s="484"/>
      <c r="MFK3" s="484"/>
      <c r="MFL3" s="484"/>
      <c r="MFM3" s="484"/>
      <c r="MFN3" s="484"/>
      <c r="MFO3" s="484"/>
      <c r="MFP3" s="484"/>
      <c r="MFQ3" s="484"/>
      <c r="MFR3" s="484"/>
      <c r="MFS3" s="484"/>
      <c r="MFT3" s="484"/>
      <c r="MFU3" s="484"/>
      <c r="MFV3" s="484"/>
      <c r="MFW3" s="484"/>
      <c r="MFX3" s="484"/>
      <c r="MFY3" s="484"/>
      <c r="MFZ3" s="484"/>
      <c r="MGA3" s="484"/>
      <c r="MGB3" s="484"/>
      <c r="MGC3" s="484"/>
      <c r="MGD3" s="484"/>
      <c r="MGE3" s="484"/>
      <c r="MGF3" s="484"/>
      <c r="MGG3" s="484"/>
      <c r="MGH3" s="484"/>
      <c r="MGI3" s="484"/>
      <c r="MGJ3" s="484"/>
      <c r="MGK3" s="484"/>
      <c r="MGL3" s="484"/>
      <c r="MGM3" s="484"/>
      <c r="MGN3" s="484"/>
      <c r="MGO3" s="484"/>
      <c r="MGP3" s="484"/>
      <c r="MGQ3" s="484"/>
      <c r="MGR3" s="484"/>
      <c r="MGS3" s="484"/>
      <c r="MGT3" s="484"/>
      <c r="MGU3" s="484"/>
      <c r="MGV3" s="484"/>
      <c r="MGW3" s="484"/>
      <c r="MGX3" s="484"/>
      <c r="MGY3" s="484"/>
      <c r="MGZ3" s="484"/>
      <c r="MHA3" s="484"/>
      <c r="MHB3" s="484"/>
      <c r="MHC3" s="484"/>
      <c r="MHD3" s="484"/>
      <c r="MHE3" s="484"/>
      <c r="MHF3" s="484"/>
      <c r="MHG3" s="484"/>
      <c r="MHH3" s="484"/>
      <c r="MHI3" s="484"/>
      <c r="MHJ3" s="484"/>
      <c r="MHK3" s="484"/>
      <c r="MHL3" s="484"/>
      <c r="MHM3" s="484"/>
      <c r="MHN3" s="484"/>
      <c r="MHO3" s="484"/>
      <c r="MHP3" s="484"/>
      <c r="MHQ3" s="484"/>
      <c r="MHR3" s="484"/>
      <c r="MHS3" s="484"/>
      <c r="MHT3" s="484"/>
      <c r="MHU3" s="484"/>
      <c r="MHV3" s="484"/>
      <c r="MHW3" s="484"/>
      <c r="MHX3" s="484"/>
      <c r="MHY3" s="484"/>
      <c r="MHZ3" s="484"/>
      <c r="MIA3" s="484"/>
      <c r="MIB3" s="484"/>
      <c r="MIC3" s="484"/>
      <c r="MID3" s="484"/>
      <c r="MIE3" s="484"/>
      <c r="MIF3" s="484"/>
      <c r="MIG3" s="484"/>
      <c r="MIH3" s="484"/>
      <c r="MII3" s="484"/>
      <c r="MIJ3" s="484"/>
      <c r="MIK3" s="484"/>
      <c r="MIL3" s="484"/>
      <c r="MIM3" s="484"/>
      <c r="MIN3" s="484"/>
      <c r="MIO3" s="484"/>
      <c r="MIP3" s="484"/>
      <c r="MIQ3" s="484"/>
      <c r="MIR3" s="484"/>
      <c r="MIS3" s="484"/>
      <c r="MIT3" s="484"/>
      <c r="MIU3" s="484"/>
      <c r="MIV3" s="484"/>
      <c r="MIW3" s="484"/>
      <c r="MIX3" s="484"/>
      <c r="MIY3" s="484"/>
      <c r="MIZ3" s="484"/>
      <c r="MJA3" s="484"/>
      <c r="MJB3" s="484"/>
      <c r="MJC3" s="484"/>
      <c r="MJD3" s="484"/>
      <c r="MJE3" s="484"/>
      <c r="MJF3" s="484"/>
      <c r="MJG3" s="484"/>
      <c r="MJH3" s="484"/>
      <c r="MJI3" s="484"/>
      <c r="MJJ3" s="484"/>
      <c r="MJK3" s="484"/>
      <c r="MJL3" s="484"/>
      <c r="MJM3" s="484"/>
      <c r="MJN3" s="484"/>
      <c r="MJO3" s="484"/>
      <c r="MJP3" s="484"/>
      <c r="MJQ3" s="484"/>
      <c r="MJR3" s="484"/>
      <c r="MJS3" s="484"/>
      <c r="MJT3" s="484"/>
      <c r="MJU3" s="484"/>
      <c r="MJV3" s="484"/>
      <c r="MJW3" s="484"/>
      <c r="MJX3" s="484"/>
      <c r="MJY3" s="484"/>
      <c r="MJZ3" s="484"/>
      <c r="MKA3" s="484"/>
      <c r="MKB3" s="484"/>
      <c r="MKC3" s="484"/>
      <c r="MKD3" s="484"/>
      <c r="MKE3" s="484"/>
      <c r="MKF3" s="484"/>
      <c r="MKG3" s="484"/>
      <c r="MKH3" s="484"/>
      <c r="MKI3" s="484"/>
      <c r="MKJ3" s="484"/>
      <c r="MKK3" s="484"/>
      <c r="MKL3" s="484"/>
      <c r="MKM3" s="484"/>
      <c r="MKN3" s="484"/>
      <c r="MKO3" s="484"/>
      <c r="MKP3" s="484"/>
      <c r="MKQ3" s="484"/>
      <c r="MKR3" s="484"/>
      <c r="MKS3" s="484"/>
      <c r="MKT3" s="484"/>
      <c r="MKU3" s="484"/>
      <c r="MKV3" s="484"/>
      <c r="MKW3" s="484"/>
      <c r="MKX3" s="484"/>
      <c r="MKY3" s="484"/>
      <c r="MKZ3" s="484"/>
      <c r="MLA3" s="484"/>
      <c r="MLB3" s="484"/>
      <c r="MLC3" s="484"/>
      <c r="MLD3" s="484"/>
      <c r="MLE3" s="484"/>
      <c r="MLF3" s="484"/>
      <c r="MLG3" s="484"/>
      <c r="MLH3" s="484"/>
      <c r="MLI3" s="484"/>
      <c r="MLJ3" s="484"/>
      <c r="MLK3" s="484"/>
      <c r="MLL3" s="484"/>
      <c r="MLM3" s="484"/>
      <c r="MLN3" s="484"/>
      <c r="MLO3" s="484"/>
      <c r="MLP3" s="484"/>
      <c r="MLQ3" s="484"/>
      <c r="MLR3" s="484"/>
      <c r="MLS3" s="484"/>
      <c r="MLT3" s="484"/>
      <c r="MLU3" s="484"/>
      <c r="MLV3" s="484"/>
      <c r="MLW3" s="484"/>
      <c r="MLX3" s="484"/>
      <c r="MLY3" s="484"/>
      <c r="MLZ3" s="484"/>
      <c r="MMA3" s="484"/>
      <c r="MMB3" s="484"/>
      <c r="MMC3" s="484"/>
      <c r="MMD3" s="484"/>
      <c r="MME3" s="484"/>
      <c r="MMF3" s="484"/>
      <c r="MMG3" s="484"/>
      <c r="MMH3" s="484"/>
      <c r="MMI3" s="484"/>
      <c r="MMJ3" s="484"/>
      <c r="MMK3" s="484"/>
      <c r="MML3" s="484"/>
      <c r="MMM3" s="484"/>
      <c r="MMN3" s="484"/>
      <c r="MMO3" s="484"/>
      <c r="MMP3" s="484"/>
      <c r="MMQ3" s="484"/>
      <c r="MMR3" s="484"/>
      <c r="MMS3" s="484"/>
      <c r="MMT3" s="484"/>
      <c r="MMU3" s="484"/>
      <c r="MMV3" s="484"/>
      <c r="MMW3" s="484"/>
      <c r="MMX3" s="484"/>
      <c r="MMY3" s="484"/>
      <c r="MMZ3" s="484"/>
      <c r="MNA3" s="484"/>
      <c r="MNB3" s="484"/>
      <c r="MNC3" s="484"/>
      <c r="MND3" s="484"/>
      <c r="MNE3" s="484"/>
      <c r="MNF3" s="484"/>
      <c r="MNG3" s="484"/>
      <c r="MNH3" s="484"/>
      <c r="MNI3" s="484"/>
      <c r="MNJ3" s="484"/>
      <c r="MNK3" s="484"/>
      <c r="MNL3" s="484"/>
      <c r="MNM3" s="484"/>
      <c r="MNN3" s="484"/>
      <c r="MNO3" s="484"/>
      <c r="MNP3" s="484"/>
      <c r="MNQ3" s="484"/>
      <c r="MNR3" s="484"/>
      <c r="MNS3" s="484"/>
      <c r="MNT3" s="484"/>
      <c r="MNU3" s="484"/>
      <c r="MNV3" s="484"/>
      <c r="MNW3" s="484"/>
      <c r="MNX3" s="484"/>
      <c r="MNY3" s="484"/>
      <c r="MNZ3" s="484"/>
      <c r="MOA3" s="484"/>
      <c r="MOB3" s="484"/>
      <c r="MOC3" s="484"/>
      <c r="MOD3" s="484"/>
      <c r="MOE3" s="484"/>
      <c r="MOF3" s="484"/>
      <c r="MOG3" s="484"/>
      <c r="MOH3" s="484"/>
      <c r="MOI3" s="484"/>
      <c r="MOJ3" s="484"/>
      <c r="MOK3" s="484"/>
      <c r="MOL3" s="484"/>
      <c r="MOM3" s="484"/>
      <c r="MON3" s="484"/>
      <c r="MOO3" s="484"/>
      <c r="MOP3" s="484"/>
      <c r="MOQ3" s="484"/>
      <c r="MOR3" s="484"/>
      <c r="MOS3" s="484"/>
      <c r="MOT3" s="484"/>
      <c r="MOU3" s="484"/>
      <c r="MOV3" s="484"/>
      <c r="MOW3" s="484"/>
      <c r="MOX3" s="484"/>
      <c r="MOY3" s="484"/>
      <c r="MOZ3" s="484"/>
      <c r="MPA3" s="484"/>
      <c r="MPB3" s="484"/>
      <c r="MPC3" s="484"/>
      <c r="MPD3" s="484"/>
      <c r="MPE3" s="484"/>
      <c r="MPF3" s="484"/>
      <c r="MPG3" s="484"/>
      <c r="MPH3" s="484"/>
      <c r="MPI3" s="484"/>
      <c r="MPJ3" s="484"/>
      <c r="MPK3" s="484"/>
      <c r="MPL3" s="484"/>
      <c r="MPM3" s="484"/>
      <c r="MPN3" s="484"/>
      <c r="MPO3" s="484"/>
      <c r="MPP3" s="484"/>
      <c r="MPQ3" s="484"/>
      <c r="MPR3" s="484"/>
      <c r="MPS3" s="484"/>
      <c r="MPT3" s="484"/>
      <c r="MPU3" s="484"/>
      <c r="MPV3" s="484"/>
      <c r="MPW3" s="484"/>
      <c r="MPX3" s="484"/>
      <c r="MPY3" s="484"/>
      <c r="MPZ3" s="484"/>
      <c r="MQA3" s="484"/>
      <c r="MQB3" s="484"/>
      <c r="MQC3" s="484"/>
      <c r="MQD3" s="484"/>
      <c r="MQE3" s="484"/>
      <c r="MQF3" s="484"/>
      <c r="MQG3" s="484"/>
      <c r="MQH3" s="484"/>
      <c r="MQI3" s="484"/>
      <c r="MQJ3" s="484"/>
      <c r="MQK3" s="484"/>
      <c r="MQL3" s="484"/>
      <c r="MQM3" s="484"/>
      <c r="MQN3" s="484"/>
      <c r="MQO3" s="484"/>
      <c r="MQP3" s="484"/>
      <c r="MQQ3" s="484"/>
      <c r="MQR3" s="484"/>
      <c r="MQS3" s="484"/>
      <c r="MQT3" s="484"/>
      <c r="MQU3" s="484"/>
      <c r="MQV3" s="484"/>
      <c r="MQW3" s="484"/>
      <c r="MQX3" s="484"/>
      <c r="MQY3" s="484"/>
      <c r="MQZ3" s="484"/>
      <c r="MRA3" s="484"/>
      <c r="MRB3" s="484"/>
      <c r="MRC3" s="484"/>
      <c r="MRD3" s="484"/>
      <c r="MRE3" s="484"/>
      <c r="MRF3" s="484"/>
      <c r="MRG3" s="484"/>
      <c r="MRH3" s="484"/>
      <c r="MRI3" s="484"/>
      <c r="MRJ3" s="484"/>
      <c r="MRK3" s="484"/>
      <c r="MRL3" s="484"/>
      <c r="MRM3" s="484"/>
      <c r="MRN3" s="484"/>
      <c r="MRO3" s="484"/>
      <c r="MRP3" s="484"/>
      <c r="MRQ3" s="484"/>
      <c r="MRR3" s="484"/>
      <c r="MRS3" s="484"/>
      <c r="MRT3" s="484"/>
      <c r="MRU3" s="484"/>
      <c r="MRV3" s="484"/>
      <c r="MRW3" s="484"/>
      <c r="MRX3" s="484"/>
      <c r="MRY3" s="484"/>
      <c r="MRZ3" s="484"/>
      <c r="MSA3" s="484"/>
      <c r="MSB3" s="484"/>
      <c r="MSC3" s="484"/>
      <c r="MSD3" s="484"/>
      <c r="MSE3" s="484"/>
      <c r="MSF3" s="484"/>
      <c r="MSG3" s="484"/>
      <c r="MSH3" s="484"/>
      <c r="MSI3" s="484"/>
      <c r="MSJ3" s="484"/>
      <c r="MSK3" s="484"/>
      <c r="MSL3" s="484"/>
      <c r="MSM3" s="484"/>
      <c r="MSN3" s="484"/>
      <c r="MSO3" s="484"/>
      <c r="MSP3" s="484"/>
      <c r="MSQ3" s="484"/>
      <c r="MSR3" s="484"/>
      <c r="MSS3" s="484"/>
      <c r="MST3" s="484"/>
      <c r="MSU3" s="484"/>
      <c r="MSV3" s="484"/>
      <c r="MSW3" s="484"/>
      <c r="MSX3" s="484"/>
      <c r="MSY3" s="484"/>
      <c r="MSZ3" s="484"/>
      <c r="MTA3" s="484"/>
      <c r="MTB3" s="484"/>
      <c r="MTC3" s="484"/>
      <c r="MTD3" s="484"/>
      <c r="MTE3" s="484"/>
      <c r="MTF3" s="484"/>
      <c r="MTG3" s="484"/>
      <c r="MTH3" s="484"/>
      <c r="MTI3" s="484"/>
      <c r="MTJ3" s="484"/>
      <c r="MTK3" s="484"/>
      <c r="MTL3" s="484"/>
      <c r="MTM3" s="484"/>
      <c r="MTN3" s="484"/>
      <c r="MTO3" s="484"/>
      <c r="MTP3" s="484"/>
      <c r="MTQ3" s="484"/>
      <c r="MTR3" s="484"/>
      <c r="MTS3" s="484"/>
      <c r="MTT3" s="484"/>
      <c r="MTU3" s="484"/>
      <c r="MTV3" s="484"/>
      <c r="MTW3" s="484"/>
      <c r="MTX3" s="484"/>
      <c r="MTY3" s="484"/>
      <c r="MTZ3" s="484"/>
      <c r="MUA3" s="484"/>
      <c r="MUB3" s="484"/>
      <c r="MUC3" s="484"/>
      <c r="MUD3" s="484"/>
      <c r="MUE3" s="484"/>
      <c r="MUF3" s="484"/>
      <c r="MUG3" s="484"/>
      <c r="MUH3" s="484"/>
      <c r="MUI3" s="484"/>
      <c r="MUJ3" s="484"/>
      <c r="MUK3" s="484"/>
      <c r="MUL3" s="484"/>
      <c r="MUM3" s="484"/>
      <c r="MUN3" s="484"/>
      <c r="MUO3" s="484"/>
      <c r="MUP3" s="484"/>
      <c r="MUQ3" s="484"/>
      <c r="MUR3" s="484"/>
      <c r="MUS3" s="484"/>
      <c r="MUT3" s="484"/>
      <c r="MUU3" s="484"/>
      <c r="MUV3" s="484"/>
      <c r="MUW3" s="484"/>
      <c r="MUX3" s="484"/>
      <c r="MUY3" s="484"/>
      <c r="MUZ3" s="484"/>
      <c r="MVA3" s="484"/>
      <c r="MVB3" s="484"/>
      <c r="MVC3" s="484"/>
      <c r="MVD3" s="484"/>
      <c r="MVE3" s="484"/>
      <c r="MVF3" s="484"/>
      <c r="MVG3" s="484"/>
      <c r="MVH3" s="484"/>
      <c r="MVI3" s="484"/>
      <c r="MVJ3" s="484"/>
      <c r="MVK3" s="484"/>
      <c r="MVL3" s="484"/>
      <c r="MVM3" s="484"/>
      <c r="MVN3" s="484"/>
      <c r="MVO3" s="484"/>
      <c r="MVP3" s="484"/>
      <c r="MVQ3" s="484"/>
      <c r="MVR3" s="484"/>
      <c r="MVS3" s="484"/>
      <c r="MVT3" s="484"/>
      <c r="MVU3" s="484"/>
      <c r="MVV3" s="484"/>
      <c r="MVW3" s="484"/>
      <c r="MVX3" s="484"/>
      <c r="MVY3" s="484"/>
      <c r="MVZ3" s="484"/>
      <c r="MWA3" s="484"/>
      <c r="MWB3" s="484"/>
      <c r="MWC3" s="484"/>
      <c r="MWD3" s="484"/>
      <c r="MWE3" s="484"/>
      <c r="MWF3" s="484"/>
      <c r="MWG3" s="484"/>
      <c r="MWH3" s="484"/>
      <c r="MWI3" s="484"/>
      <c r="MWJ3" s="484"/>
      <c r="MWK3" s="484"/>
      <c r="MWL3" s="484"/>
      <c r="MWM3" s="484"/>
      <c r="MWN3" s="484"/>
      <c r="MWO3" s="484"/>
      <c r="MWP3" s="484"/>
      <c r="MWQ3" s="484"/>
      <c r="MWR3" s="484"/>
      <c r="MWS3" s="484"/>
      <c r="MWT3" s="484"/>
      <c r="MWU3" s="484"/>
      <c r="MWV3" s="484"/>
      <c r="MWW3" s="484"/>
      <c r="MWX3" s="484"/>
      <c r="MWY3" s="484"/>
      <c r="MWZ3" s="484"/>
      <c r="MXA3" s="484"/>
      <c r="MXB3" s="484"/>
      <c r="MXC3" s="484"/>
      <c r="MXD3" s="484"/>
      <c r="MXE3" s="484"/>
      <c r="MXF3" s="484"/>
      <c r="MXG3" s="484"/>
      <c r="MXH3" s="484"/>
      <c r="MXI3" s="484"/>
      <c r="MXJ3" s="484"/>
      <c r="MXK3" s="484"/>
      <c r="MXL3" s="484"/>
      <c r="MXM3" s="484"/>
      <c r="MXN3" s="484"/>
      <c r="MXO3" s="484"/>
      <c r="MXP3" s="484"/>
      <c r="MXQ3" s="484"/>
      <c r="MXR3" s="484"/>
      <c r="MXS3" s="484"/>
      <c r="MXT3" s="484"/>
      <c r="MXU3" s="484"/>
      <c r="MXV3" s="484"/>
      <c r="MXW3" s="484"/>
      <c r="MXX3" s="484"/>
      <c r="MXY3" s="484"/>
      <c r="MXZ3" s="484"/>
      <c r="MYA3" s="484"/>
      <c r="MYB3" s="484"/>
      <c r="MYC3" s="484"/>
      <c r="MYD3" s="484"/>
      <c r="MYE3" s="484"/>
      <c r="MYF3" s="484"/>
      <c r="MYG3" s="484"/>
      <c r="MYH3" s="484"/>
      <c r="MYI3" s="484"/>
      <c r="MYJ3" s="484"/>
      <c r="MYK3" s="484"/>
      <c r="MYL3" s="484"/>
      <c r="MYM3" s="484"/>
      <c r="MYN3" s="484"/>
      <c r="MYO3" s="484"/>
      <c r="MYP3" s="484"/>
      <c r="MYQ3" s="484"/>
      <c r="MYR3" s="484"/>
      <c r="MYS3" s="484"/>
      <c r="MYT3" s="484"/>
      <c r="MYU3" s="484"/>
      <c r="MYV3" s="484"/>
      <c r="MYW3" s="484"/>
      <c r="MYX3" s="484"/>
      <c r="MYY3" s="484"/>
      <c r="MYZ3" s="484"/>
      <c r="MZA3" s="484"/>
      <c r="MZB3" s="484"/>
      <c r="MZC3" s="484"/>
      <c r="MZD3" s="484"/>
      <c r="MZE3" s="484"/>
      <c r="MZF3" s="484"/>
      <c r="MZG3" s="484"/>
      <c r="MZH3" s="484"/>
      <c r="MZI3" s="484"/>
      <c r="MZJ3" s="484"/>
      <c r="MZK3" s="484"/>
      <c r="MZL3" s="484"/>
      <c r="MZM3" s="484"/>
      <c r="MZN3" s="484"/>
      <c r="MZO3" s="484"/>
      <c r="MZP3" s="484"/>
      <c r="MZQ3" s="484"/>
      <c r="MZR3" s="484"/>
      <c r="MZS3" s="484"/>
      <c r="MZT3" s="484"/>
      <c r="MZU3" s="484"/>
      <c r="MZV3" s="484"/>
      <c r="MZW3" s="484"/>
      <c r="MZX3" s="484"/>
      <c r="MZY3" s="484"/>
      <c r="MZZ3" s="484"/>
      <c r="NAA3" s="484"/>
      <c r="NAB3" s="484"/>
      <c r="NAC3" s="484"/>
      <c r="NAD3" s="484"/>
      <c r="NAE3" s="484"/>
      <c r="NAF3" s="484"/>
      <c r="NAG3" s="484"/>
      <c r="NAH3" s="484"/>
      <c r="NAI3" s="484"/>
      <c r="NAJ3" s="484"/>
      <c r="NAK3" s="484"/>
      <c r="NAL3" s="484"/>
      <c r="NAM3" s="484"/>
      <c r="NAN3" s="484"/>
      <c r="NAO3" s="484"/>
      <c r="NAP3" s="484"/>
      <c r="NAQ3" s="484"/>
      <c r="NAR3" s="484"/>
      <c r="NAS3" s="484"/>
      <c r="NAT3" s="484"/>
      <c r="NAU3" s="484"/>
      <c r="NAV3" s="484"/>
      <c r="NAW3" s="484"/>
      <c r="NAX3" s="484"/>
      <c r="NAY3" s="484"/>
      <c r="NAZ3" s="484"/>
      <c r="NBA3" s="484"/>
      <c r="NBB3" s="484"/>
      <c r="NBC3" s="484"/>
      <c r="NBD3" s="484"/>
      <c r="NBE3" s="484"/>
      <c r="NBF3" s="484"/>
      <c r="NBG3" s="484"/>
      <c r="NBH3" s="484"/>
      <c r="NBI3" s="484"/>
      <c r="NBJ3" s="484"/>
      <c r="NBK3" s="484"/>
      <c r="NBL3" s="484"/>
      <c r="NBM3" s="484"/>
      <c r="NBN3" s="484"/>
      <c r="NBO3" s="484"/>
      <c r="NBP3" s="484"/>
      <c r="NBQ3" s="484"/>
      <c r="NBR3" s="484"/>
      <c r="NBS3" s="484"/>
      <c r="NBT3" s="484"/>
      <c r="NBU3" s="484"/>
      <c r="NBV3" s="484"/>
      <c r="NBW3" s="484"/>
      <c r="NBX3" s="484"/>
      <c r="NBY3" s="484"/>
      <c r="NBZ3" s="484"/>
      <c r="NCA3" s="484"/>
      <c r="NCB3" s="484"/>
      <c r="NCC3" s="484"/>
      <c r="NCD3" s="484"/>
      <c r="NCE3" s="484"/>
      <c r="NCF3" s="484"/>
      <c r="NCG3" s="484"/>
      <c r="NCH3" s="484"/>
      <c r="NCI3" s="484"/>
      <c r="NCJ3" s="484"/>
      <c r="NCK3" s="484"/>
      <c r="NCL3" s="484"/>
      <c r="NCM3" s="484"/>
      <c r="NCN3" s="484"/>
      <c r="NCO3" s="484"/>
      <c r="NCP3" s="484"/>
      <c r="NCQ3" s="484"/>
      <c r="NCR3" s="484"/>
      <c r="NCS3" s="484"/>
      <c r="NCT3" s="484"/>
      <c r="NCU3" s="484"/>
      <c r="NCV3" s="484"/>
      <c r="NCW3" s="484"/>
      <c r="NCX3" s="484"/>
      <c r="NCY3" s="484"/>
      <c r="NCZ3" s="484"/>
      <c r="NDA3" s="484"/>
      <c r="NDB3" s="484"/>
      <c r="NDC3" s="484"/>
      <c r="NDD3" s="484"/>
      <c r="NDE3" s="484"/>
      <c r="NDF3" s="484"/>
      <c r="NDG3" s="484"/>
      <c r="NDH3" s="484"/>
      <c r="NDI3" s="484"/>
      <c r="NDJ3" s="484"/>
      <c r="NDK3" s="484"/>
      <c r="NDL3" s="484"/>
      <c r="NDM3" s="484"/>
      <c r="NDN3" s="484"/>
      <c r="NDO3" s="484"/>
      <c r="NDP3" s="484"/>
      <c r="NDQ3" s="484"/>
      <c r="NDR3" s="484"/>
      <c r="NDS3" s="484"/>
      <c r="NDT3" s="484"/>
      <c r="NDU3" s="484"/>
      <c r="NDV3" s="484"/>
      <c r="NDW3" s="484"/>
      <c r="NDX3" s="484"/>
      <c r="NDY3" s="484"/>
      <c r="NDZ3" s="484"/>
      <c r="NEA3" s="484"/>
      <c r="NEB3" s="484"/>
      <c r="NEC3" s="484"/>
      <c r="NED3" s="484"/>
      <c r="NEE3" s="484"/>
      <c r="NEF3" s="484"/>
      <c r="NEG3" s="484"/>
      <c r="NEH3" s="484"/>
      <c r="NEI3" s="484"/>
      <c r="NEJ3" s="484"/>
      <c r="NEK3" s="484"/>
      <c r="NEL3" s="484"/>
      <c r="NEM3" s="484"/>
      <c r="NEN3" s="484"/>
      <c r="NEO3" s="484"/>
      <c r="NEP3" s="484"/>
      <c r="NEQ3" s="484"/>
      <c r="NER3" s="484"/>
      <c r="NES3" s="484"/>
      <c r="NET3" s="484"/>
      <c r="NEU3" s="484"/>
      <c r="NEV3" s="484"/>
      <c r="NEW3" s="484"/>
      <c r="NEX3" s="484"/>
      <c r="NEY3" s="484"/>
      <c r="NEZ3" s="484"/>
      <c r="NFA3" s="484"/>
      <c r="NFB3" s="484"/>
      <c r="NFC3" s="484"/>
      <c r="NFD3" s="484"/>
      <c r="NFE3" s="484"/>
      <c r="NFF3" s="484"/>
      <c r="NFG3" s="484"/>
      <c r="NFH3" s="484"/>
      <c r="NFI3" s="484"/>
      <c r="NFJ3" s="484"/>
      <c r="NFK3" s="484"/>
      <c r="NFL3" s="484"/>
      <c r="NFM3" s="484"/>
      <c r="NFN3" s="484"/>
      <c r="NFO3" s="484"/>
      <c r="NFP3" s="484"/>
      <c r="NFQ3" s="484"/>
      <c r="NFR3" s="484"/>
      <c r="NFS3" s="484"/>
      <c r="NFT3" s="484"/>
      <c r="NFU3" s="484"/>
      <c r="NFV3" s="484"/>
      <c r="NFW3" s="484"/>
      <c r="NFX3" s="484"/>
      <c r="NFY3" s="484"/>
      <c r="NFZ3" s="484"/>
      <c r="NGA3" s="484"/>
      <c r="NGB3" s="484"/>
      <c r="NGC3" s="484"/>
      <c r="NGD3" s="484"/>
      <c r="NGE3" s="484"/>
      <c r="NGF3" s="484"/>
      <c r="NGG3" s="484"/>
      <c r="NGH3" s="484"/>
      <c r="NGI3" s="484"/>
      <c r="NGJ3" s="484"/>
      <c r="NGK3" s="484"/>
      <c r="NGL3" s="484"/>
      <c r="NGM3" s="484"/>
      <c r="NGN3" s="484"/>
      <c r="NGO3" s="484"/>
      <c r="NGP3" s="484"/>
      <c r="NGQ3" s="484"/>
      <c r="NGR3" s="484"/>
      <c r="NGS3" s="484"/>
      <c r="NGT3" s="484"/>
      <c r="NGU3" s="484"/>
      <c r="NGV3" s="484"/>
      <c r="NGW3" s="484"/>
      <c r="NGX3" s="484"/>
      <c r="NGY3" s="484"/>
      <c r="NGZ3" s="484"/>
      <c r="NHA3" s="484"/>
      <c r="NHB3" s="484"/>
      <c r="NHC3" s="484"/>
      <c r="NHD3" s="484"/>
      <c r="NHE3" s="484"/>
      <c r="NHF3" s="484"/>
      <c r="NHG3" s="484"/>
      <c r="NHH3" s="484"/>
      <c r="NHI3" s="484"/>
      <c r="NHJ3" s="484"/>
      <c r="NHK3" s="484"/>
      <c r="NHL3" s="484"/>
      <c r="NHM3" s="484"/>
      <c r="NHN3" s="484"/>
      <c r="NHO3" s="484"/>
      <c r="NHP3" s="484"/>
      <c r="NHQ3" s="484"/>
      <c r="NHR3" s="484"/>
      <c r="NHS3" s="484"/>
      <c r="NHT3" s="484"/>
      <c r="NHU3" s="484"/>
      <c r="NHV3" s="484"/>
      <c r="NHW3" s="484"/>
      <c r="NHX3" s="484"/>
      <c r="NHY3" s="484"/>
      <c r="NHZ3" s="484"/>
      <c r="NIA3" s="484"/>
      <c r="NIB3" s="484"/>
      <c r="NIC3" s="484"/>
      <c r="NID3" s="484"/>
      <c r="NIE3" s="484"/>
      <c r="NIF3" s="484"/>
      <c r="NIG3" s="484"/>
      <c r="NIH3" s="484"/>
      <c r="NII3" s="484"/>
      <c r="NIJ3" s="484"/>
      <c r="NIK3" s="484"/>
      <c r="NIL3" s="484"/>
      <c r="NIM3" s="484"/>
      <c r="NIN3" s="484"/>
      <c r="NIO3" s="484"/>
      <c r="NIP3" s="484"/>
      <c r="NIQ3" s="484"/>
      <c r="NIR3" s="484"/>
      <c r="NIS3" s="484"/>
      <c r="NIT3" s="484"/>
      <c r="NIU3" s="484"/>
      <c r="NIV3" s="484"/>
      <c r="NIW3" s="484"/>
      <c r="NIX3" s="484"/>
      <c r="NIY3" s="484"/>
      <c r="NIZ3" s="484"/>
      <c r="NJA3" s="484"/>
      <c r="NJB3" s="484"/>
      <c r="NJC3" s="484"/>
      <c r="NJD3" s="484"/>
      <c r="NJE3" s="484"/>
      <c r="NJF3" s="484"/>
      <c r="NJG3" s="484"/>
      <c r="NJH3" s="484"/>
      <c r="NJI3" s="484"/>
      <c r="NJJ3" s="484"/>
      <c r="NJK3" s="484"/>
      <c r="NJL3" s="484"/>
      <c r="NJM3" s="484"/>
      <c r="NJN3" s="484"/>
      <c r="NJO3" s="484"/>
      <c r="NJP3" s="484"/>
      <c r="NJQ3" s="484"/>
      <c r="NJR3" s="484"/>
      <c r="NJS3" s="484"/>
      <c r="NJT3" s="484"/>
      <c r="NJU3" s="484"/>
      <c r="NJV3" s="484"/>
      <c r="NJW3" s="484"/>
      <c r="NJX3" s="484"/>
      <c r="NJY3" s="484"/>
      <c r="NJZ3" s="484"/>
      <c r="NKA3" s="484"/>
      <c r="NKB3" s="484"/>
      <c r="NKC3" s="484"/>
      <c r="NKD3" s="484"/>
      <c r="NKE3" s="484"/>
      <c r="NKF3" s="484"/>
      <c r="NKG3" s="484"/>
      <c r="NKH3" s="484"/>
      <c r="NKI3" s="484"/>
      <c r="NKJ3" s="484"/>
      <c r="NKK3" s="484"/>
      <c r="NKL3" s="484"/>
      <c r="NKM3" s="484"/>
      <c r="NKN3" s="484"/>
      <c r="NKO3" s="484"/>
      <c r="NKP3" s="484"/>
      <c r="NKQ3" s="484"/>
      <c r="NKR3" s="484"/>
      <c r="NKS3" s="484"/>
      <c r="NKT3" s="484"/>
      <c r="NKU3" s="484"/>
      <c r="NKV3" s="484"/>
      <c r="NKW3" s="484"/>
      <c r="NKX3" s="484"/>
      <c r="NKY3" s="484"/>
      <c r="NKZ3" s="484"/>
      <c r="NLA3" s="484"/>
      <c r="NLB3" s="484"/>
      <c r="NLC3" s="484"/>
      <c r="NLD3" s="484"/>
      <c r="NLE3" s="484"/>
      <c r="NLF3" s="484"/>
      <c r="NLG3" s="484"/>
      <c r="NLH3" s="484"/>
      <c r="NLI3" s="484"/>
      <c r="NLJ3" s="484"/>
      <c r="NLK3" s="484"/>
      <c r="NLL3" s="484"/>
      <c r="NLM3" s="484"/>
      <c r="NLN3" s="484"/>
      <c r="NLO3" s="484"/>
      <c r="NLP3" s="484"/>
      <c r="NLQ3" s="484"/>
      <c r="NLR3" s="484"/>
      <c r="NLS3" s="484"/>
      <c r="NLT3" s="484"/>
      <c r="NLU3" s="484"/>
      <c r="NLV3" s="484"/>
      <c r="NLW3" s="484"/>
      <c r="NLX3" s="484"/>
      <c r="NLY3" s="484"/>
      <c r="NLZ3" s="484"/>
      <c r="NMA3" s="484"/>
      <c r="NMB3" s="484"/>
      <c r="NMC3" s="484"/>
      <c r="NMD3" s="484"/>
      <c r="NME3" s="484"/>
      <c r="NMF3" s="484"/>
      <c r="NMG3" s="484"/>
      <c r="NMH3" s="484"/>
      <c r="NMI3" s="484"/>
      <c r="NMJ3" s="484"/>
      <c r="NMK3" s="484"/>
      <c r="NML3" s="484"/>
      <c r="NMM3" s="484"/>
      <c r="NMN3" s="484"/>
      <c r="NMO3" s="484"/>
      <c r="NMP3" s="484"/>
      <c r="NMQ3" s="484"/>
      <c r="NMR3" s="484"/>
      <c r="NMS3" s="484"/>
      <c r="NMT3" s="484"/>
      <c r="NMU3" s="484"/>
      <c r="NMV3" s="484"/>
      <c r="NMW3" s="484"/>
      <c r="NMX3" s="484"/>
      <c r="NMY3" s="484"/>
      <c r="NMZ3" s="484"/>
      <c r="NNA3" s="484"/>
      <c r="NNB3" s="484"/>
      <c r="NNC3" s="484"/>
      <c r="NND3" s="484"/>
      <c r="NNE3" s="484"/>
      <c r="NNF3" s="484"/>
      <c r="NNG3" s="484"/>
      <c r="NNH3" s="484"/>
      <c r="NNI3" s="484"/>
      <c r="NNJ3" s="484"/>
      <c r="NNK3" s="484"/>
      <c r="NNL3" s="484"/>
      <c r="NNM3" s="484"/>
      <c r="NNN3" s="484"/>
      <c r="NNO3" s="484"/>
      <c r="NNP3" s="484"/>
      <c r="NNQ3" s="484"/>
      <c r="NNR3" s="484"/>
      <c r="NNS3" s="484"/>
      <c r="NNT3" s="484"/>
      <c r="NNU3" s="484"/>
      <c r="NNV3" s="484"/>
      <c r="NNW3" s="484"/>
      <c r="NNX3" s="484"/>
      <c r="NNY3" s="484"/>
      <c r="NNZ3" s="484"/>
      <c r="NOA3" s="484"/>
      <c r="NOB3" s="484"/>
      <c r="NOC3" s="484"/>
      <c r="NOD3" s="484"/>
      <c r="NOE3" s="484"/>
      <c r="NOF3" s="484"/>
      <c r="NOG3" s="484"/>
      <c r="NOH3" s="484"/>
      <c r="NOI3" s="484"/>
      <c r="NOJ3" s="484"/>
      <c r="NOK3" s="484"/>
      <c r="NOL3" s="484"/>
      <c r="NOM3" s="484"/>
      <c r="NON3" s="484"/>
      <c r="NOO3" s="484"/>
      <c r="NOP3" s="484"/>
      <c r="NOQ3" s="484"/>
      <c r="NOR3" s="484"/>
      <c r="NOS3" s="484"/>
      <c r="NOT3" s="484"/>
      <c r="NOU3" s="484"/>
      <c r="NOV3" s="484"/>
      <c r="NOW3" s="484"/>
      <c r="NOX3" s="484"/>
      <c r="NOY3" s="484"/>
      <c r="NOZ3" s="484"/>
      <c r="NPA3" s="484"/>
      <c r="NPB3" s="484"/>
      <c r="NPC3" s="484"/>
      <c r="NPD3" s="484"/>
      <c r="NPE3" s="484"/>
      <c r="NPF3" s="484"/>
      <c r="NPG3" s="484"/>
      <c r="NPH3" s="484"/>
      <c r="NPI3" s="484"/>
      <c r="NPJ3" s="484"/>
      <c r="NPK3" s="484"/>
      <c r="NPL3" s="484"/>
      <c r="NPM3" s="484"/>
      <c r="NPN3" s="484"/>
      <c r="NPO3" s="484"/>
      <c r="NPP3" s="484"/>
      <c r="NPQ3" s="484"/>
      <c r="NPR3" s="484"/>
      <c r="NPS3" s="484"/>
      <c r="NPT3" s="484"/>
      <c r="NPU3" s="484"/>
      <c r="NPV3" s="484"/>
      <c r="NPW3" s="484"/>
      <c r="NPX3" s="484"/>
      <c r="NPY3" s="484"/>
      <c r="NPZ3" s="484"/>
      <c r="NQA3" s="484"/>
      <c r="NQB3" s="484"/>
      <c r="NQC3" s="484"/>
      <c r="NQD3" s="484"/>
      <c r="NQE3" s="484"/>
      <c r="NQF3" s="484"/>
      <c r="NQG3" s="484"/>
      <c r="NQH3" s="484"/>
      <c r="NQI3" s="484"/>
      <c r="NQJ3" s="484"/>
      <c r="NQK3" s="484"/>
      <c r="NQL3" s="484"/>
      <c r="NQM3" s="484"/>
      <c r="NQN3" s="484"/>
      <c r="NQO3" s="484"/>
      <c r="NQP3" s="484"/>
      <c r="NQQ3" s="484"/>
      <c r="NQR3" s="484"/>
      <c r="NQS3" s="484"/>
      <c r="NQT3" s="484"/>
      <c r="NQU3" s="484"/>
      <c r="NQV3" s="484"/>
      <c r="NQW3" s="484"/>
      <c r="NQX3" s="484"/>
      <c r="NQY3" s="484"/>
      <c r="NQZ3" s="484"/>
      <c r="NRA3" s="484"/>
      <c r="NRB3" s="484"/>
      <c r="NRC3" s="484"/>
      <c r="NRD3" s="484"/>
      <c r="NRE3" s="484"/>
      <c r="NRF3" s="484"/>
      <c r="NRG3" s="484"/>
      <c r="NRH3" s="484"/>
      <c r="NRI3" s="484"/>
      <c r="NRJ3" s="484"/>
      <c r="NRK3" s="484"/>
      <c r="NRL3" s="484"/>
      <c r="NRM3" s="484"/>
      <c r="NRN3" s="484"/>
      <c r="NRO3" s="484"/>
      <c r="NRP3" s="484"/>
      <c r="NRQ3" s="484"/>
      <c r="NRR3" s="484"/>
      <c r="NRS3" s="484"/>
      <c r="NRT3" s="484"/>
      <c r="NRU3" s="484"/>
      <c r="NRV3" s="484"/>
      <c r="NRW3" s="484"/>
      <c r="NRX3" s="484"/>
      <c r="NRY3" s="484"/>
      <c r="NRZ3" s="484"/>
      <c r="NSA3" s="484"/>
      <c r="NSB3" s="484"/>
      <c r="NSC3" s="484"/>
      <c r="NSD3" s="484"/>
      <c r="NSE3" s="484"/>
      <c r="NSF3" s="484"/>
      <c r="NSG3" s="484"/>
      <c r="NSH3" s="484"/>
      <c r="NSI3" s="484"/>
      <c r="NSJ3" s="484"/>
      <c r="NSK3" s="484"/>
      <c r="NSL3" s="484"/>
      <c r="NSM3" s="484"/>
      <c r="NSN3" s="484"/>
      <c r="NSO3" s="484"/>
      <c r="NSP3" s="484"/>
      <c r="NSQ3" s="484"/>
      <c r="NSR3" s="484"/>
      <c r="NSS3" s="484"/>
      <c r="NST3" s="484"/>
      <c r="NSU3" s="484"/>
      <c r="NSV3" s="484"/>
      <c r="NSW3" s="484"/>
      <c r="NSX3" s="484"/>
      <c r="NSY3" s="484"/>
      <c r="NSZ3" s="484"/>
      <c r="NTA3" s="484"/>
      <c r="NTB3" s="484"/>
      <c r="NTC3" s="484"/>
      <c r="NTD3" s="484"/>
      <c r="NTE3" s="484"/>
      <c r="NTF3" s="484"/>
      <c r="NTG3" s="484"/>
      <c r="NTH3" s="484"/>
      <c r="NTI3" s="484"/>
      <c r="NTJ3" s="484"/>
      <c r="NTK3" s="484"/>
      <c r="NTL3" s="484"/>
      <c r="NTM3" s="484"/>
      <c r="NTN3" s="484"/>
      <c r="NTO3" s="484"/>
      <c r="NTP3" s="484"/>
      <c r="NTQ3" s="484"/>
      <c r="NTR3" s="484"/>
      <c r="NTS3" s="484"/>
      <c r="NTT3" s="484"/>
      <c r="NTU3" s="484"/>
      <c r="NTV3" s="484"/>
      <c r="NTW3" s="484"/>
      <c r="NTX3" s="484"/>
      <c r="NTY3" s="484"/>
      <c r="NTZ3" s="484"/>
      <c r="NUA3" s="484"/>
      <c r="NUB3" s="484"/>
      <c r="NUC3" s="484"/>
      <c r="NUD3" s="484"/>
      <c r="NUE3" s="484"/>
      <c r="NUF3" s="484"/>
      <c r="NUG3" s="484"/>
      <c r="NUH3" s="484"/>
      <c r="NUI3" s="484"/>
      <c r="NUJ3" s="484"/>
      <c r="NUK3" s="484"/>
      <c r="NUL3" s="484"/>
      <c r="NUM3" s="484"/>
      <c r="NUN3" s="484"/>
      <c r="NUO3" s="484"/>
      <c r="NUP3" s="484"/>
      <c r="NUQ3" s="484"/>
      <c r="NUR3" s="484"/>
      <c r="NUS3" s="484"/>
      <c r="NUT3" s="484"/>
      <c r="NUU3" s="484"/>
      <c r="NUV3" s="484"/>
      <c r="NUW3" s="484"/>
      <c r="NUX3" s="484"/>
      <c r="NUY3" s="484"/>
      <c r="NUZ3" s="484"/>
      <c r="NVA3" s="484"/>
      <c r="NVB3" s="484"/>
      <c r="NVC3" s="484"/>
      <c r="NVD3" s="484"/>
      <c r="NVE3" s="484"/>
      <c r="NVF3" s="484"/>
      <c r="NVG3" s="484"/>
      <c r="NVH3" s="484"/>
      <c r="NVI3" s="484"/>
      <c r="NVJ3" s="484"/>
      <c r="NVK3" s="484"/>
      <c r="NVL3" s="484"/>
      <c r="NVM3" s="484"/>
      <c r="NVN3" s="484"/>
      <c r="NVO3" s="484"/>
      <c r="NVP3" s="484"/>
      <c r="NVQ3" s="484"/>
      <c r="NVR3" s="484"/>
      <c r="NVS3" s="484"/>
      <c r="NVT3" s="484"/>
      <c r="NVU3" s="484"/>
      <c r="NVV3" s="484"/>
      <c r="NVW3" s="484"/>
      <c r="NVX3" s="484"/>
      <c r="NVY3" s="484"/>
      <c r="NVZ3" s="484"/>
      <c r="NWA3" s="484"/>
      <c r="NWB3" s="484"/>
      <c r="NWC3" s="484"/>
      <c r="NWD3" s="484"/>
      <c r="NWE3" s="484"/>
      <c r="NWF3" s="484"/>
      <c r="NWG3" s="484"/>
      <c r="NWH3" s="484"/>
      <c r="NWI3" s="484"/>
      <c r="NWJ3" s="484"/>
      <c r="NWK3" s="484"/>
      <c r="NWL3" s="484"/>
      <c r="NWM3" s="484"/>
      <c r="NWN3" s="484"/>
      <c r="NWO3" s="484"/>
      <c r="NWP3" s="484"/>
      <c r="NWQ3" s="484"/>
      <c r="NWR3" s="484"/>
      <c r="NWS3" s="484"/>
      <c r="NWT3" s="484"/>
      <c r="NWU3" s="484"/>
      <c r="NWV3" s="484"/>
      <c r="NWW3" s="484"/>
      <c r="NWX3" s="484"/>
      <c r="NWY3" s="484"/>
      <c r="NWZ3" s="484"/>
      <c r="NXA3" s="484"/>
      <c r="NXB3" s="484"/>
      <c r="NXC3" s="484"/>
      <c r="NXD3" s="484"/>
      <c r="NXE3" s="484"/>
      <c r="NXF3" s="484"/>
      <c r="NXG3" s="484"/>
      <c r="NXH3" s="484"/>
      <c r="NXI3" s="484"/>
      <c r="NXJ3" s="484"/>
      <c r="NXK3" s="484"/>
      <c r="NXL3" s="484"/>
      <c r="NXM3" s="484"/>
      <c r="NXN3" s="484"/>
      <c r="NXO3" s="484"/>
      <c r="NXP3" s="484"/>
      <c r="NXQ3" s="484"/>
      <c r="NXR3" s="484"/>
      <c r="NXS3" s="484"/>
      <c r="NXT3" s="484"/>
      <c r="NXU3" s="484"/>
      <c r="NXV3" s="484"/>
      <c r="NXW3" s="484"/>
      <c r="NXX3" s="484"/>
      <c r="NXY3" s="484"/>
      <c r="NXZ3" s="484"/>
      <c r="NYA3" s="484"/>
      <c r="NYB3" s="484"/>
      <c r="NYC3" s="484"/>
      <c r="NYD3" s="484"/>
      <c r="NYE3" s="484"/>
      <c r="NYF3" s="484"/>
      <c r="NYG3" s="484"/>
      <c r="NYH3" s="484"/>
      <c r="NYI3" s="484"/>
      <c r="NYJ3" s="484"/>
      <c r="NYK3" s="484"/>
      <c r="NYL3" s="484"/>
      <c r="NYM3" s="484"/>
      <c r="NYN3" s="484"/>
      <c r="NYO3" s="484"/>
      <c r="NYP3" s="484"/>
      <c r="NYQ3" s="484"/>
      <c r="NYR3" s="484"/>
      <c r="NYS3" s="484"/>
      <c r="NYT3" s="484"/>
      <c r="NYU3" s="484"/>
      <c r="NYV3" s="484"/>
      <c r="NYW3" s="484"/>
      <c r="NYX3" s="484"/>
      <c r="NYY3" s="484"/>
      <c r="NYZ3" s="484"/>
      <c r="NZA3" s="484"/>
      <c r="NZB3" s="484"/>
      <c r="NZC3" s="484"/>
      <c r="NZD3" s="484"/>
      <c r="NZE3" s="484"/>
      <c r="NZF3" s="484"/>
      <c r="NZG3" s="484"/>
      <c r="NZH3" s="484"/>
      <c r="NZI3" s="484"/>
      <c r="NZJ3" s="484"/>
      <c r="NZK3" s="484"/>
      <c r="NZL3" s="484"/>
      <c r="NZM3" s="484"/>
      <c r="NZN3" s="484"/>
      <c r="NZO3" s="484"/>
      <c r="NZP3" s="484"/>
      <c r="NZQ3" s="484"/>
      <c r="NZR3" s="484"/>
      <c r="NZS3" s="484"/>
      <c r="NZT3" s="484"/>
      <c r="NZU3" s="484"/>
      <c r="NZV3" s="484"/>
      <c r="NZW3" s="484"/>
      <c r="NZX3" s="484"/>
      <c r="NZY3" s="484"/>
      <c r="NZZ3" s="484"/>
      <c r="OAA3" s="484"/>
      <c r="OAB3" s="484"/>
      <c r="OAC3" s="484"/>
      <c r="OAD3" s="484"/>
      <c r="OAE3" s="484"/>
      <c r="OAF3" s="484"/>
      <c r="OAG3" s="484"/>
      <c r="OAH3" s="484"/>
      <c r="OAI3" s="484"/>
      <c r="OAJ3" s="484"/>
      <c r="OAK3" s="484"/>
      <c r="OAL3" s="484"/>
      <c r="OAM3" s="484"/>
      <c r="OAN3" s="484"/>
      <c r="OAO3" s="484"/>
      <c r="OAP3" s="484"/>
      <c r="OAQ3" s="484"/>
      <c r="OAR3" s="484"/>
      <c r="OAS3" s="484"/>
      <c r="OAT3" s="484"/>
      <c r="OAU3" s="484"/>
      <c r="OAV3" s="484"/>
      <c r="OAW3" s="484"/>
      <c r="OAX3" s="484"/>
      <c r="OAY3" s="484"/>
      <c r="OAZ3" s="484"/>
      <c r="OBA3" s="484"/>
      <c r="OBB3" s="484"/>
      <c r="OBC3" s="484"/>
      <c r="OBD3" s="484"/>
      <c r="OBE3" s="484"/>
      <c r="OBF3" s="484"/>
      <c r="OBG3" s="484"/>
      <c r="OBH3" s="484"/>
      <c r="OBI3" s="484"/>
      <c r="OBJ3" s="484"/>
      <c r="OBK3" s="484"/>
      <c r="OBL3" s="484"/>
      <c r="OBM3" s="484"/>
      <c r="OBN3" s="484"/>
      <c r="OBO3" s="484"/>
      <c r="OBP3" s="484"/>
      <c r="OBQ3" s="484"/>
      <c r="OBR3" s="484"/>
      <c r="OBS3" s="484"/>
      <c r="OBT3" s="484"/>
      <c r="OBU3" s="484"/>
      <c r="OBV3" s="484"/>
      <c r="OBW3" s="484"/>
      <c r="OBX3" s="484"/>
      <c r="OBY3" s="484"/>
      <c r="OBZ3" s="484"/>
      <c r="OCA3" s="484"/>
      <c r="OCB3" s="484"/>
      <c r="OCC3" s="484"/>
      <c r="OCD3" s="484"/>
      <c r="OCE3" s="484"/>
      <c r="OCF3" s="484"/>
      <c r="OCG3" s="484"/>
      <c r="OCH3" s="484"/>
      <c r="OCI3" s="484"/>
      <c r="OCJ3" s="484"/>
      <c r="OCK3" s="484"/>
      <c r="OCL3" s="484"/>
      <c r="OCM3" s="484"/>
      <c r="OCN3" s="484"/>
      <c r="OCO3" s="484"/>
      <c r="OCP3" s="484"/>
      <c r="OCQ3" s="484"/>
      <c r="OCR3" s="484"/>
      <c r="OCS3" s="484"/>
      <c r="OCT3" s="484"/>
      <c r="OCU3" s="484"/>
      <c r="OCV3" s="484"/>
      <c r="OCW3" s="484"/>
      <c r="OCX3" s="484"/>
      <c r="OCY3" s="484"/>
      <c r="OCZ3" s="484"/>
      <c r="ODA3" s="484"/>
      <c r="ODB3" s="484"/>
      <c r="ODC3" s="484"/>
      <c r="ODD3" s="484"/>
      <c r="ODE3" s="484"/>
      <c r="ODF3" s="484"/>
      <c r="ODG3" s="484"/>
      <c r="ODH3" s="484"/>
      <c r="ODI3" s="484"/>
      <c r="ODJ3" s="484"/>
      <c r="ODK3" s="484"/>
      <c r="ODL3" s="484"/>
      <c r="ODM3" s="484"/>
      <c r="ODN3" s="484"/>
      <c r="ODO3" s="484"/>
      <c r="ODP3" s="484"/>
      <c r="ODQ3" s="484"/>
      <c r="ODR3" s="484"/>
      <c r="ODS3" s="484"/>
      <c r="ODT3" s="484"/>
      <c r="ODU3" s="484"/>
      <c r="ODV3" s="484"/>
      <c r="ODW3" s="484"/>
      <c r="ODX3" s="484"/>
      <c r="ODY3" s="484"/>
      <c r="ODZ3" s="484"/>
      <c r="OEA3" s="484"/>
      <c r="OEB3" s="484"/>
      <c r="OEC3" s="484"/>
      <c r="OED3" s="484"/>
      <c r="OEE3" s="484"/>
      <c r="OEF3" s="484"/>
      <c r="OEG3" s="484"/>
      <c r="OEH3" s="484"/>
      <c r="OEI3" s="484"/>
      <c r="OEJ3" s="484"/>
      <c r="OEK3" s="484"/>
      <c r="OEL3" s="484"/>
      <c r="OEM3" s="484"/>
      <c r="OEN3" s="484"/>
      <c r="OEO3" s="484"/>
      <c r="OEP3" s="484"/>
      <c r="OEQ3" s="484"/>
      <c r="OER3" s="484"/>
      <c r="OES3" s="484"/>
      <c r="OET3" s="484"/>
      <c r="OEU3" s="484"/>
      <c r="OEV3" s="484"/>
      <c r="OEW3" s="484"/>
      <c r="OEX3" s="484"/>
      <c r="OEY3" s="484"/>
      <c r="OEZ3" s="484"/>
      <c r="OFA3" s="484"/>
      <c r="OFB3" s="484"/>
      <c r="OFC3" s="484"/>
      <c r="OFD3" s="484"/>
      <c r="OFE3" s="484"/>
      <c r="OFF3" s="484"/>
      <c r="OFG3" s="484"/>
      <c r="OFH3" s="484"/>
      <c r="OFI3" s="484"/>
      <c r="OFJ3" s="484"/>
      <c r="OFK3" s="484"/>
      <c r="OFL3" s="484"/>
      <c r="OFM3" s="484"/>
      <c r="OFN3" s="484"/>
      <c r="OFO3" s="484"/>
      <c r="OFP3" s="484"/>
      <c r="OFQ3" s="484"/>
      <c r="OFR3" s="484"/>
      <c r="OFS3" s="484"/>
      <c r="OFT3" s="484"/>
      <c r="OFU3" s="484"/>
      <c r="OFV3" s="484"/>
      <c r="OFW3" s="484"/>
      <c r="OFX3" s="484"/>
      <c r="OFY3" s="484"/>
      <c r="OFZ3" s="484"/>
      <c r="OGA3" s="484"/>
      <c r="OGB3" s="484"/>
      <c r="OGC3" s="484"/>
      <c r="OGD3" s="484"/>
      <c r="OGE3" s="484"/>
      <c r="OGF3" s="484"/>
      <c r="OGG3" s="484"/>
      <c r="OGH3" s="484"/>
      <c r="OGI3" s="484"/>
      <c r="OGJ3" s="484"/>
      <c r="OGK3" s="484"/>
      <c r="OGL3" s="484"/>
      <c r="OGM3" s="484"/>
      <c r="OGN3" s="484"/>
      <c r="OGO3" s="484"/>
      <c r="OGP3" s="484"/>
      <c r="OGQ3" s="484"/>
      <c r="OGR3" s="484"/>
      <c r="OGS3" s="484"/>
      <c r="OGT3" s="484"/>
      <c r="OGU3" s="484"/>
      <c r="OGV3" s="484"/>
      <c r="OGW3" s="484"/>
      <c r="OGX3" s="484"/>
      <c r="OGY3" s="484"/>
      <c r="OGZ3" s="484"/>
      <c r="OHA3" s="484"/>
      <c r="OHB3" s="484"/>
      <c r="OHC3" s="484"/>
      <c r="OHD3" s="484"/>
      <c r="OHE3" s="484"/>
      <c r="OHF3" s="484"/>
      <c r="OHG3" s="484"/>
      <c r="OHH3" s="484"/>
      <c r="OHI3" s="484"/>
      <c r="OHJ3" s="484"/>
      <c r="OHK3" s="484"/>
      <c r="OHL3" s="484"/>
      <c r="OHM3" s="484"/>
      <c r="OHN3" s="484"/>
      <c r="OHO3" s="484"/>
      <c r="OHP3" s="484"/>
      <c r="OHQ3" s="484"/>
      <c r="OHR3" s="484"/>
      <c r="OHS3" s="484"/>
      <c r="OHT3" s="484"/>
      <c r="OHU3" s="484"/>
      <c r="OHV3" s="484"/>
      <c r="OHW3" s="484"/>
      <c r="OHX3" s="484"/>
      <c r="OHY3" s="484"/>
      <c r="OHZ3" s="484"/>
      <c r="OIA3" s="484"/>
      <c r="OIB3" s="484"/>
      <c r="OIC3" s="484"/>
      <c r="OID3" s="484"/>
      <c r="OIE3" s="484"/>
      <c r="OIF3" s="484"/>
      <c r="OIG3" s="484"/>
      <c r="OIH3" s="484"/>
      <c r="OII3" s="484"/>
      <c r="OIJ3" s="484"/>
      <c r="OIK3" s="484"/>
      <c r="OIL3" s="484"/>
      <c r="OIM3" s="484"/>
      <c r="OIN3" s="484"/>
      <c r="OIO3" s="484"/>
      <c r="OIP3" s="484"/>
      <c r="OIQ3" s="484"/>
      <c r="OIR3" s="484"/>
      <c r="OIS3" s="484"/>
      <c r="OIT3" s="484"/>
      <c r="OIU3" s="484"/>
      <c r="OIV3" s="484"/>
      <c r="OIW3" s="484"/>
      <c r="OIX3" s="484"/>
      <c r="OIY3" s="484"/>
      <c r="OIZ3" s="484"/>
      <c r="OJA3" s="484"/>
      <c r="OJB3" s="484"/>
      <c r="OJC3" s="484"/>
      <c r="OJD3" s="484"/>
      <c r="OJE3" s="484"/>
      <c r="OJF3" s="484"/>
      <c r="OJG3" s="484"/>
      <c r="OJH3" s="484"/>
      <c r="OJI3" s="484"/>
      <c r="OJJ3" s="484"/>
      <c r="OJK3" s="484"/>
      <c r="OJL3" s="484"/>
      <c r="OJM3" s="484"/>
      <c r="OJN3" s="484"/>
      <c r="OJO3" s="484"/>
      <c r="OJP3" s="484"/>
      <c r="OJQ3" s="484"/>
      <c r="OJR3" s="484"/>
      <c r="OJS3" s="484"/>
      <c r="OJT3" s="484"/>
      <c r="OJU3" s="484"/>
      <c r="OJV3" s="484"/>
      <c r="OJW3" s="484"/>
      <c r="OJX3" s="484"/>
      <c r="OJY3" s="484"/>
      <c r="OJZ3" s="484"/>
      <c r="OKA3" s="484"/>
      <c r="OKB3" s="484"/>
      <c r="OKC3" s="484"/>
      <c r="OKD3" s="484"/>
      <c r="OKE3" s="484"/>
      <c r="OKF3" s="484"/>
      <c r="OKG3" s="484"/>
      <c r="OKH3" s="484"/>
      <c r="OKI3" s="484"/>
      <c r="OKJ3" s="484"/>
      <c r="OKK3" s="484"/>
      <c r="OKL3" s="484"/>
      <c r="OKM3" s="484"/>
      <c r="OKN3" s="484"/>
      <c r="OKO3" s="484"/>
      <c r="OKP3" s="484"/>
      <c r="OKQ3" s="484"/>
      <c r="OKR3" s="484"/>
      <c r="OKS3" s="484"/>
      <c r="OKT3" s="484"/>
      <c r="OKU3" s="484"/>
      <c r="OKV3" s="484"/>
      <c r="OKW3" s="484"/>
      <c r="OKX3" s="484"/>
      <c r="OKY3" s="484"/>
      <c r="OKZ3" s="484"/>
      <c r="OLA3" s="484"/>
      <c r="OLB3" s="484"/>
      <c r="OLC3" s="484"/>
      <c r="OLD3" s="484"/>
      <c r="OLE3" s="484"/>
      <c r="OLF3" s="484"/>
      <c r="OLG3" s="484"/>
      <c r="OLH3" s="484"/>
      <c r="OLI3" s="484"/>
      <c r="OLJ3" s="484"/>
      <c r="OLK3" s="484"/>
      <c r="OLL3" s="484"/>
      <c r="OLM3" s="484"/>
      <c r="OLN3" s="484"/>
      <c r="OLO3" s="484"/>
      <c r="OLP3" s="484"/>
      <c r="OLQ3" s="484"/>
      <c r="OLR3" s="484"/>
      <c r="OLS3" s="484"/>
      <c r="OLT3" s="484"/>
      <c r="OLU3" s="484"/>
      <c r="OLV3" s="484"/>
      <c r="OLW3" s="484"/>
      <c r="OLX3" s="484"/>
      <c r="OLY3" s="484"/>
      <c r="OLZ3" s="484"/>
      <c r="OMA3" s="484"/>
      <c r="OMB3" s="484"/>
      <c r="OMC3" s="484"/>
      <c r="OMD3" s="484"/>
      <c r="OME3" s="484"/>
      <c r="OMF3" s="484"/>
      <c r="OMG3" s="484"/>
      <c r="OMH3" s="484"/>
      <c r="OMI3" s="484"/>
      <c r="OMJ3" s="484"/>
      <c r="OMK3" s="484"/>
      <c r="OML3" s="484"/>
      <c r="OMM3" s="484"/>
      <c r="OMN3" s="484"/>
      <c r="OMO3" s="484"/>
      <c r="OMP3" s="484"/>
      <c r="OMQ3" s="484"/>
      <c r="OMR3" s="484"/>
      <c r="OMS3" s="484"/>
      <c r="OMT3" s="484"/>
      <c r="OMU3" s="484"/>
      <c r="OMV3" s="484"/>
      <c r="OMW3" s="484"/>
      <c r="OMX3" s="484"/>
      <c r="OMY3" s="484"/>
      <c r="OMZ3" s="484"/>
      <c r="ONA3" s="484"/>
      <c r="ONB3" s="484"/>
      <c r="ONC3" s="484"/>
      <c r="OND3" s="484"/>
      <c r="ONE3" s="484"/>
      <c r="ONF3" s="484"/>
      <c r="ONG3" s="484"/>
      <c r="ONH3" s="484"/>
      <c r="ONI3" s="484"/>
      <c r="ONJ3" s="484"/>
      <c r="ONK3" s="484"/>
      <c r="ONL3" s="484"/>
      <c r="ONM3" s="484"/>
      <c r="ONN3" s="484"/>
      <c r="ONO3" s="484"/>
      <c r="ONP3" s="484"/>
      <c r="ONQ3" s="484"/>
      <c r="ONR3" s="484"/>
      <c r="ONS3" s="484"/>
      <c r="ONT3" s="484"/>
      <c r="ONU3" s="484"/>
      <c r="ONV3" s="484"/>
      <c r="ONW3" s="484"/>
      <c r="ONX3" s="484"/>
      <c r="ONY3" s="484"/>
      <c r="ONZ3" s="484"/>
      <c r="OOA3" s="484"/>
      <c r="OOB3" s="484"/>
      <c r="OOC3" s="484"/>
      <c r="OOD3" s="484"/>
      <c r="OOE3" s="484"/>
      <c r="OOF3" s="484"/>
      <c r="OOG3" s="484"/>
      <c r="OOH3" s="484"/>
      <c r="OOI3" s="484"/>
      <c r="OOJ3" s="484"/>
      <c r="OOK3" s="484"/>
      <c r="OOL3" s="484"/>
      <c r="OOM3" s="484"/>
      <c r="OON3" s="484"/>
      <c r="OOO3" s="484"/>
      <c r="OOP3" s="484"/>
      <c r="OOQ3" s="484"/>
      <c r="OOR3" s="484"/>
      <c r="OOS3" s="484"/>
      <c r="OOT3" s="484"/>
      <c r="OOU3" s="484"/>
      <c r="OOV3" s="484"/>
      <c r="OOW3" s="484"/>
      <c r="OOX3" s="484"/>
      <c r="OOY3" s="484"/>
      <c r="OOZ3" s="484"/>
      <c r="OPA3" s="484"/>
      <c r="OPB3" s="484"/>
      <c r="OPC3" s="484"/>
      <c r="OPD3" s="484"/>
      <c r="OPE3" s="484"/>
      <c r="OPF3" s="484"/>
      <c r="OPG3" s="484"/>
      <c r="OPH3" s="484"/>
      <c r="OPI3" s="484"/>
      <c r="OPJ3" s="484"/>
      <c r="OPK3" s="484"/>
      <c r="OPL3" s="484"/>
      <c r="OPM3" s="484"/>
      <c r="OPN3" s="484"/>
      <c r="OPO3" s="484"/>
      <c r="OPP3" s="484"/>
      <c r="OPQ3" s="484"/>
      <c r="OPR3" s="484"/>
      <c r="OPS3" s="484"/>
      <c r="OPT3" s="484"/>
      <c r="OPU3" s="484"/>
      <c r="OPV3" s="484"/>
      <c r="OPW3" s="484"/>
      <c r="OPX3" s="484"/>
      <c r="OPY3" s="484"/>
      <c r="OPZ3" s="484"/>
      <c r="OQA3" s="484"/>
      <c r="OQB3" s="484"/>
      <c r="OQC3" s="484"/>
      <c r="OQD3" s="484"/>
      <c r="OQE3" s="484"/>
      <c r="OQF3" s="484"/>
      <c r="OQG3" s="484"/>
      <c r="OQH3" s="484"/>
      <c r="OQI3" s="484"/>
      <c r="OQJ3" s="484"/>
      <c r="OQK3" s="484"/>
      <c r="OQL3" s="484"/>
      <c r="OQM3" s="484"/>
      <c r="OQN3" s="484"/>
      <c r="OQO3" s="484"/>
      <c r="OQP3" s="484"/>
      <c r="OQQ3" s="484"/>
      <c r="OQR3" s="484"/>
      <c r="OQS3" s="484"/>
      <c r="OQT3" s="484"/>
      <c r="OQU3" s="484"/>
      <c r="OQV3" s="484"/>
      <c r="OQW3" s="484"/>
      <c r="OQX3" s="484"/>
      <c r="OQY3" s="484"/>
      <c r="OQZ3" s="484"/>
      <c r="ORA3" s="484"/>
      <c r="ORB3" s="484"/>
      <c r="ORC3" s="484"/>
      <c r="ORD3" s="484"/>
      <c r="ORE3" s="484"/>
      <c r="ORF3" s="484"/>
      <c r="ORG3" s="484"/>
      <c r="ORH3" s="484"/>
      <c r="ORI3" s="484"/>
      <c r="ORJ3" s="484"/>
      <c r="ORK3" s="484"/>
      <c r="ORL3" s="484"/>
      <c r="ORM3" s="484"/>
      <c r="ORN3" s="484"/>
      <c r="ORO3" s="484"/>
      <c r="ORP3" s="484"/>
      <c r="ORQ3" s="484"/>
      <c r="ORR3" s="484"/>
      <c r="ORS3" s="484"/>
      <c r="ORT3" s="484"/>
      <c r="ORU3" s="484"/>
      <c r="ORV3" s="484"/>
      <c r="ORW3" s="484"/>
      <c r="ORX3" s="484"/>
      <c r="ORY3" s="484"/>
      <c r="ORZ3" s="484"/>
      <c r="OSA3" s="484"/>
      <c r="OSB3" s="484"/>
      <c r="OSC3" s="484"/>
      <c r="OSD3" s="484"/>
      <c r="OSE3" s="484"/>
      <c r="OSF3" s="484"/>
      <c r="OSG3" s="484"/>
      <c r="OSH3" s="484"/>
      <c r="OSI3" s="484"/>
      <c r="OSJ3" s="484"/>
      <c r="OSK3" s="484"/>
      <c r="OSL3" s="484"/>
      <c r="OSM3" s="484"/>
      <c r="OSN3" s="484"/>
      <c r="OSO3" s="484"/>
      <c r="OSP3" s="484"/>
      <c r="OSQ3" s="484"/>
      <c r="OSR3" s="484"/>
      <c r="OSS3" s="484"/>
      <c r="OST3" s="484"/>
      <c r="OSU3" s="484"/>
      <c r="OSV3" s="484"/>
      <c r="OSW3" s="484"/>
      <c r="OSX3" s="484"/>
      <c r="OSY3" s="484"/>
      <c r="OSZ3" s="484"/>
      <c r="OTA3" s="484"/>
      <c r="OTB3" s="484"/>
      <c r="OTC3" s="484"/>
      <c r="OTD3" s="484"/>
      <c r="OTE3" s="484"/>
      <c r="OTF3" s="484"/>
      <c r="OTG3" s="484"/>
      <c r="OTH3" s="484"/>
      <c r="OTI3" s="484"/>
      <c r="OTJ3" s="484"/>
      <c r="OTK3" s="484"/>
      <c r="OTL3" s="484"/>
      <c r="OTM3" s="484"/>
      <c r="OTN3" s="484"/>
      <c r="OTO3" s="484"/>
      <c r="OTP3" s="484"/>
      <c r="OTQ3" s="484"/>
      <c r="OTR3" s="484"/>
      <c r="OTS3" s="484"/>
      <c r="OTT3" s="484"/>
      <c r="OTU3" s="484"/>
      <c r="OTV3" s="484"/>
      <c r="OTW3" s="484"/>
      <c r="OTX3" s="484"/>
      <c r="OTY3" s="484"/>
      <c r="OTZ3" s="484"/>
      <c r="OUA3" s="484"/>
      <c r="OUB3" s="484"/>
      <c r="OUC3" s="484"/>
      <c r="OUD3" s="484"/>
      <c r="OUE3" s="484"/>
      <c r="OUF3" s="484"/>
      <c r="OUG3" s="484"/>
      <c r="OUH3" s="484"/>
      <c r="OUI3" s="484"/>
      <c r="OUJ3" s="484"/>
      <c r="OUK3" s="484"/>
      <c r="OUL3" s="484"/>
      <c r="OUM3" s="484"/>
      <c r="OUN3" s="484"/>
      <c r="OUO3" s="484"/>
      <c r="OUP3" s="484"/>
      <c r="OUQ3" s="484"/>
      <c r="OUR3" s="484"/>
      <c r="OUS3" s="484"/>
      <c r="OUT3" s="484"/>
      <c r="OUU3" s="484"/>
      <c r="OUV3" s="484"/>
      <c r="OUW3" s="484"/>
      <c r="OUX3" s="484"/>
      <c r="OUY3" s="484"/>
      <c r="OUZ3" s="484"/>
      <c r="OVA3" s="484"/>
      <c r="OVB3" s="484"/>
      <c r="OVC3" s="484"/>
      <c r="OVD3" s="484"/>
      <c r="OVE3" s="484"/>
      <c r="OVF3" s="484"/>
      <c r="OVG3" s="484"/>
      <c r="OVH3" s="484"/>
      <c r="OVI3" s="484"/>
      <c r="OVJ3" s="484"/>
      <c r="OVK3" s="484"/>
      <c r="OVL3" s="484"/>
      <c r="OVM3" s="484"/>
      <c r="OVN3" s="484"/>
      <c r="OVO3" s="484"/>
      <c r="OVP3" s="484"/>
      <c r="OVQ3" s="484"/>
      <c r="OVR3" s="484"/>
      <c r="OVS3" s="484"/>
      <c r="OVT3" s="484"/>
      <c r="OVU3" s="484"/>
      <c r="OVV3" s="484"/>
      <c r="OVW3" s="484"/>
      <c r="OVX3" s="484"/>
      <c r="OVY3" s="484"/>
      <c r="OVZ3" s="484"/>
      <c r="OWA3" s="484"/>
      <c r="OWB3" s="484"/>
      <c r="OWC3" s="484"/>
      <c r="OWD3" s="484"/>
      <c r="OWE3" s="484"/>
      <c r="OWF3" s="484"/>
      <c r="OWG3" s="484"/>
      <c r="OWH3" s="484"/>
      <c r="OWI3" s="484"/>
      <c r="OWJ3" s="484"/>
      <c r="OWK3" s="484"/>
      <c r="OWL3" s="484"/>
      <c r="OWM3" s="484"/>
      <c r="OWN3" s="484"/>
      <c r="OWO3" s="484"/>
      <c r="OWP3" s="484"/>
      <c r="OWQ3" s="484"/>
      <c r="OWR3" s="484"/>
      <c r="OWS3" s="484"/>
      <c r="OWT3" s="484"/>
      <c r="OWU3" s="484"/>
      <c r="OWV3" s="484"/>
      <c r="OWW3" s="484"/>
      <c r="OWX3" s="484"/>
      <c r="OWY3" s="484"/>
      <c r="OWZ3" s="484"/>
      <c r="OXA3" s="484"/>
      <c r="OXB3" s="484"/>
      <c r="OXC3" s="484"/>
      <c r="OXD3" s="484"/>
      <c r="OXE3" s="484"/>
      <c r="OXF3" s="484"/>
      <c r="OXG3" s="484"/>
      <c r="OXH3" s="484"/>
      <c r="OXI3" s="484"/>
      <c r="OXJ3" s="484"/>
      <c r="OXK3" s="484"/>
      <c r="OXL3" s="484"/>
      <c r="OXM3" s="484"/>
      <c r="OXN3" s="484"/>
      <c r="OXO3" s="484"/>
      <c r="OXP3" s="484"/>
      <c r="OXQ3" s="484"/>
      <c r="OXR3" s="484"/>
      <c r="OXS3" s="484"/>
      <c r="OXT3" s="484"/>
      <c r="OXU3" s="484"/>
      <c r="OXV3" s="484"/>
      <c r="OXW3" s="484"/>
      <c r="OXX3" s="484"/>
      <c r="OXY3" s="484"/>
      <c r="OXZ3" s="484"/>
      <c r="OYA3" s="484"/>
      <c r="OYB3" s="484"/>
      <c r="OYC3" s="484"/>
      <c r="OYD3" s="484"/>
      <c r="OYE3" s="484"/>
      <c r="OYF3" s="484"/>
      <c r="OYG3" s="484"/>
      <c r="OYH3" s="484"/>
      <c r="OYI3" s="484"/>
      <c r="OYJ3" s="484"/>
      <c r="OYK3" s="484"/>
      <c r="OYL3" s="484"/>
      <c r="OYM3" s="484"/>
      <c r="OYN3" s="484"/>
      <c r="OYO3" s="484"/>
      <c r="OYP3" s="484"/>
      <c r="OYQ3" s="484"/>
      <c r="OYR3" s="484"/>
      <c r="OYS3" s="484"/>
      <c r="OYT3" s="484"/>
      <c r="OYU3" s="484"/>
      <c r="OYV3" s="484"/>
      <c r="OYW3" s="484"/>
      <c r="OYX3" s="484"/>
      <c r="OYY3" s="484"/>
      <c r="OYZ3" s="484"/>
      <c r="OZA3" s="484"/>
      <c r="OZB3" s="484"/>
      <c r="OZC3" s="484"/>
      <c r="OZD3" s="484"/>
      <c r="OZE3" s="484"/>
      <c r="OZF3" s="484"/>
      <c r="OZG3" s="484"/>
      <c r="OZH3" s="484"/>
      <c r="OZI3" s="484"/>
      <c r="OZJ3" s="484"/>
      <c r="OZK3" s="484"/>
      <c r="OZL3" s="484"/>
      <c r="OZM3" s="484"/>
      <c r="OZN3" s="484"/>
      <c r="OZO3" s="484"/>
      <c r="OZP3" s="484"/>
      <c r="OZQ3" s="484"/>
      <c r="OZR3" s="484"/>
      <c r="OZS3" s="484"/>
      <c r="OZT3" s="484"/>
      <c r="OZU3" s="484"/>
      <c r="OZV3" s="484"/>
      <c r="OZW3" s="484"/>
      <c r="OZX3" s="484"/>
      <c r="OZY3" s="484"/>
      <c r="OZZ3" s="484"/>
      <c r="PAA3" s="484"/>
      <c r="PAB3" s="484"/>
      <c r="PAC3" s="484"/>
      <c r="PAD3" s="484"/>
      <c r="PAE3" s="484"/>
      <c r="PAF3" s="484"/>
      <c r="PAG3" s="484"/>
      <c r="PAH3" s="484"/>
      <c r="PAI3" s="484"/>
      <c r="PAJ3" s="484"/>
      <c r="PAK3" s="484"/>
      <c r="PAL3" s="484"/>
      <c r="PAM3" s="484"/>
      <c r="PAN3" s="484"/>
      <c r="PAO3" s="484"/>
      <c r="PAP3" s="484"/>
      <c r="PAQ3" s="484"/>
      <c r="PAR3" s="484"/>
      <c r="PAS3" s="484"/>
      <c r="PAT3" s="484"/>
      <c r="PAU3" s="484"/>
      <c r="PAV3" s="484"/>
      <c r="PAW3" s="484"/>
      <c r="PAX3" s="484"/>
      <c r="PAY3" s="484"/>
      <c r="PAZ3" s="484"/>
      <c r="PBA3" s="484"/>
      <c r="PBB3" s="484"/>
      <c r="PBC3" s="484"/>
      <c r="PBD3" s="484"/>
      <c r="PBE3" s="484"/>
      <c r="PBF3" s="484"/>
      <c r="PBG3" s="484"/>
      <c r="PBH3" s="484"/>
      <c r="PBI3" s="484"/>
      <c r="PBJ3" s="484"/>
      <c r="PBK3" s="484"/>
      <c r="PBL3" s="484"/>
      <c r="PBM3" s="484"/>
      <c r="PBN3" s="484"/>
      <c r="PBO3" s="484"/>
      <c r="PBP3" s="484"/>
      <c r="PBQ3" s="484"/>
      <c r="PBR3" s="484"/>
      <c r="PBS3" s="484"/>
      <c r="PBT3" s="484"/>
      <c r="PBU3" s="484"/>
      <c r="PBV3" s="484"/>
      <c r="PBW3" s="484"/>
      <c r="PBX3" s="484"/>
      <c r="PBY3" s="484"/>
      <c r="PBZ3" s="484"/>
      <c r="PCA3" s="484"/>
      <c r="PCB3" s="484"/>
      <c r="PCC3" s="484"/>
      <c r="PCD3" s="484"/>
      <c r="PCE3" s="484"/>
      <c r="PCF3" s="484"/>
      <c r="PCG3" s="484"/>
      <c r="PCH3" s="484"/>
      <c r="PCI3" s="484"/>
      <c r="PCJ3" s="484"/>
      <c r="PCK3" s="484"/>
      <c r="PCL3" s="484"/>
      <c r="PCM3" s="484"/>
      <c r="PCN3" s="484"/>
      <c r="PCO3" s="484"/>
      <c r="PCP3" s="484"/>
      <c r="PCQ3" s="484"/>
      <c r="PCR3" s="484"/>
      <c r="PCS3" s="484"/>
      <c r="PCT3" s="484"/>
      <c r="PCU3" s="484"/>
      <c r="PCV3" s="484"/>
      <c r="PCW3" s="484"/>
      <c r="PCX3" s="484"/>
      <c r="PCY3" s="484"/>
      <c r="PCZ3" s="484"/>
      <c r="PDA3" s="484"/>
      <c r="PDB3" s="484"/>
      <c r="PDC3" s="484"/>
      <c r="PDD3" s="484"/>
      <c r="PDE3" s="484"/>
      <c r="PDF3" s="484"/>
      <c r="PDG3" s="484"/>
      <c r="PDH3" s="484"/>
      <c r="PDI3" s="484"/>
      <c r="PDJ3" s="484"/>
      <c r="PDK3" s="484"/>
      <c r="PDL3" s="484"/>
      <c r="PDM3" s="484"/>
      <c r="PDN3" s="484"/>
      <c r="PDO3" s="484"/>
      <c r="PDP3" s="484"/>
      <c r="PDQ3" s="484"/>
      <c r="PDR3" s="484"/>
      <c r="PDS3" s="484"/>
      <c r="PDT3" s="484"/>
      <c r="PDU3" s="484"/>
      <c r="PDV3" s="484"/>
      <c r="PDW3" s="484"/>
      <c r="PDX3" s="484"/>
      <c r="PDY3" s="484"/>
      <c r="PDZ3" s="484"/>
      <c r="PEA3" s="484"/>
      <c r="PEB3" s="484"/>
      <c r="PEC3" s="484"/>
      <c r="PED3" s="484"/>
      <c r="PEE3" s="484"/>
      <c r="PEF3" s="484"/>
      <c r="PEG3" s="484"/>
      <c r="PEH3" s="484"/>
      <c r="PEI3" s="484"/>
      <c r="PEJ3" s="484"/>
      <c r="PEK3" s="484"/>
      <c r="PEL3" s="484"/>
      <c r="PEM3" s="484"/>
      <c r="PEN3" s="484"/>
      <c r="PEO3" s="484"/>
      <c r="PEP3" s="484"/>
      <c r="PEQ3" s="484"/>
      <c r="PER3" s="484"/>
      <c r="PES3" s="484"/>
      <c r="PET3" s="484"/>
      <c r="PEU3" s="484"/>
      <c r="PEV3" s="484"/>
      <c r="PEW3" s="484"/>
      <c r="PEX3" s="484"/>
      <c r="PEY3" s="484"/>
      <c r="PEZ3" s="484"/>
      <c r="PFA3" s="484"/>
      <c r="PFB3" s="484"/>
      <c r="PFC3" s="484"/>
      <c r="PFD3" s="484"/>
      <c r="PFE3" s="484"/>
      <c r="PFF3" s="484"/>
      <c r="PFG3" s="484"/>
      <c r="PFH3" s="484"/>
      <c r="PFI3" s="484"/>
      <c r="PFJ3" s="484"/>
      <c r="PFK3" s="484"/>
      <c r="PFL3" s="484"/>
      <c r="PFM3" s="484"/>
      <c r="PFN3" s="484"/>
      <c r="PFO3" s="484"/>
      <c r="PFP3" s="484"/>
      <c r="PFQ3" s="484"/>
      <c r="PFR3" s="484"/>
      <c r="PFS3" s="484"/>
      <c r="PFT3" s="484"/>
      <c r="PFU3" s="484"/>
      <c r="PFV3" s="484"/>
      <c r="PFW3" s="484"/>
      <c r="PFX3" s="484"/>
      <c r="PFY3" s="484"/>
      <c r="PFZ3" s="484"/>
      <c r="PGA3" s="484"/>
      <c r="PGB3" s="484"/>
      <c r="PGC3" s="484"/>
      <c r="PGD3" s="484"/>
      <c r="PGE3" s="484"/>
      <c r="PGF3" s="484"/>
      <c r="PGG3" s="484"/>
      <c r="PGH3" s="484"/>
      <c r="PGI3" s="484"/>
      <c r="PGJ3" s="484"/>
      <c r="PGK3" s="484"/>
      <c r="PGL3" s="484"/>
      <c r="PGM3" s="484"/>
      <c r="PGN3" s="484"/>
      <c r="PGO3" s="484"/>
      <c r="PGP3" s="484"/>
      <c r="PGQ3" s="484"/>
      <c r="PGR3" s="484"/>
      <c r="PGS3" s="484"/>
      <c r="PGT3" s="484"/>
      <c r="PGU3" s="484"/>
      <c r="PGV3" s="484"/>
      <c r="PGW3" s="484"/>
      <c r="PGX3" s="484"/>
      <c r="PGY3" s="484"/>
      <c r="PGZ3" s="484"/>
      <c r="PHA3" s="484"/>
      <c r="PHB3" s="484"/>
      <c r="PHC3" s="484"/>
      <c r="PHD3" s="484"/>
      <c r="PHE3" s="484"/>
      <c r="PHF3" s="484"/>
      <c r="PHG3" s="484"/>
      <c r="PHH3" s="484"/>
      <c r="PHI3" s="484"/>
      <c r="PHJ3" s="484"/>
      <c r="PHK3" s="484"/>
      <c r="PHL3" s="484"/>
      <c r="PHM3" s="484"/>
      <c r="PHN3" s="484"/>
      <c r="PHO3" s="484"/>
      <c r="PHP3" s="484"/>
      <c r="PHQ3" s="484"/>
      <c r="PHR3" s="484"/>
      <c r="PHS3" s="484"/>
      <c r="PHT3" s="484"/>
      <c r="PHU3" s="484"/>
      <c r="PHV3" s="484"/>
      <c r="PHW3" s="484"/>
      <c r="PHX3" s="484"/>
      <c r="PHY3" s="484"/>
      <c r="PHZ3" s="484"/>
      <c r="PIA3" s="484"/>
      <c r="PIB3" s="484"/>
      <c r="PIC3" s="484"/>
      <c r="PID3" s="484"/>
      <c r="PIE3" s="484"/>
      <c r="PIF3" s="484"/>
      <c r="PIG3" s="484"/>
      <c r="PIH3" s="484"/>
      <c r="PII3" s="484"/>
      <c r="PIJ3" s="484"/>
      <c r="PIK3" s="484"/>
      <c r="PIL3" s="484"/>
      <c r="PIM3" s="484"/>
      <c r="PIN3" s="484"/>
      <c r="PIO3" s="484"/>
      <c r="PIP3" s="484"/>
      <c r="PIQ3" s="484"/>
      <c r="PIR3" s="484"/>
      <c r="PIS3" s="484"/>
      <c r="PIT3" s="484"/>
      <c r="PIU3" s="484"/>
      <c r="PIV3" s="484"/>
      <c r="PIW3" s="484"/>
      <c r="PIX3" s="484"/>
      <c r="PIY3" s="484"/>
      <c r="PIZ3" s="484"/>
      <c r="PJA3" s="484"/>
      <c r="PJB3" s="484"/>
      <c r="PJC3" s="484"/>
      <c r="PJD3" s="484"/>
      <c r="PJE3" s="484"/>
      <c r="PJF3" s="484"/>
      <c r="PJG3" s="484"/>
      <c r="PJH3" s="484"/>
      <c r="PJI3" s="484"/>
      <c r="PJJ3" s="484"/>
      <c r="PJK3" s="484"/>
      <c r="PJL3" s="484"/>
      <c r="PJM3" s="484"/>
      <c r="PJN3" s="484"/>
      <c r="PJO3" s="484"/>
      <c r="PJP3" s="484"/>
      <c r="PJQ3" s="484"/>
      <c r="PJR3" s="484"/>
      <c r="PJS3" s="484"/>
      <c r="PJT3" s="484"/>
      <c r="PJU3" s="484"/>
      <c r="PJV3" s="484"/>
      <c r="PJW3" s="484"/>
      <c r="PJX3" s="484"/>
      <c r="PJY3" s="484"/>
      <c r="PJZ3" s="484"/>
      <c r="PKA3" s="484"/>
      <c r="PKB3" s="484"/>
      <c r="PKC3" s="484"/>
      <c r="PKD3" s="484"/>
      <c r="PKE3" s="484"/>
      <c r="PKF3" s="484"/>
      <c r="PKG3" s="484"/>
      <c r="PKH3" s="484"/>
      <c r="PKI3" s="484"/>
      <c r="PKJ3" s="484"/>
      <c r="PKK3" s="484"/>
      <c r="PKL3" s="484"/>
      <c r="PKM3" s="484"/>
      <c r="PKN3" s="484"/>
      <c r="PKO3" s="484"/>
      <c r="PKP3" s="484"/>
      <c r="PKQ3" s="484"/>
      <c r="PKR3" s="484"/>
      <c r="PKS3" s="484"/>
      <c r="PKT3" s="484"/>
      <c r="PKU3" s="484"/>
      <c r="PKV3" s="484"/>
      <c r="PKW3" s="484"/>
      <c r="PKX3" s="484"/>
      <c r="PKY3" s="484"/>
      <c r="PKZ3" s="484"/>
      <c r="PLA3" s="484"/>
      <c r="PLB3" s="484"/>
      <c r="PLC3" s="484"/>
      <c r="PLD3" s="484"/>
      <c r="PLE3" s="484"/>
      <c r="PLF3" s="484"/>
      <c r="PLG3" s="484"/>
      <c r="PLH3" s="484"/>
      <c r="PLI3" s="484"/>
      <c r="PLJ3" s="484"/>
      <c r="PLK3" s="484"/>
      <c r="PLL3" s="484"/>
      <c r="PLM3" s="484"/>
      <c r="PLN3" s="484"/>
      <c r="PLO3" s="484"/>
      <c r="PLP3" s="484"/>
      <c r="PLQ3" s="484"/>
      <c r="PLR3" s="484"/>
      <c r="PLS3" s="484"/>
      <c r="PLT3" s="484"/>
      <c r="PLU3" s="484"/>
      <c r="PLV3" s="484"/>
      <c r="PLW3" s="484"/>
      <c r="PLX3" s="484"/>
      <c r="PLY3" s="484"/>
      <c r="PLZ3" s="484"/>
      <c r="PMA3" s="484"/>
      <c r="PMB3" s="484"/>
      <c r="PMC3" s="484"/>
      <c r="PMD3" s="484"/>
      <c r="PME3" s="484"/>
      <c r="PMF3" s="484"/>
      <c r="PMG3" s="484"/>
      <c r="PMH3" s="484"/>
      <c r="PMI3" s="484"/>
      <c r="PMJ3" s="484"/>
      <c r="PMK3" s="484"/>
      <c r="PML3" s="484"/>
      <c r="PMM3" s="484"/>
      <c r="PMN3" s="484"/>
      <c r="PMO3" s="484"/>
      <c r="PMP3" s="484"/>
      <c r="PMQ3" s="484"/>
      <c r="PMR3" s="484"/>
      <c r="PMS3" s="484"/>
      <c r="PMT3" s="484"/>
      <c r="PMU3" s="484"/>
      <c r="PMV3" s="484"/>
      <c r="PMW3" s="484"/>
      <c r="PMX3" s="484"/>
      <c r="PMY3" s="484"/>
      <c r="PMZ3" s="484"/>
      <c r="PNA3" s="484"/>
      <c r="PNB3" s="484"/>
      <c r="PNC3" s="484"/>
      <c r="PND3" s="484"/>
      <c r="PNE3" s="484"/>
      <c r="PNF3" s="484"/>
      <c r="PNG3" s="484"/>
      <c r="PNH3" s="484"/>
      <c r="PNI3" s="484"/>
      <c r="PNJ3" s="484"/>
      <c r="PNK3" s="484"/>
      <c r="PNL3" s="484"/>
      <c r="PNM3" s="484"/>
      <c r="PNN3" s="484"/>
      <c r="PNO3" s="484"/>
      <c r="PNP3" s="484"/>
      <c r="PNQ3" s="484"/>
      <c r="PNR3" s="484"/>
      <c r="PNS3" s="484"/>
      <c r="PNT3" s="484"/>
      <c r="PNU3" s="484"/>
      <c r="PNV3" s="484"/>
      <c r="PNW3" s="484"/>
      <c r="PNX3" s="484"/>
      <c r="PNY3" s="484"/>
      <c r="PNZ3" s="484"/>
      <c r="POA3" s="484"/>
      <c r="POB3" s="484"/>
      <c r="POC3" s="484"/>
      <c r="POD3" s="484"/>
      <c r="POE3" s="484"/>
      <c r="POF3" s="484"/>
      <c r="POG3" s="484"/>
      <c r="POH3" s="484"/>
      <c r="POI3" s="484"/>
      <c r="POJ3" s="484"/>
      <c r="POK3" s="484"/>
      <c r="POL3" s="484"/>
      <c r="POM3" s="484"/>
      <c r="PON3" s="484"/>
      <c r="POO3" s="484"/>
      <c r="POP3" s="484"/>
      <c r="POQ3" s="484"/>
      <c r="POR3" s="484"/>
      <c r="POS3" s="484"/>
      <c r="POT3" s="484"/>
      <c r="POU3" s="484"/>
      <c r="POV3" s="484"/>
      <c r="POW3" s="484"/>
      <c r="POX3" s="484"/>
      <c r="POY3" s="484"/>
      <c r="POZ3" s="484"/>
      <c r="PPA3" s="484"/>
      <c r="PPB3" s="484"/>
      <c r="PPC3" s="484"/>
      <c r="PPD3" s="484"/>
      <c r="PPE3" s="484"/>
      <c r="PPF3" s="484"/>
      <c r="PPG3" s="484"/>
      <c r="PPH3" s="484"/>
      <c r="PPI3" s="484"/>
      <c r="PPJ3" s="484"/>
      <c r="PPK3" s="484"/>
      <c r="PPL3" s="484"/>
      <c r="PPM3" s="484"/>
      <c r="PPN3" s="484"/>
      <c r="PPO3" s="484"/>
      <c r="PPP3" s="484"/>
      <c r="PPQ3" s="484"/>
      <c r="PPR3" s="484"/>
      <c r="PPS3" s="484"/>
      <c r="PPT3" s="484"/>
      <c r="PPU3" s="484"/>
      <c r="PPV3" s="484"/>
      <c r="PPW3" s="484"/>
      <c r="PPX3" s="484"/>
      <c r="PPY3" s="484"/>
      <c r="PPZ3" s="484"/>
      <c r="PQA3" s="484"/>
      <c r="PQB3" s="484"/>
      <c r="PQC3" s="484"/>
      <c r="PQD3" s="484"/>
      <c r="PQE3" s="484"/>
      <c r="PQF3" s="484"/>
      <c r="PQG3" s="484"/>
      <c r="PQH3" s="484"/>
      <c r="PQI3" s="484"/>
      <c r="PQJ3" s="484"/>
      <c r="PQK3" s="484"/>
      <c r="PQL3" s="484"/>
      <c r="PQM3" s="484"/>
      <c r="PQN3" s="484"/>
      <c r="PQO3" s="484"/>
      <c r="PQP3" s="484"/>
      <c r="PQQ3" s="484"/>
      <c r="PQR3" s="484"/>
      <c r="PQS3" s="484"/>
      <c r="PQT3" s="484"/>
      <c r="PQU3" s="484"/>
      <c r="PQV3" s="484"/>
      <c r="PQW3" s="484"/>
      <c r="PQX3" s="484"/>
      <c r="PQY3" s="484"/>
      <c r="PQZ3" s="484"/>
      <c r="PRA3" s="484"/>
      <c r="PRB3" s="484"/>
      <c r="PRC3" s="484"/>
      <c r="PRD3" s="484"/>
      <c r="PRE3" s="484"/>
      <c r="PRF3" s="484"/>
      <c r="PRG3" s="484"/>
      <c r="PRH3" s="484"/>
      <c r="PRI3" s="484"/>
      <c r="PRJ3" s="484"/>
      <c r="PRK3" s="484"/>
      <c r="PRL3" s="484"/>
      <c r="PRM3" s="484"/>
      <c r="PRN3" s="484"/>
      <c r="PRO3" s="484"/>
      <c r="PRP3" s="484"/>
      <c r="PRQ3" s="484"/>
      <c r="PRR3" s="484"/>
      <c r="PRS3" s="484"/>
      <c r="PRT3" s="484"/>
      <c r="PRU3" s="484"/>
      <c r="PRV3" s="484"/>
      <c r="PRW3" s="484"/>
      <c r="PRX3" s="484"/>
      <c r="PRY3" s="484"/>
      <c r="PRZ3" s="484"/>
      <c r="PSA3" s="484"/>
      <c r="PSB3" s="484"/>
      <c r="PSC3" s="484"/>
      <c r="PSD3" s="484"/>
      <c r="PSE3" s="484"/>
      <c r="PSF3" s="484"/>
      <c r="PSG3" s="484"/>
      <c r="PSH3" s="484"/>
      <c r="PSI3" s="484"/>
      <c r="PSJ3" s="484"/>
      <c r="PSK3" s="484"/>
      <c r="PSL3" s="484"/>
      <c r="PSM3" s="484"/>
      <c r="PSN3" s="484"/>
      <c r="PSO3" s="484"/>
      <c r="PSP3" s="484"/>
      <c r="PSQ3" s="484"/>
      <c r="PSR3" s="484"/>
      <c r="PSS3" s="484"/>
      <c r="PST3" s="484"/>
      <c r="PSU3" s="484"/>
      <c r="PSV3" s="484"/>
      <c r="PSW3" s="484"/>
      <c r="PSX3" s="484"/>
      <c r="PSY3" s="484"/>
      <c r="PSZ3" s="484"/>
      <c r="PTA3" s="484"/>
      <c r="PTB3" s="484"/>
      <c r="PTC3" s="484"/>
      <c r="PTD3" s="484"/>
      <c r="PTE3" s="484"/>
      <c r="PTF3" s="484"/>
      <c r="PTG3" s="484"/>
      <c r="PTH3" s="484"/>
      <c r="PTI3" s="484"/>
      <c r="PTJ3" s="484"/>
      <c r="PTK3" s="484"/>
      <c r="PTL3" s="484"/>
      <c r="PTM3" s="484"/>
      <c r="PTN3" s="484"/>
      <c r="PTO3" s="484"/>
      <c r="PTP3" s="484"/>
      <c r="PTQ3" s="484"/>
      <c r="PTR3" s="484"/>
      <c r="PTS3" s="484"/>
      <c r="PTT3" s="484"/>
      <c r="PTU3" s="484"/>
      <c r="PTV3" s="484"/>
      <c r="PTW3" s="484"/>
      <c r="PTX3" s="484"/>
      <c r="PTY3" s="484"/>
      <c r="PTZ3" s="484"/>
      <c r="PUA3" s="484"/>
      <c r="PUB3" s="484"/>
      <c r="PUC3" s="484"/>
      <c r="PUD3" s="484"/>
      <c r="PUE3" s="484"/>
      <c r="PUF3" s="484"/>
      <c r="PUG3" s="484"/>
      <c r="PUH3" s="484"/>
      <c r="PUI3" s="484"/>
      <c r="PUJ3" s="484"/>
      <c r="PUK3" s="484"/>
      <c r="PUL3" s="484"/>
      <c r="PUM3" s="484"/>
      <c r="PUN3" s="484"/>
      <c r="PUO3" s="484"/>
      <c r="PUP3" s="484"/>
      <c r="PUQ3" s="484"/>
      <c r="PUR3" s="484"/>
      <c r="PUS3" s="484"/>
      <c r="PUT3" s="484"/>
      <c r="PUU3" s="484"/>
      <c r="PUV3" s="484"/>
      <c r="PUW3" s="484"/>
      <c r="PUX3" s="484"/>
      <c r="PUY3" s="484"/>
      <c r="PUZ3" s="484"/>
      <c r="PVA3" s="484"/>
      <c r="PVB3" s="484"/>
      <c r="PVC3" s="484"/>
      <c r="PVD3" s="484"/>
      <c r="PVE3" s="484"/>
      <c r="PVF3" s="484"/>
      <c r="PVG3" s="484"/>
      <c r="PVH3" s="484"/>
      <c r="PVI3" s="484"/>
      <c r="PVJ3" s="484"/>
      <c r="PVK3" s="484"/>
      <c r="PVL3" s="484"/>
      <c r="PVM3" s="484"/>
      <c r="PVN3" s="484"/>
      <c r="PVO3" s="484"/>
      <c r="PVP3" s="484"/>
      <c r="PVQ3" s="484"/>
      <c r="PVR3" s="484"/>
      <c r="PVS3" s="484"/>
      <c r="PVT3" s="484"/>
      <c r="PVU3" s="484"/>
      <c r="PVV3" s="484"/>
      <c r="PVW3" s="484"/>
      <c r="PVX3" s="484"/>
      <c r="PVY3" s="484"/>
      <c r="PVZ3" s="484"/>
      <c r="PWA3" s="484"/>
      <c r="PWB3" s="484"/>
      <c r="PWC3" s="484"/>
      <c r="PWD3" s="484"/>
      <c r="PWE3" s="484"/>
      <c r="PWF3" s="484"/>
      <c r="PWG3" s="484"/>
      <c r="PWH3" s="484"/>
      <c r="PWI3" s="484"/>
      <c r="PWJ3" s="484"/>
      <c r="PWK3" s="484"/>
      <c r="PWL3" s="484"/>
      <c r="PWM3" s="484"/>
      <c r="PWN3" s="484"/>
      <c r="PWO3" s="484"/>
      <c r="PWP3" s="484"/>
      <c r="PWQ3" s="484"/>
      <c r="PWR3" s="484"/>
      <c r="PWS3" s="484"/>
      <c r="PWT3" s="484"/>
      <c r="PWU3" s="484"/>
      <c r="PWV3" s="484"/>
      <c r="PWW3" s="484"/>
      <c r="PWX3" s="484"/>
      <c r="PWY3" s="484"/>
      <c r="PWZ3" s="484"/>
      <c r="PXA3" s="484"/>
      <c r="PXB3" s="484"/>
      <c r="PXC3" s="484"/>
      <c r="PXD3" s="484"/>
      <c r="PXE3" s="484"/>
      <c r="PXF3" s="484"/>
      <c r="PXG3" s="484"/>
      <c r="PXH3" s="484"/>
      <c r="PXI3" s="484"/>
      <c r="PXJ3" s="484"/>
      <c r="PXK3" s="484"/>
      <c r="PXL3" s="484"/>
      <c r="PXM3" s="484"/>
      <c r="PXN3" s="484"/>
      <c r="PXO3" s="484"/>
      <c r="PXP3" s="484"/>
      <c r="PXQ3" s="484"/>
      <c r="PXR3" s="484"/>
      <c r="PXS3" s="484"/>
      <c r="PXT3" s="484"/>
      <c r="PXU3" s="484"/>
      <c r="PXV3" s="484"/>
      <c r="PXW3" s="484"/>
      <c r="PXX3" s="484"/>
      <c r="PXY3" s="484"/>
      <c r="PXZ3" s="484"/>
      <c r="PYA3" s="484"/>
      <c r="PYB3" s="484"/>
      <c r="PYC3" s="484"/>
      <c r="PYD3" s="484"/>
      <c r="PYE3" s="484"/>
      <c r="PYF3" s="484"/>
      <c r="PYG3" s="484"/>
      <c r="PYH3" s="484"/>
      <c r="PYI3" s="484"/>
      <c r="PYJ3" s="484"/>
      <c r="PYK3" s="484"/>
      <c r="PYL3" s="484"/>
      <c r="PYM3" s="484"/>
      <c r="PYN3" s="484"/>
      <c r="PYO3" s="484"/>
      <c r="PYP3" s="484"/>
      <c r="PYQ3" s="484"/>
      <c r="PYR3" s="484"/>
      <c r="PYS3" s="484"/>
      <c r="PYT3" s="484"/>
      <c r="PYU3" s="484"/>
      <c r="PYV3" s="484"/>
      <c r="PYW3" s="484"/>
      <c r="PYX3" s="484"/>
      <c r="PYY3" s="484"/>
      <c r="PYZ3" s="484"/>
      <c r="PZA3" s="484"/>
      <c r="PZB3" s="484"/>
      <c r="PZC3" s="484"/>
      <c r="PZD3" s="484"/>
      <c r="PZE3" s="484"/>
      <c r="PZF3" s="484"/>
      <c r="PZG3" s="484"/>
      <c r="PZH3" s="484"/>
      <c r="PZI3" s="484"/>
      <c r="PZJ3" s="484"/>
      <c r="PZK3" s="484"/>
      <c r="PZL3" s="484"/>
      <c r="PZM3" s="484"/>
      <c r="PZN3" s="484"/>
      <c r="PZO3" s="484"/>
      <c r="PZP3" s="484"/>
      <c r="PZQ3" s="484"/>
      <c r="PZR3" s="484"/>
      <c r="PZS3" s="484"/>
      <c r="PZT3" s="484"/>
      <c r="PZU3" s="484"/>
      <c r="PZV3" s="484"/>
      <c r="PZW3" s="484"/>
      <c r="PZX3" s="484"/>
      <c r="PZY3" s="484"/>
      <c r="PZZ3" s="484"/>
      <c r="QAA3" s="484"/>
      <c r="QAB3" s="484"/>
      <c r="QAC3" s="484"/>
      <c r="QAD3" s="484"/>
      <c r="QAE3" s="484"/>
      <c r="QAF3" s="484"/>
      <c r="QAG3" s="484"/>
      <c r="QAH3" s="484"/>
      <c r="QAI3" s="484"/>
      <c r="QAJ3" s="484"/>
      <c r="QAK3" s="484"/>
      <c r="QAL3" s="484"/>
      <c r="QAM3" s="484"/>
      <c r="QAN3" s="484"/>
      <c r="QAO3" s="484"/>
      <c r="QAP3" s="484"/>
      <c r="QAQ3" s="484"/>
      <c r="QAR3" s="484"/>
      <c r="QAS3" s="484"/>
      <c r="QAT3" s="484"/>
      <c r="QAU3" s="484"/>
      <c r="QAV3" s="484"/>
      <c r="QAW3" s="484"/>
      <c r="QAX3" s="484"/>
      <c r="QAY3" s="484"/>
      <c r="QAZ3" s="484"/>
      <c r="QBA3" s="484"/>
      <c r="QBB3" s="484"/>
      <c r="QBC3" s="484"/>
      <c r="QBD3" s="484"/>
      <c r="QBE3" s="484"/>
      <c r="QBF3" s="484"/>
      <c r="QBG3" s="484"/>
      <c r="QBH3" s="484"/>
      <c r="QBI3" s="484"/>
      <c r="QBJ3" s="484"/>
      <c r="QBK3" s="484"/>
      <c r="QBL3" s="484"/>
      <c r="QBM3" s="484"/>
      <c r="QBN3" s="484"/>
      <c r="QBO3" s="484"/>
      <c r="QBP3" s="484"/>
      <c r="QBQ3" s="484"/>
      <c r="QBR3" s="484"/>
      <c r="QBS3" s="484"/>
      <c r="QBT3" s="484"/>
      <c r="QBU3" s="484"/>
      <c r="QBV3" s="484"/>
      <c r="QBW3" s="484"/>
      <c r="QBX3" s="484"/>
      <c r="QBY3" s="484"/>
      <c r="QBZ3" s="484"/>
      <c r="QCA3" s="484"/>
      <c r="QCB3" s="484"/>
      <c r="QCC3" s="484"/>
      <c r="QCD3" s="484"/>
      <c r="QCE3" s="484"/>
      <c r="QCF3" s="484"/>
      <c r="QCG3" s="484"/>
      <c r="QCH3" s="484"/>
      <c r="QCI3" s="484"/>
      <c r="QCJ3" s="484"/>
      <c r="QCK3" s="484"/>
      <c r="QCL3" s="484"/>
      <c r="QCM3" s="484"/>
      <c r="QCN3" s="484"/>
      <c r="QCO3" s="484"/>
      <c r="QCP3" s="484"/>
      <c r="QCQ3" s="484"/>
      <c r="QCR3" s="484"/>
      <c r="QCS3" s="484"/>
      <c r="QCT3" s="484"/>
      <c r="QCU3" s="484"/>
      <c r="QCV3" s="484"/>
      <c r="QCW3" s="484"/>
      <c r="QCX3" s="484"/>
      <c r="QCY3" s="484"/>
      <c r="QCZ3" s="484"/>
      <c r="QDA3" s="484"/>
      <c r="QDB3" s="484"/>
      <c r="QDC3" s="484"/>
      <c r="QDD3" s="484"/>
      <c r="QDE3" s="484"/>
      <c r="QDF3" s="484"/>
      <c r="QDG3" s="484"/>
      <c r="QDH3" s="484"/>
      <c r="QDI3" s="484"/>
      <c r="QDJ3" s="484"/>
      <c r="QDK3" s="484"/>
      <c r="QDL3" s="484"/>
      <c r="QDM3" s="484"/>
      <c r="QDN3" s="484"/>
      <c r="QDO3" s="484"/>
      <c r="QDP3" s="484"/>
      <c r="QDQ3" s="484"/>
      <c r="QDR3" s="484"/>
      <c r="QDS3" s="484"/>
      <c r="QDT3" s="484"/>
      <c r="QDU3" s="484"/>
      <c r="QDV3" s="484"/>
      <c r="QDW3" s="484"/>
      <c r="QDX3" s="484"/>
      <c r="QDY3" s="484"/>
      <c r="QDZ3" s="484"/>
      <c r="QEA3" s="484"/>
      <c r="QEB3" s="484"/>
      <c r="QEC3" s="484"/>
      <c r="QED3" s="484"/>
      <c r="QEE3" s="484"/>
      <c r="QEF3" s="484"/>
      <c r="QEG3" s="484"/>
      <c r="QEH3" s="484"/>
      <c r="QEI3" s="484"/>
      <c r="QEJ3" s="484"/>
      <c r="QEK3" s="484"/>
      <c r="QEL3" s="484"/>
      <c r="QEM3" s="484"/>
      <c r="QEN3" s="484"/>
      <c r="QEO3" s="484"/>
      <c r="QEP3" s="484"/>
      <c r="QEQ3" s="484"/>
      <c r="QER3" s="484"/>
      <c r="QES3" s="484"/>
      <c r="QET3" s="484"/>
      <c r="QEU3" s="484"/>
      <c r="QEV3" s="484"/>
      <c r="QEW3" s="484"/>
      <c r="QEX3" s="484"/>
      <c r="QEY3" s="484"/>
      <c r="QEZ3" s="484"/>
      <c r="QFA3" s="484"/>
      <c r="QFB3" s="484"/>
      <c r="QFC3" s="484"/>
      <c r="QFD3" s="484"/>
      <c r="QFE3" s="484"/>
      <c r="QFF3" s="484"/>
      <c r="QFG3" s="484"/>
      <c r="QFH3" s="484"/>
      <c r="QFI3" s="484"/>
      <c r="QFJ3" s="484"/>
      <c r="QFK3" s="484"/>
      <c r="QFL3" s="484"/>
      <c r="QFM3" s="484"/>
      <c r="QFN3" s="484"/>
      <c r="QFO3" s="484"/>
      <c r="QFP3" s="484"/>
      <c r="QFQ3" s="484"/>
      <c r="QFR3" s="484"/>
      <c r="QFS3" s="484"/>
      <c r="QFT3" s="484"/>
      <c r="QFU3" s="484"/>
      <c r="QFV3" s="484"/>
      <c r="QFW3" s="484"/>
      <c r="QFX3" s="484"/>
      <c r="QFY3" s="484"/>
      <c r="QFZ3" s="484"/>
      <c r="QGA3" s="484"/>
      <c r="QGB3" s="484"/>
      <c r="QGC3" s="484"/>
      <c r="QGD3" s="484"/>
      <c r="QGE3" s="484"/>
      <c r="QGF3" s="484"/>
      <c r="QGG3" s="484"/>
      <c r="QGH3" s="484"/>
      <c r="QGI3" s="484"/>
      <c r="QGJ3" s="484"/>
      <c r="QGK3" s="484"/>
      <c r="QGL3" s="484"/>
      <c r="QGM3" s="484"/>
      <c r="QGN3" s="484"/>
      <c r="QGO3" s="484"/>
      <c r="QGP3" s="484"/>
      <c r="QGQ3" s="484"/>
      <c r="QGR3" s="484"/>
      <c r="QGS3" s="484"/>
      <c r="QGT3" s="484"/>
      <c r="QGU3" s="484"/>
      <c r="QGV3" s="484"/>
      <c r="QGW3" s="484"/>
      <c r="QGX3" s="484"/>
      <c r="QGY3" s="484"/>
      <c r="QGZ3" s="484"/>
      <c r="QHA3" s="484"/>
      <c r="QHB3" s="484"/>
      <c r="QHC3" s="484"/>
      <c r="QHD3" s="484"/>
      <c r="QHE3" s="484"/>
      <c r="QHF3" s="484"/>
      <c r="QHG3" s="484"/>
      <c r="QHH3" s="484"/>
      <c r="QHI3" s="484"/>
      <c r="QHJ3" s="484"/>
      <c r="QHK3" s="484"/>
      <c r="QHL3" s="484"/>
      <c r="QHM3" s="484"/>
      <c r="QHN3" s="484"/>
      <c r="QHO3" s="484"/>
      <c r="QHP3" s="484"/>
      <c r="QHQ3" s="484"/>
      <c r="QHR3" s="484"/>
      <c r="QHS3" s="484"/>
      <c r="QHT3" s="484"/>
      <c r="QHU3" s="484"/>
      <c r="QHV3" s="484"/>
      <c r="QHW3" s="484"/>
      <c r="QHX3" s="484"/>
      <c r="QHY3" s="484"/>
      <c r="QHZ3" s="484"/>
      <c r="QIA3" s="484"/>
      <c r="QIB3" s="484"/>
      <c r="QIC3" s="484"/>
      <c r="QID3" s="484"/>
      <c r="QIE3" s="484"/>
      <c r="QIF3" s="484"/>
      <c r="QIG3" s="484"/>
      <c r="QIH3" s="484"/>
      <c r="QII3" s="484"/>
      <c r="QIJ3" s="484"/>
      <c r="QIK3" s="484"/>
      <c r="QIL3" s="484"/>
      <c r="QIM3" s="484"/>
      <c r="QIN3" s="484"/>
      <c r="QIO3" s="484"/>
      <c r="QIP3" s="484"/>
      <c r="QIQ3" s="484"/>
      <c r="QIR3" s="484"/>
      <c r="QIS3" s="484"/>
      <c r="QIT3" s="484"/>
      <c r="QIU3" s="484"/>
      <c r="QIV3" s="484"/>
      <c r="QIW3" s="484"/>
      <c r="QIX3" s="484"/>
      <c r="QIY3" s="484"/>
      <c r="QIZ3" s="484"/>
      <c r="QJA3" s="484"/>
      <c r="QJB3" s="484"/>
      <c r="QJC3" s="484"/>
      <c r="QJD3" s="484"/>
      <c r="QJE3" s="484"/>
      <c r="QJF3" s="484"/>
      <c r="QJG3" s="484"/>
      <c r="QJH3" s="484"/>
      <c r="QJI3" s="484"/>
      <c r="QJJ3" s="484"/>
      <c r="QJK3" s="484"/>
      <c r="QJL3" s="484"/>
      <c r="QJM3" s="484"/>
      <c r="QJN3" s="484"/>
      <c r="QJO3" s="484"/>
      <c r="QJP3" s="484"/>
      <c r="QJQ3" s="484"/>
      <c r="QJR3" s="484"/>
      <c r="QJS3" s="484"/>
      <c r="QJT3" s="484"/>
      <c r="QJU3" s="484"/>
      <c r="QJV3" s="484"/>
      <c r="QJW3" s="484"/>
      <c r="QJX3" s="484"/>
      <c r="QJY3" s="484"/>
      <c r="QJZ3" s="484"/>
      <c r="QKA3" s="484"/>
      <c r="QKB3" s="484"/>
      <c r="QKC3" s="484"/>
      <c r="QKD3" s="484"/>
      <c r="QKE3" s="484"/>
      <c r="QKF3" s="484"/>
      <c r="QKG3" s="484"/>
      <c r="QKH3" s="484"/>
      <c r="QKI3" s="484"/>
      <c r="QKJ3" s="484"/>
      <c r="QKK3" s="484"/>
      <c r="QKL3" s="484"/>
      <c r="QKM3" s="484"/>
      <c r="QKN3" s="484"/>
      <c r="QKO3" s="484"/>
      <c r="QKP3" s="484"/>
      <c r="QKQ3" s="484"/>
      <c r="QKR3" s="484"/>
      <c r="QKS3" s="484"/>
      <c r="QKT3" s="484"/>
      <c r="QKU3" s="484"/>
      <c r="QKV3" s="484"/>
      <c r="QKW3" s="484"/>
      <c r="QKX3" s="484"/>
      <c r="QKY3" s="484"/>
      <c r="QKZ3" s="484"/>
      <c r="QLA3" s="484"/>
      <c r="QLB3" s="484"/>
      <c r="QLC3" s="484"/>
      <c r="QLD3" s="484"/>
      <c r="QLE3" s="484"/>
      <c r="QLF3" s="484"/>
      <c r="QLG3" s="484"/>
      <c r="QLH3" s="484"/>
      <c r="QLI3" s="484"/>
      <c r="QLJ3" s="484"/>
      <c r="QLK3" s="484"/>
      <c r="QLL3" s="484"/>
      <c r="QLM3" s="484"/>
      <c r="QLN3" s="484"/>
      <c r="QLO3" s="484"/>
      <c r="QLP3" s="484"/>
      <c r="QLQ3" s="484"/>
      <c r="QLR3" s="484"/>
      <c r="QLS3" s="484"/>
      <c r="QLT3" s="484"/>
      <c r="QLU3" s="484"/>
      <c r="QLV3" s="484"/>
      <c r="QLW3" s="484"/>
      <c r="QLX3" s="484"/>
      <c r="QLY3" s="484"/>
      <c r="QLZ3" s="484"/>
      <c r="QMA3" s="484"/>
      <c r="QMB3" s="484"/>
      <c r="QMC3" s="484"/>
      <c r="QMD3" s="484"/>
      <c r="QME3" s="484"/>
      <c r="QMF3" s="484"/>
      <c r="QMG3" s="484"/>
      <c r="QMH3" s="484"/>
      <c r="QMI3" s="484"/>
      <c r="QMJ3" s="484"/>
      <c r="QMK3" s="484"/>
      <c r="QML3" s="484"/>
      <c r="QMM3" s="484"/>
      <c r="QMN3" s="484"/>
      <c r="QMO3" s="484"/>
      <c r="QMP3" s="484"/>
      <c r="QMQ3" s="484"/>
      <c r="QMR3" s="484"/>
      <c r="QMS3" s="484"/>
      <c r="QMT3" s="484"/>
      <c r="QMU3" s="484"/>
      <c r="QMV3" s="484"/>
      <c r="QMW3" s="484"/>
      <c r="QMX3" s="484"/>
      <c r="QMY3" s="484"/>
      <c r="QMZ3" s="484"/>
      <c r="QNA3" s="484"/>
      <c r="QNB3" s="484"/>
      <c r="QNC3" s="484"/>
      <c r="QND3" s="484"/>
      <c r="QNE3" s="484"/>
      <c r="QNF3" s="484"/>
      <c r="QNG3" s="484"/>
      <c r="QNH3" s="484"/>
      <c r="QNI3" s="484"/>
      <c r="QNJ3" s="484"/>
      <c r="QNK3" s="484"/>
      <c r="QNL3" s="484"/>
      <c r="QNM3" s="484"/>
      <c r="QNN3" s="484"/>
      <c r="QNO3" s="484"/>
      <c r="QNP3" s="484"/>
      <c r="QNQ3" s="484"/>
      <c r="QNR3" s="484"/>
      <c r="QNS3" s="484"/>
      <c r="QNT3" s="484"/>
      <c r="QNU3" s="484"/>
      <c r="QNV3" s="484"/>
      <c r="QNW3" s="484"/>
      <c r="QNX3" s="484"/>
      <c r="QNY3" s="484"/>
      <c r="QNZ3" s="484"/>
      <c r="QOA3" s="484"/>
      <c r="QOB3" s="484"/>
      <c r="QOC3" s="484"/>
      <c r="QOD3" s="484"/>
      <c r="QOE3" s="484"/>
      <c r="QOF3" s="484"/>
      <c r="QOG3" s="484"/>
      <c r="QOH3" s="484"/>
      <c r="QOI3" s="484"/>
      <c r="QOJ3" s="484"/>
      <c r="QOK3" s="484"/>
      <c r="QOL3" s="484"/>
      <c r="QOM3" s="484"/>
      <c r="QON3" s="484"/>
      <c r="QOO3" s="484"/>
      <c r="QOP3" s="484"/>
      <c r="QOQ3" s="484"/>
      <c r="QOR3" s="484"/>
      <c r="QOS3" s="484"/>
      <c r="QOT3" s="484"/>
      <c r="QOU3" s="484"/>
      <c r="QOV3" s="484"/>
      <c r="QOW3" s="484"/>
      <c r="QOX3" s="484"/>
      <c r="QOY3" s="484"/>
      <c r="QOZ3" s="484"/>
      <c r="QPA3" s="484"/>
      <c r="QPB3" s="484"/>
      <c r="QPC3" s="484"/>
      <c r="QPD3" s="484"/>
      <c r="QPE3" s="484"/>
      <c r="QPF3" s="484"/>
      <c r="QPG3" s="484"/>
      <c r="QPH3" s="484"/>
      <c r="QPI3" s="484"/>
      <c r="QPJ3" s="484"/>
      <c r="QPK3" s="484"/>
      <c r="QPL3" s="484"/>
      <c r="QPM3" s="484"/>
      <c r="QPN3" s="484"/>
      <c r="QPO3" s="484"/>
      <c r="QPP3" s="484"/>
      <c r="QPQ3" s="484"/>
      <c r="QPR3" s="484"/>
      <c r="QPS3" s="484"/>
      <c r="QPT3" s="484"/>
      <c r="QPU3" s="484"/>
      <c r="QPV3" s="484"/>
      <c r="QPW3" s="484"/>
      <c r="QPX3" s="484"/>
      <c r="QPY3" s="484"/>
      <c r="QPZ3" s="484"/>
      <c r="QQA3" s="484"/>
      <c r="QQB3" s="484"/>
      <c r="QQC3" s="484"/>
      <c r="QQD3" s="484"/>
      <c r="QQE3" s="484"/>
      <c r="QQF3" s="484"/>
      <c r="QQG3" s="484"/>
      <c r="QQH3" s="484"/>
      <c r="QQI3" s="484"/>
      <c r="QQJ3" s="484"/>
      <c r="QQK3" s="484"/>
      <c r="QQL3" s="484"/>
      <c r="QQM3" s="484"/>
      <c r="QQN3" s="484"/>
      <c r="QQO3" s="484"/>
      <c r="QQP3" s="484"/>
      <c r="QQQ3" s="484"/>
      <c r="QQR3" s="484"/>
      <c r="QQS3" s="484"/>
      <c r="QQT3" s="484"/>
      <c r="QQU3" s="484"/>
      <c r="QQV3" s="484"/>
      <c r="QQW3" s="484"/>
      <c r="QQX3" s="484"/>
      <c r="QQY3" s="484"/>
      <c r="QQZ3" s="484"/>
      <c r="QRA3" s="484"/>
      <c r="QRB3" s="484"/>
      <c r="QRC3" s="484"/>
      <c r="QRD3" s="484"/>
      <c r="QRE3" s="484"/>
      <c r="QRF3" s="484"/>
      <c r="QRG3" s="484"/>
      <c r="QRH3" s="484"/>
      <c r="QRI3" s="484"/>
      <c r="QRJ3" s="484"/>
      <c r="QRK3" s="484"/>
      <c r="QRL3" s="484"/>
      <c r="QRM3" s="484"/>
      <c r="QRN3" s="484"/>
      <c r="QRO3" s="484"/>
      <c r="QRP3" s="484"/>
      <c r="QRQ3" s="484"/>
      <c r="QRR3" s="484"/>
      <c r="QRS3" s="484"/>
      <c r="QRT3" s="484"/>
      <c r="QRU3" s="484"/>
      <c r="QRV3" s="484"/>
      <c r="QRW3" s="484"/>
      <c r="QRX3" s="484"/>
      <c r="QRY3" s="484"/>
      <c r="QRZ3" s="484"/>
      <c r="QSA3" s="484"/>
      <c r="QSB3" s="484"/>
      <c r="QSC3" s="484"/>
      <c r="QSD3" s="484"/>
      <c r="QSE3" s="484"/>
      <c r="QSF3" s="484"/>
      <c r="QSG3" s="484"/>
      <c r="QSH3" s="484"/>
      <c r="QSI3" s="484"/>
      <c r="QSJ3" s="484"/>
      <c r="QSK3" s="484"/>
      <c r="QSL3" s="484"/>
      <c r="QSM3" s="484"/>
      <c r="QSN3" s="484"/>
      <c r="QSO3" s="484"/>
      <c r="QSP3" s="484"/>
      <c r="QSQ3" s="484"/>
      <c r="QSR3" s="484"/>
      <c r="QSS3" s="484"/>
      <c r="QST3" s="484"/>
      <c r="QSU3" s="484"/>
      <c r="QSV3" s="484"/>
      <c r="QSW3" s="484"/>
      <c r="QSX3" s="484"/>
      <c r="QSY3" s="484"/>
      <c r="QSZ3" s="484"/>
      <c r="QTA3" s="484"/>
      <c r="QTB3" s="484"/>
      <c r="QTC3" s="484"/>
      <c r="QTD3" s="484"/>
      <c r="QTE3" s="484"/>
      <c r="QTF3" s="484"/>
      <c r="QTG3" s="484"/>
      <c r="QTH3" s="484"/>
      <c r="QTI3" s="484"/>
      <c r="QTJ3" s="484"/>
      <c r="QTK3" s="484"/>
      <c r="QTL3" s="484"/>
      <c r="QTM3" s="484"/>
      <c r="QTN3" s="484"/>
      <c r="QTO3" s="484"/>
      <c r="QTP3" s="484"/>
      <c r="QTQ3" s="484"/>
      <c r="QTR3" s="484"/>
      <c r="QTS3" s="484"/>
      <c r="QTT3" s="484"/>
      <c r="QTU3" s="484"/>
      <c r="QTV3" s="484"/>
      <c r="QTW3" s="484"/>
      <c r="QTX3" s="484"/>
      <c r="QTY3" s="484"/>
      <c r="QTZ3" s="484"/>
      <c r="QUA3" s="484"/>
      <c r="QUB3" s="484"/>
      <c r="QUC3" s="484"/>
      <c r="QUD3" s="484"/>
      <c r="QUE3" s="484"/>
      <c r="QUF3" s="484"/>
      <c r="QUG3" s="484"/>
      <c r="QUH3" s="484"/>
      <c r="QUI3" s="484"/>
      <c r="QUJ3" s="484"/>
      <c r="QUK3" s="484"/>
      <c r="QUL3" s="484"/>
      <c r="QUM3" s="484"/>
      <c r="QUN3" s="484"/>
      <c r="QUO3" s="484"/>
      <c r="QUP3" s="484"/>
      <c r="QUQ3" s="484"/>
      <c r="QUR3" s="484"/>
      <c r="QUS3" s="484"/>
      <c r="QUT3" s="484"/>
      <c r="QUU3" s="484"/>
      <c r="QUV3" s="484"/>
      <c r="QUW3" s="484"/>
      <c r="QUX3" s="484"/>
      <c r="QUY3" s="484"/>
      <c r="QUZ3" s="484"/>
      <c r="QVA3" s="484"/>
      <c r="QVB3" s="484"/>
      <c r="QVC3" s="484"/>
      <c r="QVD3" s="484"/>
      <c r="QVE3" s="484"/>
      <c r="QVF3" s="484"/>
      <c r="QVG3" s="484"/>
      <c r="QVH3" s="484"/>
      <c r="QVI3" s="484"/>
      <c r="QVJ3" s="484"/>
      <c r="QVK3" s="484"/>
      <c r="QVL3" s="484"/>
      <c r="QVM3" s="484"/>
      <c r="QVN3" s="484"/>
      <c r="QVO3" s="484"/>
      <c r="QVP3" s="484"/>
      <c r="QVQ3" s="484"/>
      <c r="QVR3" s="484"/>
      <c r="QVS3" s="484"/>
      <c r="QVT3" s="484"/>
      <c r="QVU3" s="484"/>
      <c r="QVV3" s="484"/>
      <c r="QVW3" s="484"/>
      <c r="QVX3" s="484"/>
      <c r="QVY3" s="484"/>
      <c r="QVZ3" s="484"/>
      <c r="QWA3" s="484"/>
      <c r="QWB3" s="484"/>
      <c r="QWC3" s="484"/>
      <c r="QWD3" s="484"/>
      <c r="QWE3" s="484"/>
      <c r="QWF3" s="484"/>
      <c r="QWG3" s="484"/>
      <c r="QWH3" s="484"/>
      <c r="QWI3" s="484"/>
      <c r="QWJ3" s="484"/>
      <c r="QWK3" s="484"/>
      <c r="QWL3" s="484"/>
      <c r="QWM3" s="484"/>
      <c r="QWN3" s="484"/>
      <c r="QWO3" s="484"/>
      <c r="QWP3" s="484"/>
      <c r="QWQ3" s="484"/>
      <c r="QWR3" s="484"/>
      <c r="QWS3" s="484"/>
      <c r="QWT3" s="484"/>
      <c r="QWU3" s="484"/>
      <c r="QWV3" s="484"/>
      <c r="QWW3" s="484"/>
      <c r="QWX3" s="484"/>
      <c r="QWY3" s="484"/>
      <c r="QWZ3" s="484"/>
      <c r="QXA3" s="484"/>
      <c r="QXB3" s="484"/>
      <c r="QXC3" s="484"/>
      <c r="QXD3" s="484"/>
      <c r="QXE3" s="484"/>
      <c r="QXF3" s="484"/>
      <c r="QXG3" s="484"/>
      <c r="QXH3" s="484"/>
      <c r="QXI3" s="484"/>
      <c r="QXJ3" s="484"/>
      <c r="QXK3" s="484"/>
      <c r="QXL3" s="484"/>
      <c r="QXM3" s="484"/>
      <c r="QXN3" s="484"/>
      <c r="QXO3" s="484"/>
      <c r="QXP3" s="484"/>
      <c r="QXQ3" s="484"/>
      <c r="QXR3" s="484"/>
      <c r="QXS3" s="484"/>
      <c r="QXT3" s="484"/>
      <c r="QXU3" s="484"/>
      <c r="QXV3" s="484"/>
      <c r="QXW3" s="484"/>
      <c r="QXX3" s="484"/>
      <c r="QXY3" s="484"/>
      <c r="QXZ3" s="484"/>
      <c r="QYA3" s="484"/>
      <c r="QYB3" s="484"/>
      <c r="QYC3" s="484"/>
      <c r="QYD3" s="484"/>
      <c r="QYE3" s="484"/>
      <c r="QYF3" s="484"/>
      <c r="QYG3" s="484"/>
      <c r="QYH3" s="484"/>
      <c r="QYI3" s="484"/>
      <c r="QYJ3" s="484"/>
      <c r="QYK3" s="484"/>
      <c r="QYL3" s="484"/>
      <c r="QYM3" s="484"/>
      <c r="QYN3" s="484"/>
      <c r="QYO3" s="484"/>
      <c r="QYP3" s="484"/>
      <c r="QYQ3" s="484"/>
      <c r="QYR3" s="484"/>
      <c r="QYS3" s="484"/>
      <c r="QYT3" s="484"/>
      <c r="QYU3" s="484"/>
      <c r="QYV3" s="484"/>
      <c r="QYW3" s="484"/>
      <c r="QYX3" s="484"/>
      <c r="QYY3" s="484"/>
      <c r="QYZ3" s="484"/>
      <c r="QZA3" s="484"/>
      <c r="QZB3" s="484"/>
      <c r="QZC3" s="484"/>
      <c r="QZD3" s="484"/>
      <c r="QZE3" s="484"/>
      <c r="QZF3" s="484"/>
      <c r="QZG3" s="484"/>
      <c r="QZH3" s="484"/>
      <c r="QZI3" s="484"/>
      <c r="QZJ3" s="484"/>
      <c r="QZK3" s="484"/>
      <c r="QZL3" s="484"/>
      <c r="QZM3" s="484"/>
      <c r="QZN3" s="484"/>
      <c r="QZO3" s="484"/>
      <c r="QZP3" s="484"/>
      <c r="QZQ3" s="484"/>
      <c r="QZR3" s="484"/>
      <c r="QZS3" s="484"/>
      <c r="QZT3" s="484"/>
      <c r="QZU3" s="484"/>
      <c r="QZV3" s="484"/>
      <c r="QZW3" s="484"/>
      <c r="QZX3" s="484"/>
      <c r="QZY3" s="484"/>
      <c r="QZZ3" s="484"/>
      <c r="RAA3" s="484"/>
      <c r="RAB3" s="484"/>
      <c r="RAC3" s="484"/>
      <c r="RAD3" s="484"/>
      <c r="RAE3" s="484"/>
      <c r="RAF3" s="484"/>
      <c r="RAG3" s="484"/>
      <c r="RAH3" s="484"/>
      <c r="RAI3" s="484"/>
      <c r="RAJ3" s="484"/>
      <c r="RAK3" s="484"/>
      <c r="RAL3" s="484"/>
      <c r="RAM3" s="484"/>
      <c r="RAN3" s="484"/>
      <c r="RAO3" s="484"/>
      <c r="RAP3" s="484"/>
      <c r="RAQ3" s="484"/>
      <c r="RAR3" s="484"/>
      <c r="RAS3" s="484"/>
      <c r="RAT3" s="484"/>
      <c r="RAU3" s="484"/>
      <c r="RAV3" s="484"/>
      <c r="RAW3" s="484"/>
      <c r="RAX3" s="484"/>
      <c r="RAY3" s="484"/>
      <c r="RAZ3" s="484"/>
      <c r="RBA3" s="484"/>
      <c r="RBB3" s="484"/>
      <c r="RBC3" s="484"/>
      <c r="RBD3" s="484"/>
      <c r="RBE3" s="484"/>
      <c r="RBF3" s="484"/>
      <c r="RBG3" s="484"/>
      <c r="RBH3" s="484"/>
      <c r="RBI3" s="484"/>
      <c r="RBJ3" s="484"/>
      <c r="RBK3" s="484"/>
      <c r="RBL3" s="484"/>
      <c r="RBM3" s="484"/>
      <c r="RBN3" s="484"/>
      <c r="RBO3" s="484"/>
      <c r="RBP3" s="484"/>
      <c r="RBQ3" s="484"/>
      <c r="RBR3" s="484"/>
      <c r="RBS3" s="484"/>
      <c r="RBT3" s="484"/>
      <c r="RBU3" s="484"/>
      <c r="RBV3" s="484"/>
      <c r="RBW3" s="484"/>
      <c r="RBX3" s="484"/>
      <c r="RBY3" s="484"/>
      <c r="RBZ3" s="484"/>
      <c r="RCA3" s="484"/>
      <c r="RCB3" s="484"/>
      <c r="RCC3" s="484"/>
      <c r="RCD3" s="484"/>
      <c r="RCE3" s="484"/>
      <c r="RCF3" s="484"/>
      <c r="RCG3" s="484"/>
      <c r="RCH3" s="484"/>
      <c r="RCI3" s="484"/>
      <c r="RCJ3" s="484"/>
      <c r="RCK3" s="484"/>
      <c r="RCL3" s="484"/>
      <c r="RCM3" s="484"/>
      <c r="RCN3" s="484"/>
      <c r="RCO3" s="484"/>
      <c r="RCP3" s="484"/>
      <c r="RCQ3" s="484"/>
      <c r="RCR3" s="484"/>
      <c r="RCS3" s="484"/>
      <c r="RCT3" s="484"/>
      <c r="RCU3" s="484"/>
      <c r="RCV3" s="484"/>
      <c r="RCW3" s="484"/>
      <c r="RCX3" s="484"/>
      <c r="RCY3" s="484"/>
      <c r="RCZ3" s="484"/>
      <c r="RDA3" s="484"/>
      <c r="RDB3" s="484"/>
      <c r="RDC3" s="484"/>
      <c r="RDD3" s="484"/>
      <c r="RDE3" s="484"/>
      <c r="RDF3" s="484"/>
      <c r="RDG3" s="484"/>
      <c r="RDH3" s="484"/>
      <c r="RDI3" s="484"/>
      <c r="RDJ3" s="484"/>
      <c r="RDK3" s="484"/>
      <c r="RDL3" s="484"/>
      <c r="RDM3" s="484"/>
      <c r="RDN3" s="484"/>
      <c r="RDO3" s="484"/>
      <c r="RDP3" s="484"/>
      <c r="RDQ3" s="484"/>
      <c r="RDR3" s="484"/>
      <c r="RDS3" s="484"/>
      <c r="RDT3" s="484"/>
      <c r="RDU3" s="484"/>
      <c r="RDV3" s="484"/>
      <c r="RDW3" s="484"/>
      <c r="RDX3" s="484"/>
      <c r="RDY3" s="484"/>
      <c r="RDZ3" s="484"/>
      <c r="REA3" s="484"/>
      <c r="REB3" s="484"/>
      <c r="REC3" s="484"/>
      <c r="RED3" s="484"/>
      <c r="REE3" s="484"/>
      <c r="REF3" s="484"/>
      <c r="REG3" s="484"/>
      <c r="REH3" s="484"/>
      <c r="REI3" s="484"/>
      <c r="REJ3" s="484"/>
      <c r="REK3" s="484"/>
      <c r="REL3" s="484"/>
      <c r="REM3" s="484"/>
      <c r="REN3" s="484"/>
      <c r="REO3" s="484"/>
      <c r="REP3" s="484"/>
      <c r="REQ3" s="484"/>
      <c r="RER3" s="484"/>
      <c r="RES3" s="484"/>
      <c r="RET3" s="484"/>
      <c r="REU3" s="484"/>
      <c r="REV3" s="484"/>
      <c r="REW3" s="484"/>
      <c r="REX3" s="484"/>
      <c r="REY3" s="484"/>
      <c r="REZ3" s="484"/>
      <c r="RFA3" s="484"/>
      <c r="RFB3" s="484"/>
      <c r="RFC3" s="484"/>
      <c r="RFD3" s="484"/>
      <c r="RFE3" s="484"/>
      <c r="RFF3" s="484"/>
      <c r="RFG3" s="484"/>
      <c r="RFH3" s="484"/>
      <c r="RFI3" s="484"/>
      <c r="RFJ3" s="484"/>
      <c r="RFK3" s="484"/>
      <c r="RFL3" s="484"/>
      <c r="RFM3" s="484"/>
      <c r="RFN3" s="484"/>
      <c r="RFO3" s="484"/>
      <c r="RFP3" s="484"/>
      <c r="RFQ3" s="484"/>
      <c r="RFR3" s="484"/>
      <c r="RFS3" s="484"/>
      <c r="RFT3" s="484"/>
      <c r="RFU3" s="484"/>
      <c r="RFV3" s="484"/>
      <c r="RFW3" s="484"/>
      <c r="RFX3" s="484"/>
      <c r="RFY3" s="484"/>
      <c r="RFZ3" s="484"/>
      <c r="RGA3" s="484"/>
      <c r="RGB3" s="484"/>
      <c r="RGC3" s="484"/>
      <c r="RGD3" s="484"/>
      <c r="RGE3" s="484"/>
      <c r="RGF3" s="484"/>
      <c r="RGG3" s="484"/>
      <c r="RGH3" s="484"/>
      <c r="RGI3" s="484"/>
      <c r="RGJ3" s="484"/>
      <c r="RGK3" s="484"/>
      <c r="RGL3" s="484"/>
      <c r="RGM3" s="484"/>
      <c r="RGN3" s="484"/>
      <c r="RGO3" s="484"/>
      <c r="RGP3" s="484"/>
      <c r="RGQ3" s="484"/>
      <c r="RGR3" s="484"/>
      <c r="RGS3" s="484"/>
      <c r="RGT3" s="484"/>
      <c r="RGU3" s="484"/>
      <c r="RGV3" s="484"/>
      <c r="RGW3" s="484"/>
      <c r="RGX3" s="484"/>
      <c r="RGY3" s="484"/>
      <c r="RGZ3" s="484"/>
      <c r="RHA3" s="484"/>
      <c r="RHB3" s="484"/>
      <c r="RHC3" s="484"/>
      <c r="RHD3" s="484"/>
      <c r="RHE3" s="484"/>
      <c r="RHF3" s="484"/>
      <c r="RHG3" s="484"/>
      <c r="RHH3" s="484"/>
      <c r="RHI3" s="484"/>
      <c r="RHJ3" s="484"/>
      <c r="RHK3" s="484"/>
      <c r="RHL3" s="484"/>
      <c r="RHM3" s="484"/>
      <c r="RHN3" s="484"/>
      <c r="RHO3" s="484"/>
      <c r="RHP3" s="484"/>
      <c r="RHQ3" s="484"/>
      <c r="RHR3" s="484"/>
      <c r="RHS3" s="484"/>
      <c r="RHT3" s="484"/>
      <c r="RHU3" s="484"/>
      <c r="RHV3" s="484"/>
      <c r="RHW3" s="484"/>
      <c r="RHX3" s="484"/>
      <c r="RHY3" s="484"/>
      <c r="RHZ3" s="484"/>
      <c r="RIA3" s="484"/>
      <c r="RIB3" s="484"/>
      <c r="RIC3" s="484"/>
      <c r="RID3" s="484"/>
      <c r="RIE3" s="484"/>
      <c r="RIF3" s="484"/>
      <c r="RIG3" s="484"/>
      <c r="RIH3" s="484"/>
      <c r="RII3" s="484"/>
      <c r="RIJ3" s="484"/>
      <c r="RIK3" s="484"/>
      <c r="RIL3" s="484"/>
      <c r="RIM3" s="484"/>
      <c r="RIN3" s="484"/>
      <c r="RIO3" s="484"/>
      <c r="RIP3" s="484"/>
      <c r="RIQ3" s="484"/>
      <c r="RIR3" s="484"/>
      <c r="RIS3" s="484"/>
      <c r="RIT3" s="484"/>
      <c r="RIU3" s="484"/>
      <c r="RIV3" s="484"/>
      <c r="RIW3" s="484"/>
      <c r="RIX3" s="484"/>
      <c r="RIY3" s="484"/>
      <c r="RIZ3" s="484"/>
      <c r="RJA3" s="484"/>
      <c r="RJB3" s="484"/>
      <c r="RJC3" s="484"/>
      <c r="RJD3" s="484"/>
      <c r="RJE3" s="484"/>
      <c r="RJF3" s="484"/>
      <c r="RJG3" s="484"/>
      <c r="RJH3" s="484"/>
      <c r="RJI3" s="484"/>
      <c r="RJJ3" s="484"/>
      <c r="RJK3" s="484"/>
      <c r="RJL3" s="484"/>
      <c r="RJM3" s="484"/>
      <c r="RJN3" s="484"/>
      <c r="RJO3" s="484"/>
      <c r="RJP3" s="484"/>
      <c r="RJQ3" s="484"/>
      <c r="RJR3" s="484"/>
      <c r="RJS3" s="484"/>
      <c r="RJT3" s="484"/>
      <c r="RJU3" s="484"/>
      <c r="RJV3" s="484"/>
      <c r="RJW3" s="484"/>
      <c r="RJX3" s="484"/>
      <c r="RJY3" s="484"/>
      <c r="RJZ3" s="484"/>
      <c r="RKA3" s="484"/>
      <c r="RKB3" s="484"/>
      <c r="RKC3" s="484"/>
      <c r="RKD3" s="484"/>
      <c r="RKE3" s="484"/>
      <c r="RKF3" s="484"/>
      <c r="RKG3" s="484"/>
      <c r="RKH3" s="484"/>
      <c r="RKI3" s="484"/>
      <c r="RKJ3" s="484"/>
      <c r="RKK3" s="484"/>
      <c r="RKL3" s="484"/>
      <c r="RKM3" s="484"/>
      <c r="RKN3" s="484"/>
      <c r="RKO3" s="484"/>
      <c r="RKP3" s="484"/>
      <c r="RKQ3" s="484"/>
      <c r="RKR3" s="484"/>
      <c r="RKS3" s="484"/>
      <c r="RKT3" s="484"/>
      <c r="RKU3" s="484"/>
      <c r="RKV3" s="484"/>
      <c r="RKW3" s="484"/>
      <c r="RKX3" s="484"/>
      <c r="RKY3" s="484"/>
      <c r="RKZ3" s="484"/>
      <c r="RLA3" s="484"/>
      <c r="RLB3" s="484"/>
      <c r="RLC3" s="484"/>
      <c r="RLD3" s="484"/>
      <c r="RLE3" s="484"/>
      <c r="RLF3" s="484"/>
      <c r="RLG3" s="484"/>
      <c r="RLH3" s="484"/>
      <c r="RLI3" s="484"/>
      <c r="RLJ3" s="484"/>
      <c r="RLK3" s="484"/>
      <c r="RLL3" s="484"/>
      <c r="RLM3" s="484"/>
      <c r="RLN3" s="484"/>
      <c r="RLO3" s="484"/>
      <c r="RLP3" s="484"/>
      <c r="RLQ3" s="484"/>
      <c r="RLR3" s="484"/>
      <c r="RLS3" s="484"/>
      <c r="RLT3" s="484"/>
      <c r="RLU3" s="484"/>
      <c r="RLV3" s="484"/>
      <c r="RLW3" s="484"/>
      <c r="RLX3" s="484"/>
      <c r="RLY3" s="484"/>
      <c r="RLZ3" s="484"/>
      <c r="RMA3" s="484"/>
      <c r="RMB3" s="484"/>
      <c r="RMC3" s="484"/>
      <c r="RMD3" s="484"/>
      <c r="RME3" s="484"/>
      <c r="RMF3" s="484"/>
      <c r="RMG3" s="484"/>
      <c r="RMH3" s="484"/>
      <c r="RMI3" s="484"/>
      <c r="RMJ3" s="484"/>
      <c r="RMK3" s="484"/>
      <c r="RML3" s="484"/>
      <c r="RMM3" s="484"/>
      <c r="RMN3" s="484"/>
      <c r="RMO3" s="484"/>
      <c r="RMP3" s="484"/>
      <c r="RMQ3" s="484"/>
      <c r="RMR3" s="484"/>
      <c r="RMS3" s="484"/>
      <c r="RMT3" s="484"/>
      <c r="RMU3" s="484"/>
      <c r="RMV3" s="484"/>
      <c r="RMW3" s="484"/>
      <c r="RMX3" s="484"/>
      <c r="RMY3" s="484"/>
      <c r="RMZ3" s="484"/>
      <c r="RNA3" s="484"/>
      <c r="RNB3" s="484"/>
      <c r="RNC3" s="484"/>
      <c r="RND3" s="484"/>
      <c r="RNE3" s="484"/>
      <c r="RNF3" s="484"/>
      <c r="RNG3" s="484"/>
      <c r="RNH3" s="484"/>
      <c r="RNI3" s="484"/>
      <c r="RNJ3" s="484"/>
      <c r="RNK3" s="484"/>
      <c r="RNL3" s="484"/>
      <c r="RNM3" s="484"/>
      <c r="RNN3" s="484"/>
      <c r="RNO3" s="484"/>
      <c r="RNP3" s="484"/>
      <c r="RNQ3" s="484"/>
      <c r="RNR3" s="484"/>
      <c r="RNS3" s="484"/>
      <c r="RNT3" s="484"/>
      <c r="RNU3" s="484"/>
      <c r="RNV3" s="484"/>
      <c r="RNW3" s="484"/>
      <c r="RNX3" s="484"/>
      <c r="RNY3" s="484"/>
      <c r="RNZ3" s="484"/>
      <c r="ROA3" s="484"/>
      <c r="ROB3" s="484"/>
      <c r="ROC3" s="484"/>
      <c r="ROD3" s="484"/>
      <c r="ROE3" s="484"/>
      <c r="ROF3" s="484"/>
      <c r="ROG3" s="484"/>
      <c r="ROH3" s="484"/>
      <c r="ROI3" s="484"/>
      <c r="ROJ3" s="484"/>
      <c r="ROK3" s="484"/>
      <c r="ROL3" s="484"/>
      <c r="ROM3" s="484"/>
      <c r="RON3" s="484"/>
      <c r="ROO3" s="484"/>
      <c r="ROP3" s="484"/>
      <c r="ROQ3" s="484"/>
      <c r="ROR3" s="484"/>
      <c r="ROS3" s="484"/>
      <c r="ROT3" s="484"/>
      <c r="ROU3" s="484"/>
      <c r="ROV3" s="484"/>
      <c r="ROW3" s="484"/>
      <c r="ROX3" s="484"/>
      <c r="ROY3" s="484"/>
      <c r="ROZ3" s="484"/>
      <c r="RPA3" s="484"/>
      <c r="RPB3" s="484"/>
      <c r="RPC3" s="484"/>
      <c r="RPD3" s="484"/>
      <c r="RPE3" s="484"/>
      <c r="RPF3" s="484"/>
      <c r="RPG3" s="484"/>
      <c r="RPH3" s="484"/>
      <c r="RPI3" s="484"/>
      <c r="RPJ3" s="484"/>
      <c r="RPK3" s="484"/>
      <c r="RPL3" s="484"/>
      <c r="RPM3" s="484"/>
      <c r="RPN3" s="484"/>
      <c r="RPO3" s="484"/>
      <c r="RPP3" s="484"/>
      <c r="RPQ3" s="484"/>
      <c r="RPR3" s="484"/>
      <c r="RPS3" s="484"/>
      <c r="RPT3" s="484"/>
      <c r="RPU3" s="484"/>
      <c r="RPV3" s="484"/>
      <c r="RPW3" s="484"/>
      <c r="RPX3" s="484"/>
      <c r="RPY3" s="484"/>
      <c r="RPZ3" s="484"/>
      <c r="RQA3" s="484"/>
      <c r="RQB3" s="484"/>
      <c r="RQC3" s="484"/>
      <c r="RQD3" s="484"/>
      <c r="RQE3" s="484"/>
      <c r="RQF3" s="484"/>
      <c r="RQG3" s="484"/>
      <c r="RQH3" s="484"/>
      <c r="RQI3" s="484"/>
      <c r="RQJ3" s="484"/>
      <c r="RQK3" s="484"/>
      <c r="RQL3" s="484"/>
      <c r="RQM3" s="484"/>
      <c r="RQN3" s="484"/>
      <c r="RQO3" s="484"/>
      <c r="RQP3" s="484"/>
      <c r="RQQ3" s="484"/>
      <c r="RQR3" s="484"/>
      <c r="RQS3" s="484"/>
      <c r="RQT3" s="484"/>
      <c r="RQU3" s="484"/>
      <c r="RQV3" s="484"/>
      <c r="RQW3" s="484"/>
      <c r="RQX3" s="484"/>
      <c r="RQY3" s="484"/>
      <c r="RQZ3" s="484"/>
      <c r="RRA3" s="484"/>
      <c r="RRB3" s="484"/>
      <c r="RRC3" s="484"/>
      <c r="RRD3" s="484"/>
      <c r="RRE3" s="484"/>
      <c r="RRF3" s="484"/>
      <c r="RRG3" s="484"/>
      <c r="RRH3" s="484"/>
      <c r="RRI3" s="484"/>
      <c r="RRJ3" s="484"/>
      <c r="RRK3" s="484"/>
      <c r="RRL3" s="484"/>
      <c r="RRM3" s="484"/>
      <c r="RRN3" s="484"/>
      <c r="RRO3" s="484"/>
      <c r="RRP3" s="484"/>
      <c r="RRQ3" s="484"/>
      <c r="RRR3" s="484"/>
      <c r="RRS3" s="484"/>
      <c r="RRT3" s="484"/>
      <c r="RRU3" s="484"/>
      <c r="RRV3" s="484"/>
      <c r="RRW3" s="484"/>
      <c r="RRX3" s="484"/>
      <c r="RRY3" s="484"/>
      <c r="RRZ3" s="484"/>
      <c r="RSA3" s="484"/>
      <c r="RSB3" s="484"/>
      <c r="RSC3" s="484"/>
      <c r="RSD3" s="484"/>
      <c r="RSE3" s="484"/>
      <c r="RSF3" s="484"/>
      <c r="RSG3" s="484"/>
      <c r="RSH3" s="484"/>
      <c r="RSI3" s="484"/>
      <c r="RSJ3" s="484"/>
      <c r="RSK3" s="484"/>
      <c r="RSL3" s="484"/>
      <c r="RSM3" s="484"/>
      <c r="RSN3" s="484"/>
      <c r="RSO3" s="484"/>
      <c r="RSP3" s="484"/>
      <c r="RSQ3" s="484"/>
      <c r="RSR3" s="484"/>
      <c r="RSS3" s="484"/>
      <c r="RST3" s="484"/>
      <c r="RSU3" s="484"/>
      <c r="RSV3" s="484"/>
      <c r="RSW3" s="484"/>
      <c r="RSX3" s="484"/>
      <c r="RSY3" s="484"/>
      <c r="RSZ3" s="484"/>
      <c r="RTA3" s="484"/>
      <c r="RTB3" s="484"/>
      <c r="RTC3" s="484"/>
      <c r="RTD3" s="484"/>
      <c r="RTE3" s="484"/>
      <c r="RTF3" s="484"/>
      <c r="RTG3" s="484"/>
      <c r="RTH3" s="484"/>
      <c r="RTI3" s="484"/>
      <c r="RTJ3" s="484"/>
      <c r="RTK3" s="484"/>
      <c r="RTL3" s="484"/>
      <c r="RTM3" s="484"/>
      <c r="RTN3" s="484"/>
      <c r="RTO3" s="484"/>
      <c r="RTP3" s="484"/>
      <c r="RTQ3" s="484"/>
      <c r="RTR3" s="484"/>
      <c r="RTS3" s="484"/>
      <c r="RTT3" s="484"/>
      <c r="RTU3" s="484"/>
      <c r="RTV3" s="484"/>
      <c r="RTW3" s="484"/>
      <c r="RTX3" s="484"/>
      <c r="RTY3" s="484"/>
      <c r="RTZ3" s="484"/>
      <c r="RUA3" s="484"/>
      <c r="RUB3" s="484"/>
      <c r="RUC3" s="484"/>
      <c r="RUD3" s="484"/>
      <c r="RUE3" s="484"/>
      <c r="RUF3" s="484"/>
      <c r="RUG3" s="484"/>
      <c r="RUH3" s="484"/>
      <c r="RUI3" s="484"/>
      <c r="RUJ3" s="484"/>
      <c r="RUK3" s="484"/>
      <c r="RUL3" s="484"/>
      <c r="RUM3" s="484"/>
      <c r="RUN3" s="484"/>
      <c r="RUO3" s="484"/>
      <c r="RUP3" s="484"/>
      <c r="RUQ3" s="484"/>
      <c r="RUR3" s="484"/>
      <c r="RUS3" s="484"/>
      <c r="RUT3" s="484"/>
      <c r="RUU3" s="484"/>
      <c r="RUV3" s="484"/>
      <c r="RUW3" s="484"/>
      <c r="RUX3" s="484"/>
      <c r="RUY3" s="484"/>
      <c r="RUZ3" s="484"/>
      <c r="RVA3" s="484"/>
      <c r="RVB3" s="484"/>
      <c r="RVC3" s="484"/>
      <c r="RVD3" s="484"/>
      <c r="RVE3" s="484"/>
      <c r="RVF3" s="484"/>
      <c r="RVG3" s="484"/>
      <c r="RVH3" s="484"/>
      <c r="RVI3" s="484"/>
      <c r="RVJ3" s="484"/>
      <c r="RVK3" s="484"/>
      <c r="RVL3" s="484"/>
      <c r="RVM3" s="484"/>
      <c r="RVN3" s="484"/>
      <c r="RVO3" s="484"/>
      <c r="RVP3" s="484"/>
      <c r="RVQ3" s="484"/>
      <c r="RVR3" s="484"/>
      <c r="RVS3" s="484"/>
      <c r="RVT3" s="484"/>
      <c r="RVU3" s="484"/>
      <c r="RVV3" s="484"/>
      <c r="RVW3" s="484"/>
      <c r="RVX3" s="484"/>
      <c r="RVY3" s="484"/>
      <c r="RVZ3" s="484"/>
      <c r="RWA3" s="484"/>
      <c r="RWB3" s="484"/>
      <c r="RWC3" s="484"/>
      <c r="RWD3" s="484"/>
      <c r="RWE3" s="484"/>
      <c r="RWF3" s="484"/>
      <c r="RWG3" s="484"/>
      <c r="RWH3" s="484"/>
      <c r="RWI3" s="484"/>
      <c r="RWJ3" s="484"/>
      <c r="RWK3" s="484"/>
      <c r="RWL3" s="484"/>
      <c r="RWM3" s="484"/>
      <c r="RWN3" s="484"/>
      <c r="RWO3" s="484"/>
      <c r="RWP3" s="484"/>
      <c r="RWQ3" s="484"/>
      <c r="RWR3" s="484"/>
      <c r="RWS3" s="484"/>
      <c r="RWT3" s="484"/>
      <c r="RWU3" s="484"/>
      <c r="RWV3" s="484"/>
      <c r="RWW3" s="484"/>
      <c r="RWX3" s="484"/>
      <c r="RWY3" s="484"/>
      <c r="RWZ3" s="484"/>
      <c r="RXA3" s="484"/>
      <c r="RXB3" s="484"/>
      <c r="RXC3" s="484"/>
      <c r="RXD3" s="484"/>
      <c r="RXE3" s="484"/>
      <c r="RXF3" s="484"/>
      <c r="RXG3" s="484"/>
      <c r="RXH3" s="484"/>
      <c r="RXI3" s="484"/>
      <c r="RXJ3" s="484"/>
      <c r="RXK3" s="484"/>
      <c r="RXL3" s="484"/>
      <c r="RXM3" s="484"/>
      <c r="RXN3" s="484"/>
      <c r="RXO3" s="484"/>
      <c r="RXP3" s="484"/>
      <c r="RXQ3" s="484"/>
      <c r="RXR3" s="484"/>
      <c r="RXS3" s="484"/>
      <c r="RXT3" s="484"/>
      <c r="RXU3" s="484"/>
      <c r="RXV3" s="484"/>
      <c r="RXW3" s="484"/>
      <c r="RXX3" s="484"/>
      <c r="RXY3" s="484"/>
      <c r="RXZ3" s="484"/>
      <c r="RYA3" s="484"/>
      <c r="RYB3" s="484"/>
      <c r="RYC3" s="484"/>
      <c r="RYD3" s="484"/>
      <c r="RYE3" s="484"/>
      <c r="RYF3" s="484"/>
      <c r="RYG3" s="484"/>
      <c r="RYH3" s="484"/>
      <c r="RYI3" s="484"/>
      <c r="RYJ3" s="484"/>
      <c r="RYK3" s="484"/>
      <c r="RYL3" s="484"/>
      <c r="RYM3" s="484"/>
      <c r="RYN3" s="484"/>
      <c r="RYO3" s="484"/>
      <c r="RYP3" s="484"/>
      <c r="RYQ3" s="484"/>
      <c r="RYR3" s="484"/>
      <c r="RYS3" s="484"/>
      <c r="RYT3" s="484"/>
      <c r="RYU3" s="484"/>
      <c r="RYV3" s="484"/>
      <c r="RYW3" s="484"/>
      <c r="RYX3" s="484"/>
      <c r="RYY3" s="484"/>
      <c r="RYZ3" s="484"/>
      <c r="RZA3" s="484"/>
      <c r="RZB3" s="484"/>
      <c r="RZC3" s="484"/>
      <c r="RZD3" s="484"/>
      <c r="RZE3" s="484"/>
      <c r="RZF3" s="484"/>
      <c r="RZG3" s="484"/>
      <c r="RZH3" s="484"/>
      <c r="RZI3" s="484"/>
      <c r="RZJ3" s="484"/>
      <c r="RZK3" s="484"/>
      <c r="RZL3" s="484"/>
      <c r="RZM3" s="484"/>
      <c r="RZN3" s="484"/>
      <c r="RZO3" s="484"/>
      <c r="RZP3" s="484"/>
      <c r="RZQ3" s="484"/>
      <c r="RZR3" s="484"/>
      <c r="RZS3" s="484"/>
      <c r="RZT3" s="484"/>
      <c r="RZU3" s="484"/>
      <c r="RZV3" s="484"/>
      <c r="RZW3" s="484"/>
      <c r="RZX3" s="484"/>
      <c r="RZY3" s="484"/>
      <c r="RZZ3" s="484"/>
      <c r="SAA3" s="484"/>
      <c r="SAB3" s="484"/>
      <c r="SAC3" s="484"/>
      <c r="SAD3" s="484"/>
      <c r="SAE3" s="484"/>
      <c r="SAF3" s="484"/>
      <c r="SAG3" s="484"/>
      <c r="SAH3" s="484"/>
      <c r="SAI3" s="484"/>
      <c r="SAJ3" s="484"/>
      <c r="SAK3" s="484"/>
      <c r="SAL3" s="484"/>
      <c r="SAM3" s="484"/>
      <c r="SAN3" s="484"/>
      <c r="SAO3" s="484"/>
      <c r="SAP3" s="484"/>
      <c r="SAQ3" s="484"/>
      <c r="SAR3" s="484"/>
      <c r="SAS3" s="484"/>
      <c r="SAT3" s="484"/>
      <c r="SAU3" s="484"/>
      <c r="SAV3" s="484"/>
      <c r="SAW3" s="484"/>
      <c r="SAX3" s="484"/>
      <c r="SAY3" s="484"/>
      <c r="SAZ3" s="484"/>
      <c r="SBA3" s="484"/>
      <c r="SBB3" s="484"/>
      <c r="SBC3" s="484"/>
      <c r="SBD3" s="484"/>
      <c r="SBE3" s="484"/>
      <c r="SBF3" s="484"/>
      <c r="SBG3" s="484"/>
      <c r="SBH3" s="484"/>
      <c r="SBI3" s="484"/>
      <c r="SBJ3" s="484"/>
      <c r="SBK3" s="484"/>
      <c r="SBL3" s="484"/>
      <c r="SBM3" s="484"/>
      <c r="SBN3" s="484"/>
      <c r="SBO3" s="484"/>
      <c r="SBP3" s="484"/>
      <c r="SBQ3" s="484"/>
      <c r="SBR3" s="484"/>
      <c r="SBS3" s="484"/>
      <c r="SBT3" s="484"/>
      <c r="SBU3" s="484"/>
      <c r="SBV3" s="484"/>
      <c r="SBW3" s="484"/>
      <c r="SBX3" s="484"/>
      <c r="SBY3" s="484"/>
      <c r="SBZ3" s="484"/>
      <c r="SCA3" s="484"/>
      <c r="SCB3" s="484"/>
      <c r="SCC3" s="484"/>
      <c r="SCD3" s="484"/>
      <c r="SCE3" s="484"/>
      <c r="SCF3" s="484"/>
      <c r="SCG3" s="484"/>
      <c r="SCH3" s="484"/>
      <c r="SCI3" s="484"/>
      <c r="SCJ3" s="484"/>
      <c r="SCK3" s="484"/>
      <c r="SCL3" s="484"/>
      <c r="SCM3" s="484"/>
      <c r="SCN3" s="484"/>
      <c r="SCO3" s="484"/>
      <c r="SCP3" s="484"/>
      <c r="SCQ3" s="484"/>
      <c r="SCR3" s="484"/>
      <c r="SCS3" s="484"/>
      <c r="SCT3" s="484"/>
      <c r="SCU3" s="484"/>
      <c r="SCV3" s="484"/>
      <c r="SCW3" s="484"/>
      <c r="SCX3" s="484"/>
      <c r="SCY3" s="484"/>
      <c r="SCZ3" s="484"/>
      <c r="SDA3" s="484"/>
      <c r="SDB3" s="484"/>
      <c r="SDC3" s="484"/>
      <c r="SDD3" s="484"/>
      <c r="SDE3" s="484"/>
      <c r="SDF3" s="484"/>
      <c r="SDG3" s="484"/>
      <c r="SDH3" s="484"/>
      <c r="SDI3" s="484"/>
      <c r="SDJ3" s="484"/>
      <c r="SDK3" s="484"/>
      <c r="SDL3" s="484"/>
      <c r="SDM3" s="484"/>
      <c r="SDN3" s="484"/>
      <c r="SDO3" s="484"/>
      <c r="SDP3" s="484"/>
      <c r="SDQ3" s="484"/>
      <c r="SDR3" s="484"/>
      <c r="SDS3" s="484"/>
      <c r="SDT3" s="484"/>
      <c r="SDU3" s="484"/>
      <c r="SDV3" s="484"/>
      <c r="SDW3" s="484"/>
      <c r="SDX3" s="484"/>
      <c r="SDY3" s="484"/>
      <c r="SDZ3" s="484"/>
      <c r="SEA3" s="484"/>
      <c r="SEB3" s="484"/>
      <c r="SEC3" s="484"/>
      <c r="SED3" s="484"/>
      <c r="SEE3" s="484"/>
      <c r="SEF3" s="484"/>
      <c r="SEG3" s="484"/>
      <c r="SEH3" s="484"/>
      <c r="SEI3" s="484"/>
      <c r="SEJ3" s="484"/>
      <c r="SEK3" s="484"/>
      <c r="SEL3" s="484"/>
      <c r="SEM3" s="484"/>
      <c r="SEN3" s="484"/>
      <c r="SEO3" s="484"/>
      <c r="SEP3" s="484"/>
      <c r="SEQ3" s="484"/>
      <c r="SER3" s="484"/>
      <c r="SES3" s="484"/>
      <c r="SET3" s="484"/>
      <c r="SEU3" s="484"/>
      <c r="SEV3" s="484"/>
      <c r="SEW3" s="484"/>
      <c r="SEX3" s="484"/>
      <c r="SEY3" s="484"/>
      <c r="SEZ3" s="484"/>
      <c r="SFA3" s="484"/>
      <c r="SFB3" s="484"/>
      <c r="SFC3" s="484"/>
      <c r="SFD3" s="484"/>
      <c r="SFE3" s="484"/>
      <c r="SFF3" s="484"/>
      <c r="SFG3" s="484"/>
      <c r="SFH3" s="484"/>
      <c r="SFI3" s="484"/>
      <c r="SFJ3" s="484"/>
      <c r="SFK3" s="484"/>
      <c r="SFL3" s="484"/>
      <c r="SFM3" s="484"/>
      <c r="SFN3" s="484"/>
      <c r="SFO3" s="484"/>
      <c r="SFP3" s="484"/>
      <c r="SFQ3" s="484"/>
      <c r="SFR3" s="484"/>
      <c r="SFS3" s="484"/>
      <c r="SFT3" s="484"/>
      <c r="SFU3" s="484"/>
      <c r="SFV3" s="484"/>
      <c r="SFW3" s="484"/>
      <c r="SFX3" s="484"/>
      <c r="SFY3" s="484"/>
      <c r="SFZ3" s="484"/>
      <c r="SGA3" s="484"/>
      <c r="SGB3" s="484"/>
      <c r="SGC3" s="484"/>
      <c r="SGD3" s="484"/>
      <c r="SGE3" s="484"/>
      <c r="SGF3" s="484"/>
      <c r="SGG3" s="484"/>
      <c r="SGH3" s="484"/>
      <c r="SGI3" s="484"/>
      <c r="SGJ3" s="484"/>
      <c r="SGK3" s="484"/>
      <c r="SGL3" s="484"/>
      <c r="SGM3" s="484"/>
      <c r="SGN3" s="484"/>
      <c r="SGO3" s="484"/>
      <c r="SGP3" s="484"/>
      <c r="SGQ3" s="484"/>
      <c r="SGR3" s="484"/>
      <c r="SGS3" s="484"/>
      <c r="SGT3" s="484"/>
      <c r="SGU3" s="484"/>
      <c r="SGV3" s="484"/>
      <c r="SGW3" s="484"/>
      <c r="SGX3" s="484"/>
      <c r="SGY3" s="484"/>
      <c r="SGZ3" s="484"/>
      <c r="SHA3" s="484"/>
      <c r="SHB3" s="484"/>
      <c r="SHC3" s="484"/>
      <c r="SHD3" s="484"/>
      <c r="SHE3" s="484"/>
      <c r="SHF3" s="484"/>
      <c r="SHG3" s="484"/>
      <c r="SHH3" s="484"/>
      <c r="SHI3" s="484"/>
      <c r="SHJ3" s="484"/>
      <c r="SHK3" s="484"/>
      <c r="SHL3" s="484"/>
      <c r="SHM3" s="484"/>
      <c r="SHN3" s="484"/>
      <c r="SHO3" s="484"/>
      <c r="SHP3" s="484"/>
      <c r="SHQ3" s="484"/>
      <c r="SHR3" s="484"/>
      <c r="SHS3" s="484"/>
      <c r="SHT3" s="484"/>
      <c r="SHU3" s="484"/>
      <c r="SHV3" s="484"/>
      <c r="SHW3" s="484"/>
      <c r="SHX3" s="484"/>
      <c r="SHY3" s="484"/>
      <c r="SHZ3" s="484"/>
      <c r="SIA3" s="484"/>
      <c r="SIB3" s="484"/>
      <c r="SIC3" s="484"/>
      <c r="SID3" s="484"/>
      <c r="SIE3" s="484"/>
      <c r="SIF3" s="484"/>
      <c r="SIG3" s="484"/>
      <c r="SIH3" s="484"/>
      <c r="SII3" s="484"/>
      <c r="SIJ3" s="484"/>
      <c r="SIK3" s="484"/>
      <c r="SIL3" s="484"/>
      <c r="SIM3" s="484"/>
      <c r="SIN3" s="484"/>
      <c r="SIO3" s="484"/>
      <c r="SIP3" s="484"/>
      <c r="SIQ3" s="484"/>
      <c r="SIR3" s="484"/>
      <c r="SIS3" s="484"/>
      <c r="SIT3" s="484"/>
      <c r="SIU3" s="484"/>
      <c r="SIV3" s="484"/>
      <c r="SIW3" s="484"/>
      <c r="SIX3" s="484"/>
      <c r="SIY3" s="484"/>
      <c r="SIZ3" s="484"/>
      <c r="SJA3" s="484"/>
      <c r="SJB3" s="484"/>
      <c r="SJC3" s="484"/>
      <c r="SJD3" s="484"/>
      <c r="SJE3" s="484"/>
      <c r="SJF3" s="484"/>
      <c r="SJG3" s="484"/>
      <c r="SJH3" s="484"/>
      <c r="SJI3" s="484"/>
      <c r="SJJ3" s="484"/>
      <c r="SJK3" s="484"/>
      <c r="SJL3" s="484"/>
      <c r="SJM3" s="484"/>
      <c r="SJN3" s="484"/>
      <c r="SJO3" s="484"/>
      <c r="SJP3" s="484"/>
      <c r="SJQ3" s="484"/>
      <c r="SJR3" s="484"/>
      <c r="SJS3" s="484"/>
      <c r="SJT3" s="484"/>
      <c r="SJU3" s="484"/>
      <c r="SJV3" s="484"/>
      <c r="SJW3" s="484"/>
      <c r="SJX3" s="484"/>
      <c r="SJY3" s="484"/>
      <c r="SJZ3" s="484"/>
      <c r="SKA3" s="484"/>
      <c r="SKB3" s="484"/>
      <c r="SKC3" s="484"/>
      <c r="SKD3" s="484"/>
      <c r="SKE3" s="484"/>
      <c r="SKF3" s="484"/>
      <c r="SKG3" s="484"/>
      <c r="SKH3" s="484"/>
      <c r="SKI3" s="484"/>
      <c r="SKJ3" s="484"/>
      <c r="SKK3" s="484"/>
      <c r="SKL3" s="484"/>
      <c r="SKM3" s="484"/>
      <c r="SKN3" s="484"/>
      <c r="SKO3" s="484"/>
      <c r="SKP3" s="484"/>
      <c r="SKQ3" s="484"/>
      <c r="SKR3" s="484"/>
      <c r="SKS3" s="484"/>
      <c r="SKT3" s="484"/>
      <c r="SKU3" s="484"/>
      <c r="SKV3" s="484"/>
      <c r="SKW3" s="484"/>
      <c r="SKX3" s="484"/>
      <c r="SKY3" s="484"/>
      <c r="SKZ3" s="484"/>
      <c r="SLA3" s="484"/>
      <c r="SLB3" s="484"/>
      <c r="SLC3" s="484"/>
      <c r="SLD3" s="484"/>
      <c r="SLE3" s="484"/>
      <c r="SLF3" s="484"/>
      <c r="SLG3" s="484"/>
      <c r="SLH3" s="484"/>
      <c r="SLI3" s="484"/>
      <c r="SLJ3" s="484"/>
      <c r="SLK3" s="484"/>
      <c r="SLL3" s="484"/>
      <c r="SLM3" s="484"/>
      <c r="SLN3" s="484"/>
      <c r="SLO3" s="484"/>
      <c r="SLP3" s="484"/>
      <c r="SLQ3" s="484"/>
      <c r="SLR3" s="484"/>
      <c r="SLS3" s="484"/>
      <c r="SLT3" s="484"/>
      <c r="SLU3" s="484"/>
      <c r="SLV3" s="484"/>
      <c r="SLW3" s="484"/>
      <c r="SLX3" s="484"/>
      <c r="SLY3" s="484"/>
      <c r="SLZ3" s="484"/>
      <c r="SMA3" s="484"/>
      <c r="SMB3" s="484"/>
      <c r="SMC3" s="484"/>
      <c r="SMD3" s="484"/>
      <c r="SME3" s="484"/>
      <c r="SMF3" s="484"/>
      <c r="SMG3" s="484"/>
      <c r="SMH3" s="484"/>
      <c r="SMI3" s="484"/>
      <c r="SMJ3" s="484"/>
      <c r="SMK3" s="484"/>
      <c r="SML3" s="484"/>
      <c r="SMM3" s="484"/>
      <c r="SMN3" s="484"/>
      <c r="SMO3" s="484"/>
      <c r="SMP3" s="484"/>
      <c r="SMQ3" s="484"/>
      <c r="SMR3" s="484"/>
      <c r="SMS3" s="484"/>
      <c r="SMT3" s="484"/>
      <c r="SMU3" s="484"/>
      <c r="SMV3" s="484"/>
      <c r="SMW3" s="484"/>
      <c r="SMX3" s="484"/>
      <c r="SMY3" s="484"/>
      <c r="SMZ3" s="484"/>
      <c r="SNA3" s="484"/>
      <c r="SNB3" s="484"/>
      <c r="SNC3" s="484"/>
      <c r="SND3" s="484"/>
      <c r="SNE3" s="484"/>
      <c r="SNF3" s="484"/>
      <c r="SNG3" s="484"/>
      <c r="SNH3" s="484"/>
      <c r="SNI3" s="484"/>
      <c r="SNJ3" s="484"/>
      <c r="SNK3" s="484"/>
      <c r="SNL3" s="484"/>
      <c r="SNM3" s="484"/>
      <c r="SNN3" s="484"/>
      <c r="SNO3" s="484"/>
      <c r="SNP3" s="484"/>
      <c r="SNQ3" s="484"/>
      <c r="SNR3" s="484"/>
      <c r="SNS3" s="484"/>
      <c r="SNT3" s="484"/>
      <c r="SNU3" s="484"/>
      <c r="SNV3" s="484"/>
      <c r="SNW3" s="484"/>
      <c r="SNX3" s="484"/>
      <c r="SNY3" s="484"/>
      <c r="SNZ3" s="484"/>
      <c r="SOA3" s="484"/>
      <c r="SOB3" s="484"/>
      <c r="SOC3" s="484"/>
      <c r="SOD3" s="484"/>
      <c r="SOE3" s="484"/>
      <c r="SOF3" s="484"/>
      <c r="SOG3" s="484"/>
      <c r="SOH3" s="484"/>
      <c r="SOI3" s="484"/>
      <c r="SOJ3" s="484"/>
      <c r="SOK3" s="484"/>
      <c r="SOL3" s="484"/>
      <c r="SOM3" s="484"/>
      <c r="SON3" s="484"/>
      <c r="SOO3" s="484"/>
      <c r="SOP3" s="484"/>
      <c r="SOQ3" s="484"/>
      <c r="SOR3" s="484"/>
      <c r="SOS3" s="484"/>
      <c r="SOT3" s="484"/>
      <c r="SOU3" s="484"/>
      <c r="SOV3" s="484"/>
      <c r="SOW3" s="484"/>
      <c r="SOX3" s="484"/>
      <c r="SOY3" s="484"/>
      <c r="SOZ3" s="484"/>
      <c r="SPA3" s="484"/>
      <c r="SPB3" s="484"/>
      <c r="SPC3" s="484"/>
      <c r="SPD3" s="484"/>
      <c r="SPE3" s="484"/>
      <c r="SPF3" s="484"/>
      <c r="SPG3" s="484"/>
      <c r="SPH3" s="484"/>
      <c r="SPI3" s="484"/>
      <c r="SPJ3" s="484"/>
      <c r="SPK3" s="484"/>
      <c r="SPL3" s="484"/>
      <c r="SPM3" s="484"/>
      <c r="SPN3" s="484"/>
      <c r="SPO3" s="484"/>
      <c r="SPP3" s="484"/>
      <c r="SPQ3" s="484"/>
      <c r="SPR3" s="484"/>
      <c r="SPS3" s="484"/>
      <c r="SPT3" s="484"/>
      <c r="SPU3" s="484"/>
      <c r="SPV3" s="484"/>
      <c r="SPW3" s="484"/>
      <c r="SPX3" s="484"/>
      <c r="SPY3" s="484"/>
      <c r="SPZ3" s="484"/>
      <c r="SQA3" s="484"/>
      <c r="SQB3" s="484"/>
      <c r="SQC3" s="484"/>
      <c r="SQD3" s="484"/>
      <c r="SQE3" s="484"/>
      <c r="SQF3" s="484"/>
      <c r="SQG3" s="484"/>
      <c r="SQH3" s="484"/>
      <c r="SQI3" s="484"/>
      <c r="SQJ3" s="484"/>
      <c r="SQK3" s="484"/>
      <c r="SQL3" s="484"/>
      <c r="SQM3" s="484"/>
      <c r="SQN3" s="484"/>
      <c r="SQO3" s="484"/>
      <c r="SQP3" s="484"/>
      <c r="SQQ3" s="484"/>
      <c r="SQR3" s="484"/>
      <c r="SQS3" s="484"/>
      <c r="SQT3" s="484"/>
      <c r="SQU3" s="484"/>
      <c r="SQV3" s="484"/>
      <c r="SQW3" s="484"/>
      <c r="SQX3" s="484"/>
      <c r="SQY3" s="484"/>
      <c r="SQZ3" s="484"/>
      <c r="SRA3" s="484"/>
      <c r="SRB3" s="484"/>
      <c r="SRC3" s="484"/>
      <c r="SRD3" s="484"/>
      <c r="SRE3" s="484"/>
      <c r="SRF3" s="484"/>
      <c r="SRG3" s="484"/>
      <c r="SRH3" s="484"/>
      <c r="SRI3" s="484"/>
      <c r="SRJ3" s="484"/>
      <c r="SRK3" s="484"/>
      <c r="SRL3" s="484"/>
      <c r="SRM3" s="484"/>
      <c r="SRN3" s="484"/>
      <c r="SRO3" s="484"/>
      <c r="SRP3" s="484"/>
      <c r="SRQ3" s="484"/>
      <c r="SRR3" s="484"/>
      <c r="SRS3" s="484"/>
      <c r="SRT3" s="484"/>
      <c r="SRU3" s="484"/>
      <c r="SRV3" s="484"/>
      <c r="SRW3" s="484"/>
      <c r="SRX3" s="484"/>
      <c r="SRY3" s="484"/>
      <c r="SRZ3" s="484"/>
      <c r="SSA3" s="484"/>
      <c r="SSB3" s="484"/>
      <c r="SSC3" s="484"/>
      <c r="SSD3" s="484"/>
      <c r="SSE3" s="484"/>
      <c r="SSF3" s="484"/>
      <c r="SSG3" s="484"/>
      <c r="SSH3" s="484"/>
      <c r="SSI3" s="484"/>
      <c r="SSJ3" s="484"/>
      <c r="SSK3" s="484"/>
      <c r="SSL3" s="484"/>
      <c r="SSM3" s="484"/>
      <c r="SSN3" s="484"/>
      <c r="SSO3" s="484"/>
      <c r="SSP3" s="484"/>
      <c r="SSQ3" s="484"/>
      <c r="SSR3" s="484"/>
      <c r="SSS3" s="484"/>
      <c r="SST3" s="484"/>
      <c r="SSU3" s="484"/>
      <c r="SSV3" s="484"/>
      <c r="SSW3" s="484"/>
      <c r="SSX3" s="484"/>
      <c r="SSY3" s="484"/>
      <c r="SSZ3" s="484"/>
      <c r="STA3" s="484"/>
      <c r="STB3" s="484"/>
      <c r="STC3" s="484"/>
      <c r="STD3" s="484"/>
      <c r="STE3" s="484"/>
      <c r="STF3" s="484"/>
      <c r="STG3" s="484"/>
      <c r="STH3" s="484"/>
      <c r="STI3" s="484"/>
      <c r="STJ3" s="484"/>
      <c r="STK3" s="484"/>
      <c r="STL3" s="484"/>
      <c r="STM3" s="484"/>
      <c r="STN3" s="484"/>
      <c r="STO3" s="484"/>
      <c r="STP3" s="484"/>
      <c r="STQ3" s="484"/>
      <c r="STR3" s="484"/>
      <c r="STS3" s="484"/>
      <c r="STT3" s="484"/>
      <c r="STU3" s="484"/>
      <c r="STV3" s="484"/>
      <c r="STW3" s="484"/>
      <c r="STX3" s="484"/>
      <c r="STY3" s="484"/>
      <c r="STZ3" s="484"/>
      <c r="SUA3" s="484"/>
      <c r="SUB3" s="484"/>
      <c r="SUC3" s="484"/>
      <c r="SUD3" s="484"/>
      <c r="SUE3" s="484"/>
      <c r="SUF3" s="484"/>
      <c r="SUG3" s="484"/>
      <c r="SUH3" s="484"/>
      <c r="SUI3" s="484"/>
      <c r="SUJ3" s="484"/>
      <c r="SUK3" s="484"/>
      <c r="SUL3" s="484"/>
      <c r="SUM3" s="484"/>
      <c r="SUN3" s="484"/>
      <c r="SUO3" s="484"/>
      <c r="SUP3" s="484"/>
      <c r="SUQ3" s="484"/>
      <c r="SUR3" s="484"/>
      <c r="SUS3" s="484"/>
      <c r="SUT3" s="484"/>
      <c r="SUU3" s="484"/>
      <c r="SUV3" s="484"/>
      <c r="SUW3" s="484"/>
      <c r="SUX3" s="484"/>
      <c r="SUY3" s="484"/>
      <c r="SUZ3" s="484"/>
      <c r="SVA3" s="484"/>
      <c r="SVB3" s="484"/>
      <c r="SVC3" s="484"/>
      <c r="SVD3" s="484"/>
      <c r="SVE3" s="484"/>
      <c r="SVF3" s="484"/>
      <c r="SVG3" s="484"/>
      <c r="SVH3" s="484"/>
      <c r="SVI3" s="484"/>
      <c r="SVJ3" s="484"/>
      <c r="SVK3" s="484"/>
      <c r="SVL3" s="484"/>
      <c r="SVM3" s="484"/>
      <c r="SVN3" s="484"/>
      <c r="SVO3" s="484"/>
      <c r="SVP3" s="484"/>
      <c r="SVQ3" s="484"/>
      <c r="SVR3" s="484"/>
      <c r="SVS3" s="484"/>
      <c r="SVT3" s="484"/>
      <c r="SVU3" s="484"/>
      <c r="SVV3" s="484"/>
      <c r="SVW3" s="484"/>
      <c r="SVX3" s="484"/>
      <c r="SVY3" s="484"/>
      <c r="SVZ3" s="484"/>
      <c r="SWA3" s="484"/>
      <c r="SWB3" s="484"/>
      <c r="SWC3" s="484"/>
      <c r="SWD3" s="484"/>
      <c r="SWE3" s="484"/>
      <c r="SWF3" s="484"/>
      <c r="SWG3" s="484"/>
      <c r="SWH3" s="484"/>
      <c r="SWI3" s="484"/>
      <c r="SWJ3" s="484"/>
      <c r="SWK3" s="484"/>
      <c r="SWL3" s="484"/>
      <c r="SWM3" s="484"/>
      <c r="SWN3" s="484"/>
      <c r="SWO3" s="484"/>
      <c r="SWP3" s="484"/>
      <c r="SWQ3" s="484"/>
      <c r="SWR3" s="484"/>
      <c r="SWS3" s="484"/>
      <c r="SWT3" s="484"/>
      <c r="SWU3" s="484"/>
      <c r="SWV3" s="484"/>
      <c r="SWW3" s="484"/>
      <c r="SWX3" s="484"/>
      <c r="SWY3" s="484"/>
      <c r="SWZ3" s="484"/>
      <c r="SXA3" s="484"/>
      <c r="SXB3" s="484"/>
      <c r="SXC3" s="484"/>
      <c r="SXD3" s="484"/>
      <c r="SXE3" s="484"/>
      <c r="SXF3" s="484"/>
      <c r="SXG3" s="484"/>
      <c r="SXH3" s="484"/>
      <c r="SXI3" s="484"/>
      <c r="SXJ3" s="484"/>
      <c r="SXK3" s="484"/>
      <c r="SXL3" s="484"/>
      <c r="SXM3" s="484"/>
      <c r="SXN3" s="484"/>
      <c r="SXO3" s="484"/>
      <c r="SXP3" s="484"/>
      <c r="SXQ3" s="484"/>
      <c r="SXR3" s="484"/>
      <c r="SXS3" s="484"/>
      <c r="SXT3" s="484"/>
      <c r="SXU3" s="484"/>
      <c r="SXV3" s="484"/>
      <c r="SXW3" s="484"/>
      <c r="SXX3" s="484"/>
      <c r="SXY3" s="484"/>
      <c r="SXZ3" s="484"/>
      <c r="SYA3" s="484"/>
      <c r="SYB3" s="484"/>
      <c r="SYC3" s="484"/>
      <c r="SYD3" s="484"/>
      <c r="SYE3" s="484"/>
      <c r="SYF3" s="484"/>
      <c r="SYG3" s="484"/>
      <c r="SYH3" s="484"/>
      <c r="SYI3" s="484"/>
      <c r="SYJ3" s="484"/>
      <c r="SYK3" s="484"/>
      <c r="SYL3" s="484"/>
      <c r="SYM3" s="484"/>
      <c r="SYN3" s="484"/>
      <c r="SYO3" s="484"/>
      <c r="SYP3" s="484"/>
      <c r="SYQ3" s="484"/>
      <c r="SYR3" s="484"/>
      <c r="SYS3" s="484"/>
      <c r="SYT3" s="484"/>
      <c r="SYU3" s="484"/>
      <c r="SYV3" s="484"/>
      <c r="SYW3" s="484"/>
      <c r="SYX3" s="484"/>
      <c r="SYY3" s="484"/>
      <c r="SYZ3" s="484"/>
      <c r="SZA3" s="484"/>
      <c r="SZB3" s="484"/>
      <c r="SZC3" s="484"/>
      <c r="SZD3" s="484"/>
      <c r="SZE3" s="484"/>
      <c r="SZF3" s="484"/>
      <c r="SZG3" s="484"/>
      <c r="SZH3" s="484"/>
      <c r="SZI3" s="484"/>
      <c r="SZJ3" s="484"/>
      <c r="SZK3" s="484"/>
      <c r="SZL3" s="484"/>
      <c r="SZM3" s="484"/>
      <c r="SZN3" s="484"/>
      <c r="SZO3" s="484"/>
      <c r="SZP3" s="484"/>
      <c r="SZQ3" s="484"/>
      <c r="SZR3" s="484"/>
      <c r="SZS3" s="484"/>
      <c r="SZT3" s="484"/>
      <c r="SZU3" s="484"/>
      <c r="SZV3" s="484"/>
      <c r="SZW3" s="484"/>
      <c r="SZX3" s="484"/>
      <c r="SZY3" s="484"/>
      <c r="SZZ3" s="484"/>
      <c r="TAA3" s="484"/>
      <c r="TAB3" s="484"/>
      <c r="TAC3" s="484"/>
      <c r="TAD3" s="484"/>
      <c r="TAE3" s="484"/>
      <c r="TAF3" s="484"/>
      <c r="TAG3" s="484"/>
      <c r="TAH3" s="484"/>
      <c r="TAI3" s="484"/>
      <c r="TAJ3" s="484"/>
      <c r="TAK3" s="484"/>
      <c r="TAL3" s="484"/>
      <c r="TAM3" s="484"/>
      <c r="TAN3" s="484"/>
      <c r="TAO3" s="484"/>
      <c r="TAP3" s="484"/>
      <c r="TAQ3" s="484"/>
      <c r="TAR3" s="484"/>
      <c r="TAS3" s="484"/>
      <c r="TAT3" s="484"/>
      <c r="TAU3" s="484"/>
      <c r="TAV3" s="484"/>
      <c r="TAW3" s="484"/>
      <c r="TAX3" s="484"/>
      <c r="TAY3" s="484"/>
      <c r="TAZ3" s="484"/>
      <c r="TBA3" s="484"/>
      <c r="TBB3" s="484"/>
      <c r="TBC3" s="484"/>
      <c r="TBD3" s="484"/>
      <c r="TBE3" s="484"/>
      <c r="TBF3" s="484"/>
      <c r="TBG3" s="484"/>
      <c r="TBH3" s="484"/>
      <c r="TBI3" s="484"/>
      <c r="TBJ3" s="484"/>
      <c r="TBK3" s="484"/>
      <c r="TBL3" s="484"/>
      <c r="TBM3" s="484"/>
      <c r="TBN3" s="484"/>
      <c r="TBO3" s="484"/>
      <c r="TBP3" s="484"/>
      <c r="TBQ3" s="484"/>
      <c r="TBR3" s="484"/>
      <c r="TBS3" s="484"/>
      <c r="TBT3" s="484"/>
      <c r="TBU3" s="484"/>
      <c r="TBV3" s="484"/>
      <c r="TBW3" s="484"/>
      <c r="TBX3" s="484"/>
      <c r="TBY3" s="484"/>
      <c r="TBZ3" s="484"/>
      <c r="TCA3" s="484"/>
      <c r="TCB3" s="484"/>
      <c r="TCC3" s="484"/>
      <c r="TCD3" s="484"/>
      <c r="TCE3" s="484"/>
      <c r="TCF3" s="484"/>
      <c r="TCG3" s="484"/>
      <c r="TCH3" s="484"/>
      <c r="TCI3" s="484"/>
      <c r="TCJ3" s="484"/>
      <c r="TCK3" s="484"/>
      <c r="TCL3" s="484"/>
      <c r="TCM3" s="484"/>
      <c r="TCN3" s="484"/>
      <c r="TCO3" s="484"/>
      <c r="TCP3" s="484"/>
      <c r="TCQ3" s="484"/>
      <c r="TCR3" s="484"/>
      <c r="TCS3" s="484"/>
      <c r="TCT3" s="484"/>
      <c r="TCU3" s="484"/>
      <c r="TCV3" s="484"/>
      <c r="TCW3" s="484"/>
      <c r="TCX3" s="484"/>
      <c r="TCY3" s="484"/>
      <c r="TCZ3" s="484"/>
      <c r="TDA3" s="484"/>
      <c r="TDB3" s="484"/>
      <c r="TDC3" s="484"/>
      <c r="TDD3" s="484"/>
      <c r="TDE3" s="484"/>
      <c r="TDF3" s="484"/>
      <c r="TDG3" s="484"/>
      <c r="TDH3" s="484"/>
      <c r="TDI3" s="484"/>
      <c r="TDJ3" s="484"/>
      <c r="TDK3" s="484"/>
      <c r="TDL3" s="484"/>
      <c r="TDM3" s="484"/>
      <c r="TDN3" s="484"/>
      <c r="TDO3" s="484"/>
      <c r="TDP3" s="484"/>
      <c r="TDQ3" s="484"/>
      <c r="TDR3" s="484"/>
      <c r="TDS3" s="484"/>
      <c r="TDT3" s="484"/>
      <c r="TDU3" s="484"/>
      <c r="TDV3" s="484"/>
      <c r="TDW3" s="484"/>
      <c r="TDX3" s="484"/>
      <c r="TDY3" s="484"/>
      <c r="TDZ3" s="484"/>
      <c r="TEA3" s="484"/>
      <c r="TEB3" s="484"/>
      <c r="TEC3" s="484"/>
      <c r="TED3" s="484"/>
      <c r="TEE3" s="484"/>
      <c r="TEF3" s="484"/>
      <c r="TEG3" s="484"/>
      <c r="TEH3" s="484"/>
      <c r="TEI3" s="484"/>
      <c r="TEJ3" s="484"/>
      <c r="TEK3" s="484"/>
      <c r="TEL3" s="484"/>
      <c r="TEM3" s="484"/>
      <c r="TEN3" s="484"/>
      <c r="TEO3" s="484"/>
      <c r="TEP3" s="484"/>
      <c r="TEQ3" s="484"/>
      <c r="TER3" s="484"/>
      <c r="TES3" s="484"/>
      <c r="TET3" s="484"/>
      <c r="TEU3" s="484"/>
      <c r="TEV3" s="484"/>
      <c r="TEW3" s="484"/>
      <c r="TEX3" s="484"/>
      <c r="TEY3" s="484"/>
      <c r="TEZ3" s="484"/>
      <c r="TFA3" s="484"/>
      <c r="TFB3" s="484"/>
      <c r="TFC3" s="484"/>
      <c r="TFD3" s="484"/>
      <c r="TFE3" s="484"/>
      <c r="TFF3" s="484"/>
      <c r="TFG3" s="484"/>
      <c r="TFH3" s="484"/>
      <c r="TFI3" s="484"/>
      <c r="TFJ3" s="484"/>
      <c r="TFK3" s="484"/>
      <c r="TFL3" s="484"/>
      <c r="TFM3" s="484"/>
      <c r="TFN3" s="484"/>
      <c r="TFO3" s="484"/>
      <c r="TFP3" s="484"/>
      <c r="TFQ3" s="484"/>
      <c r="TFR3" s="484"/>
      <c r="TFS3" s="484"/>
      <c r="TFT3" s="484"/>
      <c r="TFU3" s="484"/>
      <c r="TFV3" s="484"/>
      <c r="TFW3" s="484"/>
      <c r="TFX3" s="484"/>
      <c r="TFY3" s="484"/>
      <c r="TFZ3" s="484"/>
      <c r="TGA3" s="484"/>
      <c r="TGB3" s="484"/>
      <c r="TGC3" s="484"/>
      <c r="TGD3" s="484"/>
      <c r="TGE3" s="484"/>
      <c r="TGF3" s="484"/>
      <c r="TGG3" s="484"/>
      <c r="TGH3" s="484"/>
      <c r="TGI3" s="484"/>
      <c r="TGJ3" s="484"/>
      <c r="TGK3" s="484"/>
      <c r="TGL3" s="484"/>
      <c r="TGM3" s="484"/>
      <c r="TGN3" s="484"/>
      <c r="TGO3" s="484"/>
      <c r="TGP3" s="484"/>
      <c r="TGQ3" s="484"/>
      <c r="TGR3" s="484"/>
      <c r="TGS3" s="484"/>
      <c r="TGT3" s="484"/>
      <c r="TGU3" s="484"/>
      <c r="TGV3" s="484"/>
      <c r="TGW3" s="484"/>
      <c r="TGX3" s="484"/>
      <c r="TGY3" s="484"/>
      <c r="TGZ3" s="484"/>
      <c r="THA3" s="484"/>
      <c r="THB3" s="484"/>
      <c r="THC3" s="484"/>
      <c r="THD3" s="484"/>
      <c r="THE3" s="484"/>
      <c r="THF3" s="484"/>
      <c r="THG3" s="484"/>
      <c r="THH3" s="484"/>
      <c r="THI3" s="484"/>
      <c r="THJ3" s="484"/>
      <c r="THK3" s="484"/>
      <c r="THL3" s="484"/>
      <c r="THM3" s="484"/>
      <c r="THN3" s="484"/>
      <c r="THO3" s="484"/>
      <c r="THP3" s="484"/>
      <c r="THQ3" s="484"/>
      <c r="THR3" s="484"/>
      <c r="THS3" s="484"/>
      <c r="THT3" s="484"/>
      <c r="THU3" s="484"/>
      <c r="THV3" s="484"/>
      <c r="THW3" s="484"/>
      <c r="THX3" s="484"/>
      <c r="THY3" s="484"/>
      <c r="THZ3" s="484"/>
      <c r="TIA3" s="484"/>
      <c r="TIB3" s="484"/>
      <c r="TIC3" s="484"/>
      <c r="TID3" s="484"/>
      <c r="TIE3" s="484"/>
      <c r="TIF3" s="484"/>
      <c r="TIG3" s="484"/>
      <c r="TIH3" s="484"/>
      <c r="TII3" s="484"/>
      <c r="TIJ3" s="484"/>
      <c r="TIK3" s="484"/>
      <c r="TIL3" s="484"/>
      <c r="TIM3" s="484"/>
      <c r="TIN3" s="484"/>
      <c r="TIO3" s="484"/>
      <c r="TIP3" s="484"/>
      <c r="TIQ3" s="484"/>
      <c r="TIR3" s="484"/>
      <c r="TIS3" s="484"/>
      <c r="TIT3" s="484"/>
      <c r="TIU3" s="484"/>
      <c r="TIV3" s="484"/>
      <c r="TIW3" s="484"/>
      <c r="TIX3" s="484"/>
      <c r="TIY3" s="484"/>
      <c r="TIZ3" s="484"/>
      <c r="TJA3" s="484"/>
      <c r="TJB3" s="484"/>
      <c r="TJC3" s="484"/>
      <c r="TJD3" s="484"/>
      <c r="TJE3" s="484"/>
      <c r="TJF3" s="484"/>
      <c r="TJG3" s="484"/>
      <c r="TJH3" s="484"/>
      <c r="TJI3" s="484"/>
      <c r="TJJ3" s="484"/>
      <c r="TJK3" s="484"/>
      <c r="TJL3" s="484"/>
      <c r="TJM3" s="484"/>
      <c r="TJN3" s="484"/>
      <c r="TJO3" s="484"/>
      <c r="TJP3" s="484"/>
      <c r="TJQ3" s="484"/>
      <c r="TJR3" s="484"/>
      <c r="TJS3" s="484"/>
      <c r="TJT3" s="484"/>
      <c r="TJU3" s="484"/>
      <c r="TJV3" s="484"/>
      <c r="TJW3" s="484"/>
      <c r="TJX3" s="484"/>
      <c r="TJY3" s="484"/>
      <c r="TJZ3" s="484"/>
      <c r="TKA3" s="484"/>
      <c r="TKB3" s="484"/>
      <c r="TKC3" s="484"/>
      <c r="TKD3" s="484"/>
      <c r="TKE3" s="484"/>
      <c r="TKF3" s="484"/>
      <c r="TKG3" s="484"/>
      <c r="TKH3" s="484"/>
      <c r="TKI3" s="484"/>
      <c r="TKJ3" s="484"/>
      <c r="TKK3" s="484"/>
      <c r="TKL3" s="484"/>
      <c r="TKM3" s="484"/>
      <c r="TKN3" s="484"/>
      <c r="TKO3" s="484"/>
      <c r="TKP3" s="484"/>
      <c r="TKQ3" s="484"/>
      <c r="TKR3" s="484"/>
      <c r="TKS3" s="484"/>
      <c r="TKT3" s="484"/>
      <c r="TKU3" s="484"/>
      <c r="TKV3" s="484"/>
      <c r="TKW3" s="484"/>
      <c r="TKX3" s="484"/>
      <c r="TKY3" s="484"/>
      <c r="TKZ3" s="484"/>
      <c r="TLA3" s="484"/>
      <c r="TLB3" s="484"/>
      <c r="TLC3" s="484"/>
      <c r="TLD3" s="484"/>
      <c r="TLE3" s="484"/>
      <c r="TLF3" s="484"/>
      <c r="TLG3" s="484"/>
      <c r="TLH3" s="484"/>
      <c r="TLI3" s="484"/>
      <c r="TLJ3" s="484"/>
      <c r="TLK3" s="484"/>
      <c r="TLL3" s="484"/>
      <c r="TLM3" s="484"/>
      <c r="TLN3" s="484"/>
      <c r="TLO3" s="484"/>
      <c r="TLP3" s="484"/>
      <c r="TLQ3" s="484"/>
      <c r="TLR3" s="484"/>
      <c r="TLS3" s="484"/>
      <c r="TLT3" s="484"/>
      <c r="TLU3" s="484"/>
      <c r="TLV3" s="484"/>
      <c r="TLW3" s="484"/>
      <c r="TLX3" s="484"/>
      <c r="TLY3" s="484"/>
      <c r="TLZ3" s="484"/>
      <c r="TMA3" s="484"/>
      <c r="TMB3" s="484"/>
      <c r="TMC3" s="484"/>
      <c r="TMD3" s="484"/>
      <c r="TME3" s="484"/>
      <c r="TMF3" s="484"/>
      <c r="TMG3" s="484"/>
      <c r="TMH3" s="484"/>
      <c r="TMI3" s="484"/>
      <c r="TMJ3" s="484"/>
      <c r="TMK3" s="484"/>
      <c r="TML3" s="484"/>
      <c r="TMM3" s="484"/>
      <c r="TMN3" s="484"/>
      <c r="TMO3" s="484"/>
      <c r="TMP3" s="484"/>
      <c r="TMQ3" s="484"/>
      <c r="TMR3" s="484"/>
      <c r="TMS3" s="484"/>
      <c r="TMT3" s="484"/>
      <c r="TMU3" s="484"/>
      <c r="TMV3" s="484"/>
      <c r="TMW3" s="484"/>
      <c r="TMX3" s="484"/>
      <c r="TMY3" s="484"/>
      <c r="TMZ3" s="484"/>
      <c r="TNA3" s="484"/>
      <c r="TNB3" s="484"/>
      <c r="TNC3" s="484"/>
      <c r="TND3" s="484"/>
      <c r="TNE3" s="484"/>
      <c r="TNF3" s="484"/>
      <c r="TNG3" s="484"/>
      <c r="TNH3" s="484"/>
      <c r="TNI3" s="484"/>
      <c r="TNJ3" s="484"/>
      <c r="TNK3" s="484"/>
      <c r="TNL3" s="484"/>
      <c r="TNM3" s="484"/>
      <c r="TNN3" s="484"/>
      <c r="TNO3" s="484"/>
      <c r="TNP3" s="484"/>
      <c r="TNQ3" s="484"/>
      <c r="TNR3" s="484"/>
      <c r="TNS3" s="484"/>
      <c r="TNT3" s="484"/>
      <c r="TNU3" s="484"/>
      <c r="TNV3" s="484"/>
      <c r="TNW3" s="484"/>
      <c r="TNX3" s="484"/>
      <c r="TNY3" s="484"/>
      <c r="TNZ3" s="484"/>
      <c r="TOA3" s="484"/>
      <c r="TOB3" s="484"/>
      <c r="TOC3" s="484"/>
      <c r="TOD3" s="484"/>
      <c r="TOE3" s="484"/>
      <c r="TOF3" s="484"/>
      <c r="TOG3" s="484"/>
      <c r="TOH3" s="484"/>
      <c r="TOI3" s="484"/>
      <c r="TOJ3" s="484"/>
      <c r="TOK3" s="484"/>
      <c r="TOL3" s="484"/>
      <c r="TOM3" s="484"/>
      <c r="TON3" s="484"/>
      <c r="TOO3" s="484"/>
      <c r="TOP3" s="484"/>
      <c r="TOQ3" s="484"/>
      <c r="TOR3" s="484"/>
      <c r="TOS3" s="484"/>
      <c r="TOT3" s="484"/>
      <c r="TOU3" s="484"/>
      <c r="TOV3" s="484"/>
      <c r="TOW3" s="484"/>
      <c r="TOX3" s="484"/>
      <c r="TOY3" s="484"/>
      <c r="TOZ3" s="484"/>
      <c r="TPA3" s="484"/>
      <c r="TPB3" s="484"/>
      <c r="TPC3" s="484"/>
      <c r="TPD3" s="484"/>
      <c r="TPE3" s="484"/>
      <c r="TPF3" s="484"/>
      <c r="TPG3" s="484"/>
      <c r="TPH3" s="484"/>
      <c r="TPI3" s="484"/>
      <c r="TPJ3" s="484"/>
      <c r="TPK3" s="484"/>
      <c r="TPL3" s="484"/>
      <c r="TPM3" s="484"/>
      <c r="TPN3" s="484"/>
      <c r="TPO3" s="484"/>
      <c r="TPP3" s="484"/>
      <c r="TPQ3" s="484"/>
      <c r="TPR3" s="484"/>
      <c r="TPS3" s="484"/>
      <c r="TPT3" s="484"/>
      <c r="TPU3" s="484"/>
      <c r="TPV3" s="484"/>
      <c r="TPW3" s="484"/>
      <c r="TPX3" s="484"/>
      <c r="TPY3" s="484"/>
      <c r="TPZ3" s="484"/>
      <c r="TQA3" s="484"/>
      <c r="TQB3" s="484"/>
      <c r="TQC3" s="484"/>
      <c r="TQD3" s="484"/>
      <c r="TQE3" s="484"/>
      <c r="TQF3" s="484"/>
      <c r="TQG3" s="484"/>
      <c r="TQH3" s="484"/>
      <c r="TQI3" s="484"/>
      <c r="TQJ3" s="484"/>
      <c r="TQK3" s="484"/>
      <c r="TQL3" s="484"/>
      <c r="TQM3" s="484"/>
      <c r="TQN3" s="484"/>
      <c r="TQO3" s="484"/>
      <c r="TQP3" s="484"/>
      <c r="TQQ3" s="484"/>
      <c r="TQR3" s="484"/>
      <c r="TQS3" s="484"/>
      <c r="TQT3" s="484"/>
      <c r="TQU3" s="484"/>
      <c r="TQV3" s="484"/>
      <c r="TQW3" s="484"/>
      <c r="TQX3" s="484"/>
      <c r="TQY3" s="484"/>
      <c r="TQZ3" s="484"/>
      <c r="TRA3" s="484"/>
      <c r="TRB3" s="484"/>
      <c r="TRC3" s="484"/>
      <c r="TRD3" s="484"/>
      <c r="TRE3" s="484"/>
      <c r="TRF3" s="484"/>
      <c r="TRG3" s="484"/>
      <c r="TRH3" s="484"/>
      <c r="TRI3" s="484"/>
      <c r="TRJ3" s="484"/>
      <c r="TRK3" s="484"/>
      <c r="TRL3" s="484"/>
      <c r="TRM3" s="484"/>
      <c r="TRN3" s="484"/>
      <c r="TRO3" s="484"/>
      <c r="TRP3" s="484"/>
      <c r="TRQ3" s="484"/>
      <c r="TRR3" s="484"/>
      <c r="TRS3" s="484"/>
      <c r="TRT3" s="484"/>
      <c r="TRU3" s="484"/>
      <c r="TRV3" s="484"/>
      <c r="TRW3" s="484"/>
      <c r="TRX3" s="484"/>
      <c r="TRY3" s="484"/>
      <c r="TRZ3" s="484"/>
      <c r="TSA3" s="484"/>
      <c r="TSB3" s="484"/>
      <c r="TSC3" s="484"/>
      <c r="TSD3" s="484"/>
      <c r="TSE3" s="484"/>
      <c r="TSF3" s="484"/>
      <c r="TSG3" s="484"/>
      <c r="TSH3" s="484"/>
      <c r="TSI3" s="484"/>
      <c r="TSJ3" s="484"/>
      <c r="TSK3" s="484"/>
      <c r="TSL3" s="484"/>
      <c r="TSM3" s="484"/>
      <c r="TSN3" s="484"/>
      <c r="TSO3" s="484"/>
      <c r="TSP3" s="484"/>
      <c r="TSQ3" s="484"/>
      <c r="TSR3" s="484"/>
      <c r="TSS3" s="484"/>
      <c r="TST3" s="484"/>
      <c r="TSU3" s="484"/>
      <c r="TSV3" s="484"/>
      <c r="TSW3" s="484"/>
      <c r="TSX3" s="484"/>
      <c r="TSY3" s="484"/>
      <c r="TSZ3" s="484"/>
      <c r="TTA3" s="484"/>
      <c r="TTB3" s="484"/>
      <c r="TTC3" s="484"/>
      <c r="TTD3" s="484"/>
      <c r="TTE3" s="484"/>
      <c r="TTF3" s="484"/>
      <c r="TTG3" s="484"/>
      <c r="TTH3" s="484"/>
      <c r="TTI3" s="484"/>
      <c r="TTJ3" s="484"/>
      <c r="TTK3" s="484"/>
      <c r="TTL3" s="484"/>
      <c r="TTM3" s="484"/>
      <c r="TTN3" s="484"/>
      <c r="TTO3" s="484"/>
      <c r="TTP3" s="484"/>
      <c r="TTQ3" s="484"/>
      <c r="TTR3" s="484"/>
      <c r="TTS3" s="484"/>
      <c r="TTT3" s="484"/>
      <c r="TTU3" s="484"/>
      <c r="TTV3" s="484"/>
      <c r="TTW3" s="484"/>
      <c r="TTX3" s="484"/>
      <c r="TTY3" s="484"/>
      <c r="TTZ3" s="484"/>
      <c r="TUA3" s="484"/>
      <c r="TUB3" s="484"/>
      <c r="TUC3" s="484"/>
      <c r="TUD3" s="484"/>
      <c r="TUE3" s="484"/>
      <c r="TUF3" s="484"/>
      <c r="TUG3" s="484"/>
      <c r="TUH3" s="484"/>
      <c r="TUI3" s="484"/>
      <c r="TUJ3" s="484"/>
      <c r="TUK3" s="484"/>
      <c r="TUL3" s="484"/>
      <c r="TUM3" s="484"/>
      <c r="TUN3" s="484"/>
      <c r="TUO3" s="484"/>
      <c r="TUP3" s="484"/>
      <c r="TUQ3" s="484"/>
      <c r="TUR3" s="484"/>
      <c r="TUS3" s="484"/>
      <c r="TUT3" s="484"/>
      <c r="TUU3" s="484"/>
      <c r="TUV3" s="484"/>
      <c r="TUW3" s="484"/>
      <c r="TUX3" s="484"/>
      <c r="TUY3" s="484"/>
      <c r="TUZ3" s="484"/>
      <c r="TVA3" s="484"/>
      <c r="TVB3" s="484"/>
      <c r="TVC3" s="484"/>
      <c r="TVD3" s="484"/>
      <c r="TVE3" s="484"/>
      <c r="TVF3" s="484"/>
      <c r="TVG3" s="484"/>
      <c r="TVH3" s="484"/>
      <c r="TVI3" s="484"/>
      <c r="TVJ3" s="484"/>
      <c r="TVK3" s="484"/>
      <c r="TVL3" s="484"/>
      <c r="TVM3" s="484"/>
      <c r="TVN3" s="484"/>
      <c r="TVO3" s="484"/>
      <c r="TVP3" s="484"/>
      <c r="TVQ3" s="484"/>
      <c r="TVR3" s="484"/>
      <c r="TVS3" s="484"/>
      <c r="TVT3" s="484"/>
      <c r="TVU3" s="484"/>
      <c r="TVV3" s="484"/>
      <c r="TVW3" s="484"/>
      <c r="TVX3" s="484"/>
      <c r="TVY3" s="484"/>
      <c r="TVZ3" s="484"/>
      <c r="TWA3" s="484"/>
      <c r="TWB3" s="484"/>
      <c r="TWC3" s="484"/>
      <c r="TWD3" s="484"/>
      <c r="TWE3" s="484"/>
      <c r="TWF3" s="484"/>
      <c r="TWG3" s="484"/>
      <c r="TWH3" s="484"/>
      <c r="TWI3" s="484"/>
      <c r="TWJ3" s="484"/>
      <c r="TWK3" s="484"/>
      <c r="TWL3" s="484"/>
      <c r="TWM3" s="484"/>
      <c r="TWN3" s="484"/>
      <c r="TWO3" s="484"/>
      <c r="TWP3" s="484"/>
      <c r="TWQ3" s="484"/>
      <c r="TWR3" s="484"/>
      <c r="TWS3" s="484"/>
      <c r="TWT3" s="484"/>
      <c r="TWU3" s="484"/>
      <c r="TWV3" s="484"/>
      <c r="TWW3" s="484"/>
      <c r="TWX3" s="484"/>
      <c r="TWY3" s="484"/>
      <c r="TWZ3" s="484"/>
      <c r="TXA3" s="484"/>
      <c r="TXB3" s="484"/>
      <c r="TXC3" s="484"/>
      <c r="TXD3" s="484"/>
      <c r="TXE3" s="484"/>
      <c r="TXF3" s="484"/>
      <c r="TXG3" s="484"/>
      <c r="TXH3" s="484"/>
      <c r="TXI3" s="484"/>
      <c r="TXJ3" s="484"/>
      <c r="TXK3" s="484"/>
      <c r="TXL3" s="484"/>
      <c r="TXM3" s="484"/>
      <c r="TXN3" s="484"/>
      <c r="TXO3" s="484"/>
      <c r="TXP3" s="484"/>
      <c r="TXQ3" s="484"/>
      <c r="TXR3" s="484"/>
      <c r="TXS3" s="484"/>
      <c r="TXT3" s="484"/>
      <c r="TXU3" s="484"/>
      <c r="TXV3" s="484"/>
      <c r="TXW3" s="484"/>
      <c r="TXX3" s="484"/>
      <c r="TXY3" s="484"/>
      <c r="TXZ3" s="484"/>
      <c r="TYA3" s="484"/>
      <c r="TYB3" s="484"/>
      <c r="TYC3" s="484"/>
      <c r="TYD3" s="484"/>
      <c r="TYE3" s="484"/>
      <c r="TYF3" s="484"/>
      <c r="TYG3" s="484"/>
      <c r="TYH3" s="484"/>
      <c r="TYI3" s="484"/>
      <c r="TYJ3" s="484"/>
      <c r="TYK3" s="484"/>
      <c r="TYL3" s="484"/>
      <c r="TYM3" s="484"/>
      <c r="TYN3" s="484"/>
      <c r="TYO3" s="484"/>
      <c r="TYP3" s="484"/>
      <c r="TYQ3" s="484"/>
      <c r="TYR3" s="484"/>
      <c r="TYS3" s="484"/>
      <c r="TYT3" s="484"/>
      <c r="TYU3" s="484"/>
      <c r="TYV3" s="484"/>
      <c r="TYW3" s="484"/>
      <c r="TYX3" s="484"/>
      <c r="TYY3" s="484"/>
      <c r="TYZ3" s="484"/>
      <c r="TZA3" s="484"/>
      <c r="TZB3" s="484"/>
      <c r="TZC3" s="484"/>
      <c r="TZD3" s="484"/>
      <c r="TZE3" s="484"/>
      <c r="TZF3" s="484"/>
      <c r="TZG3" s="484"/>
      <c r="TZH3" s="484"/>
      <c r="TZI3" s="484"/>
      <c r="TZJ3" s="484"/>
      <c r="TZK3" s="484"/>
      <c r="TZL3" s="484"/>
      <c r="TZM3" s="484"/>
      <c r="TZN3" s="484"/>
      <c r="TZO3" s="484"/>
      <c r="TZP3" s="484"/>
      <c r="TZQ3" s="484"/>
      <c r="TZR3" s="484"/>
      <c r="TZS3" s="484"/>
      <c r="TZT3" s="484"/>
      <c r="TZU3" s="484"/>
      <c r="TZV3" s="484"/>
      <c r="TZW3" s="484"/>
      <c r="TZX3" s="484"/>
      <c r="TZY3" s="484"/>
      <c r="TZZ3" s="484"/>
      <c r="UAA3" s="484"/>
      <c r="UAB3" s="484"/>
      <c r="UAC3" s="484"/>
      <c r="UAD3" s="484"/>
      <c r="UAE3" s="484"/>
      <c r="UAF3" s="484"/>
      <c r="UAG3" s="484"/>
      <c r="UAH3" s="484"/>
      <c r="UAI3" s="484"/>
      <c r="UAJ3" s="484"/>
      <c r="UAK3" s="484"/>
      <c r="UAL3" s="484"/>
      <c r="UAM3" s="484"/>
      <c r="UAN3" s="484"/>
      <c r="UAO3" s="484"/>
      <c r="UAP3" s="484"/>
      <c r="UAQ3" s="484"/>
      <c r="UAR3" s="484"/>
      <c r="UAS3" s="484"/>
      <c r="UAT3" s="484"/>
      <c r="UAU3" s="484"/>
      <c r="UAV3" s="484"/>
      <c r="UAW3" s="484"/>
      <c r="UAX3" s="484"/>
      <c r="UAY3" s="484"/>
      <c r="UAZ3" s="484"/>
      <c r="UBA3" s="484"/>
      <c r="UBB3" s="484"/>
      <c r="UBC3" s="484"/>
      <c r="UBD3" s="484"/>
      <c r="UBE3" s="484"/>
      <c r="UBF3" s="484"/>
      <c r="UBG3" s="484"/>
      <c r="UBH3" s="484"/>
      <c r="UBI3" s="484"/>
      <c r="UBJ3" s="484"/>
      <c r="UBK3" s="484"/>
      <c r="UBL3" s="484"/>
      <c r="UBM3" s="484"/>
      <c r="UBN3" s="484"/>
      <c r="UBO3" s="484"/>
      <c r="UBP3" s="484"/>
      <c r="UBQ3" s="484"/>
      <c r="UBR3" s="484"/>
      <c r="UBS3" s="484"/>
      <c r="UBT3" s="484"/>
      <c r="UBU3" s="484"/>
      <c r="UBV3" s="484"/>
      <c r="UBW3" s="484"/>
      <c r="UBX3" s="484"/>
      <c r="UBY3" s="484"/>
      <c r="UBZ3" s="484"/>
      <c r="UCA3" s="484"/>
      <c r="UCB3" s="484"/>
      <c r="UCC3" s="484"/>
      <c r="UCD3" s="484"/>
      <c r="UCE3" s="484"/>
      <c r="UCF3" s="484"/>
      <c r="UCG3" s="484"/>
      <c r="UCH3" s="484"/>
      <c r="UCI3" s="484"/>
      <c r="UCJ3" s="484"/>
      <c r="UCK3" s="484"/>
      <c r="UCL3" s="484"/>
      <c r="UCM3" s="484"/>
      <c r="UCN3" s="484"/>
      <c r="UCO3" s="484"/>
      <c r="UCP3" s="484"/>
      <c r="UCQ3" s="484"/>
      <c r="UCR3" s="484"/>
      <c r="UCS3" s="484"/>
      <c r="UCT3" s="484"/>
      <c r="UCU3" s="484"/>
      <c r="UCV3" s="484"/>
      <c r="UCW3" s="484"/>
      <c r="UCX3" s="484"/>
      <c r="UCY3" s="484"/>
      <c r="UCZ3" s="484"/>
      <c r="UDA3" s="484"/>
      <c r="UDB3" s="484"/>
      <c r="UDC3" s="484"/>
      <c r="UDD3" s="484"/>
      <c r="UDE3" s="484"/>
      <c r="UDF3" s="484"/>
      <c r="UDG3" s="484"/>
      <c r="UDH3" s="484"/>
      <c r="UDI3" s="484"/>
      <c r="UDJ3" s="484"/>
      <c r="UDK3" s="484"/>
      <c r="UDL3" s="484"/>
      <c r="UDM3" s="484"/>
      <c r="UDN3" s="484"/>
      <c r="UDO3" s="484"/>
      <c r="UDP3" s="484"/>
      <c r="UDQ3" s="484"/>
      <c r="UDR3" s="484"/>
      <c r="UDS3" s="484"/>
      <c r="UDT3" s="484"/>
      <c r="UDU3" s="484"/>
      <c r="UDV3" s="484"/>
      <c r="UDW3" s="484"/>
      <c r="UDX3" s="484"/>
      <c r="UDY3" s="484"/>
      <c r="UDZ3" s="484"/>
      <c r="UEA3" s="484"/>
      <c r="UEB3" s="484"/>
      <c r="UEC3" s="484"/>
      <c r="UED3" s="484"/>
      <c r="UEE3" s="484"/>
      <c r="UEF3" s="484"/>
      <c r="UEG3" s="484"/>
      <c r="UEH3" s="484"/>
      <c r="UEI3" s="484"/>
      <c r="UEJ3" s="484"/>
      <c r="UEK3" s="484"/>
      <c r="UEL3" s="484"/>
      <c r="UEM3" s="484"/>
      <c r="UEN3" s="484"/>
      <c r="UEO3" s="484"/>
      <c r="UEP3" s="484"/>
      <c r="UEQ3" s="484"/>
      <c r="UER3" s="484"/>
      <c r="UES3" s="484"/>
      <c r="UET3" s="484"/>
      <c r="UEU3" s="484"/>
      <c r="UEV3" s="484"/>
      <c r="UEW3" s="484"/>
      <c r="UEX3" s="484"/>
      <c r="UEY3" s="484"/>
      <c r="UEZ3" s="484"/>
      <c r="UFA3" s="484"/>
      <c r="UFB3" s="484"/>
      <c r="UFC3" s="484"/>
      <c r="UFD3" s="484"/>
      <c r="UFE3" s="484"/>
      <c r="UFF3" s="484"/>
      <c r="UFG3" s="484"/>
      <c r="UFH3" s="484"/>
      <c r="UFI3" s="484"/>
      <c r="UFJ3" s="484"/>
      <c r="UFK3" s="484"/>
      <c r="UFL3" s="484"/>
      <c r="UFM3" s="484"/>
      <c r="UFN3" s="484"/>
      <c r="UFO3" s="484"/>
      <c r="UFP3" s="484"/>
      <c r="UFQ3" s="484"/>
      <c r="UFR3" s="484"/>
      <c r="UFS3" s="484"/>
      <c r="UFT3" s="484"/>
      <c r="UFU3" s="484"/>
      <c r="UFV3" s="484"/>
      <c r="UFW3" s="484"/>
      <c r="UFX3" s="484"/>
      <c r="UFY3" s="484"/>
      <c r="UFZ3" s="484"/>
      <c r="UGA3" s="484"/>
      <c r="UGB3" s="484"/>
      <c r="UGC3" s="484"/>
      <c r="UGD3" s="484"/>
      <c r="UGE3" s="484"/>
      <c r="UGF3" s="484"/>
      <c r="UGG3" s="484"/>
      <c r="UGH3" s="484"/>
      <c r="UGI3" s="484"/>
      <c r="UGJ3" s="484"/>
      <c r="UGK3" s="484"/>
      <c r="UGL3" s="484"/>
      <c r="UGM3" s="484"/>
      <c r="UGN3" s="484"/>
      <c r="UGO3" s="484"/>
      <c r="UGP3" s="484"/>
      <c r="UGQ3" s="484"/>
      <c r="UGR3" s="484"/>
      <c r="UGS3" s="484"/>
      <c r="UGT3" s="484"/>
      <c r="UGU3" s="484"/>
      <c r="UGV3" s="484"/>
      <c r="UGW3" s="484"/>
      <c r="UGX3" s="484"/>
      <c r="UGY3" s="484"/>
      <c r="UGZ3" s="484"/>
      <c r="UHA3" s="484"/>
      <c r="UHB3" s="484"/>
      <c r="UHC3" s="484"/>
      <c r="UHD3" s="484"/>
      <c r="UHE3" s="484"/>
      <c r="UHF3" s="484"/>
      <c r="UHG3" s="484"/>
      <c r="UHH3" s="484"/>
      <c r="UHI3" s="484"/>
      <c r="UHJ3" s="484"/>
      <c r="UHK3" s="484"/>
      <c r="UHL3" s="484"/>
      <c r="UHM3" s="484"/>
      <c r="UHN3" s="484"/>
      <c r="UHO3" s="484"/>
      <c r="UHP3" s="484"/>
      <c r="UHQ3" s="484"/>
      <c r="UHR3" s="484"/>
      <c r="UHS3" s="484"/>
      <c r="UHT3" s="484"/>
      <c r="UHU3" s="484"/>
      <c r="UHV3" s="484"/>
      <c r="UHW3" s="484"/>
      <c r="UHX3" s="484"/>
      <c r="UHY3" s="484"/>
      <c r="UHZ3" s="484"/>
      <c r="UIA3" s="484"/>
      <c r="UIB3" s="484"/>
      <c r="UIC3" s="484"/>
      <c r="UID3" s="484"/>
      <c r="UIE3" s="484"/>
      <c r="UIF3" s="484"/>
      <c r="UIG3" s="484"/>
      <c r="UIH3" s="484"/>
      <c r="UII3" s="484"/>
      <c r="UIJ3" s="484"/>
      <c r="UIK3" s="484"/>
      <c r="UIL3" s="484"/>
      <c r="UIM3" s="484"/>
      <c r="UIN3" s="484"/>
      <c r="UIO3" s="484"/>
      <c r="UIP3" s="484"/>
      <c r="UIQ3" s="484"/>
      <c r="UIR3" s="484"/>
      <c r="UIS3" s="484"/>
      <c r="UIT3" s="484"/>
      <c r="UIU3" s="484"/>
      <c r="UIV3" s="484"/>
      <c r="UIW3" s="484"/>
      <c r="UIX3" s="484"/>
      <c r="UIY3" s="484"/>
      <c r="UIZ3" s="484"/>
      <c r="UJA3" s="484"/>
      <c r="UJB3" s="484"/>
      <c r="UJC3" s="484"/>
      <c r="UJD3" s="484"/>
      <c r="UJE3" s="484"/>
      <c r="UJF3" s="484"/>
      <c r="UJG3" s="484"/>
      <c r="UJH3" s="484"/>
      <c r="UJI3" s="484"/>
      <c r="UJJ3" s="484"/>
      <c r="UJK3" s="484"/>
      <c r="UJL3" s="484"/>
      <c r="UJM3" s="484"/>
      <c r="UJN3" s="484"/>
      <c r="UJO3" s="484"/>
      <c r="UJP3" s="484"/>
      <c r="UJQ3" s="484"/>
      <c r="UJR3" s="484"/>
      <c r="UJS3" s="484"/>
      <c r="UJT3" s="484"/>
      <c r="UJU3" s="484"/>
      <c r="UJV3" s="484"/>
      <c r="UJW3" s="484"/>
      <c r="UJX3" s="484"/>
      <c r="UJY3" s="484"/>
      <c r="UJZ3" s="484"/>
      <c r="UKA3" s="484"/>
      <c r="UKB3" s="484"/>
      <c r="UKC3" s="484"/>
      <c r="UKD3" s="484"/>
      <c r="UKE3" s="484"/>
      <c r="UKF3" s="484"/>
      <c r="UKG3" s="484"/>
      <c r="UKH3" s="484"/>
      <c r="UKI3" s="484"/>
      <c r="UKJ3" s="484"/>
      <c r="UKK3" s="484"/>
      <c r="UKL3" s="484"/>
      <c r="UKM3" s="484"/>
      <c r="UKN3" s="484"/>
      <c r="UKO3" s="484"/>
      <c r="UKP3" s="484"/>
      <c r="UKQ3" s="484"/>
      <c r="UKR3" s="484"/>
      <c r="UKS3" s="484"/>
      <c r="UKT3" s="484"/>
      <c r="UKU3" s="484"/>
      <c r="UKV3" s="484"/>
      <c r="UKW3" s="484"/>
      <c r="UKX3" s="484"/>
      <c r="UKY3" s="484"/>
      <c r="UKZ3" s="484"/>
      <c r="ULA3" s="484"/>
      <c r="ULB3" s="484"/>
      <c r="ULC3" s="484"/>
      <c r="ULD3" s="484"/>
      <c r="ULE3" s="484"/>
      <c r="ULF3" s="484"/>
      <c r="ULG3" s="484"/>
      <c r="ULH3" s="484"/>
      <c r="ULI3" s="484"/>
      <c r="ULJ3" s="484"/>
      <c r="ULK3" s="484"/>
      <c r="ULL3" s="484"/>
      <c r="ULM3" s="484"/>
      <c r="ULN3" s="484"/>
      <c r="ULO3" s="484"/>
      <c r="ULP3" s="484"/>
      <c r="ULQ3" s="484"/>
      <c r="ULR3" s="484"/>
      <c r="ULS3" s="484"/>
      <c r="ULT3" s="484"/>
      <c r="ULU3" s="484"/>
      <c r="ULV3" s="484"/>
      <c r="ULW3" s="484"/>
      <c r="ULX3" s="484"/>
      <c r="ULY3" s="484"/>
      <c r="ULZ3" s="484"/>
      <c r="UMA3" s="484"/>
      <c r="UMB3" s="484"/>
      <c r="UMC3" s="484"/>
      <c r="UMD3" s="484"/>
      <c r="UME3" s="484"/>
      <c r="UMF3" s="484"/>
      <c r="UMG3" s="484"/>
      <c r="UMH3" s="484"/>
      <c r="UMI3" s="484"/>
      <c r="UMJ3" s="484"/>
      <c r="UMK3" s="484"/>
      <c r="UML3" s="484"/>
      <c r="UMM3" s="484"/>
      <c r="UMN3" s="484"/>
      <c r="UMO3" s="484"/>
      <c r="UMP3" s="484"/>
      <c r="UMQ3" s="484"/>
      <c r="UMR3" s="484"/>
      <c r="UMS3" s="484"/>
      <c r="UMT3" s="484"/>
      <c r="UMU3" s="484"/>
      <c r="UMV3" s="484"/>
      <c r="UMW3" s="484"/>
      <c r="UMX3" s="484"/>
      <c r="UMY3" s="484"/>
      <c r="UMZ3" s="484"/>
      <c r="UNA3" s="484"/>
      <c r="UNB3" s="484"/>
      <c r="UNC3" s="484"/>
      <c r="UND3" s="484"/>
      <c r="UNE3" s="484"/>
      <c r="UNF3" s="484"/>
      <c r="UNG3" s="484"/>
      <c r="UNH3" s="484"/>
      <c r="UNI3" s="484"/>
      <c r="UNJ3" s="484"/>
      <c r="UNK3" s="484"/>
      <c r="UNL3" s="484"/>
      <c r="UNM3" s="484"/>
      <c r="UNN3" s="484"/>
      <c r="UNO3" s="484"/>
      <c r="UNP3" s="484"/>
      <c r="UNQ3" s="484"/>
      <c r="UNR3" s="484"/>
      <c r="UNS3" s="484"/>
      <c r="UNT3" s="484"/>
      <c r="UNU3" s="484"/>
      <c r="UNV3" s="484"/>
      <c r="UNW3" s="484"/>
      <c r="UNX3" s="484"/>
      <c r="UNY3" s="484"/>
      <c r="UNZ3" s="484"/>
      <c r="UOA3" s="484"/>
      <c r="UOB3" s="484"/>
      <c r="UOC3" s="484"/>
      <c r="UOD3" s="484"/>
      <c r="UOE3" s="484"/>
      <c r="UOF3" s="484"/>
      <c r="UOG3" s="484"/>
      <c r="UOH3" s="484"/>
      <c r="UOI3" s="484"/>
      <c r="UOJ3" s="484"/>
      <c r="UOK3" s="484"/>
      <c r="UOL3" s="484"/>
      <c r="UOM3" s="484"/>
      <c r="UON3" s="484"/>
      <c r="UOO3" s="484"/>
      <c r="UOP3" s="484"/>
      <c r="UOQ3" s="484"/>
      <c r="UOR3" s="484"/>
      <c r="UOS3" s="484"/>
      <c r="UOT3" s="484"/>
      <c r="UOU3" s="484"/>
      <c r="UOV3" s="484"/>
      <c r="UOW3" s="484"/>
      <c r="UOX3" s="484"/>
      <c r="UOY3" s="484"/>
      <c r="UOZ3" s="484"/>
      <c r="UPA3" s="484"/>
      <c r="UPB3" s="484"/>
      <c r="UPC3" s="484"/>
      <c r="UPD3" s="484"/>
      <c r="UPE3" s="484"/>
      <c r="UPF3" s="484"/>
      <c r="UPG3" s="484"/>
      <c r="UPH3" s="484"/>
      <c r="UPI3" s="484"/>
      <c r="UPJ3" s="484"/>
      <c r="UPK3" s="484"/>
      <c r="UPL3" s="484"/>
      <c r="UPM3" s="484"/>
      <c r="UPN3" s="484"/>
      <c r="UPO3" s="484"/>
      <c r="UPP3" s="484"/>
      <c r="UPQ3" s="484"/>
      <c r="UPR3" s="484"/>
      <c r="UPS3" s="484"/>
      <c r="UPT3" s="484"/>
      <c r="UPU3" s="484"/>
      <c r="UPV3" s="484"/>
      <c r="UPW3" s="484"/>
      <c r="UPX3" s="484"/>
      <c r="UPY3" s="484"/>
      <c r="UPZ3" s="484"/>
      <c r="UQA3" s="484"/>
      <c r="UQB3" s="484"/>
      <c r="UQC3" s="484"/>
      <c r="UQD3" s="484"/>
      <c r="UQE3" s="484"/>
      <c r="UQF3" s="484"/>
      <c r="UQG3" s="484"/>
      <c r="UQH3" s="484"/>
      <c r="UQI3" s="484"/>
      <c r="UQJ3" s="484"/>
      <c r="UQK3" s="484"/>
      <c r="UQL3" s="484"/>
      <c r="UQM3" s="484"/>
      <c r="UQN3" s="484"/>
      <c r="UQO3" s="484"/>
      <c r="UQP3" s="484"/>
      <c r="UQQ3" s="484"/>
      <c r="UQR3" s="484"/>
      <c r="UQS3" s="484"/>
      <c r="UQT3" s="484"/>
      <c r="UQU3" s="484"/>
      <c r="UQV3" s="484"/>
      <c r="UQW3" s="484"/>
      <c r="UQX3" s="484"/>
      <c r="UQY3" s="484"/>
      <c r="UQZ3" s="484"/>
      <c r="URA3" s="484"/>
      <c r="URB3" s="484"/>
      <c r="URC3" s="484"/>
      <c r="URD3" s="484"/>
      <c r="URE3" s="484"/>
      <c r="URF3" s="484"/>
      <c r="URG3" s="484"/>
      <c r="URH3" s="484"/>
      <c r="URI3" s="484"/>
      <c r="URJ3" s="484"/>
      <c r="URK3" s="484"/>
      <c r="URL3" s="484"/>
      <c r="URM3" s="484"/>
      <c r="URN3" s="484"/>
      <c r="URO3" s="484"/>
      <c r="URP3" s="484"/>
      <c r="URQ3" s="484"/>
      <c r="URR3" s="484"/>
      <c r="URS3" s="484"/>
      <c r="URT3" s="484"/>
      <c r="URU3" s="484"/>
      <c r="URV3" s="484"/>
      <c r="URW3" s="484"/>
      <c r="URX3" s="484"/>
      <c r="URY3" s="484"/>
      <c r="URZ3" s="484"/>
      <c r="USA3" s="484"/>
      <c r="USB3" s="484"/>
      <c r="USC3" s="484"/>
      <c r="USD3" s="484"/>
      <c r="USE3" s="484"/>
      <c r="USF3" s="484"/>
      <c r="USG3" s="484"/>
      <c r="USH3" s="484"/>
      <c r="USI3" s="484"/>
      <c r="USJ3" s="484"/>
      <c r="USK3" s="484"/>
      <c r="USL3" s="484"/>
      <c r="USM3" s="484"/>
      <c r="USN3" s="484"/>
      <c r="USO3" s="484"/>
      <c r="USP3" s="484"/>
      <c r="USQ3" s="484"/>
      <c r="USR3" s="484"/>
      <c r="USS3" s="484"/>
      <c r="UST3" s="484"/>
      <c r="USU3" s="484"/>
      <c r="USV3" s="484"/>
      <c r="USW3" s="484"/>
      <c r="USX3" s="484"/>
      <c r="USY3" s="484"/>
      <c r="USZ3" s="484"/>
      <c r="UTA3" s="484"/>
      <c r="UTB3" s="484"/>
      <c r="UTC3" s="484"/>
      <c r="UTD3" s="484"/>
      <c r="UTE3" s="484"/>
      <c r="UTF3" s="484"/>
      <c r="UTG3" s="484"/>
      <c r="UTH3" s="484"/>
      <c r="UTI3" s="484"/>
      <c r="UTJ3" s="484"/>
      <c r="UTK3" s="484"/>
      <c r="UTL3" s="484"/>
      <c r="UTM3" s="484"/>
      <c r="UTN3" s="484"/>
      <c r="UTO3" s="484"/>
      <c r="UTP3" s="484"/>
      <c r="UTQ3" s="484"/>
      <c r="UTR3" s="484"/>
      <c r="UTS3" s="484"/>
      <c r="UTT3" s="484"/>
      <c r="UTU3" s="484"/>
      <c r="UTV3" s="484"/>
      <c r="UTW3" s="484"/>
      <c r="UTX3" s="484"/>
      <c r="UTY3" s="484"/>
      <c r="UTZ3" s="484"/>
      <c r="UUA3" s="484"/>
      <c r="UUB3" s="484"/>
      <c r="UUC3" s="484"/>
      <c r="UUD3" s="484"/>
      <c r="UUE3" s="484"/>
      <c r="UUF3" s="484"/>
      <c r="UUG3" s="484"/>
      <c r="UUH3" s="484"/>
      <c r="UUI3" s="484"/>
      <c r="UUJ3" s="484"/>
      <c r="UUK3" s="484"/>
      <c r="UUL3" s="484"/>
      <c r="UUM3" s="484"/>
      <c r="UUN3" s="484"/>
      <c r="UUO3" s="484"/>
      <c r="UUP3" s="484"/>
      <c r="UUQ3" s="484"/>
      <c r="UUR3" s="484"/>
      <c r="UUS3" s="484"/>
      <c r="UUT3" s="484"/>
      <c r="UUU3" s="484"/>
      <c r="UUV3" s="484"/>
      <c r="UUW3" s="484"/>
      <c r="UUX3" s="484"/>
      <c r="UUY3" s="484"/>
      <c r="UUZ3" s="484"/>
      <c r="UVA3" s="484"/>
      <c r="UVB3" s="484"/>
      <c r="UVC3" s="484"/>
      <c r="UVD3" s="484"/>
      <c r="UVE3" s="484"/>
      <c r="UVF3" s="484"/>
      <c r="UVG3" s="484"/>
      <c r="UVH3" s="484"/>
      <c r="UVI3" s="484"/>
      <c r="UVJ3" s="484"/>
      <c r="UVK3" s="484"/>
      <c r="UVL3" s="484"/>
      <c r="UVM3" s="484"/>
      <c r="UVN3" s="484"/>
      <c r="UVO3" s="484"/>
      <c r="UVP3" s="484"/>
      <c r="UVQ3" s="484"/>
      <c r="UVR3" s="484"/>
      <c r="UVS3" s="484"/>
      <c r="UVT3" s="484"/>
      <c r="UVU3" s="484"/>
      <c r="UVV3" s="484"/>
      <c r="UVW3" s="484"/>
      <c r="UVX3" s="484"/>
      <c r="UVY3" s="484"/>
      <c r="UVZ3" s="484"/>
      <c r="UWA3" s="484"/>
      <c r="UWB3" s="484"/>
      <c r="UWC3" s="484"/>
      <c r="UWD3" s="484"/>
      <c r="UWE3" s="484"/>
      <c r="UWF3" s="484"/>
      <c r="UWG3" s="484"/>
      <c r="UWH3" s="484"/>
      <c r="UWI3" s="484"/>
      <c r="UWJ3" s="484"/>
      <c r="UWK3" s="484"/>
      <c r="UWL3" s="484"/>
      <c r="UWM3" s="484"/>
      <c r="UWN3" s="484"/>
      <c r="UWO3" s="484"/>
      <c r="UWP3" s="484"/>
      <c r="UWQ3" s="484"/>
      <c r="UWR3" s="484"/>
      <c r="UWS3" s="484"/>
      <c r="UWT3" s="484"/>
      <c r="UWU3" s="484"/>
      <c r="UWV3" s="484"/>
      <c r="UWW3" s="484"/>
      <c r="UWX3" s="484"/>
      <c r="UWY3" s="484"/>
      <c r="UWZ3" s="484"/>
      <c r="UXA3" s="484"/>
      <c r="UXB3" s="484"/>
      <c r="UXC3" s="484"/>
      <c r="UXD3" s="484"/>
      <c r="UXE3" s="484"/>
      <c r="UXF3" s="484"/>
      <c r="UXG3" s="484"/>
      <c r="UXH3" s="484"/>
      <c r="UXI3" s="484"/>
      <c r="UXJ3" s="484"/>
      <c r="UXK3" s="484"/>
      <c r="UXL3" s="484"/>
      <c r="UXM3" s="484"/>
      <c r="UXN3" s="484"/>
      <c r="UXO3" s="484"/>
      <c r="UXP3" s="484"/>
      <c r="UXQ3" s="484"/>
      <c r="UXR3" s="484"/>
      <c r="UXS3" s="484"/>
      <c r="UXT3" s="484"/>
      <c r="UXU3" s="484"/>
      <c r="UXV3" s="484"/>
      <c r="UXW3" s="484"/>
      <c r="UXX3" s="484"/>
      <c r="UXY3" s="484"/>
      <c r="UXZ3" s="484"/>
      <c r="UYA3" s="484"/>
      <c r="UYB3" s="484"/>
      <c r="UYC3" s="484"/>
      <c r="UYD3" s="484"/>
      <c r="UYE3" s="484"/>
      <c r="UYF3" s="484"/>
      <c r="UYG3" s="484"/>
      <c r="UYH3" s="484"/>
      <c r="UYI3" s="484"/>
      <c r="UYJ3" s="484"/>
      <c r="UYK3" s="484"/>
      <c r="UYL3" s="484"/>
      <c r="UYM3" s="484"/>
      <c r="UYN3" s="484"/>
      <c r="UYO3" s="484"/>
      <c r="UYP3" s="484"/>
      <c r="UYQ3" s="484"/>
      <c r="UYR3" s="484"/>
      <c r="UYS3" s="484"/>
      <c r="UYT3" s="484"/>
      <c r="UYU3" s="484"/>
      <c r="UYV3" s="484"/>
      <c r="UYW3" s="484"/>
      <c r="UYX3" s="484"/>
      <c r="UYY3" s="484"/>
      <c r="UYZ3" s="484"/>
      <c r="UZA3" s="484"/>
      <c r="UZB3" s="484"/>
      <c r="UZC3" s="484"/>
      <c r="UZD3" s="484"/>
      <c r="UZE3" s="484"/>
      <c r="UZF3" s="484"/>
      <c r="UZG3" s="484"/>
      <c r="UZH3" s="484"/>
      <c r="UZI3" s="484"/>
      <c r="UZJ3" s="484"/>
      <c r="UZK3" s="484"/>
      <c r="UZL3" s="484"/>
      <c r="UZM3" s="484"/>
      <c r="UZN3" s="484"/>
      <c r="UZO3" s="484"/>
      <c r="UZP3" s="484"/>
      <c r="UZQ3" s="484"/>
      <c r="UZR3" s="484"/>
      <c r="UZS3" s="484"/>
      <c r="UZT3" s="484"/>
      <c r="UZU3" s="484"/>
      <c r="UZV3" s="484"/>
      <c r="UZW3" s="484"/>
      <c r="UZX3" s="484"/>
      <c r="UZY3" s="484"/>
      <c r="UZZ3" s="484"/>
      <c r="VAA3" s="484"/>
      <c r="VAB3" s="484"/>
      <c r="VAC3" s="484"/>
      <c r="VAD3" s="484"/>
      <c r="VAE3" s="484"/>
      <c r="VAF3" s="484"/>
      <c r="VAG3" s="484"/>
      <c r="VAH3" s="484"/>
      <c r="VAI3" s="484"/>
      <c r="VAJ3" s="484"/>
      <c r="VAK3" s="484"/>
      <c r="VAL3" s="484"/>
      <c r="VAM3" s="484"/>
      <c r="VAN3" s="484"/>
      <c r="VAO3" s="484"/>
      <c r="VAP3" s="484"/>
      <c r="VAQ3" s="484"/>
      <c r="VAR3" s="484"/>
      <c r="VAS3" s="484"/>
      <c r="VAT3" s="484"/>
      <c r="VAU3" s="484"/>
      <c r="VAV3" s="484"/>
      <c r="VAW3" s="484"/>
      <c r="VAX3" s="484"/>
      <c r="VAY3" s="484"/>
      <c r="VAZ3" s="484"/>
      <c r="VBA3" s="484"/>
      <c r="VBB3" s="484"/>
      <c r="VBC3" s="484"/>
      <c r="VBD3" s="484"/>
      <c r="VBE3" s="484"/>
      <c r="VBF3" s="484"/>
      <c r="VBG3" s="484"/>
      <c r="VBH3" s="484"/>
      <c r="VBI3" s="484"/>
      <c r="VBJ3" s="484"/>
      <c r="VBK3" s="484"/>
      <c r="VBL3" s="484"/>
      <c r="VBM3" s="484"/>
      <c r="VBN3" s="484"/>
      <c r="VBO3" s="484"/>
      <c r="VBP3" s="484"/>
      <c r="VBQ3" s="484"/>
      <c r="VBR3" s="484"/>
      <c r="VBS3" s="484"/>
      <c r="VBT3" s="484"/>
      <c r="VBU3" s="484"/>
      <c r="VBV3" s="484"/>
      <c r="VBW3" s="484"/>
      <c r="VBX3" s="484"/>
      <c r="VBY3" s="484"/>
      <c r="VBZ3" s="484"/>
      <c r="VCA3" s="484"/>
      <c r="VCB3" s="484"/>
      <c r="VCC3" s="484"/>
      <c r="VCD3" s="484"/>
      <c r="VCE3" s="484"/>
      <c r="VCF3" s="484"/>
      <c r="VCG3" s="484"/>
      <c r="VCH3" s="484"/>
      <c r="VCI3" s="484"/>
      <c r="VCJ3" s="484"/>
      <c r="VCK3" s="484"/>
      <c r="VCL3" s="484"/>
      <c r="VCM3" s="484"/>
      <c r="VCN3" s="484"/>
      <c r="VCO3" s="484"/>
      <c r="VCP3" s="484"/>
      <c r="VCQ3" s="484"/>
      <c r="VCR3" s="484"/>
      <c r="VCS3" s="484"/>
      <c r="VCT3" s="484"/>
      <c r="VCU3" s="484"/>
      <c r="VCV3" s="484"/>
      <c r="VCW3" s="484"/>
      <c r="VCX3" s="484"/>
      <c r="VCY3" s="484"/>
      <c r="VCZ3" s="484"/>
      <c r="VDA3" s="484"/>
      <c r="VDB3" s="484"/>
      <c r="VDC3" s="484"/>
      <c r="VDD3" s="484"/>
      <c r="VDE3" s="484"/>
      <c r="VDF3" s="484"/>
      <c r="VDG3" s="484"/>
      <c r="VDH3" s="484"/>
      <c r="VDI3" s="484"/>
      <c r="VDJ3" s="484"/>
      <c r="VDK3" s="484"/>
      <c r="VDL3" s="484"/>
      <c r="VDM3" s="484"/>
      <c r="VDN3" s="484"/>
      <c r="VDO3" s="484"/>
      <c r="VDP3" s="484"/>
      <c r="VDQ3" s="484"/>
      <c r="VDR3" s="484"/>
      <c r="VDS3" s="484"/>
      <c r="VDT3" s="484"/>
      <c r="VDU3" s="484"/>
      <c r="VDV3" s="484"/>
      <c r="VDW3" s="484"/>
      <c r="VDX3" s="484"/>
      <c r="VDY3" s="484"/>
      <c r="VDZ3" s="484"/>
      <c r="VEA3" s="484"/>
      <c r="VEB3" s="484"/>
      <c r="VEC3" s="484"/>
      <c r="VED3" s="484"/>
      <c r="VEE3" s="484"/>
      <c r="VEF3" s="484"/>
      <c r="VEG3" s="484"/>
      <c r="VEH3" s="484"/>
      <c r="VEI3" s="484"/>
      <c r="VEJ3" s="484"/>
      <c r="VEK3" s="484"/>
      <c r="VEL3" s="484"/>
      <c r="VEM3" s="484"/>
      <c r="VEN3" s="484"/>
      <c r="VEO3" s="484"/>
      <c r="VEP3" s="484"/>
      <c r="VEQ3" s="484"/>
      <c r="VER3" s="484"/>
      <c r="VES3" s="484"/>
      <c r="VET3" s="484"/>
      <c r="VEU3" s="484"/>
      <c r="VEV3" s="484"/>
      <c r="VEW3" s="484"/>
      <c r="VEX3" s="484"/>
      <c r="VEY3" s="484"/>
      <c r="VEZ3" s="484"/>
      <c r="VFA3" s="484"/>
      <c r="VFB3" s="484"/>
      <c r="VFC3" s="484"/>
      <c r="VFD3" s="484"/>
      <c r="VFE3" s="484"/>
      <c r="VFF3" s="484"/>
      <c r="VFG3" s="484"/>
      <c r="VFH3" s="484"/>
      <c r="VFI3" s="484"/>
      <c r="VFJ3" s="484"/>
      <c r="VFK3" s="484"/>
      <c r="VFL3" s="484"/>
      <c r="VFM3" s="484"/>
      <c r="VFN3" s="484"/>
      <c r="VFO3" s="484"/>
      <c r="VFP3" s="484"/>
      <c r="VFQ3" s="484"/>
      <c r="VFR3" s="484"/>
      <c r="VFS3" s="484"/>
      <c r="VFT3" s="484"/>
      <c r="VFU3" s="484"/>
      <c r="VFV3" s="484"/>
      <c r="VFW3" s="484"/>
      <c r="VFX3" s="484"/>
      <c r="VFY3" s="484"/>
      <c r="VFZ3" s="484"/>
      <c r="VGA3" s="484"/>
      <c r="VGB3" s="484"/>
      <c r="VGC3" s="484"/>
      <c r="VGD3" s="484"/>
      <c r="VGE3" s="484"/>
      <c r="VGF3" s="484"/>
      <c r="VGG3" s="484"/>
      <c r="VGH3" s="484"/>
      <c r="VGI3" s="484"/>
      <c r="VGJ3" s="484"/>
      <c r="VGK3" s="484"/>
      <c r="VGL3" s="484"/>
      <c r="VGM3" s="484"/>
      <c r="VGN3" s="484"/>
      <c r="VGO3" s="484"/>
      <c r="VGP3" s="484"/>
      <c r="VGQ3" s="484"/>
      <c r="VGR3" s="484"/>
      <c r="VGS3" s="484"/>
      <c r="VGT3" s="484"/>
      <c r="VGU3" s="484"/>
      <c r="VGV3" s="484"/>
      <c r="VGW3" s="484"/>
      <c r="VGX3" s="484"/>
      <c r="VGY3" s="484"/>
      <c r="VGZ3" s="484"/>
      <c r="VHA3" s="484"/>
      <c r="VHB3" s="484"/>
      <c r="VHC3" s="484"/>
      <c r="VHD3" s="484"/>
      <c r="VHE3" s="484"/>
      <c r="VHF3" s="484"/>
      <c r="VHG3" s="484"/>
      <c r="VHH3" s="484"/>
      <c r="VHI3" s="484"/>
      <c r="VHJ3" s="484"/>
      <c r="VHK3" s="484"/>
      <c r="VHL3" s="484"/>
      <c r="VHM3" s="484"/>
      <c r="VHN3" s="484"/>
      <c r="VHO3" s="484"/>
      <c r="VHP3" s="484"/>
      <c r="VHQ3" s="484"/>
      <c r="VHR3" s="484"/>
      <c r="VHS3" s="484"/>
      <c r="VHT3" s="484"/>
      <c r="VHU3" s="484"/>
      <c r="VHV3" s="484"/>
      <c r="VHW3" s="484"/>
      <c r="VHX3" s="484"/>
      <c r="VHY3" s="484"/>
      <c r="VHZ3" s="484"/>
      <c r="VIA3" s="484"/>
      <c r="VIB3" s="484"/>
      <c r="VIC3" s="484"/>
      <c r="VID3" s="484"/>
      <c r="VIE3" s="484"/>
      <c r="VIF3" s="484"/>
      <c r="VIG3" s="484"/>
      <c r="VIH3" s="484"/>
      <c r="VII3" s="484"/>
      <c r="VIJ3" s="484"/>
      <c r="VIK3" s="484"/>
      <c r="VIL3" s="484"/>
      <c r="VIM3" s="484"/>
      <c r="VIN3" s="484"/>
      <c r="VIO3" s="484"/>
      <c r="VIP3" s="484"/>
      <c r="VIQ3" s="484"/>
      <c r="VIR3" s="484"/>
      <c r="VIS3" s="484"/>
      <c r="VIT3" s="484"/>
      <c r="VIU3" s="484"/>
      <c r="VIV3" s="484"/>
      <c r="VIW3" s="484"/>
      <c r="VIX3" s="484"/>
      <c r="VIY3" s="484"/>
      <c r="VIZ3" s="484"/>
      <c r="VJA3" s="484"/>
      <c r="VJB3" s="484"/>
      <c r="VJC3" s="484"/>
      <c r="VJD3" s="484"/>
      <c r="VJE3" s="484"/>
      <c r="VJF3" s="484"/>
      <c r="VJG3" s="484"/>
      <c r="VJH3" s="484"/>
      <c r="VJI3" s="484"/>
      <c r="VJJ3" s="484"/>
      <c r="VJK3" s="484"/>
      <c r="VJL3" s="484"/>
      <c r="VJM3" s="484"/>
      <c r="VJN3" s="484"/>
      <c r="VJO3" s="484"/>
      <c r="VJP3" s="484"/>
      <c r="VJQ3" s="484"/>
      <c r="VJR3" s="484"/>
      <c r="VJS3" s="484"/>
      <c r="VJT3" s="484"/>
      <c r="VJU3" s="484"/>
      <c r="VJV3" s="484"/>
      <c r="VJW3" s="484"/>
      <c r="VJX3" s="484"/>
      <c r="VJY3" s="484"/>
      <c r="VJZ3" s="484"/>
      <c r="VKA3" s="484"/>
      <c r="VKB3" s="484"/>
      <c r="VKC3" s="484"/>
      <c r="VKD3" s="484"/>
      <c r="VKE3" s="484"/>
      <c r="VKF3" s="484"/>
      <c r="VKG3" s="484"/>
      <c r="VKH3" s="484"/>
      <c r="VKI3" s="484"/>
      <c r="VKJ3" s="484"/>
      <c r="VKK3" s="484"/>
      <c r="VKL3" s="484"/>
      <c r="VKM3" s="484"/>
      <c r="VKN3" s="484"/>
      <c r="VKO3" s="484"/>
      <c r="VKP3" s="484"/>
      <c r="VKQ3" s="484"/>
      <c r="VKR3" s="484"/>
      <c r="VKS3" s="484"/>
      <c r="VKT3" s="484"/>
      <c r="VKU3" s="484"/>
      <c r="VKV3" s="484"/>
      <c r="VKW3" s="484"/>
      <c r="VKX3" s="484"/>
      <c r="VKY3" s="484"/>
      <c r="VKZ3" s="484"/>
      <c r="VLA3" s="484"/>
      <c r="VLB3" s="484"/>
      <c r="VLC3" s="484"/>
      <c r="VLD3" s="484"/>
      <c r="VLE3" s="484"/>
      <c r="VLF3" s="484"/>
      <c r="VLG3" s="484"/>
      <c r="VLH3" s="484"/>
      <c r="VLI3" s="484"/>
      <c r="VLJ3" s="484"/>
      <c r="VLK3" s="484"/>
      <c r="VLL3" s="484"/>
      <c r="VLM3" s="484"/>
      <c r="VLN3" s="484"/>
      <c r="VLO3" s="484"/>
      <c r="VLP3" s="484"/>
      <c r="VLQ3" s="484"/>
      <c r="VLR3" s="484"/>
      <c r="VLS3" s="484"/>
      <c r="VLT3" s="484"/>
      <c r="VLU3" s="484"/>
      <c r="VLV3" s="484"/>
      <c r="VLW3" s="484"/>
      <c r="VLX3" s="484"/>
      <c r="VLY3" s="484"/>
      <c r="VLZ3" s="484"/>
      <c r="VMA3" s="484"/>
      <c r="VMB3" s="484"/>
      <c r="VMC3" s="484"/>
      <c r="VMD3" s="484"/>
      <c r="VME3" s="484"/>
      <c r="VMF3" s="484"/>
      <c r="VMG3" s="484"/>
      <c r="VMH3" s="484"/>
      <c r="VMI3" s="484"/>
      <c r="VMJ3" s="484"/>
      <c r="VMK3" s="484"/>
      <c r="VML3" s="484"/>
      <c r="VMM3" s="484"/>
      <c r="VMN3" s="484"/>
      <c r="VMO3" s="484"/>
      <c r="VMP3" s="484"/>
      <c r="VMQ3" s="484"/>
      <c r="VMR3" s="484"/>
      <c r="VMS3" s="484"/>
      <c r="VMT3" s="484"/>
      <c r="VMU3" s="484"/>
      <c r="VMV3" s="484"/>
      <c r="VMW3" s="484"/>
      <c r="VMX3" s="484"/>
      <c r="VMY3" s="484"/>
      <c r="VMZ3" s="484"/>
      <c r="VNA3" s="484"/>
      <c r="VNB3" s="484"/>
      <c r="VNC3" s="484"/>
      <c r="VND3" s="484"/>
      <c r="VNE3" s="484"/>
      <c r="VNF3" s="484"/>
      <c r="VNG3" s="484"/>
      <c r="VNH3" s="484"/>
      <c r="VNI3" s="484"/>
      <c r="VNJ3" s="484"/>
      <c r="VNK3" s="484"/>
      <c r="VNL3" s="484"/>
      <c r="VNM3" s="484"/>
      <c r="VNN3" s="484"/>
      <c r="VNO3" s="484"/>
      <c r="VNP3" s="484"/>
      <c r="VNQ3" s="484"/>
      <c r="VNR3" s="484"/>
      <c r="VNS3" s="484"/>
      <c r="VNT3" s="484"/>
      <c r="VNU3" s="484"/>
      <c r="VNV3" s="484"/>
      <c r="VNW3" s="484"/>
      <c r="VNX3" s="484"/>
      <c r="VNY3" s="484"/>
      <c r="VNZ3" s="484"/>
      <c r="VOA3" s="484"/>
      <c r="VOB3" s="484"/>
      <c r="VOC3" s="484"/>
      <c r="VOD3" s="484"/>
      <c r="VOE3" s="484"/>
      <c r="VOF3" s="484"/>
      <c r="VOG3" s="484"/>
      <c r="VOH3" s="484"/>
      <c r="VOI3" s="484"/>
      <c r="VOJ3" s="484"/>
      <c r="VOK3" s="484"/>
      <c r="VOL3" s="484"/>
      <c r="VOM3" s="484"/>
      <c r="VON3" s="484"/>
      <c r="VOO3" s="484"/>
      <c r="VOP3" s="484"/>
      <c r="VOQ3" s="484"/>
      <c r="VOR3" s="484"/>
      <c r="VOS3" s="484"/>
      <c r="VOT3" s="484"/>
      <c r="VOU3" s="484"/>
      <c r="VOV3" s="484"/>
      <c r="VOW3" s="484"/>
      <c r="VOX3" s="484"/>
      <c r="VOY3" s="484"/>
      <c r="VOZ3" s="484"/>
      <c r="VPA3" s="484"/>
      <c r="VPB3" s="484"/>
      <c r="VPC3" s="484"/>
      <c r="VPD3" s="484"/>
      <c r="VPE3" s="484"/>
      <c r="VPF3" s="484"/>
      <c r="VPG3" s="484"/>
      <c r="VPH3" s="484"/>
      <c r="VPI3" s="484"/>
      <c r="VPJ3" s="484"/>
      <c r="VPK3" s="484"/>
      <c r="VPL3" s="484"/>
      <c r="VPM3" s="484"/>
      <c r="VPN3" s="484"/>
      <c r="VPO3" s="484"/>
      <c r="VPP3" s="484"/>
      <c r="VPQ3" s="484"/>
      <c r="VPR3" s="484"/>
      <c r="VPS3" s="484"/>
      <c r="VPT3" s="484"/>
      <c r="VPU3" s="484"/>
      <c r="VPV3" s="484"/>
      <c r="VPW3" s="484"/>
      <c r="VPX3" s="484"/>
      <c r="VPY3" s="484"/>
      <c r="VPZ3" s="484"/>
      <c r="VQA3" s="484"/>
      <c r="VQB3" s="484"/>
      <c r="VQC3" s="484"/>
      <c r="VQD3" s="484"/>
      <c r="VQE3" s="484"/>
      <c r="VQF3" s="484"/>
      <c r="VQG3" s="484"/>
      <c r="VQH3" s="484"/>
      <c r="VQI3" s="484"/>
      <c r="VQJ3" s="484"/>
      <c r="VQK3" s="484"/>
      <c r="VQL3" s="484"/>
      <c r="VQM3" s="484"/>
      <c r="VQN3" s="484"/>
      <c r="VQO3" s="484"/>
      <c r="VQP3" s="484"/>
      <c r="VQQ3" s="484"/>
      <c r="VQR3" s="484"/>
      <c r="VQS3" s="484"/>
      <c r="VQT3" s="484"/>
      <c r="VQU3" s="484"/>
      <c r="VQV3" s="484"/>
      <c r="VQW3" s="484"/>
      <c r="VQX3" s="484"/>
      <c r="VQY3" s="484"/>
      <c r="VQZ3" s="484"/>
      <c r="VRA3" s="484"/>
      <c r="VRB3" s="484"/>
      <c r="VRC3" s="484"/>
      <c r="VRD3" s="484"/>
      <c r="VRE3" s="484"/>
      <c r="VRF3" s="484"/>
      <c r="VRG3" s="484"/>
      <c r="VRH3" s="484"/>
      <c r="VRI3" s="484"/>
      <c r="VRJ3" s="484"/>
      <c r="VRK3" s="484"/>
      <c r="VRL3" s="484"/>
      <c r="VRM3" s="484"/>
      <c r="VRN3" s="484"/>
      <c r="VRO3" s="484"/>
      <c r="VRP3" s="484"/>
      <c r="VRQ3" s="484"/>
      <c r="VRR3" s="484"/>
      <c r="VRS3" s="484"/>
      <c r="VRT3" s="484"/>
      <c r="VRU3" s="484"/>
      <c r="VRV3" s="484"/>
      <c r="VRW3" s="484"/>
      <c r="VRX3" s="484"/>
      <c r="VRY3" s="484"/>
      <c r="VRZ3" s="484"/>
      <c r="VSA3" s="484"/>
      <c r="VSB3" s="484"/>
      <c r="VSC3" s="484"/>
      <c r="VSD3" s="484"/>
      <c r="VSE3" s="484"/>
      <c r="VSF3" s="484"/>
      <c r="VSG3" s="484"/>
      <c r="VSH3" s="484"/>
      <c r="VSI3" s="484"/>
      <c r="VSJ3" s="484"/>
      <c r="VSK3" s="484"/>
      <c r="VSL3" s="484"/>
      <c r="VSM3" s="484"/>
      <c r="VSN3" s="484"/>
      <c r="VSO3" s="484"/>
      <c r="VSP3" s="484"/>
      <c r="VSQ3" s="484"/>
      <c r="VSR3" s="484"/>
      <c r="VSS3" s="484"/>
      <c r="VST3" s="484"/>
      <c r="VSU3" s="484"/>
      <c r="VSV3" s="484"/>
      <c r="VSW3" s="484"/>
      <c r="VSX3" s="484"/>
      <c r="VSY3" s="484"/>
      <c r="VSZ3" s="484"/>
      <c r="VTA3" s="484"/>
      <c r="VTB3" s="484"/>
      <c r="VTC3" s="484"/>
      <c r="VTD3" s="484"/>
      <c r="VTE3" s="484"/>
      <c r="VTF3" s="484"/>
      <c r="VTG3" s="484"/>
      <c r="VTH3" s="484"/>
      <c r="VTI3" s="484"/>
      <c r="VTJ3" s="484"/>
      <c r="VTK3" s="484"/>
      <c r="VTL3" s="484"/>
      <c r="VTM3" s="484"/>
      <c r="VTN3" s="484"/>
      <c r="VTO3" s="484"/>
      <c r="VTP3" s="484"/>
      <c r="VTQ3" s="484"/>
      <c r="VTR3" s="484"/>
      <c r="VTS3" s="484"/>
      <c r="VTT3" s="484"/>
      <c r="VTU3" s="484"/>
      <c r="VTV3" s="484"/>
      <c r="VTW3" s="484"/>
      <c r="VTX3" s="484"/>
      <c r="VTY3" s="484"/>
      <c r="VTZ3" s="484"/>
      <c r="VUA3" s="484"/>
      <c r="VUB3" s="484"/>
      <c r="VUC3" s="484"/>
      <c r="VUD3" s="484"/>
      <c r="VUE3" s="484"/>
      <c r="VUF3" s="484"/>
      <c r="VUG3" s="484"/>
      <c r="VUH3" s="484"/>
      <c r="VUI3" s="484"/>
      <c r="VUJ3" s="484"/>
      <c r="VUK3" s="484"/>
      <c r="VUL3" s="484"/>
      <c r="VUM3" s="484"/>
      <c r="VUN3" s="484"/>
      <c r="VUO3" s="484"/>
      <c r="VUP3" s="484"/>
      <c r="VUQ3" s="484"/>
      <c r="VUR3" s="484"/>
      <c r="VUS3" s="484"/>
      <c r="VUT3" s="484"/>
      <c r="VUU3" s="484"/>
      <c r="VUV3" s="484"/>
      <c r="VUW3" s="484"/>
      <c r="VUX3" s="484"/>
      <c r="VUY3" s="484"/>
      <c r="VUZ3" s="484"/>
      <c r="VVA3" s="484"/>
      <c r="VVB3" s="484"/>
      <c r="VVC3" s="484"/>
      <c r="VVD3" s="484"/>
      <c r="VVE3" s="484"/>
      <c r="VVF3" s="484"/>
      <c r="VVG3" s="484"/>
      <c r="VVH3" s="484"/>
      <c r="VVI3" s="484"/>
      <c r="VVJ3" s="484"/>
      <c r="VVK3" s="484"/>
      <c r="VVL3" s="484"/>
      <c r="VVM3" s="484"/>
      <c r="VVN3" s="484"/>
      <c r="VVO3" s="484"/>
      <c r="VVP3" s="484"/>
      <c r="VVQ3" s="484"/>
      <c r="VVR3" s="484"/>
      <c r="VVS3" s="484"/>
      <c r="VVT3" s="484"/>
      <c r="VVU3" s="484"/>
      <c r="VVV3" s="484"/>
      <c r="VVW3" s="484"/>
      <c r="VVX3" s="484"/>
      <c r="VVY3" s="484"/>
      <c r="VVZ3" s="484"/>
      <c r="VWA3" s="484"/>
      <c r="VWB3" s="484"/>
      <c r="VWC3" s="484"/>
      <c r="VWD3" s="484"/>
      <c r="VWE3" s="484"/>
      <c r="VWF3" s="484"/>
      <c r="VWG3" s="484"/>
      <c r="VWH3" s="484"/>
      <c r="VWI3" s="484"/>
      <c r="VWJ3" s="484"/>
      <c r="VWK3" s="484"/>
      <c r="VWL3" s="484"/>
      <c r="VWM3" s="484"/>
      <c r="VWN3" s="484"/>
      <c r="VWO3" s="484"/>
      <c r="VWP3" s="484"/>
      <c r="VWQ3" s="484"/>
      <c r="VWR3" s="484"/>
      <c r="VWS3" s="484"/>
      <c r="VWT3" s="484"/>
      <c r="VWU3" s="484"/>
      <c r="VWV3" s="484"/>
      <c r="VWW3" s="484"/>
      <c r="VWX3" s="484"/>
      <c r="VWY3" s="484"/>
      <c r="VWZ3" s="484"/>
      <c r="VXA3" s="484"/>
      <c r="VXB3" s="484"/>
      <c r="VXC3" s="484"/>
      <c r="VXD3" s="484"/>
      <c r="VXE3" s="484"/>
      <c r="VXF3" s="484"/>
      <c r="VXG3" s="484"/>
      <c r="VXH3" s="484"/>
      <c r="VXI3" s="484"/>
      <c r="VXJ3" s="484"/>
      <c r="VXK3" s="484"/>
      <c r="VXL3" s="484"/>
      <c r="VXM3" s="484"/>
      <c r="VXN3" s="484"/>
      <c r="VXO3" s="484"/>
      <c r="VXP3" s="484"/>
      <c r="VXQ3" s="484"/>
      <c r="VXR3" s="484"/>
      <c r="VXS3" s="484"/>
      <c r="VXT3" s="484"/>
      <c r="VXU3" s="484"/>
      <c r="VXV3" s="484"/>
      <c r="VXW3" s="484"/>
      <c r="VXX3" s="484"/>
      <c r="VXY3" s="484"/>
      <c r="VXZ3" s="484"/>
      <c r="VYA3" s="484"/>
      <c r="VYB3" s="484"/>
      <c r="VYC3" s="484"/>
      <c r="VYD3" s="484"/>
      <c r="VYE3" s="484"/>
      <c r="VYF3" s="484"/>
      <c r="VYG3" s="484"/>
      <c r="VYH3" s="484"/>
      <c r="VYI3" s="484"/>
      <c r="VYJ3" s="484"/>
      <c r="VYK3" s="484"/>
      <c r="VYL3" s="484"/>
      <c r="VYM3" s="484"/>
      <c r="VYN3" s="484"/>
      <c r="VYO3" s="484"/>
      <c r="VYP3" s="484"/>
      <c r="VYQ3" s="484"/>
      <c r="VYR3" s="484"/>
      <c r="VYS3" s="484"/>
      <c r="VYT3" s="484"/>
      <c r="VYU3" s="484"/>
      <c r="VYV3" s="484"/>
      <c r="VYW3" s="484"/>
      <c r="VYX3" s="484"/>
      <c r="VYY3" s="484"/>
      <c r="VYZ3" s="484"/>
      <c r="VZA3" s="484"/>
      <c r="VZB3" s="484"/>
      <c r="VZC3" s="484"/>
      <c r="VZD3" s="484"/>
      <c r="VZE3" s="484"/>
      <c r="VZF3" s="484"/>
      <c r="VZG3" s="484"/>
      <c r="VZH3" s="484"/>
      <c r="VZI3" s="484"/>
      <c r="VZJ3" s="484"/>
      <c r="VZK3" s="484"/>
      <c r="VZL3" s="484"/>
      <c r="VZM3" s="484"/>
      <c r="VZN3" s="484"/>
      <c r="VZO3" s="484"/>
      <c r="VZP3" s="484"/>
      <c r="VZQ3" s="484"/>
      <c r="VZR3" s="484"/>
      <c r="VZS3" s="484"/>
      <c r="VZT3" s="484"/>
      <c r="VZU3" s="484"/>
      <c r="VZV3" s="484"/>
      <c r="VZW3" s="484"/>
      <c r="VZX3" s="484"/>
      <c r="VZY3" s="484"/>
      <c r="VZZ3" s="484"/>
      <c r="WAA3" s="484"/>
      <c r="WAB3" s="484"/>
      <c r="WAC3" s="484"/>
      <c r="WAD3" s="484"/>
      <c r="WAE3" s="484"/>
      <c r="WAF3" s="484"/>
      <c r="WAG3" s="484"/>
      <c r="WAH3" s="484"/>
      <c r="WAI3" s="484"/>
      <c r="WAJ3" s="484"/>
      <c r="WAK3" s="484"/>
      <c r="WAL3" s="484"/>
      <c r="WAM3" s="484"/>
      <c r="WAN3" s="484"/>
      <c r="WAO3" s="484"/>
      <c r="WAP3" s="484"/>
      <c r="WAQ3" s="484"/>
      <c r="WAR3" s="484"/>
      <c r="WAS3" s="484"/>
      <c r="WAT3" s="484"/>
      <c r="WAU3" s="484"/>
      <c r="WAV3" s="484"/>
      <c r="WAW3" s="484"/>
      <c r="WAX3" s="484"/>
      <c r="WAY3" s="484"/>
      <c r="WAZ3" s="484"/>
      <c r="WBA3" s="484"/>
      <c r="WBB3" s="484"/>
      <c r="WBC3" s="484"/>
      <c r="WBD3" s="484"/>
      <c r="WBE3" s="484"/>
      <c r="WBF3" s="484"/>
      <c r="WBG3" s="484"/>
      <c r="WBH3" s="484"/>
      <c r="WBI3" s="484"/>
      <c r="WBJ3" s="484"/>
      <c r="WBK3" s="484"/>
      <c r="WBL3" s="484"/>
      <c r="WBM3" s="484"/>
      <c r="WBN3" s="484"/>
      <c r="WBO3" s="484"/>
      <c r="WBP3" s="484"/>
      <c r="WBQ3" s="484"/>
      <c r="WBR3" s="484"/>
      <c r="WBS3" s="484"/>
      <c r="WBT3" s="484"/>
      <c r="WBU3" s="484"/>
      <c r="WBV3" s="484"/>
      <c r="WBW3" s="484"/>
      <c r="WBX3" s="484"/>
      <c r="WBY3" s="484"/>
      <c r="WBZ3" s="484"/>
      <c r="WCA3" s="484"/>
      <c r="WCB3" s="484"/>
      <c r="WCC3" s="484"/>
      <c r="WCD3" s="484"/>
      <c r="WCE3" s="484"/>
      <c r="WCF3" s="484"/>
      <c r="WCG3" s="484"/>
      <c r="WCH3" s="484"/>
      <c r="WCI3" s="484"/>
      <c r="WCJ3" s="484"/>
      <c r="WCK3" s="484"/>
      <c r="WCL3" s="484"/>
      <c r="WCM3" s="484"/>
      <c r="WCN3" s="484"/>
      <c r="WCO3" s="484"/>
      <c r="WCP3" s="484"/>
      <c r="WCQ3" s="484"/>
      <c r="WCR3" s="484"/>
      <c r="WCS3" s="484"/>
      <c r="WCT3" s="484"/>
      <c r="WCU3" s="484"/>
      <c r="WCV3" s="484"/>
      <c r="WCW3" s="484"/>
      <c r="WCX3" s="484"/>
      <c r="WCY3" s="484"/>
      <c r="WCZ3" s="484"/>
      <c r="WDA3" s="484"/>
      <c r="WDB3" s="484"/>
      <c r="WDC3" s="484"/>
      <c r="WDD3" s="484"/>
      <c r="WDE3" s="484"/>
      <c r="WDF3" s="484"/>
      <c r="WDG3" s="484"/>
      <c r="WDH3" s="484"/>
      <c r="WDI3" s="484"/>
      <c r="WDJ3" s="484"/>
      <c r="WDK3" s="484"/>
      <c r="WDL3" s="484"/>
      <c r="WDM3" s="484"/>
      <c r="WDN3" s="484"/>
      <c r="WDO3" s="484"/>
      <c r="WDP3" s="484"/>
      <c r="WDQ3" s="484"/>
      <c r="WDR3" s="484"/>
      <c r="WDS3" s="484"/>
      <c r="WDT3" s="484"/>
      <c r="WDU3" s="484"/>
      <c r="WDV3" s="484"/>
      <c r="WDW3" s="484"/>
      <c r="WDX3" s="484"/>
      <c r="WDY3" s="484"/>
      <c r="WDZ3" s="484"/>
      <c r="WEA3" s="484"/>
      <c r="WEB3" s="484"/>
      <c r="WEC3" s="484"/>
      <c r="WED3" s="484"/>
      <c r="WEE3" s="484"/>
      <c r="WEF3" s="484"/>
      <c r="WEG3" s="484"/>
      <c r="WEH3" s="484"/>
      <c r="WEI3" s="484"/>
      <c r="WEJ3" s="484"/>
      <c r="WEK3" s="484"/>
      <c r="WEL3" s="484"/>
      <c r="WEM3" s="484"/>
      <c r="WEN3" s="484"/>
      <c r="WEO3" s="484"/>
      <c r="WEP3" s="484"/>
      <c r="WEQ3" s="484"/>
      <c r="WER3" s="484"/>
      <c r="WES3" s="484"/>
      <c r="WET3" s="484"/>
      <c r="WEU3" s="484"/>
      <c r="WEV3" s="484"/>
      <c r="WEW3" s="484"/>
      <c r="WEX3" s="484"/>
      <c r="WEY3" s="484"/>
      <c r="WEZ3" s="484"/>
      <c r="WFA3" s="484"/>
      <c r="WFB3" s="484"/>
      <c r="WFC3" s="484"/>
      <c r="WFD3" s="484"/>
      <c r="WFE3" s="484"/>
      <c r="WFF3" s="484"/>
      <c r="WFG3" s="484"/>
      <c r="WFH3" s="484"/>
      <c r="WFI3" s="484"/>
      <c r="WFJ3" s="484"/>
      <c r="WFK3" s="484"/>
      <c r="WFL3" s="484"/>
      <c r="WFM3" s="484"/>
      <c r="WFN3" s="484"/>
      <c r="WFO3" s="484"/>
      <c r="WFP3" s="484"/>
      <c r="WFQ3" s="484"/>
      <c r="WFR3" s="484"/>
      <c r="WFS3" s="484"/>
      <c r="WFT3" s="484"/>
      <c r="WFU3" s="484"/>
      <c r="WFV3" s="484"/>
      <c r="WFW3" s="484"/>
      <c r="WFX3" s="484"/>
      <c r="WFY3" s="484"/>
      <c r="WFZ3" s="484"/>
      <c r="WGA3" s="484"/>
      <c r="WGB3" s="484"/>
      <c r="WGC3" s="484"/>
      <c r="WGD3" s="484"/>
      <c r="WGE3" s="484"/>
      <c r="WGF3" s="484"/>
      <c r="WGG3" s="484"/>
      <c r="WGH3" s="484"/>
      <c r="WGI3" s="484"/>
      <c r="WGJ3" s="484"/>
      <c r="WGK3" s="484"/>
      <c r="WGL3" s="484"/>
      <c r="WGM3" s="484"/>
      <c r="WGN3" s="484"/>
      <c r="WGO3" s="484"/>
      <c r="WGP3" s="484"/>
      <c r="WGQ3" s="484"/>
      <c r="WGR3" s="484"/>
      <c r="WGS3" s="484"/>
      <c r="WGT3" s="484"/>
      <c r="WGU3" s="484"/>
      <c r="WGV3" s="484"/>
      <c r="WGW3" s="484"/>
      <c r="WGX3" s="484"/>
      <c r="WGY3" s="484"/>
      <c r="WGZ3" s="484"/>
      <c r="WHA3" s="484"/>
      <c r="WHB3" s="484"/>
      <c r="WHC3" s="484"/>
      <c r="WHD3" s="484"/>
      <c r="WHE3" s="484"/>
      <c r="WHF3" s="484"/>
      <c r="WHG3" s="484"/>
      <c r="WHH3" s="484"/>
      <c r="WHI3" s="484"/>
      <c r="WHJ3" s="484"/>
      <c r="WHK3" s="484"/>
      <c r="WHL3" s="484"/>
      <c r="WHM3" s="484"/>
      <c r="WHN3" s="484"/>
      <c r="WHO3" s="484"/>
      <c r="WHP3" s="484"/>
      <c r="WHQ3" s="484"/>
      <c r="WHR3" s="484"/>
      <c r="WHS3" s="484"/>
      <c r="WHT3" s="484"/>
      <c r="WHU3" s="484"/>
      <c r="WHV3" s="484"/>
      <c r="WHW3" s="484"/>
      <c r="WHX3" s="484"/>
      <c r="WHY3" s="484"/>
      <c r="WHZ3" s="484"/>
      <c r="WIA3" s="484"/>
      <c r="WIB3" s="484"/>
      <c r="WIC3" s="484"/>
      <c r="WID3" s="484"/>
      <c r="WIE3" s="484"/>
      <c r="WIF3" s="484"/>
      <c r="WIG3" s="484"/>
      <c r="WIH3" s="484"/>
      <c r="WII3" s="484"/>
      <c r="WIJ3" s="484"/>
      <c r="WIK3" s="484"/>
      <c r="WIL3" s="484"/>
      <c r="WIM3" s="484"/>
      <c r="WIN3" s="484"/>
      <c r="WIO3" s="484"/>
      <c r="WIP3" s="484"/>
      <c r="WIQ3" s="484"/>
      <c r="WIR3" s="484"/>
      <c r="WIS3" s="484"/>
      <c r="WIT3" s="484"/>
      <c r="WIU3" s="484"/>
      <c r="WIV3" s="484"/>
      <c r="WIW3" s="484"/>
      <c r="WIX3" s="484"/>
      <c r="WIY3" s="484"/>
      <c r="WIZ3" s="484"/>
      <c r="WJA3" s="484"/>
      <c r="WJB3" s="484"/>
      <c r="WJC3" s="484"/>
      <c r="WJD3" s="484"/>
      <c r="WJE3" s="484"/>
      <c r="WJF3" s="484"/>
      <c r="WJG3" s="484"/>
      <c r="WJH3" s="484"/>
      <c r="WJI3" s="484"/>
      <c r="WJJ3" s="484"/>
      <c r="WJK3" s="484"/>
      <c r="WJL3" s="484"/>
      <c r="WJM3" s="484"/>
      <c r="WJN3" s="484"/>
      <c r="WJO3" s="484"/>
      <c r="WJP3" s="484"/>
      <c r="WJQ3" s="484"/>
      <c r="WJR3" s="484"/>
      <c r="WJS3" s="484"/>
      <c r="WJT3" s="484"/>
      <c r="WJU3" s="484"/>
      <c r="WJV3" s="484"/>
      <c r="WJW3" s="484"/>
      <c r="WJX3" s="484"/>
      <c r="WJY3" s="484"/>
      <c r="WJZ3" s="484"/>
      <c r="WKA3" s="484"/>
      <c r="WKB3" s="484"/>
      <c r="WKC3" s="484"/>
      <c r="WKD3" s="484"/>
      <c r="WKE3" s="484"/>
      <c r="WKF3" s="484"/>
      <c r="WKG3" s="484"/>
      <c r="WKH3" s="484"/>
      <c r="WKI3" s="484"/>
      <c r="WKJ3" s="484"/>
      <c r="WKK3" s="484"/>
      <c r="WKL3" s="484"/>
      <c r="WKM3" s="484"/>
      <c r="WKN3" s="484"/>
      <c r="WKO3" s="484"/>
      <c r="WKP3" s="484"/>
      <c r="WKQ3" s="484"/>
      <c r="WKR3" s="484"/>
      <c r="WKS3" s="484"/>
      <c r="WKT3" s="484"/>
      <c r="WKU3" s="484"/>
      <c r="WKV3" s="484"/>
      <c r="WKW3" s="484"/>
      <c r="WKX3" s="484"/>
      <c r="WKY3" s="484"/>
      <c r="WKZ3" s="484"/>
      <c r="WLA3" s="484"/>
      <c r="WLB3" s="484"/>
      <c r="WLC3" s="484"/>
      <c r="WLD3" s="484"/>
      <c r="WLE3" s="484"/>
      <c r="WLF3" s="484"/>
      <c r="WLG3" s="484"/>
      <c r="WLH3" s="484"/>
      <c r="WLI3" s="484"/>
      <c r="WLJ3" s="484"/>
      <c r="WLK3" s="484"/>
      <c r="WLL3" s="484"/>
      <c r="WLM3" s="484"/>
      <c r="WLN3" s="484"/>
      <c r="WLO3" s="484"/>
      <c r="WLP3" s="484"/>
      <c r="WLQ3" s="484"/>
      <c r="WLR3" s="484"/>
      <c r="WLS3" s="484"/>
      <c r="WLT3" s="484"/>
      <c r="WLU3" s="484"/>
      <c r="WLV3" s="484"/>
      <c r="WLW3" s="484"/>
      <c r="WLX3" s="484"/>
      <c r="WLY3" s="484"/>
      <c r="WLZ3" s="484"/>
      <c r="WMA3" s="484"/>
      <c r="WMB3" s="484"/>
      <c r="WMC3" s="484"/>
      <c r="WMD3" s="484"/>
      <c r="WME3" s="484"/>
      <c r="WMF3" s="484"/>
      <c r="WMG3" s="484"/>
      <c r="WMH3" s="484"/>
      <c r="WMI3" s="484"/>
      <c r="WMJ3" s="484"/>
      <c r="WMK3" s="484"/>
      <c r="WML3" s="484"/>
      <c r="WMM3" s="484"/>
      <c r="WMN3" s="484"/>
      <c r="WMO3" s="484"/>
      <c r="WMP3" s="484"/>
      <c r="WMQ3" s="484"/>
      <c r="WMR3" s="484"/>
      <c r="WMS3" s="484"/>
      <c r="WMT3" s="484"/>
      <c r="WMU3" s="484"/>
      <c r="WMV3" s="484"/>
      <c r="WMW3" s="484"/>
      <c r="WMX3" s="484"/>
      <c r="WMY3" s="484"/>
      <c r="WMZ3" s="484"/>
      <c r="WNA3" s="484"/>
      <c r="WNB3" s="484"/>
      <c r="WNC3" s="484"/>
      <c r="WND3" s="484"/>
      <c r="WNE3" s="484"/>
      <c r="WNF3" s="484"/>
      <c r="WNG3" s="484"/>
      <c r="WNH3" s="484"/>
      <c r="WNI3" s="484"/>
      <c r="WNJ3" s="484"/>
      <c r="WNK3" s="484"/>
      <c r="WNL3" s="484"/>
      <c r="WNM3" s="484"/>
      <c r="WNN3" s="484"/>
      <c r="WNO3" s="484"/>
      <c r="WNP3" s="484"/>
      <c r="WNQ3" s="484"/>
      <c r="WNR3" s="484"/>
      <c r="WNS3" s="484"/>
      <c r="WNT3" s="484"/>
      <c r="WNU3" s="484"/>
      <c r="WNV3" s="484"/>
      <c r="WNW3" s="484"/>
      <c r="WNX3" s="484"/>
      <c r="WNY3" s="484"/>
      <c r="WNZ3" s="484"/>
      <c r="WOA3" s="484"/>
      <c r="WOB3" s="484"/>
      <c r="WOC3" s="484"/>
      <c r="WOD3" s="484"/>
      <c r="WOE3" s="484"/>
      <c r="WOF3" s="484"/>
      <c r="WOG3" s="484"/>
      <c r="WOH3" s="484"/>
      <c r="WOI3" s="484"/>
      <c r="WOJ3" s="484"/>
      <c r="WOK3" s="484"/>
      <c r="WOL3" s="484"/>
      <c r="WOM3" s="484"/>
      <c r="WON3" s="484"/>
      <c r="WOO3" s="484"/>
      <c r="WOP3" s="484"/>
      <c r="WOQ3" s="484"/>
      <c r="WOR3" s="484"/>
      <c r="WOS3" s="484"/>
      <c r="WOT3" s="484"/>
      <c r="WOU3" s="484"/>
      <c r="WOV3" s="484"/>
      <c r="WOW3" s="484"/>
      <c r="WOX3" s="484"/>
      <c r="WOY3" s="484"/>
      <c r="WOZ3" s="484"/>
      <c r="WPA3" s="484"/>
      <c r="WPB3" s="484"/>
      <c r="WPC3" s="484"/>
      <c r="WPD3" s="484"/>
      <c r="WPE3" s="484"/>
      <c r="WPF3" s="484"/>
      <c r="WPG3" s="484"/>
      <c r="WPH3" s="484"/>
      <c r="WPI3" s="484"/>
      <c r="WPJ3" s="484"/>
      <c r="WPK3" s="484"/>
      <c r="WPL3" s="484"/>
      <c r="WPM3" s="484"/>
      <c r="WPN3" s="484"/>
      <c r="WPO3" s="484"/>
      <c r="WPP3" s="484"/>
      <c r="WPQ3" s="484"/>
      <c r="WPR3" s="484"/>
      <c r="WPS3" s="484"/>
      <c r="WPT3" s="484"/>
      <c r="WPU3" s="484"/>
      <c r="WPV3" s="484"/>
      <c r="WPW3" s="484"/>
      <c r="WPX3" s="484"/>
      <c r="WPY3" s="484"/>
      <c r="WPZ3" s="484"/>
      <c r="WQA3" s="484"/>
      <c r="WQB3" s="484"/>
      <c r="WQC3" s="484"/>
      <c r="WQD3" s="484"/>
      <c r="WQE3" s="484"/>
      <c r="WQF3" s="484"/>
      <c r="WQG3" s="484"/>
      <c r="WQH3" s="484"/>
      <c r="WQI3" s="484"/>
      <c r="WQJ3" s="484"/>
      <c r="WQK3" s="484"/>
      <c r="WQL3" s="484"/>
      <c r="WQM3" s="484"/>
      <c r="WQN3" s="484"/>
      <c r="WQO3" s="484"/>
      <c r="WQP3" s="484"/>
      <c r="WQQ3" s="484"/>
      <c r="WQR3" s="484"/>
      <c r="WQS3" s="484"/>
      <c r="WQT3" s="484"/>
      <c r="WQU3" s="484"/>
      <c r="WQV3" s="484"/>
      <c r="WQW3" s="484"/>
      <c r="WQX3" s="484"/>
      <c r="WQY3" s="484"/>
      <c r="WQZ3" s="484"/>
      <c r="WRA3" s="484"/>
      <c r="WRB3" s="484"/>
      <c r="WRC3" s="484"/>
      <c r="WRD3" s="484"/>
      <c r="WRE3" s="484"/>
      <c r="WRF3" s="484"/>
      <c r="WRG3" s="484"/>
      <c r="WRH3" s="484"/>
      <c r="WRI3" s="484"/>
      <c r="WRJ3" s="484"/>
      <c r="WRK3" s="484"/>
      <c r="WRL3" s="484"/>
      <c r="WRM3" s="484"/>
      <c r="WRN3" s="484"/>
      <c r="WRO3" s="484"/>
      <c r="WRP3" s="484"/>
      <c r="WRQ3" s="484"/>
      <c r="WRR3" s="484"/>
      <c r="WRS3" s="484"/>
      <c r="WRT3" s="484"/>
      <c r="WRU3" s="484"/>
      <c r="WRV3" s="484"/>
      <c r="WRW3" s="484"/>
      <c r="WRX3" s="484"/>
      <c r="WRY3" s="484"/>
      <c r="WRZ3" s="484"/>
      <c r="WSA3" s="484"/>
      <c r="WSB3" s="484"/>
      <c r="WSC3" s="484"/>
      <c r="WSD3" s="484"/>
      <c r="WSE3" s="484"/>
      <c r="WSF3" s="484"/>
      <c r="WSG3" s="484"/>
      <c r="WSH3" s="484"/>
      <c r="WSI3" s="484"/>
      <c r="WSJ3" s="484"/>
      <c r="WSK3" s="484"/>
      <c r="WSL3" s="484"/>
      <c r="WSM3" s="484"/>
      <c r="WSN3" s="484"/>
      <c r="WSO3" s="484"/>
      <c r="WSP3" s="484"/>
      <c r="WSQ3" s="484"/>
      <c r="WSR3" s="484"/>
      <c r="WSS3" s="484"/>
      <c r="WST3" s="484"/>
      <c r="WSU3" s="484"/>
      <c r="WSV3" s="484"/>
      <c r="WSW3" s="484"/>
      <c r="WSX3" s="484"/>
      <c r="WSY3" s="484"/>
      <c r="WSZ3" s="484"/>
      <c r="WTA3" s="484"/>
      <c r="WTB3" s="484"/>
      <c r="WTC3" s="484"/>
      <c r="WTD3" s="484"/>
      <c r="WTE3" s="484"/>
      <c r="WTF3" s="484"/>
      <c r="WTG3" s="484"/>
      <c r="WTH3" s="484"/>
      <c r="WTI3" s="484"/>
      <c r="WTJ3" s="484"/>
      <c r="WTK3" s="484"/>
      <c r="WTL3" s="484"/>
      <c r="WTM3" s="484"/>
      <c r="WTN3" s="484"/>
      <c r="WTO3" s="484"/>
      <c r="WTP3" s="484"/>
      <c r="WTQ3" s="484"/>
      <c r="WTR3" s="484"/>
      <c r="WTS3" s="484"/>
      <c r="WTT3" s="484"/>
      <c r="WTU3" s="484"/>
      <c r="WTV3" s="484"/>
      <c r="WTW3" s="484"/>
      <c r="WTX3" s="484"/>
      <c r="WTY3" s="484"/>
      <c r="WTZ3" s="484"/>
      <c r="WUA3" s="484"/>
      <c r="WUB3" s="484"/>
      <c r="WUC3" s="484"/>
      <c r="WUD3" s="484"/>
      <c r="WUE3" s="484"/>
      <c r="WUF3" s="484"/>
      <c r="WUG3" s="484"/>
      <c r="WUH3" s="484"/>
      <c r="WUI3" s="484"/>
      <c r="WUJ3" s="484"/>
      <c r="WUK3" s="484"/>
      <c r="WUL3" s="484"/>
      <c r="WUM3" s="484"/>
      <c r="WUN3" s="484"/>
      <c r="WUO3" s="484"/>
      <c r="WUP3" s="484"/>
      <c r="WUQ3" s="484"/>
      <c r="WUR3" s="484"/>
      <c r="WUS3" s="484"/>
      <c r="WUT3" s="484"/>
      <c r="WUU3" s="484"/>
      <c r="WUV3" s="484"/>
      <c r="WUW3" s="484"/>
      <c r="WUX3" s="484"/>
      <c r="WUY3" s="484"/>
      <c r="WUZ3" s="484"/>
      <c r="WVA3" s="484"/>
      <c r="WVB3" s="484"/>
      <c r="WVC3" s="484"/>
      <c r="WVD3" s="484"/>
      <c r="WVE3" s="484"/>
      <c r="WVF3" s="484"/>
      <c r="WVG3" s="484"/>
      <c r="WVH3" s="484"/>
      <c r="WVI3" s="484"/>
      <c r="WVJ3" s="484"/>
      <c r="WVK3" s="484"/>
      <c r="WVL3" s="484"/>
      <c r="WVM3" s="484"/>
      <c r="WVN3" s="484"/>
      <c r="WVO3" s="484"/>
      <c r="WVP3" s="484"/>
      <c r="WVQ3" s="484"/>
      <c r="WVR3" s="484"/>
      <c r="WVS3" s="484"/>
      <c r="WVT3" s="484"/>
      <c r="WVU3" s="484"/>
      <c r="WVV3" s="484"/>
      <c r="WVW3" s="484"/>
      <c r="WVX3" s="484"/>
      <c r="WVY3" s="484"/>
      <c r="WVZ3" s="484"/>
      <c r="WWA3" s="484"/>
      <c r="WWB3" s="484"/>
      <c r="WWC3" s="484"/>
      <c r="WWD3" s="484"/>
      <c r="WWE3" s="484"/>
      <c r="WWF3" s="484"/>
      <c r="WWG3" s="484"/>
      <c r="WWH3" s="484"/>
      <c r="WWI3" s="484"/>
      <c r="WWJ3" s="484"/>
      <c r="WWK3" s="484"/>
      <c r="WWL3" s="484"/>
      <c r="WWM3" s="484"/>
      <c r="WWN3" s="484"/>
      <c r="WWO3" s="484"/>
      <c r="WWP3" s="484"/>
      <c r="WWQ3" s="484"/>
      <c r="WWR3" s="484"/>
      <c r="WWS3" s="484"/>
      <c r="WWT3" s="484"/>
      <c r="WWU3" s="484"/>
      <c r="WWV3" s="484"/>
      <c r="WWW3" s="484"/>
      <c r="WWX3" s="484"/>
      <c r="WWY3" s="484"/>
      <c r="WWZ3" s="484"/>
      <c r="WXA3" s="484"/>
      <c r="WXB3" s="484"/>
      <c r="WXC3" s="484"/>
      <c r="WXD3" s="484"/>
      <c r="WXE3" s="484"/>
      <c r="WXF3" s="484"/>
      <c r="WXG3" s="484"/>
      <c r="WXH3" s="484"/>
      <c r="WXI3" s="484"/>
      <c r="WXJ3" s="484"/>
      <c r="WXK3" s="484"/>
      <c r="WXL3" s="484"/>
      <c r="WXM3" s="484"/>
      <c r="WXN3" s="484"/>
      <c r="WXO3" s="484"/>
      <c r="WXP3" s="484"/>
      <c r="WXQ3" s="484"/>
      <c r="WXR3" s="484"/>
      <c r="WXS3" s="484"/>
      <c r="WXT3" s="484"/>
      <c r="WXU3" s="484"/>
      <c r="WXV3" s="484"/>
      <c r="WXW3" s="484"/>
      <c r="WXX3" s="484"/>
      <c r="WXY3" s="484"/>
      <c r="WXZ3" s="484"/>
      <c r="WYA3" s="484"/>
      <c r="WYB3" s="484"/>
      <c r="WYC3" s="484"/>
      <c r="WYD3" s="484"/>
      <c r="WYE3" s="484"/>
      <c r="WYF3" s="484"/>
      <c r="WYG3" s="484"/>
      <c r="WYH3" s="484"/>
      <c r="WYI3" s="484"/>
      <c r="WYJ3" s="484"/>
      <c r="WYK3" s="484"/>
      <c r="WYL3" s="484"/>
      <c r="WYM3" s="484"/>
      <c r="WYN3" s="484"/>
      <c r="WYO3" s="484"/>
      <c r="WYP3" s="484"/>
      <c r="WYQ3" s="484"/>
      <c r="WYR3" s="484"/>
      <c r="WYS3" s="484"/>
      <c r="WYT3" s="484"/>
      <c r="WYU3" s="484"/>
      <c r="WYV3" s="484"/>
      <c r="WYW3" s="484"/>
      <c r="WYX3" s="484"/>
      <c r="WYY3" s="484"/>
      <c r="WYZ3" s="484"/>
      <c r="WZA3" s="484"/>
      <c r="WZB3" s="484"/>
      <c r="WZC3" s="484"/>
      <c r="WZD3" s="484"/>
      <c r="WZE3" s="484"/>
      <c r="WZF3" s="484"/>
      <c r="WZG3" s="484"/>
      <c r="WZH3" s="484"/>
      <c r="WZI3" s="484"/>
      <c r="WZJ3" s="484"/>
      <c r="WZK3" s="484"/>
      <c r="WZL3" s="484"/>
      <c r="WZM3" s="484"/>
      <c r="WZN3" s="484"/>
      <c r="WZO3" s="484"/>
      <c r="WZP3" s="484"/>
      <c r="WZQ3" s="484"/>
      <c r="WZR3" s="484"/>
      <c r="WZS3" s="484"/>
      <c r="WZT3" s="484"/>
      <c r="WZU3" s="484"/>
      <c r="WZV3" s="484"/>
      <c r="WZW3" s="484"/>
      <c r="WZX3" s="484"/>
      <c r="WZY3" s="484"/>
      <c r="WZZ3" s="484"/>
      <c r="XAA3" s="484"/>
      <c r="XAB3" s="484"/>
      <c r="XAC3" s="484"/>
      <c r="XAD3" s="484"/>
      <c r="XAE3" s="484"/>
      <c r="XAF3" s="484"/>
      <c r="XAG3" s="484"/>
      <c r="XAH3" s="484"/>
      <c r="XAI3" s="484"/>
      <c r="XAJ3" s="484"/>
      <c r="XAK3" s="484"/>
      <c r="XAL3" s="484"/>
      <c r="XAM3" s="484"/>
      <c r="XAN3" s="484"/>
      <c r="XAO3" s="484"/>
      <c r="XAP3" s="484"/>
      <c r="XAQ3" s="484"/>
      <c r="XAR3" s="484"/>
      <c r="XAS3" s="484"/>
      <c r="XAT3" s="484"/>
      <c r="XAU3" s="484"/>
      <c r="XAV3" s="484"/>
      <c r="XAW3" s="484"/>
      <c r="XAX3" s="484"/>
      <c r="XAY3" s="484"/>
      <c r="XAZ3" s="484"/>
      <c r="XBA3" s="484"/>
      <c r="XBB3" s="484"/>
      <c r="XBC3" s="484"/>
      <c r="XBD3" s="484"/>
      <c r="XBE3" s="484"/>
      <c r="XBF3" s="484"/>
      <c r="XBG3" s="484"/>
      <c r="XBH3" s="484"/>
      <c r="XBI3" s="484"/>
      <c r="XBJ3" s="484"/>
      <c r="XBK3" s="484"/>
      <c r="XBL3" s="484"/>
      <c r="XBM3" s="484"/>
      <c r="XBN3" s="484"/>
      <c r="XBO3" s="484"/>
      <c r="XBP3" s="484"/>
      <c r="XBQ3" s="484"/>
      <c r="XBR3" s="484"/>
      <c r="XBS3" s="484"/>
      <c r="XBT3" s="484"/>
      <c r="XBU3" s="484"/>
      <c r="XBV3" s="484"/>
      <c r="XBW3" s="484"/>
      <c r="XBX3" s="484"/>
      <c r="XBY3" s="484"/>
      <c r="XBZ3" s="484"/>
      <c r="XCA3" s="484"/>
      <c r="XCB3" s="484"/>
      <c r="XCC3" s="484"/>
      <c r="XCD3" s="484"/>
      <c r="XCE3" s="484"/>
      <c r="XCF3" s="484"/>
      <c r="XCG3" s="484"/>
      <c r="XCH3" s="484"/>
      <c r="XCI3" s="484"/>
      <c r="XCJ3" s="484"/>
      <c r="XCK3" s="484"/>
      <c r="XCL3" s="484"/>
      <c r="XCM3" s="484"/>
      <c r="XCN3" s="484"/>
      <c r="XCO3" s="484"/>
      <c r="XCP3" s="484"/>
      <c r="XCQ3" s="484"/>
      <c r="XCR3" s="484"/>
      <c r="XCS3" s="484"/>
      <c r="XCT3" s="484"/>
      <c r="XCU3" s="484"/>
      <c r="XCV3" s="484"/>
      <c r="XCW3" s="484"/>
      <c r="XCX3" s="484"/>
      <c r="XCY3" s="484"/>
      <c r="XCZ3" s="484"/>
      <c r="XDA3" s="484"/>
      <c r="XDB3" s="484"/>
      <c r="XDC3" s="484"/>
      <c r="XDD3" s="484"/>
      <c r="XDE3" s="484"/>
      <c r="XDF3" s="484"/>
      <c r="XDG3" s="484"/>
      <c r="XDH3" s="484"/>
      <c r="XDI3" s="484"/>
      <c r="XDJ3" s="484"/>
      <c r="XDK3" s="484"/>
      <c r="XDL3" s="484"/>
      <c r="XDM3" s="484"/>
      <c r="XDN3" s="484"/>
      <c r="XDO3" s="484"/>
      <c r="XDP3" s="484"/>
      <c r="XDQ3" s="484"/>
      <c r="XDR3" s="484"/>
      <c r="XDS3" s="484"/>
      <c r="XDT3" s="484"/>
      <c r="XDU3" s="484"/>
      <c r="XDV3" s="484"/>
      <c r="XDW3" s="484"/>
      <c r="XDX3" s="484"/>
      <c r="XDY3" s="484"/>
      <c r="XDZ3" s="484"/>
      <c r="XEA3" s="484"/>
      <c r="XEB3" s="484"/>
      <c r="XEC3" s="484"/>
      <c r="XED3" s="484"/>
      <c r="XEE3" s="484"/>
      <c r="XEF3" s="484"/>
      <c r="XEG3" s="484"/>
      <c r="XEH3" s="484"/>
      <c r="XEI3" s="484"/>
      <c r="XEJ3" s="484"/>
      <c r="XEK3" s="484"/>
      <c r="XEL3" s="484"/>
      <c r="XEM3" s="484"/>
      <c r="XEN3" s="484"/>
      <c r="XEO3" s="484"/>
      <c r="XEP3" s="484"/>
      <c r="XEQ3" s="484"/>
      <c r="XER3" s="484"/>
      <c r="XES3" s="484"/>
      <c r="XET3" s="484"/>
      <c r="XEU3" s="484"/>
      <c r="XEV3" s="484"/>
      <c r="XEW3" s="484"/>
      <c r="XEX3" s="484"/>
      <c r="XEY3" s="484"/>
      <c r="XEZ3" s="484"/>
      <c r="XFA3" s="484"/>
      <c r="XFB3" s="484"/>
      <c r="XFC3" s="484"/>
      <c r="XFD3" s="4"/>
    </row>
    <row r="4" spans="1:16384" x14ac:dyDescent="0.25">
      <c r="A4" s="485"/>
      <c r="B4" s="485"/>
      <c r="C4" s="485"/>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C4" s="484"/>
      <c r="AD4" s="484"/>
      <c r="AE4" s="484"/>
      <c r="AF4" s="484"/>
      <c r="AG4" s="484"/>
      <c r="AH4" s="484"/>
      <c r="AI4" s="484"/>
      <c r="AJ4" s="484"/>
      <c r="AK4" s="484"/>
      <c r="AL4" s="484"/>
      <c r="AM4" s="484"/>
      <c r="AN4" s="484"/>
      <c r="AO4" s="484"/>
      <c r="AP4" s="484"/>
      <c r="AQ4" s="484"/>
      <c r="AR4" s="484"/>
      <c r="AS4" s="484"/>
      <c r="AT4" s="484"/>
      <c r="AU4" s="484"/>
      <c r="AV4" s="484"/>
      <c r="AW4" s="484"/>
      <c r="AX4" s="484"/>
      <c r="AY4" s="484"/>
      <c r="AZ4" s="484"/>
      <c r="BA4" s="484"/>
      <c r="BB4" s="484"/>
      <c r="BC4" s="484"/>
      <c r="BD4" s="484"/>
      <c r="BE4" s="484"/>
      <c r="BF4" s="484"/>
      <c r="BG4" s="484"/>
      <c r="BH4" s="484"/>
      <c r="BI4" s="484"/>
      <c r="BJ4" s="484"/>
      <c r="BK4" s="484"/>
      <c r="BL4" s="484"/>
      <c r="BM4" s="484"/>
      <c r="BN4" s="484"/>
      <c r="BO4" s="484"/>
      <c r="BP4" s="484"/>
      <c r="BQ4" s="484"/>
      <c r="BR4" s="484"/>
      <c r="BS4" s="484"/>
      <c r="BT4" s="484"/>
      <c r="BU4" s="484"/>
      <c r="BV4" s="484"/>
      <c r="BW4" s="484"/>
      <c r="BX4" s="484"/>
      <c r="BY4" s="484"/>
      <c r="BZ4" s="484"/>
      <c r="CA4" s="484"/>
      <c r="CB4" s="484"/>
      <c r="CC4" s="484"/>
      <c r="CD4" s="484"/>
      <c r="CE4" s="484"/>
      <c r="CF4" s="484"/>
      <c r="CG4" s="484"/>
      <c r="CH4" s="484"/>
      <c r="CI4" s="484"/>
      <c r="CJ4" s="484"/>
      <c r="CK4" s="484"/>
      <c r="CL4" s="484"/>
      <c r="CM4" s="484"/>
      <c r="CN4" s="484"/>
      <c r="CO4" s="484"/>
      <c r="CP4" s="484"/>
      <c r="CQ4" s="484"/>
      <c r="CR4" s="484"/>
      <c r="CS4" s="484"/>
      <c r="CT4" s="484"/>
      <c r="CU4" s="484"/>
      <c r="CV4" s="484"/>
      <c r="CW4" s="484"/>
      <c r="CX4" s="484"/>
      <c r="CY4" s="484"/>
      <c r="CZ4" s="484"/>
      <c r="DA4" s="484"/>
      <c r="DB4" s="484"/>
      <c r="DC4" s="484"/>
      <c r="DD4" s="484"/>
      <c r="DE4" s="484"/>
      <c r="DF4" s="484"/>
      <c r="DG4" s="484"/>
      <c r="DH4" s="484"/>
      <c r="DI4" s="484"/>
      <c r="DJ4" s="484"/>
      <c r="DK4" s="484"/>
      <c r="DL4" s="484"/>
      <c r="DM4" s="484"/>
      <c r="DN4" s="484"/>
      <c r="DO4" s="484"/>
      <c r="DP4" s="484"/>
      <c r="DQ4" s="484"/>
      <c r="DR4" s="484"/>
      <c r="DS4" s="484"/>
      <c r="DT4" s="484"/>
      <c r="DU4" s="484"/>
      <c r="DV4" s="484"/>
      <c r="DW4" s="484"/>
      <c r="DX4" s="484"/>
      <c r="DY4" s="484"/>
      <c r="DZ4" s="484"/>
      <c r="EA4" s="484"/>
      <c r="EB4" s="484"/>
      <c r="EC4" s="484"/>
      <c r="ED4" s="484"/>
      <c r="EE4" s="484"/>
      <c r="EF4" s="484"/>
      <c r="EG4" s="484"/>
      <c r="EH4" s="484"/>
      <c r="EI4" s="484"/>
      <c r="EJ4" s="484"/>
      <c r="EK4" s="484"/>
      <c r="EL4" s="484"/>
      <c r="EM4" s="484"/>
      <c r="EN4" s="484"/>
      <c r="EO4" s="484"/>
      <c r="EP4" s="484"/>
      <c r="EQ4" s="484"/>
      <c r="ER4" s="484"/>
      <c r="ES4" s="484"/>
      <c r="ET4" s="484"/>
      <c r="EU4" s="484"/>
      <c r="EV4" s="484"/>
      <c r="EW4" s="484"/>
      <c r="EX4" s="484"/>
      <c r="EY4" s="484"/>
      <c r="EZ4" s="484"/>
      <c r="FA4" s="484"/>
      <c r="FB4" s="484"/>
      <c r="FC4" s="484"/>
      <c r="FD4" s="484"/>
      <c r="FE4" s="484"/>
      <c r="FF4" s="484"/>
      <c r="FG4" s="484"/>
      <c r="FH4" s="484"/>
      <c r="FI4" s="484"/>
      <c r="FJ4" s="484"/>
      <c r="FK4" s="484"/>
      <c r="FL4" s="484"/>
      <c r="FM4" s="484"/>
      <c r="FN4" s="484"/>
      <c r="FO4" s="484"/>
      <c r="FP4" s="484"/>
      <c r="FQ4" s="484"/>
      <c r="FR4" s="484"/>
      <c r="FS4" s="484"/>
      <c r="FT4" s="484"/>
      <c r="FU4" s="484"/>
      <c r="FV4" s="484"/>
      <c r="FW4" s="484"/>
      <c r="FX4" s="484"/>
      <c r="FY4" s="484"/>
      <c r="FZ4" s="484"/>
      <c r="GA4" s="484"/>
      <c r="GB4" s="484"/>
      <c r="GC4" s="484"/>
      <c r="GD4" s="484"/>
      <c r="GE4" s="484"/>
      <c r="GF4" s="484"/>
      <c r="GG4" s="484"/>
      <c r="GH4" s="484"/>
      <c r="GI4" s="484"/>
      <c r="GJ4" s="484"/>
      <c r="GK4" s="484"/>
      <c r="GL4" s="484"/>
      <c r="GM4" s="484"/>
      <c r="GN4" s="484"/>
      <c r="GO4" s="484"/>
      <c r="GP4" s="484"/>
      <c r="GQ4" s="484"/>
      <c r="GR4" s="484"/>
      <c r="GS4" s="484"/>
      <c r="GT4" s="484"/>
      <c r="GU4" s="484"/>
      <c r="GV4" s="484"/>
      <c r="GW4" s="484"/>
      <c r="GX4" s="484"/>
      <c r="GY4" s="484"/>
      <c r="GZ4" s="484"/>
      <c r="HA4" s="484"/>
      <c r="HB4" s="484"/>
      <c r="HC4" s="484"/>
      <c r="HD4" s="484"/>
      <c r="HE4" s="484"/>
      <c r="HF4" s="484"/>
      <c r="HG4" s="484"/>
      <c r="HH4" s="484"/>
      <c r="HI4" s="484"/>
      <c r="HJ4" s="484"/>
      <c r="HK4" s="484"/>
      <c r="HL4" s="484"/>
      <c r="HM4" s="484"/>
      <c r="HN4" s="484"/>
      <c r="HO4" s="484"/>
      <c r="HP4" s="484"/>
      <c r="HQ4" s="484"/>
      <c r="HR4" s="484"/>
      <c r="HS4" s="484"/>
      <c r="HT4" s="484"/>
      <c r="HU4" s="484"/>
      <c r="HV4" s="484"/>
      <c r="HW4" s="484"/>
      <c r="HX4" s="484"/>
      <c r="HY4" s="484"/>
      <c r="HZ4" s="484"/>
      <c r="IA4" s="484"/>
      <c r="IB4" s="484"/>
      <c r="IC4" s="484"/>
      <c r="ID4" s="484"/>
      <c r="IE4" s="484"/>
      <c r="IF4" s="484"/>
      <c r="IG4" s="484"/>
      <c r="IH4" s="484"/>
      <c r="II4" s="484"/>
      <c r="IJ4" s="484"/>
      <c r="IK4" s="484"/>
      <c r="IL4" s="484"/>
      <c r="IM4" s="484"/>
      <c r="IN4" s="484"/>
      <c r="IO4" s="484"/>
      <c r="IP4" s="484"/>
      <c r="IQ4" s="484"/>
      <c r="IR4" s="484"/>
      <c r="IS4" s="484"/>
      <c r="IT4" s="484"/>
      <c r="IU4" s="484"/>
      <c r="IV4" s="484"/>
      <c r="IW4" s="484"/>
      <c r="IX4" s="484"/>
      <c r="IY4" s="484"/>
      <c r="IZ4" s="484"/>
      <c r="JA4" s="484"/>
      <c r="JB4" s="484"/>
      <c r="JC4" s="484"/>
      <c r="JD4" s="484"/>
      <c r="JE4" s="484"/>
      <c r="JF4" s="484"/>
      <c r="JG4" s="484"/>
      <c r="JH4" s="484"/>
      <c r="JI4" s="484"/>
      <c r="JJ4" s="484"/>
      <c r="JK4" s="484"/>
      <c r="JL4" s="484"/>
      <c r="JM4" s="484"/>
      <c r="JN4" s="484"/>
      <c r="JO4" s="484"/>
      <c r="JP4" s="484"/>
      <c r="JQ4" s="484"/>
      <c r="JR4" s="484"/>
      <c r="JS4" s="484"/>
      <c r="JT4" s="484"/>
      <c r="JU4" s="484"/>
      <c r="JV4" s="484"/>
      <c r="JW4" s="484"/>
      <c r="JX4" s="484"/>
      <c r="JY4" s="484"/>
      <c r="JZ4" s="484"/>
      <c r="KA4" s="484"/>
      <c r="KB4" s="484"/>
      <c r="KC4" s="484"/>
      <c r="KD4" s="484"/>
      <c r="KE4" s="484"/>
      <c r="KF4" s="484"/>
      <c r="KG4" s="484"/>
      <c r="KH4" s="484"/>
      <c r="KI4" s="484"/>
      <c r="KJ4" s="484"/>
      <c r="KK4" s="484"/>
      <c r="KL4" s="484"/>
      <c r="KM4" s="484"/>
      <c r="KN4" s="484"/>
      <c r="KO4" s="484"/>
      <c r="KP4" s="484"/>
      <c r="KQ4" s="484"/>
      <c r="KR4" s="484"/>
      <c r="KS4" s="484"/>
      <c r="KT4" s="484"/>
      <c r="KU4" s="484"/>
      <c r="KV4" s="484"/>
      <c r="KW4" s="484"/>
      <c r="KX4" s="484"/>
      <c r="KY4" s="484"/>
      <c r="KZ4" s="484"/>
      <c r="LA4" s="484"/>
      <c r="LB4" s="484"/>
      <c r="LC4" s="484"/>
      <c r="LD4" s="484"/>
      <c r="LE4" s="484"/>
      <c r="LF4" s="484"/>
      <c r="LG4" s="484"/>
      <c r="LH4" s="484"/>
      <c r="LI4" s="484"/>
      <c r="LJ4" s="484"/>
      <c r="LK4" s="484"/>
      <c r="LL4" s="484"/>
      <c r="LM4" s="484"/>
      <c r="LN4" s="484"/>
      <c r="LO4" s="484"/>
      <c r="LP4" s="484"/>
      <c r="LQ4" s="484"/>
      <c r="LR4" s="484"/>
      <c r="LS4" s="484"/>
      <c r="LT4" s="484"/>
      <c r="LU4" s="484"/>
      <c r="LV4" s="484"/>
      <c r="LW4" s="484"/>
      <c r="LX4" s="484"/>
      <c r="LY4" s="484"/>
      <c r="LZ4" s="484"/>
      <c r="MA4" s="484"/>
      <c r="MB4" s="484"/>
      <c r="MC4" s="484"/>
      <c r="MD4" s="484"/>
      <c r="ME4" s="484"/>
      <c r="MF4" s="484"/>
      <c r="MG4" s="484"/>
      <c r="MH4" s="484"/>
      <c r="MI4" s="484"/>
      <c r="MJ4" s="484"/>
      <c r="MK4" s="484"/>
      <c r="ML4" s="484"/>
      <c r="MM4" s="484"/>
      <c r="MN4" s="484"/>
      <c r="MO4" s="484"/>
      <c r="MP4" s="484"/>
      <c r="MQ4" s="484"/>
      <c r="MR4" s="484"/>
      <c r="MS4" s="484"/>
      <c r="MT4" s="484"/>
      <c r="MU4" s="484"/>
      <c r="MV4" s="484"/>
      <c r="MW4" s="484"/>
      <c r="MX4" s="484"/>
      <c r="MY4" s="484"/>
      <c r="MZ4" s="484"/>
      <c r="NA4" s="484"/>
      <c r="NB4" s="484"/>
      <c r="NC4" s="484"/>
      <c r="ND4" s="484"/>
      <c r="NE4" s="484"/>
      <c r="NF4" s="484"/>
      <c r="NG4" s="484"/>
      <c r="NH4" s="484"/>
      <c r="NI4" s="484"/>
      <c r="NJ4" s="484"/>
      <c r="NK4" s="484"/>
      <c r="NL4" s="484"/>
      <c r="NM4" s="484"/>
      <c r="NN4" s="484"/>
      <c r="NO4" s="484"/>
      <c r="NP4" s="484"/>
      <c r="NQ4" s="484"/>
      <c r="NR4" s="484"/>
      <c r="NS4" s="484"/>
      <c r="NT4" s="484"/>
      <c r="NU4" s="484"/>
      <c r="NV4" s="484"/>
      <c r="NW4" s="484"/>
      <c r="NX4" s="484"/>
      <c r="NY4" s="484"/>
      <c r="NZ4" s="484"/>
      <c r="OA4" s="484"/>
      <c r="OB4" s="484"/>
      <c r="OC4" s="484"/>
      <c r="OD4" s="484"/>
      <c r="OE4" s="484"/>
      <c r="OF4" s="484"/>
      <c r="OG4" s="484"/>
      <c r="OH4" s="484"/>
      <c r="OI4" s="484"/>
      <c r="OJ4" s="484"/>
      <c r="OK4" s="484"/>
      <c r="OL4" s="484"/>
      <c r="OM4" s="484"/>
      <c r="ON4" s="484"/>
      <c r="OO4" s="484"/>
      <c r="OP4" s="484"/>
      <c r="OQ4" s="484"/>
      <c r="OR4" s="484"/>
      <c r="OS4" s="484"/>
      <c r="OT4" s="484"/>
      <c r="OU4" s="484"/>
      <c r="OV4" s="484"/>
      <c r="OW4" s="484"/>
      <c r="OX4" s="484"/>
      <c r="OY4" s="484"/>
      <c r="OZ4" s="484"/>
      <c r="PA4" s="484"/>
      <c r="PB4" s="484"/>
      <c r="PC4" s="484"/>
      <c r="PD4" s="484"/>
      <c r="PE4" s="484"/>
      <c r="PF4" s="484"/>
      <c r="PG4" s="484"/>
      <c r="PH4" s="484"/>
      <c r="PI4" s="484"/>
      <c r="PJ4" s="484"/>
      <c r="PK4" s="484"/>
      <c r="PL4" s="484"/>
      <c r="PM4" s="484"/>
      <c r="PN4" s="484"/>
      <c r="PO4" s="484"/>
      <c r="PP4" s="484"/>
      <c r="PQ4" s="484"/>
      <c r="PR4" s="484"/>
      <c r="PS4" s="484"/>
      <c r="PT4" s="484"/>
      <c r="PU4" s="484"/>
      <c r="PV4" s="484"/>
      <c r="PW4" s="484"/>
      <c r="PX4" s="484"/>
      <c r="PY4" s="484"/>
      <c r="PZ4" s="484"/>
      <c r="QA4" s="484"/>
      <c r="QB4" s="484"/>
      <c r="QC4" s="484"/>
      <c r="QD4" s="484"/>
      <c r="QE4" s="484"/>
      <c r="QF4" s="484"/>
      <c r="QG4" s="484"/>
      <c r="QH4" s="484"/>
      <c r="QI4" s="484"/>
      <c r="QJ4" s="484"/>
      <c r="QK4" s="484"/>
      <c r="QL4" s="484"/>
      <c r="QM4" s="484"/>
      <c r="QN4" s="484"/>
      <c r="QO4" s="484"/>
      <c r="QP4" s="484"/>
      <c r="QQ4" s="484"/>
      <c r="QR4" s="484"/>
      <c r="QS4" s="484"/>
      <c r="QT4" s="484"/>
      <c r="QU4" s="484"/>
      <c r="QV4" s="484"/>
      <c r="QW4" s="484"/>
      <c r="QX4" s="484"/>
      <c r="QY4" s="484"/>
      <c r="QZ4" s="484"/>
      <c r="RA4" s="484"/>
      <c r="RB4" s="484"/>
      <c r="RC4" s="484"/>
      <c r="RD4" s="484"/>
      <c r="RE4" s="484"/>
      <c r="RF4" s="484"/>
      <c r="RG4" s="484"/>
      <c r="RH4" s="484"/>
      <c r="RI4" s="484"/>
      <c r="RJ4" s="484"/>
      <c r="RK4" s="484"/>
      <c r="RL4" s="484"/>
      <c r="RM4" s="484"/>
      <c r="RN4" s="484"/>
      <c r="RO4" s="484"/>
      <c r="RP4" s="484"/>
      <c r="RQ4" s="484"/>
      <c r="RR4" s="484"/>
      <c r="RS4" s="484"/>
      <c r="RT4" s="484"/>
      <c r="RU4" s="484"/>
      <c r="RV4" s="484"/>
      <c r="RW4" s="484"/>
      <c r="RX4" s="484"/>
      <c r="RY4" s="484"/>
      <c r="RZ4" s="484"/>
      <c r="SA4" s="484"/>
      <c r="SB4" s="484"/>
      <c r="SC4" s="484"/>
      <c r="SD4" s="484"/>
      <c r="SE4" s="484"/>
      <c r="SF4" s="484"/>
      <c r="SG4" s="484"/>
      <c r="SH4" s="484"/>
      <c r="SI4" s="484"/>
      <c r="SJ4" s="484"/>
      <c r="SK4" s="484"/>
      <c r="SL4" s="484"/>
      <c r="SM4" s="484"/>
      <c r="SN4" s="484"/>
      <c r="SO4" s="484"/>
      <c r="SP4" s="484"/>
      <c r="SQ4" s="484"/>
      <c r="SR4" s="484"/>
      <c r="SS4" s="484"/>
      <c r="ST4" s="484"/>
      <c r="SU4" s="484"/>
      <c r="SV4" s="484"/>
      <c r="SW4" s="484"/>
      <c r="SX4" s="484"/>
      <c r="SY4" s="484"/>
      <c r="SZ4" s="484"/>
      <c r="TA4" s="484"/>
      <c r="TB4" s="484"/>
      <c r="TC4" s="484"/>
      <c r="TD4" s="484"/>
      <c r="TE4" s="484"/>
      <c r="TF4" s="484"/>
      <c r="TG4" s="484"/>
      <c r="TH4" s="484"/>
      <c r="TI4" s="484"/>
      <c r="TJ4" s="484"/>
      <c r="TK4" s="484"/>
      <c r="TL4" s="484"/>
      <c r="TM4" s="484"/>
      <c r="TN4" s="484"/>
      <c r="TO4" s="484"/>
      <c r="TP4" s="484"/>
      <c r="TQ4" s="484"/>
      <c r="TR4" s="484"/>
      <c r="TS4" s="484"/>
      <c r="TT4" s="484"/>
      <c r="TU4" s="484"/>
      <c r="TV4" s="484"/>
      <c r="TW4" s="484"/>
      <c r="TX4" s="484"/>
      <c r="TY4" s="484"/>
      <c r="TZ4" s="484"/>
      <c r="UA4" s="484"/>
      <c r="UB4" s="484"/>
      <c r="UC4" s="484"/>
      <c r="UD4" s="484"/>
      <c r="UE4" s="484"/>
      <c r="UF4" s="484"/>
      <c r="UG4" s="484"/>
      <c r="UH4" s="484"/>
      <c r="UI4" s="484"/>
      <c r="UJ4" s="484"/>
      <c r="UK4" s="484"/>
      <c r="UL4" s="484"/>
      <c r="UM4" s="484"/>
      <c r="UN4" s="484"/>
      <c r="UO4" s="484"/>
      <c r="UP4" s="484"/>
      <c r="UQ4" s="484"/>
      <c r="UR4" s="484"/>
      <c r="US4" s="484"/>
      <c r="UT4" s="484"/>
      <c r="UU4" s="484"/>
      <c r="UV4" s="484"/>
      <c r="UW4" s="484"/>
      <c r="UX4" s="484"/>
      <c r="UY4" s="484"/>
      <c r="UZ4" s="484"/>
      <c r="VA4" s="484"/>
      <c r="VB4" s="484"/>
      <c r="VC4" s="484"/>
      <c r="VD4" s="484"/>
      <c r="VE4" s="484"/>
      <c r="VF4" s="484"/>
      <c r="VG4" s="484"/>
      <c r="VH4" s="484"/>
      <c r="VI4" s="484"/>
      <c r="VJ4" s="484"/>
      <c r="VK4" s="484"/>
      <c r="VL4" s="484"/>
      <c r="VM4" s="484"/>
      <c r="VN4" s="484"/>
      <c r="VO4" s="484"/>
      <c r="VP4" s="484"/>
      <c r="VQ4" s="484"/>
      <c r="VR4" s="484"/>
      <c r="VS4" s="484"/>
      <c r="VT4" s="484"/>
      <c r="VU4" s="484"/>
      <c r="VV4" s="484"/>
      <c r="VW4" s="484"/>
      <c r="VX4" s="484"/>
      <c r="VY4" s="484"/>
      <c r="VZ4" s="484"/>
      <c r="WA4" s="484"/>
      <c r="WB4" s="484"/>
      <c r="WC4" s="484"/>
      <c r="WD4" s="484"/>
      <c r="WE4" s="484"/>
      <c r="WF4" s="484"/>
      <c r="WG4" s="484"/>
      <c r="WH4" s="484"/>
      <c r="WI4" s="484"/>
      <c r="WJ4" s="484"/>
      <c r="WK4" s="484"/>
      <c r="WL4" s="484"/>
      <c r="WM4" s="484"/>
      <c r="WN4" s="484"/>
      <c r="WO4" s="484"/>
      <c r="WP4" s="484"/>
      <c r="WQ4" s="484"/>
      <c r="WR4" s="484"/>
      <c r="WS4" s="484"/>
      <c r="WT4" s="484"/>
      <c r="WU4" s="484"/>
      <c r="WV4" s="484"/>
      <c r="WW4" s="484"/>
      <c r="WX4" s="484"/>
      <c r="WY4" s="484"/>
      <c r="WZ4" s="484"/>
      <c r="XA4" s="484"/>
      <c r="XB4" s="484"/>
      <c r="XC4" s="484"/>
      <c r="XD4" s="484"/>
      <c r="XE4" s="484"/>
      <c r="XF4" s="484"/>
      <c r="XG4" s="484"/>
      <c r="XH4" s="484"/>
      <c r="XI4" s="484"/>
      <c r="XJ4" s="484"/>
      <c r="XK4" s="484"/>
      <c r="XL4" s="484"/>
      <c r="XM4" s="484"/>
      <c r="XN4" s="484"/>
      <c r="XO4" s="484"/>
      <c r="XP4" s="484"/>
      <c r="XQ4" s="484"/>
      <c r="XR4" s="484"/>
      <c r="XS4" s="484"/>
      <c r="XT4" s="484"/>
      <c r="XU4" s="484"/>
      <c r="XV4" s="484"/>
      <c r="XW4" s="484"/>
      <c r="XX4" s="484"/>
      <c r="XY4" s="484"/>
      <c r="XZ4" s="484"/>
      <c r="YA4" s="484"/>
      <c r="YB4" s="484"/>
      <c r="YC4" s="484"/>
      <c r="YD4" s="484"/>
      <c r="YE4" s="484"/>
      <c r="YF4" s="484"/>
      <c r="YG4" s="484"/>
      <c r="YH4" s="484"/>
      <c r="YI4" s="484"/>
      <c r="YJ4" s="484"/>
      <c r="YK4" s="484"/>
      <c r="YL4" s="484"/>
      <c r="YM4" s="484"/>
      <c r="YN4" s="484"/>
      <c r="YO4" s="484"/>
      <c r="YP4" s="484"/>
      <c r="YQ4" s="484"/>
      <c r="YR4" s="484"/>
      <c r="YS4" s="484"/>
      <c r="YT4" s="484"/>
      <c r="YU4" s="484"/>
      <c r="YV4" s="484"/>
      <c r="YW4" s="484"/>
      <c r="YX4" s="484"/>
      <c r="YY4" s="484"/>
      <c r="YZ4" s="484"/>
      <c r="ZA4" s="484"/>
      <c r="ZB4" s="484"/>
      <c r="ZC4" s="484"/>
      <c r="ZD4" s="484"/>
      <c r="ZE4" s="484"/>
      <c r="ZF4" s="484"/>
      <c r="ZG4" s="484"/>
      <c r="ZH4" s="484"/>
      <c r="ZI4" s="484"/>
      <c r="ZJ4" s="484"/>
      <c r="ZK4" s="484"/>
      <c r="ZL4" s="484"/>
      <c r="ZM4" s="484"/>
      <c r="ZN4" s="484"/>
      <c r="ZO4" s="484"/>
      <c r="ZP4" s="484"/>
      <c r="ZQ4" s="484"/>
      <c r="ZR4" s="484"/>
      <c r="ZS4" s="484"/>
      <c r="ZT4" s="484"/>
      <c r="ZU4" s="484"/>
      <c r="ZV4" s="484"/>
      <c r="ZW4" s="484"/>
      <c r="ZX4" s="484"/>
      <c r="ZY4" s="484"/>
      <c r="ZZ4" s="484"/>
      <c r="AAA4" s="484"/>
      <c r="AAB4" s="484"/>
      <c r="AAC4" s="484"/>
      <c r="AAD4" s="484"/>
      <c r="AAE4" s="484"/>
      <c r="AAF4" s="484"/>
      <c r="AAG4" s="484"/>
      <c r="AAH4" s="484"/>
      <c r="AAI4" s="484"/>
      <c r="AAJ4" s="484"/>
      <c r="AAK4" s="484"/>
      <c r="AAL4" s="484"/>
      <c r="AAM4" s="484"/>
      <c r="AAN4" s="484"/>
      <c r="AAO4" s="484"/>
      <c r="AAP4" s="484"/>
      <c r="AAQ4" s="484"/>
      <c r="AAR4" s="484"/>
      <c r="AAS4" s="484"/>
      <c r="AAT4" s="484"/>
      <c r="AAU4" s="484"/>
      <c r="AAV4" s="484"/>
      <c r="AAW4" s="484"/>
      <c r="AAX4" s="484"/>
      <c r="AAY4" s="484"/>
      <c r="AAZ4" s="484"/>
      <c r="ABA4" s="484"/>
      <c r="ABB4" s="484"/>
      <c r="ABC4" s="484"/>
      <c r="ABD4" s="484"/>
      <c r="ABE4" s="484"/>
      <c r="ABF4" s="484"/>
      <c r="ABG4" s="484"/>
      <c r="ABH4" s="484"/>
      <c r="ABI4" s="484"/>
      <c r="ABJ4" s="484"/>
      <c r="ABK4" s="484"/>
      <c r="ABL4" s="484"/>
      <c r="ABM4" s="484"/>
      <c r="ABN4" s="484"/>
      <c r="ABO4" s="484"/>
      <c r="ABP4" s="484"/>
      <c r="ABQ4" s="484"/>
      <c r="ABR4" s="484"/>
      <c r="ABS4" s="484"/>
      <c r="ABT4" s="484"/>
      <c r="ABU4" s="484"/>
      <c r="ABV4" s="484"/>
      <c r="ABW4" s="484"/>
      <c r="ABX4" s="484"/>
      <c r="ABY4" s="484"/>
      <c r="ABZ4" s="484"/>
      <c r="ACA4" s="484"/>
      <c r="ACB4" s="484"/>
      <c r="ACC4" s="484"/>
      <c r="ACD4" s="484"/>
      <c r="ACE4" s="484"/>
      <c r="ACF4" s="484"/>
      <c r="ACG4" s="484"/>
      <c r="ACH4" s="484"/>
      <c r="ACI4" s="484"/>
      <c r="ACJ4" s="484"/>
      <c r="ACK4" s="484"/>
      <c r="ACL4" s="484"/>
      <c r="ACM4" s="484"/>
      <c r="ACN4" s="484"/>
      <c r="ACO4" s="484"/>
      <c r="ACP4" s="484"/>
      <c r="ACQ4" s="484"/>
      <c r="ACR4" s="484"/>
      <c r="ACS4" s="484"/>
      <c r="ACT4" s="484"/>
      <c r="ACU4" s="484"/>
      <c r="ACV4" s="484"/>
      <c r="ACW4" s="484"/>
      <c r="ACX4" s="484"/>
      <c r="ACY4" s="484"/>
      <c r="ACZ4" s="484"/>
      <c r="ADA4" s="484"/>
      <c r="ADB4" s="484"/>
      <c r="ADC4" s="484"/>
      <c r="ADD4" s="484"/>
      <c r="ADE4" s="484"/>
      <c r="ADF4" s="484"/>
      <c r="ADG4" s="484"/>
      <c r="ADH4" s="484"/>
      <c r="ADI4" s="484"/>
      <c r="ADJ4" s="484"/>
      <c r="ADK4" s="484"/>
      <c r="ADL4" s="484"/>
      <c r="ADM4" s="484"/>
      <c r="ADN4" s="484"/>
      <c r="ADO4" s="484"/>
      <c r="ADP4" s="484"/>
      <c r="ADQ4" s="484"/>
      <c r="ADR4" s="484"/>
      <c r="ADS4" s="484"/>
      <c r="ADT4" s="484"/>
      <c r="ADU4" s="484"/>
      <c r="ADV4" s="484"/>
      <c r="ADW4" s="484"/>
      <c r="ADX4" s="484"/>
      <c r="ADY4" s="484"/>
      <c r="ADZ4" s="484"/>
      <c r="AEA4" s="484"/>
      <c r="AEB4" s="484"/>
      <c r="AEC4" s="484"/>
      <c r="AED4" s="484"/>
      <c r="AEE4" s="484"/>
      <c r="AEF4" s="484"/>
      <c r="AEG4" s="484"/>
      <c r="AEH4" s="484"/>
      <c r="AEI4" s="484"/>
      <c r="AEJ4" s="484"/>
      <c r="AEK4" s="484"/>
      <c r="AEL4" s="484"/>
      <c r="AEM4" s="484"/>
      <c r="AEN4" s="484"/>
      <c r="AEO4" s="484"/>
      <c r="AEP4" s="484"/>
      <c r="AEQ4" s="484"/>
      <c r="AER4" s="484"/>
      <c r="AES4" s="484"/>
      <c r="AET4" s="484"/>
      <c r="AEU4" s="484"/>
      <c r="AEV4" s="484"/>
      <c r="AEW4" s="484"/>
      <c r="AEX4" s="484"/>
      <c r="AEY4" s="484"/>
      <c r="AEZ4" s="484"/>
      <c r="AFA4" s="484"/>
      <c r="AFB4" s="484"/>
      <c r="AFC4" s="484"/>
      <c r="AFD4" s="484"/>
      <c r="AFE4" s="484"/>
      <c r="AFF4" s="484"/>
      <c r="AFG4" s="484"/>
      <c r="AFH4" s="484"/>
      <c r="AFI4" s="484"/>
      <c r="AFJ4" s="484"/>
      <c r="AFK4" s="484"/>
      <c r="AFL4" s="484"/>
      <c r="AFM4" s="484"/>
      <c r="AFN4" s="484"/>
      <c r="AFO4" s="484"/>
      <c r="AFP4" s="484"/>
      <c r="AFQ4" s="484"/>
      <c r="AFR4" s="484"/>
      <c r="AFS4" s="484"/>
      <c r="AFT4" s="484"/>
      <c r="AFU4" s="484"/>
      <c r="AFV4" s="484"/>
      <c r="AFW4" s="484"/>
      <c r="AFX4" s="484"/>
      <c r="AFY4" s="484"/>
      <c r="AFZ4" s="484"/>
      <c r="AGA4" s="484"/>
      <c r="AGB4" s="484"/>
      <c r="AGC4" s="484"/>
      <c r="AGD4" s="484"/>
      <c r="AGE4" s="484"/>
      <c r="AGF4" s="484"/>
      <c r="AGG4" s="484"/>
      <c r="AGH4" s="484"/>
      <c r="AGI4" s="484"/>
      <c r="AGJ4" s="484"/>
      <c r="AGK4" s="484"/>
      <c r="AGL4" s="484"/>
      <c r="AGM4" s="484"/>
      <c r="AGN4" s="484"/>
      <c r="AGO4" s="484"/>
      <c r="AGP4" s="484"/>
      <c r="AGQ4" s="484"/>
      <c r="AGR4" s="484"/>
      <c r="AGS4" s="484"/>
      <c r="AGT4" s="484"/>
      <c r="AGU4" s="484"/>
      <c r="AGV4" s="484"/>
      <c r="AGW4" s="484"/>
      <c r="AGX4" s="484"/>
      <c r="AGY4" s="484"/>
      <c r="AGZ4" s="484"/>
      <c r="AHA4" s="484"/>
      <c r="AHB4" s="484"/>
      <c r="AHC4" s="484"/>
      <c r="AHD4" s="484"/>
      <c r="AHE4" s="484"/>
      <c r="AHF4" s="484"/>
      <c r="AHG4" s="484"/>
      <c r="AHH4" s="484"/>
      <c r="AHI4" s="484"/>
      <c r="AHJ4" s="484"/>
      <c r="AHK4" s="484"/>
      <c r="AHL4" s="484"/>
      <c r="AHM4" s="484"/>
      <c r="AHN4" s="484"/>
      <c r="AHO4" s="484"/>
      <c r="AHP4" s="484"/>
      <c r="AHQ4" s="484"/>
      <c r="AHR4" s="484"/>
      <c r="AHS4" s="484"/>
      <c r="AHT4" s="484"/>
      <c r="AHU4" s="484"/>
      <c r="AHV4" s="484"/>
      <c r="AHW4" s="484"/>
      <c r="AHX4" s="484"/>
      <c r="AHY4" s="484"/>
      <c r="AHZ4" s="484"/>
      <c r="AIA4" s="484"/>
      <c r="AIB4" s="484"/>
      <c r="AIC4" s="484"/>
      <c r="AID4" s="484"/>
      <c r="AIE4" s="484"/>
      <c r="AIF4" s="484"/>
      <c r="AIG4" s="484"/>
      <c r="AIH4" s="484"/>
      <c r="AII4" s="484"/>
      <c r="AIJ4" s="484"/>
      <c r="AIK4" s="484"/>
      <c r="AIL4" s="484"/>
      <c r="AIM4" s="484"/>
      <c r="AIN4" s="484"/>
      <c r="AIO4" s="484"/>
      <c r="AIP4" s="484"/>
      <c r="AIQ4" s="484"/>
      <c r="AIR4" s="484"/>
      <c r="AIS4" s="484"/>
      <c r="AIT4" s="484"/>
      <c r="AIU4" s="484"/>
      <c r="AIV4" s="484"/>
      <c r="AIW4" s="484"/>
      <c r="AIX4" s="484"/>
      <c r="AIY4" s="484"/>
      <c r="AIZ4" s="484"/>
      <c r="AJA4" s="484"/>
      <c r="AJB4" s="484"/>
      <c r="AJC4" s="484"/>
      <c r="AJD4" s="484"/>
      <c r="AJE4" s="484"/>
      <c r="AJF4" s="484"/>
      <c r="AJG4" s="484"/>
      <c r="AJH4" s="484"/>
      <c r="AJI4" s="484"/>
      <c r="AJJ4" s="484"/>
      <c r="AJK4" s="484"/>
      <c r="AJL4" s="484"/>
      <c r="AJM4" s="484"/>
      <c r="AJN4" s="484"/>
      <c r="AJO4" s="484"/>
      <c r="AJP4" s="484"/>
      <c r="AJQ4" s="484"/>
      <c r="AJR4" s="484"/>
      <c r="AJS4" s="484"/>
      <c r="AJT4" s="484"/>
      <c r="AJU4" s="484"/>
      <c r="AJV4" s="484"/>
      <c r="AJW4" s="484"/>
      <c r="AJX4" s="484"/>
      <c r="AJY4" s="484"/>
      <c r="AJZ4" s="484"/>
      <c r="AKA4" s="484"/>
      <c r="AKB4" s="484"/>
      <c r="AKC4" s="484"/>
      <c r="AKD4" s="484"/>
      <c r="AKE4" s="484"/>
      <c r="AKF4" s="484"/>
      <c r="AKG4" s="484"/>
      <c r="AKH4" s="484"/>
      <c r="AKI4" s="484"/>
      <c r="AKJ4" s="484"/>
      <c r="AKK4" s="484"/>
      <c r="AKL4" s="484"/>
      <c r="AKM4" s="484"/>
      <c r="AKN4" s="484"/>
      <c r="AKO4" s="484"/>
      <c r="AKP4" s="484"/>
      <c r="AKQ4" s="484"/>
      <c r="AKR4" s="484"/>
      <c r="AKS4" s="484"/>
      <c r="AKT4" s="484"/>
      <c r="AKU4" s="484"/>
      <c r="AKV4" s="484"/>
      <c r="AKW4" s="484"/>
      <c r="AKX4" s="484"/>
      <c r="AKY4" s="484"/>
      <c r="AKZ4" s="484"/>
      <c r="ALA4" s="484"/>
      <c r="ALB4" s="484"/>
      <c r="ALC4" s="484"/>
      <c r="ALD4" s="484"/>
      <c r="ALE4" s="484"/>
      <c r="ALF4" s="484"/>
      <c r="ALG4" s="484"/>
      <c r="ALH4" s="484"/>
      <c r="ALI4" s="484"/>
      <c r="ALJ4" s="484"/>
      <c r="ALK4" s="484"/>
      <c r="ALL4" s="484"/>
      <c r="ALM4" s="484"/>
      <c r="ALN4" s="484"/>
      <c r="ALO4" s="484"/>
      <c r="ALP4" s="484"/>
      <c r="ALQ4" s="484"/>
      <c r="ALR4" s="484"/>
      <c r="ALS4" s="484"/>
      <c r="ALT4" s="484"/>
      <c r="ALU4" s="484"/>
      <c r="ALV4" s="484"/>
      <c r="ALW4" s="484"/>
      <c r="ALX4" s="484"/>
      <c r="ALY4" s="484"/>
      <c r="ALZ4" s="484"/>
      <c r="AMA4" s="484"/>
      <c r="AMB4" s="484"/>
      <c r="AMC4" s="484"/>
      <c r="AMD4" s="484"/>
      <c r="AME4" s="484"/>
      <c r="AMF4" s="484"/>
      <c r="AMG4" s="484"/>
      <c r="AMH4" s="484"/>
      <c r="AMI4" s="484"/>
      <c r="AMJ4" s="484"/>
      <c r="AMK4" s="484"/>
      <c r="AML4" s="484"/>
      <c r="AMM4" s="484"/>
      <c r="AMN4" s="484"/>
      <c r="AMO4" s="484"/>
      <c r="AMP4" s="484"/>
      <c r="AMQ4" s="484"/>
      <c r="AMR4" s="484"/>
      <c r="AMS4" s="484"/>
      <c r="AMT4" s="484"/>
      <c r="AMU4" s="484"/>
      <c r="AMV4" s="484"/>
      <c r="AMW4" s="484"/>
      <c r="AMX4" s="484"/>
      <c r="AMY4" s="484"/>
      <c r="AMZ4" s="484"/>
      <c r="ANA4" s="484"/>
      <c r="ANB4" s="484"/>
      <c r="ANC4" s="484"/>
      <c r="AND4" s="484"/>
      <c r="ANE4" s="484"/>
      <c r="ANF4" s="484"/>
      <c r="ANG4" s="484"/>
      <c r="ANH4" s="484"/>
      <c r="ANI4" s="484"/>
      <c r="ANJ4" s="484"/>
      <c r="ANK4" s="484"/>
      <c r="ANL4" s="484"/>
      <c r="ANM4" s="484"/>
      <c r="ANN4" s="484"/>
      <c r="ANO4" s="484"/>
      <c r="ANP4" s="484"/>
      <c r="ANQ4" s="484"/>
      <c r="ANR4" s="484"/>
      <c r="ANS4" s="484"/>
      <c r="ANT4" s="484"/>
      <c r="ANU4" s="484"/>
      <c r="ANV4" s="484"/>
      <c r="ANW4" s="484"/>
      <c r="ANX4" s="484"/>
      <c r="ANY4" s="484"/>
      <c r="ANZ4" s="484"/>
      <c r="AOA4" s="484"/>
      <c r="AOB4" s="484"/>
      <c r="AOC4" s="484"/>
      <c r="AOD4" s="484"/>
      <c r="AOE4" s="484"/>
      <c r="AOF4" s="484"/>
      <c r="AOG4" s="484"/>
      <c r="AOH4" s="484"/>
      <c r="AOI4" s="484"/>
      <c r="AOJ4" s="484"/>
      <c r="AOK4" s="484"/>
      <c r="AOL4" s="484"/>
      <c r="AOM4" s="484"/>
      <c r="AON4" s="484"/>
      <c r="AOO4" s="484"/>
      <c r="AOP4" s="484"/>
      <c r="AOQ4" s="484"/>
      <c r="AOR4" s="484"/>
      <c r="AOS4" s="484"/>
      <c r="AOT4" s="484"/>
      <c r="AOU4" s="484"/>
      <c r="AOV4" s="484"/>
      <c r="AOW4" s="484"/>
      <c r="AOX4" s="484"/>
      <c r="AOY4" s="484"/>
      <c r="AOZ4" s="484"/>
      <c r="APA4" s="484"/>
      <c r="APB4" s="484"/>
      <c r="APC4" s="484"/>
      <c r="APD4" s="484"/>
      <c r="APE4" s="484"/>
      <c r="APF4" s="484"/>
      <c r="APG4" s="484"/>
      <c r="APH4" s="484"/>
      <c r="API4" s="484"/>
      <c r="APJ4" s="484"/>
      <c r="APK4" s="484"/>
      <c r="APL4" s="484"/>
      <c r="APM4" s="484"/>
      <c r="APN4" s="484"/>
      <c r="APO4" s="484"/>
      <c r="APP4" s="484"/>
      <c r="APQ4" s="484"/>
      <c r="APR4" s="484"/>
      <c r="APS4" s="484"/>
      <c r="APT4" s="484"/>
      <c r="APU4" s="484"/>
      <c r="APV4" s="484"/>
      <c r="APW4" s="484"/>
      <c r="APX4" s="484"/>
      <c r="APY4" s="484"/>
      <c r="APZ4" s="484"/>
      <c r="AQA4" s="484"/>
      <c r="AQB4" s="484"/>
      <c r="AQC4" s="484"/>
      <c r="AQD4" s="484"/>
      <c r="AQE4" s="484"/>
      <c r="AQF4" s="484"/>
      <c r="AQG4" s="484"/>
      <c r="AQH4" s="484"/>
      <c r="AQI4" s="484"/>
      <c r="AQJ4" s="484"/>
      <c r="AQK4" s="484"/>
      <c r="AQL4" s="484"/>
      <c r="AQM4" s="484"/>
      <c r="AQN4" s="484"/>
      <c r="AQO4" s="484"/>
      <c r="AQP4" s="484"/>
      <c r="AQQ4" s="484"/>
      <c r="AQR4" s="484"/>
      <c r="AQS4" s="484"/>
      <c r="AQT4" s="484"/>
      <c r="AQU4" s="484"/>
      <c r="AQV4" s="484"/>
      <c r="AQW4" s="484"/>
      <c r="AQX4" s="484"/>
      <c r="AQY4" s="484"/>
      <c r="AQZ4" s="484"/>
      <c r="ARA4" s="484"/>
      <c r="ARB4" s="484"/>
      <c r="ARC4" s="484"/>
      <c r="ARD4" s="484"/>
      <c r="ARE4" s="484"/>
      <c r="ARF4" s="484"/>
      <c r="ARG4" s="484"/>
      <c r="ARH4" s="484"/>
      <c r="ARI4" s="484"/>
      <c r="ARJ4" s="484"/>
      <c r="ARK4" s="484"/>
      <c r="ARL4" s="484"/>
      <c r="ARM4" s="484"/>
      <c r="ARN4" s="484"/>
      <c r="ARO4" s="484"/>
      <c r="ARP4" s="484"/>
      <c r="ARQ4" s="484"/>
      <c r="ARR4" s="484"/>
      <c r="ARS4" s="484"/>
      <c r="ART4" s="484"/>
      <c r="ARU4" s="484"/>
      <c r="ARV4" s="484"/>
      <c r="ARW4" s="484"/>
      <c r="ARX4" s="484"/>
      <c r="ARY4" s="484"/>
      <c r="ARZ4" s="484"/>
      <c r="ASA4" s="484"/>
      <c r="ASB4" s="484"/>
      <c r="ASC4" s="484"/>
      <c r="ASD4" s="484"/>
      <c r="ASE4" s="484"/>
      <c r="ASF4" s="484"/>
      <c r="ASG4" s="484"/>
      <c r="ASH4" s="484"/>
      <c r="ASI4" s="484"/>
      <c r="ASJ4" s="484"/>
      <c r="ASK4" s="484"/>
      <c r="ASL4" s="484"/>
      <c r="ASM4" s="484"/>
      <c r="ASN4" s="484"/>
      <c r="ASO4" s="484"/>
      <c r="ASP4" s="484"/>
      <c r="ASQ4" s="484"/>
      <c r="ASR4" s="484"/>
      <c r="ASS4" s="484"/>
      <c r="AST4" s="484"/>
      <c r="ASU4" s="484"/>
      <c r="ASV4" s="484"/>
      <c r="ASW4" s="484"/>
      <c r="ASX4" s="484"/>
      <c r="ASY4" s="484"/>
      <c r="ASZ4" s="484"/>
      <c r="ATA4" s="484"/>
      <c r="ATB4" s="484"/>
      <c r="ATC4" s="484"/>
      <c r="ATD4" s="484"/>
      <c r="ATE4" s="484"/>
      <c r="ATF4" s="484"/>
      <c r="ATG4" s="484"/>
      <c r="ATH4" s="484"/>
      <c r="ATI4" s="484"/>
      <c r="ATJ4" s="484"/>
      <c r="ATK4" s="484"/>
      <c r="ATL4" s="484"/>
      <c r="ATM4" s="484"/>
      <c r="ATN4" s="484"/>
      <c r="ATO4" s="484"/>
      <c r="ATP4" s="484"/>
      <c r="ATQ4" s="484"/>
      <c r="ATR4" s="484"/>
      <c r="ATS4" s="484"/>
      <c r="ATT4" s="484"/>
      <c r="ATU4" s="484"/>
      <c r="ATV4" s="484"/>
      <c r="ATW4" s="484"/>
      <c r="ATX4" s="484"/>
      <c r="ATY4" s="484"/>
      <c r="ATZ4" s="484"/>
      <c r="AUA4" s="484"/>
      <c r="AUB4" s="484"/>
      <c r="AUC4" s="484"/>
      <c r="AUD4" s="484"/>
      <c r="AUE4" s="484"/>
      <c r="AUF4" s="484"/>
      <c r="AUG4" s="484"/>
      <c r="AUH4" s="484"/>
      <c r="AUI4" s="484"/>
      <c r="AUJ4" s="484"/>
      <c r="AUK4" s="484"/>
      <c r="AUL4" s="484"/>
      <c r="AUM4" s="484"/>
      <c r="AUN4" s="484"/>
      <c r="AUO4" s="484"/>
      <c r="AUP4" s="484"/>
      <c r="AUQ4" s="484"/>
      <c r="AUR4" s="484"/>
      <c r="AUS4" s="484"/>
      <c r="AUT4" s="484"/>
      <c r="AUU4" s="484"/>
      <c r="AUV4" s="484"/>
      <c r="AUW4" s="484"/>
      <c r="AUX4" s="484"/>
      <c r="AUY4" s="484"/>
      <c r="AUZ4" s="484"/>
      <c r="AVA4" s="484"/>
      <c r="AVB4" s="484"/>
      <c r="AVC4" s="484"/>
      <c r="AVD4" s="484"/>
      <c r="AVE4" s="484"/>
      <c r="AVF4" s="484"/>
      <c r="AVG4" s="484"/>
      <c r="AVH4" s="484"/>
      <c r="AVI4" s="484"/>
      <c r="AVJ4" s="484"/>
      <c r="AVK4" s="484"/>
      <c r="AVL4" s="484"/>
      <c r="AVM4" s="484"/>
      <c r="AVN4" s="484"/>
      <c r="AVO4" s="484"/>
      <c r="AVP4" s="484"/>
      <c r="AVQ4" s="484"/>
      <c r="AVR4" s="484"/>
      <c r="AVS4" s="484"/>
      <c r="AVT4" s="484"/>
      <c r="AVU4" s="484"/>
      <c r="AVV4" s="484"/>
      <c r="AVW4" s="484"/>
      <c r="AVX4" s="484"/>
      <c r="AVY4" s="484"/>
      <c r="AVZ4" s="484"/>
      <c r="AWA4" s="484"/>
      <c r="AWB4" s="484"/>
      <c r="AWC4" s="484"/>
      <c r="AWD4" s="484"/>
      <c r="AWE4" s="484"/>
      <c r="AWF4" s="484"/>
      <c r="AWG4" s="484"/>
      <c r="AWH4" s="484"/>
      <c r="AWI4" s="484"/>
      <c r="AWJ4" s="484"/>
      <c r="AWK4" s="484"/>
      <c r="AWL4" s="484"/>
      <c r="AWM4" s="484"/>
      <c r="AWN4" s="484"/>
      <c r="AWO4" s="484"/>
      <c r="AWP4" s="484"/>
      <c r="AWQ4" s="484"/>
      <c r="AWR4" s="484"/>
      <c r="AWS4" s="484"/>
      <c r="AWT4" s="484"/>
      <c r="AWU4" s="484"/>
      <c r="AWV4" s="484"/>
      <c r="AWW4" s="484"/>
      <c r="AWX4" s="484"/>
      <c r="AWY4" s="484"/>
      <c r="AWZ4" s="484"/>
      <c r="AXA4" s="484"/>
      <c r="AXB4" s="484"/>
      <c r="AXC4" s="484"/>
      <c r="AXD4" s="484"/>
      <c r="AXE4" s="484"/>
      <c r="AXF4" s="484"/>
      <c r="AXG4" s="484"/>
      <c r="AXH4" s="484"/>
      <c r="AXI4" s="484"/>
      <c r="AXJ4" s="484"/>
      <c r="AXK4" s="484"/>
      <c r="AXL4" s="484"/>
      <c r="AXM4" s="484"/>
      <c r="AXN4" s="484"/>
      <c r="AXO4" s="484"/>
      <c r="AXP4" s="484"/>
      <c r="AXQ4" s="484"/>
      <c r="AXR4" s="484"/>
      <c r="AXS4" s="484"/>
      <c r="AXT4" s="484"/>
      <c r="AXU4" s="484"/>
      <c r="AXV4" s="484"/>
      <c r="AXW4" s="484"/>
      <c r="AXX4" s="484"/>
      <c r="AXY4" s="484"/>
      <c r="AXZ4" s="484"/>
      <c r="AYA4" s="484"/>
      <c r="AYB4" s="484"/>
      <c r="AYC4" s="484"/>
      <c r="AYD4" s="484"/>
      <c r="AYE4" s="484"/>
      <c r="AYF4" s="484"/>
      <c r="AYG4" s="484"/>
      <c r="AYH4" s="484"/>
      <c r="AYI4" s="484"/>
      <c r="AYJ4" s="484"/>
      <c r="AYK4" s="484"/>
      <c r="AYL4" s="484"/>
      <c r="AYM4" s="484"/>
      <c r="AYN4" s="484"/>
      <c r="AYO4" s="484"/>
      <c r="AYP4" s="484"/>
      <c r="AYQ4" s="484"/>
      <c r="AYR4" s="484"/>
      <c r="AYS4" s="484"/>
      <c r="AYT4" s="484"/>
      <c r="AYU4" s="484"/>
      <c r="AYV4" s="484"/>
      <c r="AYW4" s="484"/>
      <c r="AYX4" s="484"/>
      <c r="AYY4" s="484"/>
      <c r="AYZ4" s="484"/>
      <c r="AZA4" s="484"/>
      <c r="AZB4" s="484"/>
      <c r="AZC4" s="484"/>
      <c r="AZD4" s="484"/>
      <c r="AZE4" s="484"/>
      <c r="AZF4" s="484"/>
      <c r="AZG4" s="484"/>
      <c r="AZH4" s="484"/>
      <c r="AZI4" s="484"/>
      <c r="AZJ4" s="484"/>
      <c r="AZK4" s="484"/>
      <c r="AZL4" s="484"/>
      <c r="AZM4" s="484"/>
      <c r="AZN4" s="484"/>
      <c r="AZO4" s="484"/>
      <c r="AZP4" s="484"/>
      <c r="AZQ4" s="484"/>
      <c r="AZR4" s="484"/>
      <c r="AZS4" s="484"/>
      <c r="AZT4" s="484"/>
      <c r="AZU4" s="484"/>
      <c r="AZV4" s="484"/>
      <c r="AZW4" s="484"/>
      <c r="AZX4" s="484"/>
      <c r="AZY4" s="484"/>
      <c r="AZZ4" s="484"/>
      <c r="BAA4" s="484"/>
      <c r="BAB4" s="484"/>
      <c r="BAC4" s="484"/>
      <c r="BAD4" s="484"/>
      <c r="BAE4" s="484"/>
      <c r="BAF4" s="484"/>
      <c r="BAG4" s="484"/>
      <c r="BAH4" s="484"/>
      <c r="BAI4" s="484"/>
      <c r="BAJ4" s="484"/>
      <c r="BAK4" s="484"/>
      <c r="BAL4" s="484"/>
      <c r="BAM4" s="484"/>
      <c r="BAN4" s="484"/>
      <c r="BAO4" s="484"/>
      <c r="BAP4" s="484"/>
      <c r="BAQ4" s="484"/>
      <c r="BAR4" s="484"/>
      <c r="BAS4" s="484"/>
      <c r="BAT4" s="484"/>
      <c r="BAU4" s="484"/>
      <c r="BAV4" s="484"/>
      <c r="BAW4" s="484"/>
      <c r="BAX4" s="484"/>
      <c r="BAY4" s="484"/>
      <c r="BAZ4" s="484"/>
      <c r="BBA4" s="484"/>
      <c r="BBB4" s="484"/>
      <c r="BBC4" s="484"/>
      <c r="BBD4" s="484"/>
      <c r="BBE4" s="484"/>
      <c r="BBF4" s="484"/>
      <c r="BBG4" s="484"/>
      <c r="BBH4" s="484"/>
      <c r="BBI4" s="484"/>
      <c r="BBJ4" s="484"/>
      <c r="BBK4" s="484"/>
      <c r="BBL4" s="484"/>
      <c r="BBM4" s="484"/>
      <c r="BBN4" s="484"/>
      <c r="BBO4" s="484"/>
      <c r="BBP4" s="484"/>
      <c r="BBQ4" s="484"/>
      <c r="BBR4" s="484"/>
      <c r="BBS4" s="484"/>
      <c r="BBT4" s="484"/>
      <c r="BBU4" s="484"/>
      <c r="BBV4" s="484"/>
      <c r="BBW4" s="484"/>
      <c r="BBX4" s="484"/>
      <c r="BBY4" s="484"/>
      <c r="BBZ4" s="484"/>
      <c r="BCA4" s="484"/>
      <c r="BCB4" s="484"/>
      <c r="BCC4" s="484"/>
      <c r="BCD4" s="484"/>
      <c r="BCE4" s="484"/>
      <c r="BCF4" s="484"/>
      <c r="BCG4" s="484"/>
      <c r="BCH4" s="484"/>
      <c r="BCI4" s="484"/>
      <c r="BCJ4" s="484"/>
      <c r="BCK4" s="484"/>
      <c r="BCL4" s="484"/>
      <c r="BCM4" s="484"/>
      <c r="BCN4" s="484"/>
      <c r="BCO4" s="484"/>
      <c r="BCP4" s="484"/>
      <c r="BCQ4" s="484"/>
      <c r="BCR4" s="484"/>
      <c r="BCS4" s="484"/>
      <c r="BCT4" s="484"/>
      <c r="BCU4" s="484"/>
      <c r="BCV4" s="484"/>
      <c r="BCW4" s="484"/>
      <c r="BCX4" s="484"/>
      <c r="BCY4" s="484"/>
      <c r="BCZ4" s="484"/>
      <c r="BDA4" s="484"/>
      <c r="BDB4" s="484"/>
      <c r="BDC4" s="484"/>
      <c r="BDD4" s="484"/>
      <c r="BDE4" s="484"/>
      <c r="BDF4" s="484"/>
      <c r="BDG4" s="484"/>
      <c r="BDH4" s="484"/>
      <c r="BDI4" s="484"/>
      <c r="BDJ4" s="484"/>
      <c r="BDK4" s="484"/>
      <c r="BDL4" s="484"/>
      <c r="BDM4" s="484"/>
      <c r="BDN4" s="484"/>
      <c r="BDO4" s="484"/>
      <c r="BDP4" s="484"/>
      <c r="BDQ4" s="484"/>
      <c r="BDR4" s="484"/>
      <c r="BDS4" s="484"/>
      <c r="BDT4" s="484"/>
      <c r="BDU4" s="484"/>
      <c r="BDV4" s="484"/>
      <c r="BDW4" s="484"/>
      <c r="BDX4" s="484"/>
      <c r="BDY4" s="484"/>
      <c r="BDZ4" s="484"/>
      <c r="BEA4" s="484"/>
      <c r="BEB4" s="484"/>
      <c r="BEC4" s="484"/>
      <c r="BED4" s="484"/>
      <c r="BEE4" s="484"/>
      <c r="BEF4" s="484"/>
      <c r="BEG4" s="484"/>
      <c r="BEH4" s="484"/>
      <c r="BEI4" s="484"/>
      <c r="BEJ4" s="484"/>
      <c r="BEK4" s="484"/>
      <c r="BEL4" s="484"/>
      <c r="BEM4" s="484"/>
      <c r="BEN4" s="484"/>
      <c r="BEO4" s="484"/>
      <c r="BEP4" s="484"/>
      <c r="BEQ4" s="484"/>
      <c r="BER4" s="484"/>
      <c r="BES4" s="484"/>
      <c r="BET4" s="484"/>
      <c r="BEU4" s="484"/>
      <c r="BEV4" s="484"/>
      <c r="BEW4" s="484"/>
      <c r="BEX4" s="484"/>
      <c r="BEY4" s="484"/>
      <c r="BEZ4" s="484"/>
      <c r="BFA4" s="484"/>
      <c r="BFB4" s="484"/>
      <c r="BFC4" s="484"/>
      <c r="BFD4" s="484"/>
      <c r="BFE4" s="484"/>
      <c r="BFF4" s="484"/>
      <c r="BFG4" s="484"/>
      <c r="BFH4" s="484"/>
      <c r="BFI4" s="484"/>
      <c r="BFJ4" s="484"/>
      <c r="BFK4" s="484"/>
      <c r="BFL4" s="484"/>
      <c r="BFM4" s="484"/>
      <c r="BFN4" s="484"/>
      <c r="BFO4" s="484"/>
      <c r="BFP4" s="484"/>
      <c r="BFQ4" s="484"/>
      <c r="BFR4" s="484"/>
      <c r="BFS4" s="484"/>
      <c r="BFT4" s="484"/>
      <c r="BFU4" s="484"/>
      <c r="BFV4" s="484"/>
      <c r="BFW4" s="484"/>
      <c r="BFX4" s="484"/>
      <c r="BFY4" s="484"/>
      <c r="BFZ4" s="484"/>
      <c r="BGA4" s="484"/>
      <c r="BGB4" s="484"/>
      <c r="BGC4" s="484"/>
      <c r="BGD4" s="484"/>
      <c r="BGE4" s="484"/>
      <c r="BGF4" s="484"/>
      <c r="BGG4" s="484"/>
      <c r="BGH4" s="484"/>
      <c r="BGI4" s="484"/>
      <c r="BGJ4" s="484"/>
      <c r="BGK4" s="484"/>
      <c r="BGL4" s="484"/>
      <c r="BGM4" s="484"/>
      <c r="BGN4" s="484"/>
      <c r="BGO4" s="484"/>
      <c r="BGP4" s="484"/>
      <c r="BGQ4" s="484"/>
      <c r="BGR4" s="484"/>
      <c r="BGS4" s="484"/>
      <c r="BGT4" s="484"/>
      <c r="BGU4" s="484"/>
      <c r="BGV4" s="484"/>
      <c r="BGW4" s="484"/>
      <c r="BGX4" s="484"/>
      <c r="BGY4" s="484"/>
      <c r="BGZ4" s="484"/>
      <c r="BHA4" s="484"/>
      <c r="BHB4" s="484"/>
      <c r="BHC4" s="484"/>
      <c r="BHD4" s="484"/>
      <c r="BHE4" s="484"/>
      <c r="BHF4" s="484"/>
      <c r="BHG4" s="484"/>
      <c r="BHH4" s="484"/>
      <c r="BHI4" s="484"/>
      <c r="BHJ4" s="484"/>
      <c r="BHK4" s="484"/>
      <c r="BHL4" s="484"/>
      <c r="BHM4" s="484"/>
      <c r="BHN4" s="484"/>
      <c r="BHO4" s="484"/>
      <c r="BHP4" s="484"/>
      <c r="BHQ4" s="484"/>
      <c r="BHR4" s="484"/>
      <c r="BHS4" s="484"/>
      <c r="BHT4" s="484"/>
      <c r="BHU4" s="484"/>
      <c r="BHV4" s="484"/>
      <c r="BHW4" s="484"/>
      <c r="BHX4" s="484"/>
      <c r="BHY4" s="484"/>
      <c r="BHZ4" s="484"/>
      <c r="BIA4" s="484"/>
      <c r="BIB4" s="484"/>
      <c r="BIC4" s="484"/>
      <c r="BID4" s="484"/>
      <c r="BIE4" s="484"/>
      <c r="BIF4" s="484"/>
      <c r="BIG4" s="484"/>
      <c r="BIH4" s="484"/>
      <c r="BII4" s="484"/>
      <c r="BIJ4" s="484"/>
      <c r="BIK4" s="484"/>
      <c r="BIL4" s="484"/>
      <c r="BIM4" s="484"/>
      <c r="BIN4" s="484"/>
      <c r="BIO4" s="484"/>
      <c r="BIP4" s="484"/>
      <c r="BIQ4" s="484"/>
      <c r="BIR4" s="484"/>
      <c r="BIS4" s="484"/>
      <c r="BIT4" s="484"/>
      <c r="BIU4" s="484"/>
      <c r="BIV4" s="484"/>
      <c r="BIW4" s="484"/>
      <c r="BIX4" s="484"/>
      <c r="BIY4" s="484"/>
      <c r="BIZ4" s="484"/>
      <c r="BJA4" s="484"/>
      <c r="BJB4" s="484"/>
      <c r="BJC4" s="484"/>
      <c r="BJD4" s="484"/>
      <c r="BJE4" s="484"/>
      <c r="BJF4" s="484"/>
      <c r="BJG4" s="484"/>
      <c r="BJH4" s="484"/>
      <c r="BJI4" s="484"/>
      <c r="BJJ4" s="484"/>
      <c r="BJK4" s="484"/>
      <c r="BJL4" s="484"/>
      <c r="BJM4" s="484"/>
      <c r="BJN4" s="484"/>
      <c r="BJO4" s="484"/>
      <c r="BJP4" s="484"/>
      <c r="BJQ4" s="484"/>
      <c r="BJR4" s="484"/>
      <c r="BJS4" s="484"/>
      <c r="BJT4" s="484"/>
      <c r="BJU4" s="484"/>
      <c r="BJV4" s="484"/>
      <c r="BJW4" s="484"/>
      <c r="BJX4" s="484"/>
      <c r="BJY4" s="484"/>
      <c r="BJZ4" s="484"/>
      <c r="BKA4" s="484"/>
      <c r="BKB4" s="484"/>
      <c r="BKC4" s="484"/>
      <c r="BKD4" s="484"/>
      <c r="BKE4" s="484"/>
      <c r="BKF4" s="484"/>
      <c r="BKG4" s="484"/>
      <c r="BKH4" s="484"/>
      <c r="BKI4" s="484"/>
      <c r="BKJ4" s="484"/>
      <c r="BKK4" s="484"/>
      <c r="BKL4" s="484"/>
      <c r="BKM4" s="484"/>
      <c r="BKN4" s="484"/>
      <c r="BKO4" s="484"/>
      <c r="BKP4" s="484"/>
      <c r="BKQ4" s="484"/>
      <c r="BKR4" s="484"/>
      <c r="BKS4" s="484"/>
      <c r="BKT4" s="484"/>
      <c r="BKU4" s="484"/>
      <c r="BKV4" s="484"/>
      <c r="BKW4" s="484"/>
      <c r="BKX4" s="484"/>
      <c r="BKY4" s="484"/>
      <c r="BKZ4" s="484"/>
      <c r="BLA4" s="484"/>
      <c r="BLB4" s="484"/>
      <c r="BLC4" s="484"/>
      <c r="BLD4" s="484"/>
      <c r="BLE4" s="484"/>
      <c r="BLF4" s="484"/>
      <c r="BLG4" s="484"/>
      <c r="BLH4" s="484"/>
      <c r="BLI4" s="484"/>
      <c r="BLJ4" s="484"/>
      <c r="BLK4" s="484"/>
      <c r="BLL4" s="484"/>
      <c r="BLM4" s="484"/>
      <c r="BLN4" s="484"/>
      <c r="BLO4" s="484"/>
      <c r="BLP4" s="484"/>
      <c r="BLQ4" s="484"/>
      <c r="BLR4" s="484"/>
      <c r="BLS4" s="484"/>
      <c r="BLT4" s="484"/>
      <c r="BLU4" s="484"/>
      <c r="BLV4" s="484"/>
      <c r="BLW4" s="484"/>
      <c r="BLX4" s="484"/>
      <c r="BLY4" s="484"/>
      <c r="BLZ4" s="484"/>
      <c r="BMA4" s="484"/>
      <c r="BMB4" s="484"/>
      <c r="BMC4" s="484"/>
      <c r="BMD4" s="484"/>
      <c r="BME4" s="484"/>
      <c r="BMF4" s="484"/>
      <c r="BMG4" s="484"/>
      <c r="BMH4" s="484"/>
      <c r="BMI4" s="484"/>
      <c r="BMJ4" s="484"/>
      <c r="BMK4" s="484"/>
      <c r="BML4" s="484"/>
      <c r="BMM4" s="484"/>
      <c r="BMN4" s="484"/>
      <c r="BMO4" s="484"/>
      <c r="BMP4" s="484"/>
      <c r="BMQ4" s="484"/>
      <c r="BMR4" s="484"/>
      <c r="BMS4" s="484"/>
      <c r="BMT4" s="484"/>
      <c r="BMU4" s="484"/>
      <c r="BMV4" s="484"/>
      <c r="BMW4" s="484"/>
      <c r="BMX4" s="484"/>
      <c r="BMY4" s="484"/>
      <c r="BMZ4" s="484"/>
      <c r="BNA4" s="484"/>
      <c r="BNB4" s="484"/>
      <c r="BNC4" s="484"/>
      <c r="BND4" s="484"/>
      <c r="BNE4" s="484"/>
      <c r="BNF4" s="484"/>
      <c r="BNG4" s="484"/>
      <c r="BNH4" s="484"/>
      <c r="BNI4" s="484"/>
      <c r="BNJ4" s="484"/>
      <c r="BNK4" s="484"/>
      <c r="BNL4" s="484"/>
      <c r="BNM4" s="484"/>
      <c r="BNN4" s="484"/>
      <c r="BNO4" s="484"/>
      <c r="BNP4" s="484"/>
      <c r="BNQ4" s="484"/>
      <c r="BNR4" s="484"/>
      <c r="BNS4" s="484"/>
      <c r="BNT4" s="484"/>
      <c r="BNU4" s="484"/>
      <c r="BNV4" s="484"/>
      <c r="BNW4" s="484"/>
      <c r="BNX4" s="484"/>
      <c r="BNY4" s="484"/>
      <c r="BNZ4" s="484"/>
      <c r="BOA4" s="484"/>
      <c r="BOB4" s="484"/>
      <c r="BOC4" s="484"/>
      <c r="BOD4" s="484"/>
      <c r="BOE4" s="484"/>
      <c r="BOF4" s="484"/>
      <c r="BOG4" s="484"/>
      <c r="BOH4" s="484"/>
      <c r="BOI4" s="484"/>
      <c r="BOJ4" s="484"/>
      <c r="BOK4" s="484"/>
      <c r="BOL4" s="484"/>
      <c r="BOM4" s="484"/>
      <c r="BON4" s="484"/>
      <c r="BOO4" s="484"/>
      <c r="BOP4" s="484"/>
      <c r="BOQ4" s="484"/>
      <c r="BOR4" s="484"/>
      <c r="BOS4" s="484"/>
      <c r="BOT4" s="484"/>
      <c r="BOU4" s="484"/>
      <c r="BOV4" s="484"/>
      <c r="BOW4" s="484"/>
      <c r="BOX4" s="484"/>
      <c r="BOY4" s="484"/>
      <c r="BOZ4" s="484"/>
      <c r="BPA4" s="484"/>
      <c r="BPB4" s="484"/>
      <c r="BPC4" s="484"/>
      <c r="BPD4" s="484"/>
      <c r="BPE4" s="484"/>
      <c r="BPF4" s="484"/>
      <c r="BPG4" s="484"/>
      <c r="BPH4" s="484"/>
      <c r="BPI4" s="484"/>
      <c r="BPJ4" s="484"/>
      <c r="BPK4" s="484"/>
      <c r="BPL4" s="484"/>
      <c r="BPM4" s="484"/>
      <c r="BPN4" s="484"/>
      <c r="BPO4" s="484"/>
      <c r="BPP4" s="484"/>
      <c r="BPQ4" s="484"/>
      <c r="BPR4" s="484"/>
      <c r="BPS4" s="484"/>
      <c r="BPT4" s="484"/>
      <c r="BPU4" s="484"/>
      <c r="BPV4" s="484"/>
      <c r="BPW4" s="484"/>
      <c r="BPX4" s="484"/>
      <c r="BPY4" s="484"/>
      <c r="BPZ4" s="484"/>
      <c r="BQA4" s="484"/>
      <c r="BQB4" s="484"/>
      <c r="BQC4" s="484"/>
      <c r="BQD4" s="484"/>
      <c r="BQE4" s="484"/>
      <c r="BQF4" s="484"/>
      <c r="BQG4" s="484"/>
      <c r="BQH4" s="484"/>
      <c r="BQI4" s="484"/>
      <c r="BQJ4" s="484"/>
      <c r="BQK4" s="484"/>
      <c r="BQL4" s="484"/>
      <c r="BQM4" s="484"/>
      <c r="BQN4" s="484"/>
      <c r="BQO4" s="484"/>
      <c r="BQP4" s="484"/>
      <c r="BQQ4" s="484"/>
      <c r="BQR4" s="484"/>
      <c r="BQS4" s="484"/>
      <c r="BQT4" s="484"/>
      <c r="BQU4" s="484"/>
      <c r="BQV4" s="484"/>
      <c r="BQW4" s="484"/>
      <c r="BQX4" s="484"/>
      <c r="BQY4" s="484"/>
      <c r="BQZ4" s="484"/>
      <c r="BRA4" s="484"/>
      <c r="BRB4" s="484"/>
      <c r="BRC4" s="484"/>
      <c r="BRD4" s="484"/>
      <c r="BRE4" s="484"/>
      <c r="BRF4" s="484"/>
      <c r="BRG4" s="484"/>
      <c r="BRH4" s="484"/>
      <c r="BRI4" s="484"/>
      <c r="BRJ4" s="484"/>
      <c r="BRK4" s="484"/>
      <c r="BRL4" s="484"/>
      <c r="BRM4" s="484"/>
      <c r="BRN4" s="484"/>
      <c r="BRO4" s="484"/>
      <c r="BRP4" s="484"/>
      <c r="BRQ4" s="484"/>
      <c r="BRR4" s="484"/>
      <c r="BRS4" s="484"/>
      <c r="BRT4" s="484"/>
      <c r="BRU4" s="484"/>
      <c r="BRV4" s="484"/>
      <c r="BRW4" s="484"/>
      <c r="BRX4" s="484"/>
      <c r="BRY4" s="484"/>
      <c r="BRZ4" s="484"/>
      <c r="BSA4" s="484"/>
      <c r="BSB4" s="484"/>
      <c r="BSC4" s="484"/>
      <c r="BSD4" s="484"/>
      <c r="BSE4" s="484"/>
      <c r="BSF4" s="484"/>
      <c r="BSG4" s="484"/>
      <c r="BSH4" s="484"/>
      <c r="BSI4" s="484"/>
      <c r="BSJ4" s="484"/>
      <c r="BSK4" s="484"/>
      <c r="BSL4" s="484"/>
      <c r="BSM4" s="484"/>
      <c r="BSN4" s="484"/>
      <c r="BSO4" s="484"/>
      <c r="BSP4" s="484"/>
      <c r="BSQ4" s="484"/>
      <c r="BSR4" s="484"/>
      <c r="BSS4" s="484"/>
      <c r="BST4" s="484"/>
      <c r="BSU4" s="484"/>
      <c r="BSV4" s="484"/>
      <c r="BSW4" s="484"/>
      <c r="BSX4" s="484"/>
      <c r="BSY4" s="484"/>
      <c r="BSZ4" s="484"/>
      <c r="BTA4" s="484"/>
      <c r="BTB4" s="484"/>
      <c r="BTC4" s="484"/>
      <c r="BTD4" s="484"/>
      <c r="BTE4" s="484"/>
      <c r="BTF4" s="484"/>
      <c r="BTG4" s="484"/>
      <c r="BTH4" s="484"/>
      <c r="BTI4" s="484"/>
      <c r="BTJ4" s="484"/>
      <c r="BTK4" s="484"/>
      <c r="BTL4" s="484"/>
      <c r="BTM4" s="484"/>
      <c r="BTN4" s="484"/>
      <c r="BTO4" s="484"/>
      <c r="BTP4" s="484"/>
      <c r="BTQ4" s="484"/>
      <c r="BTR4" s="484"/>
      <c r="BTS4" s="484"/>
      <c r="BTT4" s="484"/>
      <c r="BTU4" s="484"/>
      <c r="BTV4" s="484"/>
      <c r="BTW4" s="484"/>
      <c r="BTX4" s="484"/>
      <c r="BTY4" s="484"/>
      <c r="BTZ4" s="484"/>
      <c r="BUA4" s="484"/>
      <c r="BUB4" s="484"/>
      <c r="BUC4" s="484"/>
      <c r="BUD4" s="484"/>
      <c r="BUE4" s="484"/>
      <c r="BUF4" s="484"/>
      <c r="BUG4" s="484"/>
      <c r="BUH4" s="484"/>
      <c r="BUI4" s="484"/>
      <c r="BUJ4" s="484"/>
      <c r="BUK4" s="484"/>
      <c r="BUL4" s="484"/>
      <c r="BUM4" s="484"/>
      <c r="BUN4" s="484"/>
      <c r="BUO4" s="484"/>
      <c r="BUP4" s="484"/>
      <c r="BUQ4" s="484"/>
      <c r="BUR4" s="484"/>
      <c r="BUS4" s="484"/>
      <c r="BUT4" s="484"/>
      <c r="BUU4" s="484"/>
      <c r="BUV4" s="484"/>
      <c r="BUW4" s="484"/>
      <c r="BUX4" s="484"/>
      <c r="BUY4" s="484"/>
      <c r="BUZ4" s="484"/>
      <c r="BVA4" s="484"/>
      <c r="BVB4" s="484"/>
      <c r="BVC4" s="484"/>
      <c r="BVD4" s="484"/>
      <c r="BVE4" s="484"/>
      <c r="BVF4" s="484"/>
      <c r="BVG4" s="484"/>
      <c r="BVH4" s="484"/>
      <c r="BVI4" s="484"/>
      <c r="BVJ4" s="484"/>
      <c r="BVK4" s="484"/>
      <c r="BVL4" s="484"/>
      <c r="BVM4" s="484"/>
      <c r="BVN4" s="484"/>
      <c r="BVO4" s="484"/>
      <c r="BVP4" s="484"/>
      <c r="BVQ4" s="484"/>
      <c r="BVR4" s="484"/>
      <c r="BVS4" s="484"/>
      <c r="BVT4" s="484"/>
      <c r="BVU4" s="484"/>
      <c r="BVV4" s="484"/>
      <c r="BVW4" s="484"/>
      <c r="BVX4" s="484"/>
      <c r="BVY4" s="484"/>
      <c r="BVZ4" s="484"/>
      <c r="BWA4" s="484"/>
      <c r="BWB4" s="484"/>
      <c r="BWC4" s="484"/>
      <c r="BWD4" s="484"/>
      <c r="BWE4" s="484"/>
      <c r="BWF4" s="484"/>
      <c r="BWG4" s="484"/>
      <c r="BWH4" s="484"/>
      <c r="BWI4" s="484"/>
      <c r="BWJ4" s="484"/>
      <c r="BWK4" s="484"/>
      <c r="BWL4" s="484"/>
      <c r="BWM4" s="484"/>
      <c r="BWN4" s="484"/>
      <c r="BWO4" s="484"/>
      <c r="BWP4" s="484"/>
      <c r="BWQ4" s="484"/>
      <c r="BWR4" s="484"/>
      <c r="BWS4" s="484"/>
      <c r="BWT4" s="484"/>
      <c r="BWU4" s="484"/>
      <c r="BWV4" s="484"/>
      <c r="BWW4" s="484"/>
      <c r="BWX4" s="484"/>
      <c r="BWY4" s="484"/>
      <c r="BWZ4" s="484"/>
      <c r="BXA4" s="484"/>
      <c r="BXB4" s="484"/>
      <c r="BXC4" s="484"/>
      <c r="BXD4" s="484"/>
      <c r="BXE4" s="484"/>
      <c r="BXF4" s="484"/>
      <c r="BXG4" s="484"/>
      <c r="BXH4" s="484"/>
      <c r="BXI4" s="484"/>
      <c r="BXJ4" s="484"/>
      <c r="BXK4" s="484"/>
      <c r="BXL4" s="484"/>
      <c r="BXM4" s="484"/>
      <c r="BXN4" s="484"/>
      <c r="BXO4" s="484"/>
      <c r="BXP4" s="484"/>
      <c r="BXQ4" s="484"/>
      <c r="BXR4" s="484"/>
      <c r="BXS4" s="484"/>
      <c r="BXT4" s="484"/>
      <c r="BXU4" s="484"/>
      <c r="BXV4" s="484"/>
      <c r="BXW4" s="484"/>
      <c r="BXX4" s="484"/>
      <c r="BXY4" s="484"/>
      <c r="BXZ4" s="484"/>
      <c r="BYA4" s="484"/>
      <c r="BYB4" s="484"/>
      <c r="BYC4" s="484"/>
      <c r="BYD4" s="484"/>
      <c r="BYE4" s="484"/>
      <c r="BYF4" s="484"/>
      <c r="BYG4" s="484"/>
      <c r="BYH4" s="484"/>
      <c r="BYI4" s="484"/>
      <c r="BYJ4" s="484"/>
      <c r="BYK4" s="484"/>
      <c r="BYL4" s="484"/>
      <c r="BYM4" s="484"/>
      <c r="BYN4" s="484"/>
      <c r="BYO4" s="484"/>
      <c r="BYP4" s="484"/>
      <c r="BYQ4" s="484"/>
      <c r="BYR4" s="484"/>
      <c r="BYS4" s="484"/>
      <c r="BYT4" s="484"/>
      <c r="BYU4" s="484"/>
      <c r="BYV4" s="484"/>
      <c r="BYW4" s="484"/>
      <c r="BYX4" s="484"/>
      <c r="BYY4" s="484"/>
      <c r="BYZ4" s="484"/>
      <c r="BZA4" s="484"/>
      <c r="BZB4" s="484"/>
      <c r="BZC4" s="484"/>
      <c r="BZD4" s="484"/>
      <c r="BZE4" s="484"/>
      <c r="BZF4" s="484"/>
      <c r="BZG4" s="484"/>
      <c r="BZH4" s="484"/>
      <c r="BZI4" s="484"/>
      <c r="BZJ4" s="484"/>
      <c r="BZK4" s="484"/>
      <c r="BZL4" s="484"/>
      <c r="BZM4" s="484"/>
      <c r="BZN4" s="484"/>
      <c r="BZO4" s="484"/>
      <c r="BZP4" s="484"/>
      <c r="BZQ4" s="484"/>
      <c r="BZR4" s="484"/>
      <c r="BZS4" s="484"/>
      <c r="BZT4" s="484"/>
      <c r="BZU4" s="484"/>
      <c r="BZV4" s="484"/>
      <c r="BZW4" s="484"/>
      <c r="BZX4" s="484"/>
      <c r="BZY4" s="484"/>
      <c r="BZZ4" s="484"/>
      <c r="CAA4" s="484"/>
      <c r="CAB4" s="484"/>
      <c r="CAC4" s="484"/>
      <c r="CAD4" s="484"/>
      <c r="CAE4" s="484"/>
      <c r="CAF4" s="484"/>
      <c r="CAG4" s="484"/>
      <c r="CAH4" s="484"/>
      <c r="CAI4" s="484"/>
      <c r="CAJ4" s="484"/>
      <c r="CAK4" s="484"/>
      <c r="CAL4" s="484"/>
      <c r="CAM4" s="484"/>
      <c r="CAN4" s="484"/>
      <c r="CAO4" s="484"/>
      <c r="CAP4" s="484"/>
      <c r="CAQ4" s="484"/>
      <c r="CAR4" s="484"/>
      <c r="CAS4" s="484"/>
      <c r="CAT4" s="484"/>
      <c r="CAU4" s="484"/>
      <c r="CAV4" s="484"/>
      <c r="CAW4" s="484"/>
      <c r="CAX4" s="484"/>
      <c r="CAY4" s="484"/>
      <c r="CAZ4" s="484"/>
      <c r="CBA4" s="484"/>
      <c r="CBB4" s="484"/>
      <c r="CBC4" s="484"/>
      <c r="CBD4" s="484"/>
      <c r="CBE4" s="484"/>
      <c r="CBF4" s="484"/>
      <c r="CBG4" s="484"/>
      <c r="CBH4" s="484"/>
      <c r="CBI4" s="484"/>
      <c r="CBJ4" s="484"/>
      <c r="CBK4" s="484"/>
      <c r="CBL4" s="484"/>
      <c r="CBM4" s="484"/>
      <c r="CBN4" s="484"/>
      <c r="CBO4" s="484"/>
      <c r="CBP4" s="484"/>
      <c r="CBQ4" s="484"/>
      <c r="CBR4" s="484"/>
      <c r="CBS4" s="484"/>
      <c r="CBT4" s="484"/>
      <c r="CBU4" s="484"/>
      <c r="CBV4" s="484"/>
      <c r="CBW4" s="484"/>
      <c r="CBX4" s="484"/>
      <c r="CBY4" s="484"/>
      <c r="CBZ4" s="484"/>
      <c r="CCA4" s="484"/>
      <c r="CCB4" s="484"/>
      <c r="CCC4" s="484"/>
      <c r="CCD4" s="484"/>
      <c r="CCE4" s="484"/>
      <c r="CCF4" s="484"/>
      <c r="CCG4" s="484"/>
      <c r="CCH4" s="484"/>
      <c r="CCI4" s="484"/>
      <c r="CCJ4" s="484"/>
      <c r="CCK4" s="484"/>
      <c r="CCL4" s="484"/>
      <c r="CCM4" s="484"/>
      <c r="CCN4" s="484"/>
      <c r="CCO4" s="484"/>
      <c r="CCP4" s="484"/>
      <c r="CCQ4" s="484"/>
      <c r="CCR4" s="484"/>
      <c r="CCS4" s="484"/>
      <c r="CCT4" s="484"/>
      <c r="CCU4" s="484"/>
      <c r="CCV4" s="484"/>
      <c r="CCW4" s="484"/>
      <c r="CCX4" s="484"/>
      <c r="CCY4" s="484"/>
      <c r="CCZ4" s="484"/>
      <c r="CDA4" s="484"/>
      <c r="CDB4" s="484"/>
      <c r="CDC4" s="484"/>
      <c r="CDD4" s="484"/>
      <c r="CDE4" s="484"/>
      <c r="CDF4" s="484"/>
      <c r="CDG4" s="484"/>
      <c r="CDH4" s="484"/>
      <c r="CDI4" s="484"/>
      <c r="CDJ4" s="484"/>
      <c r="CDK4" s="484"/>
      <c r="CDL4" s="484"/>
      <c r="CDM4" s="484"/>
      <c r="CDN4" s="484"/>
      <c r="CDO4" s="484"/>
      <c r="CDP4" s="484"/>
      <c r="CDQ4" s="484"/>
      <c r="CDR4" s="484"/>
      <c r="CDS4" s="484"/>
      <c r="CDT4" s="484"/>
      <c r="CDU4" s="484"/>
      <c r="CDV4" s="484"/>
      <c r="CDW4" s="484"/>
      <c r="CDX4" s="484"/>
      <c r="CDY4" s="484"/>
      <c r="CDZ4" s="484"/>
      <c r="CEA4" s="484"/>
      <c r="CEB4" s="484"/>
      <c r="CEC4" s="484"/>
      <c r="CED4" s="484"/>
      <c r="CEE4" s="484"/>
      <c r="CEF4" s="484"/>
      <c r="CEG4" s="484"/>
      <c r="CEH4" s="484"/>
      <c r="CEI4" s="484"/>
      <c r="CEJ4" s="484"/>
      <c r="CEK4" s="484"/>
      <c r="CEL4" s="484"/>
      <c r="CEM4" s="484"/>
      <c r="CEN4" s="484"/>
      <c r="CEO4" s="484"/>
      <c r="CEP4" s="484"/>
      <c r="CEQ4" s="484"/>
      <c r="CER4" s="484"/>
      <c r="CES4" s="484"/>
      <c r="CET4" s="484"/>
      <c r="CEU4" s="484"/>
      <c r="CEV4" s="484"/>
      <c r="CEW4" s="484"/>
      <c r="CEX4" s="484"/>
      <c r="CEY4" s="484"/>
      <c r="CEZ4" s="484"/>
      <c r="CFA4" s="484"/>
      <c r="CFB4" s="484"/>
      <c r="CFC4" s="484"/>
      <c r="CFD4" s="484"/>
      <c r="CFE4" s="484"/>
      <c r="CFF4" s="484"/>
      <c r="CFG4" s="484"/>
      <c r="CFH4" s="484"/>
      <c r="CFI4" s="484"/>
      <c r="CFJ4" s="484"/>
      <c r="CFK4" s="484"/>
      <c r="CFL4" s="484"/>
      <c r="CFM4" s="484"/>
      <c r="CFN4" s="484"/>
      <c r="CFO4" s="484"/>
      <c r="CFP4" s="484"/>
      <c r="CFQ4" s="484"/>
      <c r="CFR4" s="484"/>
      <c r="CFS4" s="484"/>
      <c r="CFT4" s="484"/>
      <c r="CFU4" s="484"/>
      <c r="CFV4" s="484"/>
      <c r="CFW4" s="484"/>
      <c r="CFX4" s="484"/>
      <c r="CFY4" s="484"/>
      <c r="CFZ4" s="484"/>
      <c r="CGA4" s="484"/>
      <c r="CGB4" s="484"/>
      <c r="CGC4" s="484"/>
      <c r="CGD4" s="484"/>
      <c r="CGE4" s="484"/>
      <c r="CGF4" s="484"/>
      <c r="CGG4" s="484"/>
      <c r="CGH4" s="484"/>
      <c r="CGI4" s="484"/>
      <c r="CGJ4" s="484"/>
      <c r="CGK4" s="484"/>
      <c r="CGL4" s="484"/>
      <c r="CGM4" s="484"/>
      <c r="CGN4" s="484"/>
      <c r="CGO4" s="484"/>
      <c r="CGP4" s="484"/>
      <c r="CGQ4" s="484"/>
      <c r="CGR4" s="484"/>
      <c r="CGS4" s="484"/>
      <c r="CGT4" s="484"/>
      <c r="CGU4" s="484"/>
      <c r="CGV4" s="484"/>
      <c r="CGW4" s="484"/>
      <c r="CGX4" s="484"/>
      <c r="CGY4" s="484"/>
      <c r="CGZ4" s="484"/>
      <c r="CHA4" s="484"/>
      <c r="CHB4" s="484"/>
      <c r="CHC4" s="484"/>
      <c r="CHD4" s="484"/>
      <c r="CHE4" s="484"/>
      <c r="CHF4" s="484"/>
      <c r="CHG4" s="484"/>
      <c r="CHH4" s="484"/>
      <c r="CHI4" s="484"/>
      <c r="CHJ4" s="484"/>
      <c r="CHK4" s="484"/>
      <c r="CHL4" s="484"/>
      <c r="CHM4" s="484"/>
      <c r="CHN4" s="484"/>
      <c r="CHO4" s="484"/>
      <c r="CHP4" s="484"/>
      <c r="CHQ4" s="484"/>
      <c r="CHR4" s="484"/>
      <c r="CHS4" s="484"/>
      <c r="CHT4" s="484"/>
      <c r="CHU4" s="484"/>
      <c r="CHV4" s="484"/>
      <c r="CHW4" s="484"/>
      <c r="CHX4" s="484"/>
      <c r="CHY4" s="484"/>
      <c r="CHZ4" s="484"/>
      <c r="CIA4" s="484"/>
      <c r="CIB4" s="484"/>
      <c r="CIC4" s="484"/>
      <c r="CID4" s="484"/>
      <c r="CIE4" s="484"/>
      <c r="CIF4" s="484"/>
      <c r="CIG4" s="484"/>
      <c r="CIH4" s="484"/>
      <c r="CII4" s="484"/>
      <c r="CIJ4" s="484"/>
      <c r="CIK4" s="484"/>
      <c r="CIL4" s="484"/>
      <c r="CIM4" s="484"/>
      <c r="CIN4" s="484"/>
      <c r="CIO4" s="484"/>
      <c r="CIP4" s="484"/>
      <c r="CIQ4" s="484"/>
      <c r="CIR4" s="484"/>
      <c r="CIS4" s="484"/>
      <c r="CIT4" s="484"/>
      <c r="CIU4" s="484"/>
      <c r="CIV4" s="484"/>
      <c r="CIW4" s="484"/>
      <c r="CIX4" s="484"/>
      <c r="CIY4" s="484"/>
      <c r="CIZ4" s="484"/>
      <c r="CJA4" s="484"/>
      <c r="CJB4" s="484"/>
      <c r="CJC4" s="484"/>
      <c r="CJD4" s="484"/>
      <c r="CJE4" s="484"/>
      <c r="CJF4" s="484"/>
      <c r="CJG4" s="484"/>
      <c r="CJH4" s="484"/>
      <c r="CJI4" s="484"/>
      <c r="CJJ4" s="484"/>
      <c r="CJK4" s="484"/>
      <c r="CJL4" s="484"/>
      <c r="CJM4" s="484"/>
      <c r="CJN4" s="484"/>
      <c r="CJO4" s="484"/>
      <c r="CJP4" s="484"/>
      <c r="CJQ4" s="484"/>
      <c r="CJR4" s="484"/>
      <c r="CJS4" s="484"/>
      <c r="CJT4" s="484"/>
      <c r="CJU4" s="484"/>
      <c r="CJV4" s="484"/>
      <c r="CJW4" s="484"/>
      <c r="CJX4" s="484"/>
      <c r="CJY4" s="484"/>
      <c r="CJZ4" s="484"/>
      <c r="CKA4" s="484"/>
      <c r="CKB4" s="484"/>
      <c r="CKC4" s="484"/>
      <c r="CKD4" s="484"/>
      <c r="CKE4" s="484"/>
      <c r="CKF4" s="484"/>
      <c r="CKG4" s="484"/>
      <c r="CKH4" s="484"/>
      <c r="CKI4" s="484"/>
      <c r="CKJ4" s="484"/>
      <c r="CKK4" s="484"/>
      <c r="CKL4" s="484"/>
      <c r="CKM4" s="484"/>
      <c r="CKN4" s="484"/>
      <c r="CKO4" s="484"/>
      <c r="CKP4" s="484"/>
      <c r="CKQ4" s="484"/>
      <c r="CKR4" s="484"/>
      <c r="CKS4" s="484"/>
      <c r="CKT4" s="484"/>
      <c r="CKU4" s="484"/>
      <c r="CKV4" s="484"/>
      <c r="CKW4" s="484"/>
      <c r="CKX4" s="484"/>
      <c r="CKY4" s="484"/>
      <c r="CKZ4" s="484"/>
      <c r="CLA4" s="484"/>
      <c r="CLB4" s="484"/>
      <c r="CLC4" s="484"/>
      <c r="CLD4" s="484"/>
      <c r="CLE4" s="484"/>
      <c r="CLF4" s="484"/>
      <c r="CLG4" s="484"/>
      <c r="CLH4" s="484"/>
      <c r="CLI4" s="484"/>
      <c r="CLJ4" s="484"/>
      <c r="CLK4" s="484"/>
      <c r="CLL4" s="484"/>
      <c r="CLM4" s="484"/>
      <c r="CLN4" s="484"/>
      <c r="CLO4" s="484"/>
      <c r="CLP4" s="484"/>
      <c r="CLQ4" s="484"/>
      <c r="CLR4" s="484"/>
      <c r="CLS4" s="484"/>
      <c r="CLT4" s="484"/>
      <c r="CLU4" s="484"/>
      <c r="CLV4" s="484"/>
      <c r="CLW4" s="484"/>
      <c r="CLX4" s="484"/>
      <c r="CLY4" s="484"/>
      <c r="CLZ4" s="484"/>
      <c r="CMA4" s="484"/>
      <c r="CMB4" s="484"/>
      <c r="CMC4" s="484"/>
      <c r="CMD4" s="484"/>
      <c r="CME4" s="484"/>
      <c r="CMF4" s="484"/>
      <c r="CMG4" s="484"/>
      <c r="CMH4" s="484"/>
      <c r="CMI4" s="484"/>
      <c r="CMJ4" s="484"/>
      <c r="CMK4" s="484"/>
      <c r="CML4" s="484"/>
      <c r="CMM4" s="484"/>
      <c r="CMN4" s="484"/>
      <c r="CMO4" s="484"/>
      <c r="CMP4" s="484"/>
      <c r="CMQ4" s="484"/>
      <c r="CMR4" s="484"/>
      <c r="CMS4" s="484"/>
      <c r="CMT4" s="484"/>
      <c r="CMU4" s="484"/>
      <c r="CMV4" s="484"/>
      <c r="CMW4" s="484"/>
      <c r="CMX4" s="484"/>
      <c r="CMY4" s="484"/>
      <c r="CMZ4" s="484"/>
      <c r="CNA4" s="484"/>
      <c r="CNB4" s="484"/>
      <c r="CNC4" s="484"/>
      <c r="CND4" s="484"/>
      <c r="CNE4" s="484"/>
      <c r="CNF4" s="484"/>
      <c r="CNG4" s="484"/>
      <c r="CNH4" s="484"/>
      <c r="CNI4" s="484"/>
      <c r="CNJ4" s="484"/>
      <c r="CNK4" s="484"/>
      <c r="CNL4" s="484"/>
      <c r="CNM4" s="484"/>
      <c r="CNN4" s="484"/>
      <c r="CNO4" s="484"/>
      <c r="CNP4" s="484"/>
      <c r="CNQ4" s="484"/>
      <c r="CNR4" s="484"/>
      <c r="CNS4" s="484"/>
      <c r="CNT4" s="484"/>
      <c r="CNU4" s="484"/>
      <c r="CNV4" s="484"/>
      <c r="CNW4" s="484"/>
      <c r="CNX4" s="484"/>
      <c r="CNY4" s="484"/>
      <c r="CNZ4" s="484"/>
      <c r="COA4" s="484"/>
      <c r="COB4" s="484"/>
      <c r="COC4" s="484"/>
      <c r="COD4" s="484"/>
      <c r="COE4" s="484"/>
      <c r="COF4" s="484"/>
      <c r="COG4" s="484"/>
      <c r="COH4" s="484"/>
      <c r="COI4" s="484"/>
      <c r="COJ4" s="484"/>
      <c r="COK4" s="484"/>
      <c r="COL4" s="484"/>
      <c r="COM4" s="484"/>
      <c r="CON4" s="484"/>
      <c r="COO4" s="484"/>
      <c r="COP4" s="484"/>
      <c r="COQ4" s="484"/>
      <c r="COR4" s="484"/>
      <c r="COS4" s="484"/>
      <c r="COT4" s="484"/>
      <c r="COU4" s="484"/>
      <c r="COV4" s="484"/>
      <c r="COW4" s="484"/>
      <c r="COX4" s="484"/>
      <c r="COY4" s="484"/>
      <c r="COZ4" s="484"/>
      <c r="CPA4" s="484"/>
      <c r="CPB4" s="484"/>
      <c r="CPC4" s="484"/>
      <c r="CPD4" s="484"/>
      <c r="CPE4" s="484"/>
      <c r="CPF4" s="484"/>
      <c r="CPG4" s="484"/>
      <c r="CPH4" s="484"/>
      <c r="CPI4" s="484"/>
      <c r="CPJ4" s="484"/>
      <c r="CPK4" s="484"/>
      <c r="CPL4" s="484"/>
      <c r="CPM4" s="484"/>
      <c r="CPN4" s="484"/>
      <c r="CPO4" s="484"/>
      <c r="CPP4" s="484"/>
      <c r="CPQ4" s="484"/>
      <c r="CPR4" s="484"/>
      <c r="CPS4" s="484"/>
      <c r="CPT4" s="484"/>
      <c r="CPU4" s="484"/>
      <c r="CPV4" s="484"/>
      <c r="CPW4" s="484"/>
      <c r="CPX4" s="484"/>
      <c r="CPY4" s="484"/>
      <c r="CPZ4" s="484"/>
      <c r="CQA4" s="484"/>
      <c r="CQB4" s="484"/>
      <c r="CQC4" s="484"/>
      <c r="CQD4" s="484"/>
      <c r="CQE4" s="484"/>
      <c r="CQF4" s="484"/>
      <c r="CQG4" s="484"/>
      <c r="CQH4" s="484"/>
      <c r="CQI4" s="484"/>
      <c r="CQJ4" s="484"/>
      <c r="CQK4" s="484"/>
      <c r="CQL4" s="484"/>
      <c r="CQM4" s="484"/>
      <c r="CQN4" s="484"/>
      <c r="CQO4" s="484"/>
      <c r="CQP4" s="484"/>
      <c r="CQQ4" s="484"/>
      <c r="CQR4" s="484"/>
      <c r="CQS4" s="484"/>
      <c r="CQT4" s="484"/>
      <c r="CQU4" s="484"/>
      <c r="CQV4" s="484"/>
      <c r="CQW4" s="484"/>
      <c r="CQX4" s="484"/>
      <c r="CQY4" s="484"/>
      <c r="CQZ4" s="484"/>
      <c r="CRA4" s="484"/>
      <c r="CRB4" s="484"/>
      <c r="CRC4" s="484"/>
      <c r="CRD4" s="484"/>
      <c r="CRE4" s="484"/>
      <c r="CRF4" s="484"/>
      <c r="CRG4" s="484"/>
      <c r="CRH4" s="484"/>
      <c r="CRI4" s="484"/>
      <c r="CRJ4" s="484"/>
      <c r="CRK4" s="484"/>
      <c r="CRL4" s="484"/>
      <c r="CRM4" s="484"/>
      <c r="CRN4" s="484"/>
      <c r="CRO4" s="484"/>
      <c r="CRP4" s="484"/>
      <c r="CRQ4" s="484"/>
      <c r="CRR4" s="484"/>
      <c r="CRS4" s="484"/>
      <c r="CRT4" s="484"/>
      <c r="CRU4" s="484"/>
      <c r="CRV4" s="484"/>
      <c r="CRW4" s="484"/>
      <c r="CRX4" s="484"/>
      <c r="CRY4" s="484"/>
      <c r="CRZ4" s="484"/>
      <c r="CSA4" s="484"/>
      <c r="CSB4" s="484"/>
      <c r="CSC4" s="484"/>
      <c r="CSD4" s="484"/>
      <c r="CSE4" s="484"/>
      <c r="CSF4" s="484"/>
      <c r="CSG4" s="484"/>
      <c r="CSH4" s="484"/>
      <c r="CSI4" s="484"/>
      <c r="CSJ4" s="484"/>
      <c r="CSK4" s="484"/>
      <c r="CSL4" s="484"/>
      <c r="CSM4" s="484"/>
      <c r="CSN4" s="484"/>
      <c r="CSO4" s="484"/>
      <c r="CSP4" s="484"/>
      <c r="CSQ4" s="484"/>
      <c r="CSR4" s="484"/>
      <c r="CSS4" s="484"/>
      <c r="CST4" s="484"/>
      <c r="CSU4" s="484"/>
      <c r="CSV4" s="484"/>
      <c r="CSW4" s="484"/>
      <c r="CSX4" s="484"/>
      <c r="CSY4" s="484"/>
      <c r="CSZ4" s="484"/>
      <c r="CTA4" s="484"/>
      <c r="CTB4" s="484"/>
      <c r="CTC4" s="484"/>
      <c r="CTD4" s="484"/>
      <c r="CTE4" s="484"/>
      <c r="CTF4" s="484"/>
      <c r="CTG4" s="484"/>
      <c r="CTH4" s="484"/>
      <c r="CTI4" s="484"/>
      <c r="CTJ4" s="484"/>
      <c r="CTK4" s="484"/>
      <c r="CTL4" s="484"/>
      <c r="CTM4" s="484"/>
      <c r="CTN4" s="484"/>
      <c r="CTO4" s="484"/>
      <c r="CTP4" s="484"/>
      <c r="CTQ4" s="484"/>
      <c r="CTR4" s="484"/>
      <c r="CTS4" s="484"/>
      <c r="CTT4" s="484"/>
      <c r="CTU4" s="484"/>
      <c r="CTV4" s="484"/>
      <c r="CTW4" s="484"/>
      <c r="CTX4" s="484"/>
      <c r="CTY4" s="484"/>
      <c r="CTZ4" s="484"/>
      <c r="CUA4" s="484"/>
      <c r="CUB4" s="484"/>
      <c r="CUC4" s="484"/>
      <c r="CUD4" s="484"/>
      <c r="CUE4" s="484"/>
      <c r="CUF4" s="484"/>
      <c r="CUG4" s="484"/>
      <c r="CUH4" s="484"/>
      <c r="CUI4" s="484"/>
      <c r="CUJ4" s="484"/>
      <c r="CUK4" s="484"/>
      <c r="CUL4" s="484"/>
      <c r="CUM4" s="484"/>
      <c r="CUN4" s="484"/>
      <c r="CUO4" s="484"/>
      <c r="CUP4" s="484"/>
      <c r="CUQ4" s="484"/>
      <c r="CUR4" s="484"/>
      <c r="CUS4" s="484"/>
      <c r="CUT4" s="484"/>
      <c r="CUU4" s="484"/>
      <c r="CUV4" s="484"/>
      <c r="CUW4" s="484"/>
      <c r="CUX4" s="484"/>
      <c r="CUY4" s="484"/>
      <c r="CUZ4" s="484"/>
      <c r="CVA4" s="484"/>
      <c r="CVB4" s="484"/>
      <c r="CVC4" s="484"/>
      <c r="CVD4" s="484"/>
      <c r="CVE4" s="484"/>
      <c r="CVF4" s="484"/>
      <c r="CVG4" s="484"/>
      <c r="CVH4" s="484"/>
      <c r="CVI4" s="484"/>
      <c r="CVJ4" s="484"/>
      <c r="CVK4" s="484"/>
      <c r="CVL4" s="484"/>
      <c r="CVM4" s="484"/>
      <c r="CVN4" s="484"/>
      <c r="CVO4" s="484"/>
      <c r="CVP4" s="484"/>
      <c r="CVQ4" s="484"/>
      <c r="CVR4" s="484"/>
      <c r="CVS4" s="484"/>
      <c r="CVT4" s="484"/>
      <c r="CVU4" s="484"/>
      <c r="CVV4" s="484"/>
      <c r="CVW4" s="484"/>
      <c r="CVX4" s="484"/>
      <c r="CVY4" s="484"/>
      <c r="CVZ4" s="484"/>
      <c r="CWA4" s="484"/>
      <c r="CWB4" s="484"/>
      <c r="CWC4" s="484"/>
      <c r="CWD4" s="484"/>
      <c r="CWE4" s="484"/>
      <c r="CWF4" s="484"/>
      <c r="CWG4" s="484"/>
      <c r="CWH4" s="484"/>
      <c r="CWI4" s="484"/>
      <c r="CWJ4" s="484"/>
      <c r="CWK4" s="484"/>
      <c r="CWL4" s="484"/>
      <c r="CWM4" s="484"/>
      <c r="CWN4" s="484"/>
      <c r="CWO4" s="484"/>
      <c r="CWP4" s="484"/>
      <c r="CWQ4" s="484"/>
      <c r="CWR4" s="484"/>
      <c r="CWS4" s="484"/>
      <c r="CWT4" s="484"/>
      <c r="CWU4" s="484"/>
      <c r="CWV4" s="484"/>
      <c r="CWW4" s="484"/>
      <c r="CWX4" s="484"/>
      <c r="CWY4" s="484"/>
      <c r="CWZ4" s="484"/>
      <c r="CXA4" s="484"/>
      <c r="CXB4" s="484"/>
      <c r="CXC4" s="484"/>
      <c r="CXD4" s="484"/>
      <c r="CXE4" s="484"/>
      <c r="CXF4" s="484"/>
      <c r="CXG4" s="484"/>
      <c r="CXH4" s="484"/>
      <c r="CXI4" s="484"/>
      <c r="CXJ4" s="484"/>
      <c r="CXK4" s="484"/>
      <c r="CXL4" s="484"/>
      <c r="CXM4" s="484"/>
      <c r="CXN4" s="484"/>
      <c r="CXO4" s="484"/>
      <c r="CXP4" s="484"/>
      <c r="CXQ4" s="484"/>
      <c r="CXR4" s="484"/>
      <c r="CXS4" s="484"/>
      <c r="CXT4" s="484"/>
      <c r="CXU4" s="484"/>
      <c r="CXV4" s="484"/>
      <c r="CXW4" s="484"/>
      <c r="CXX4" s="484"/>
      <c r="CXY4" s="484"/>
      <c r="CXZ4" s="484"/>
      <c r="CYA4" s="484"/>
      <c r="CYB4" s="484"/>
      <c r="CYC4" s="484"/>
      <c r="CYD4" s="484"/>
      <c r="CYE4" s="484"/>
      <c r="CYF4" s="484"/>
      <c r="CYG4" s="484"/>
      <c r="CYH4" s="484"/>
      <c r="CYI4" s="484"/>
      <c r="CYJ4" s="484"/>
      <c r="CYK4" s="484"/>
      <c r="CYL4" s="484"/>
      <c r="CYM4" s="484"/>
      <c r="CYN4" s="484"/>
      <c r="CYO4" s="484"/>
      <c r="CYP4" s="484"/>
      <c r="CYQ4" s="484"/>
      <c r="CYR4" s="484"/>
      <c r="CYS4" s="484"/>
      <c r="CYT4" s="484"/>
      <c r="CYU4" s="484"/>
      <c r="CYV4" s="484"/>
      <c r="CYW4" s="484"/>
      <c r="CYX4" s="484"/>
      <c r="CYY4" s="484"/>
      <c r="CYZ4" s="484"/>
      <c r="CZA4" s="484"/>
      <c r="CZB4" s="484"/>
      <c r="CZC4" s="484"/>
      <c r="CZD4" s="484"/>
      <c r="CZE4" s="484"/>
      <c r="CZF4" s="484"/>
      <c r="CZG4" s="484"/>
      <c r="CZH4" s="484"/>
      <c r="CZI4" s="484"/>
      <c r="CZJ4" s="484"/>
      <c r="CZK4" s="484"/>
      <c r="CZL4" s="484"/>
      <c r="CZM4" s="484"/>
      <c r="CZN4" s="484"/>
      <c r="CZO4" s="484"/>
      <c r="CZP4" s="484"/>
      <c r="CZQ4" s="484"/>
      <c r="CZR4" s="484"/>
      <c r="CZS4" s="484"/>
      <c r="CZT4" s="484"/>
      <c r="CZU4" s="484"/>
      <c r="CZV4" s="484"/>
      <c r="CZW4" s="484"/>
      <c r="CZX4" s="484"/>
      <c r="CZY4" s="484"/>
      <c r="CZZ4" s="484"/>
      <c r="DAA4" s="484"/>
      <c r="DAB4" s="484"/>
      <c r="DAC4" s="484"/>
      <c r="DAD4" s="484"/>
      <c r="DAE4" s="484"/>
      <c r="DAF4" s="484"/>
      <c r="DAG4" s="484"/>
      <c r="DAH4" s="484"/>
      <c r="DAI4" s="484"/>
      <c r="DAJ4" s="484"/>
      <c r="DAK4" s="484"/>
      <c r="DAL4" s="484"/>
      <c r="DAM4" s="484"/>
      <c r="DAN4" s="484"/>
      <c r="DAO4" s="484"/>
      <c r="DAP4" s="484"/>
      <c r="DAQ4" s="484"/>
      <c r="DAR4" s="484"/>
      <c r="DAS4" s="484"/>
      <c r="DAT4" s="484"/>
      <c r="DAU4" s="484"/>
      <c r="DAV4" s="484"/>
      <c r="DAW4" s="484"/>
      <c r="DAX4" s="484"/>
      <c r="DAY4" s="484"/>
      <c r="DAZ4" s="484"/>
      <c r="DBA4" s="484"/>
      <c r="DBB4" s="484"/>
      <c r="DBC4" s="484"/>
      <c r="DBD4" s="484"/>
      <c r="DBE4" s="484"/>
      <c r="DBF4" s="484"/>
      <c r="DBG4" s="484"/>
      <c r="DBH4" s="484"/>
      <c r="DBI4" s="484"/>
      <c r="DBJ4" s="484"/>
      <c r="DBK4" s="484"/>
      <c r="DBL4" s="484"/>
      <c r="DBM4" s="484"/>
      <c r="DBN4" s="484"/>
      <c r="DBO4" s="484"/>
      <c r="DBP4" s="484"/>
      <c r="DBQ4" s="484"/>
      <c r="DBR4" s="484"/>
      <c r="DBS4" s="484"/>
      <c r="DBT4" s="484"/>
      <c r="DBU4" s="484"/>
      <c r="DBV4" s="484"/>
      <c r="DBW4" s="484"/>
      <c r="DBX4" s="484"/>
      <c r="DBY4" s="484"/>
      <c r="DBZ4" s="484"/>
      <c r="DCA4" s="484"/>
      <c r="DCB4" s="484"/>
      <c r="DCC4" s="484"/>
      <c r="DCD4" s="484"/>
      <c r="DCE4" s="484"/>
      <c r="DCF4" s="484"/>
      <c r="DCG4" s="484"/>
      <c r="DCH4" s="484"/>
      <c r="DCI4" s="484"/>
      <c r="DCJ4" s="484"/>
      <c r="DCK4" s="484"/>
      <c r="DCL4" s="484"/>
      <c r="DCM4" s="484"/>
      <c r="DCN4" s="484"/>
      <c r="DCO4" s="484"/>
      <c r="DCP4" s="484"/>
      <c r="DCQ4" s="484"/>
      <c r="DCR4" s="484"/>
      <c r="DCS4" s="484"/>
      <c r="DCT4" s="484"/>
      <c r="DCU4" s="484"/>
      <c r="DCV4" s="484"/>
      <c r="DCW4" s="484"/>
      <c r="DCX4" s="484"/>
      <c r="DCY4" s="484"/>
      <c r="DCZ4" s="484"/>
      <c r="DDA4" s="484"/>
      <c r="DDB4" s="484"/>
      <c r="DDC4" s="484"/>
      <c r="DDD4" s="484"/>
      <c r="DDE4" s="484"/>
      <c r="DDF4" s="484"/>
      <c r="DDG4" s="484"/>
      <c r="DDH4" s="484"/>
      <c r="DDI4" s="484"/>
      <c r="DDJ4" s="484"/>
      <c r="DDK4" s="484"/>
      <c r="DDL4" s="484"/>
      <c r="DDM4" s="484"/>
      <c r="DDN4" s="484"/>
      <c r="DDO4" s="484"/>
      <c r="DDP4" s="484"/>
      <c r="DDQ4" s="484"/>
      <c r="DDR4" s="484"/>
      <c r="DDS4" s="484"/>
      <c r="DDT4" s="484"/>
      <c r="DDU4" s="484"/>
      <c r="DDV4" s="484"/>
      <c r="DDW4" s="484"/>
      <c r="DDX4" s="484"/>
      <c r="DDY4" s="484"/>
      <c r="DDZ4" s="484"/>
      <c r="DEA4" s="484"/>
      <c r="DEB4" s="484"/>
      <c r="DEC4" s="484"/>
      <c r="DED4" s="484"/>
      <c r="DEE4" s="484"/>
      <c r="DEF4" s="484"/>
      <c r="DEG4" s="484"/>
      <c r="DEH4" s="484"/>
      <c r="DEI4" s="484"/>
      <c r="DEJ4" s="484"/>
      <c r="DEK4" s="484"/>
      <c r="DEL4" s="484"/>
      <c r="DEM4" s="484"/>
      <c r="DEN4" s="484"/>
      <c r="DEO4" s="484"/>
      <c r="DEP4" s="484"/>
      <c r="DEQ4" s="484"/>
      <c r="DER4" s="484"/>
      <c r="DES4" s="484"/>
      <c r="DET4" s="484"/>
      <c r="DEU4" s="484"/>
      <c r="DEV4" s="484"/>
      <c r="DEW4" s="484"/>
      <c r="DEX4" s="484"/>
      <c r="DEY4" s="484"/>
      <c r="DEZ4" s="484"/>
      <c r="DFA4" s="484"/>
      <c r="DFB4" s="484"/>
      <c r="DFC4" s="484"/>
      <c r="DFD4" s="484"/>
      <c r="DFE4" s="484"/>
      <c r="DFF4" s="484"/>
      <c r="DFG4" s="484"/>
      <c r="DFH4" s="484"/>
      <c r="DFI4" s="484"/>
      <c r="DFJ4" s="484"/>
      <c r="DFK4" s="484"/>
      <c r="DFL4" s="484"/>
      <c r="DFM4" s="484"/>
      <c r="DFN4" s="484"/>
      <c r="DFO4" s="484"/>
      <c r="DFP4" s="484"/>
      <c r="DFQ4" s="484"/>
      <c r="DFR4" s="484"/>
      <c r="DFS4" s="484"/>
      <c r="DFT4" s="484"/>
      <c r="DFU4" s="484"/>
      <c r="DFV4" s="484"/>
      <c r="DFW4" s="484"/>
      <c r="DFX4" s="484"/>
      <c r="DFY4" s="484"/>
      <c r="DFZ4" s="484"/>
      <c r="DGA4" s="484"/>
      <c r="DGB4" s="484"/>
      <c r="DGC4" s="484"/>
      <c r="DGD4" s="484"/>
      <c r="DGE4" s="484"/>
      <c r="DGF4" s="484"/>
      <c r="DGG4" s="484"/>
      <c r="DGH4" s="484"/>
      <c r="DGI4" s="484"/>
      <c r="DGJ4" s="484"/>
      <c r="DGK4" s="484"/>
      <c r="DGL4" s="484"/>
      <c r="DGM4" s="484"/>
      <c r="DGN4" s="484"/>
      <c r="DGO4" s="484"/>
      <c r="DGP4" s="484"/>
      <c r="DGQ4" s="484"/>
      <c r="DGR4" s="484"/>
      <c r="DGS4" s="484"/>
      <c r="DGT4" s="484"/>
      <c r="DGU4" s="484"/>
      <c r="DGV4" s="484"/>
      <c r="DGW4" s="484"/>
      <c r="DGX4" s="484"/>
      <c r="DGY4" s="484"/>
      <c r="DGZ4" s="484"/>
      <c r="DHA4" s="484"/>
      <c r="DHB4" s="484"/>
      <c r="DHC4" s="484"/>
      <c r="DHD4" s="484"/>
      <c r="DHE4" s="484"/>
      <c r="DHF4" s="484"/>
      <c r="DHG4" s="484"/>
      <c r="DHH4" s="484"/>
      <c r="DHI4" s="484"/>
      <c r="DHJ4" s="484"/>
      <c r="DHK4" s="484"/>
      <c r="DHL4" s="484"/>
      <c r="DHM4" s="484"/>
      <c r="DHN4" s="484"/>
      <c r="DHO4" s="484"/>
      <c r="DHP4" s="484"/>
      <c r="DHQ4" s="484"/>
      <c r="DHR4" s="484"/>
      <c r="DHS4" s="484"/>
      <c r="DHT4" s="484"/>
      <c r="DHU4" s="484"/>
      <c r="DHV4" s="484"/>
      <c r="DHW4" s="484"/>
      <c r="DHX4" s="484"/>
      <c r="DHY4" s="484"/>
      <c r="DHZ4" s="484"/>
      <c r="DIA4" s="484"/>
      <c r="DIB4" s="484"/>
      <c r="DIC4" s="484"/>
      <c r="DID4" s="484"/>
      <c r="DIE4" s="484"/>
      <c r="DIF4" s="484"/>
      <c r="DIG4" s="484"/>
      <c r="DIH4" s="484"/>
      <c r="DII4" s="484"/>
      <c r="DIJ4" s="484"/>
      <c r="DIK4" s="484"/>
      <c r="DIL4" s="484"/>
      <c r="DIM4" s="484"/>
      <c r="DIN4" s="484"/>
      <c r="DIO4" s="484"/>
      <c r="DIP4" s="484"/>
      <c r="DIQ4" s="484"/>
      <c r="DIR4" s="484"/>
      <c r="DIS4" s="484"/>
      <c r="DIT4" s="484"/>
      <c r="DIU4" s="484"/>
      <c r="DIV4" s="484"/>
      <c r="DIW4" s="484"/>
      <c r="DIX4" s="484"/>
      <c r="DIY4" s="484"/>
      <c r="DIZ4" s="484"/>
      <c r="DJA4" s="484"/>
      <c r="DJB4" s="484"/>
      <c r="DJC4" s="484"/>
      <c r="DJD4" s="484"/>
      <c r="DJE4" s="484"/>
      <c r="DJF4" s="484"/>
      <c r="DJG4" s="484"/>
      <c r="DJH4" s="484"/>
      <c r="DJI4" s="484"/>
      <c r="DJJ4" s="484"/>
      <c r="DJK4" s="484"/>
      <c r="DJL4" s="484"/>
      <c r="DJM4" s="484"/>
      <c r="DJN4" s="484"/>
      <c r="DJO4" s="484"/>
      <c r="DJP4" s="484"/>
      <c r="DJQ4" s="484"/>
      <c r="DJR4" s="484"/>
      <c r="DJS4" s="484"/>
      <c r="DJT4" s="484"/>
      <c r="DJU4" s="484"/>
      <c r="DJV4" s="484"/>
      <c r="DJW4" s="484"/>
      <c r="DJX4" s="484"/>
      <c r="DJY4" s="484"/>
      <c r="DJZ4" s="484"/>
      <c r="DKA4" s="484"/>
      <c r="DKB4" s="484"/>
      <c r="DKC4" s="484"/>
      <c r="DKD4" s="484"/>
      <c r="DKE4" s="484"/>
      <c r="DKF4" s="484"/>
      <c r="DKG4" s="484"/>
      <c r="DKH4" s="484"/>
      <c r="DKI4" s="484"/>
      <c r="DKJ4" s="484"/>
      <c r="DKK4" s="484"/>
      <c r="DKL4" s="484"/>
      <c r="DKM4" s="484"/>
      <c r="DKN4" s="484"/>
      <c r="DKO4" s="484"/>
      <c r="DKP4" s="484"/>
      <c r="DKQ4" s="484"/>
      <c r="DKR4" s="484"/>
      <c r="DKS4" s="484"/>
      <c r="DKT4" s="484"/>
      <c r="DKU4" s="484"/>
      <c r="DKV4" s="484"/>
      <c r="DKW4" s="484"/>
      <c r="DKX4" s="484"/>
      <c r="DKY4" s="484"/>
      <c r="DKZ4" s="484"/>
      <c r="DLA4" s="484"/>
      <c r="DLB4" s="484"/>
      <c r="DLC4" s="484"/>
      <c r="DLD4" s="484"/>
      <c r="DLE4" s="484"/>
      <c r="DLF4" s="484"/>
      <c r="DLG4" s="484"/>
      <c r="DLH4" s="484"/>
      <c r="DLI4" s="484"/>
      <c r="DLJ4" s="484"/>
      <c r="DLK4" s="484"/>
      <c r="DLL4" s="484"/>
      <c r="DLM4" s="484"/>
      <c r="DLN4" s="484"/>
      <c r="DLO4" s="484"/>
      <c r="DLP4" s="484"/>
      <c r="DLQ4" s="484"/>
      <c r="DLR4" s="484"/>
      <c r="DLS4" s="484"/>
      <c r="DLT4" s="484"/>
      <c r="DLU4" s="484"/>
      <c r="DLV4" s="484"/>
      <c r="DLW4" s="484"/>
      <c r="DLX4" s="484"/>
      <c r="DLY4" s="484"/>
      <c r="DLZ4" s="484"/>
      <c r="DMA4" s="484"/>
      <c r="DMB4" s="484"/>
      <c r="DMC4" s="484"/>
      <c r="DMD4" s="484"/>
      <c r="DME4" s="484"/>
      <c r="DMF4" s="484"/>
      <c r="DMG4" s="484"/>
      <c r="DMH4" s="484"/>
      <c r="DMI4" s="484"/>
      <c r="DMJ4" s="484"/>
      <c r="DMK4" s="484"/>
      <c r="DML4" s="484"/>
      <c r="DMM4" s="484"/>
      <c r="DMN4" s="484"/>
      <c r="DMO4" s="484"/>
      <c r="DMP4" s="484"/>
      <c r="DMQ4" s="484"/>
      <c r="DMR4" s="484"/>
      <c r="DMS4" s="484"/>
      <c r="DMT4" s="484"/>
      <c r="DMU4" s="484"/>
      <c r="DMV4" s="484"/>
      <c r="DMW4" s="484"/>
      <c r="DMX4" s="484"/>
      <c r="DMY4" s="484"/>
      <c r="DMZ4" s="484"/>
      <c r="DNA4" s="484"/>
      <c r="DNB4" s="484"/>
      <c r="DNC4" s="484"/>
      <c r="DND4" s="484"/>
      <c r="DNE4" s="484"/>
      <c r="DNF4" s="484"/>
      <c r="DNG4" s="484"/>
      <c r="DNH4" s="484"/>
      <c r="DNI4" s="484"/>
      <c r="DNJ4" s="484"/>
      <c r="DNK4" s="484"/>
      <c r="DNL4" s="484"/>
      <c r="DNM4" s="484"/>
      <c r="DNN4" s="484"/>
      <c r="DNO4" s="484"/>
      <c r="DNP4" s="484"/>
      <c r="DNQ4" s="484"/>
      <c r="DNR4" s="484"/>
      <c r="DNS4" s="484"/>
      <c r="DNT4" s="484"/>
      <c r="DNU4" s="484"/>
      <c r="DNV4" s="484"/>
      <c r="DNW4" s="484"/>
      <c r="DNX4" s="484"/>
      <c r="DNY4" s="484"/>
      <c r="DNZ4" s="484"/>
      <c r="DOA4" s="484"/>
      <c r="DOB4" s="484"/>
      <c r="DOC4" s="484"/>
      <c r="DOD4" s="484"/>
      <c r="DOE4" s="484"/>
      <c r="DOF4" s="484"/>
      <c r="DOG4" s="484"/>
      <c r="DOH4" s="484"/>
      <c r="DOI4" s="484"/>
      <c r="DOJ4" s="484"/>
      <c r="DOK4" s="484"/>
      <c r="DOL4" s="484"/>
      <c r="DOM4" s="484"/>
      <c r="DON4" s="484"/>
      <c r="DOO4" s="484"/>
      <c r="DOP4" s="484"/>
      <c r="DOQ4" s="484"/>
      <c r="DOR4" s="484"/>
      <c r="DOS4" s="484"/>
      <c r="DOT4" s="484"/>
      <c r="DOU4" s="484"/>
      <c r="DOV4" s="484"/>
      <c r="DOW4" s="484"/>
      <c r="DOX4" s="484"/>
      <c r="DOY4" s="484"/>
      <c r="DOZ4" s="484"/>
      <c r="DPA4" s="484"/>
      <c r="DPB4" s="484"/>
      <c r="DPC4" s="484"/>
      <c r="DPD4" s="484"/>
      <c r="DPE4" s="484"/>
      <c r="DPF4" s="484"/>
      <c r="DPG4" s="484"/>
      <c r="DPH4" s="484"/>
      <c r="DPI4" s="484"/>
      <c r="DPJ4" s="484"/>
      <c r="DPK4" s="484"/>
      <c r="DPL4" s="484"/>
      <c r="DPM4" s="484"/>
      <c r="DPN4" s="484"/>
      <c r="DPO4" s="484"/>
      <c r="DPP4" s="484"/>
      <c r="DPQ4" s="484"/>
      <c r="DPR4" s="484"/>
      <c r="DPS4" s="484"/>
      <c r="DPT4" s="484"/>
      <c r="DPU4" s="484"/>
      <c r="DPV4" s="484"/>
      <c r="DPW4" s="484"/>
      <c r="DPX4" s="484"/>
      <c r="DPY4" s="484"/>
      <c r="DPZ4" s="484"/>
      <c r="DQA4" s="484"/>
      <c r="DQB4" s="484"/>
      <c r="DQC4" s="484"/>
      <c r="DQD4" s="484"/>
      <c r="DQE4" s="484"/>
      <c r="DQF4" s="484"/>
      <c r="DQG4" s="484"/>
      <c r="DQH4" s="484"/>
      <c r="DQI4" s="484"/>
      <c r="DQJ4" s="484"/>
      <c r="DQK4" s="484"/>
      <c r="DQL4" s="484"/>
      <c r="DQM4" s="484"/>
      <c r="DQN4" s="484"/>
      <c r="DQO4" s="484"/>
      <c r="DQP4" s="484"/>
      <c r="DQQ4" s="484"/>
      <c r="DQR4" s="484"/>
      <c r="DQS4" s="484"/>
      <c r="DQT4" s="484"/>
      <c r="DQU4" s="484"/>
      <c r="DQV4" s="484"/>
      <c r="DQW4" s="484"/>
      <c r="DQX4" s="484"/>
      <c r="DQY4" s="484"/>
      <c r="DQZ4" s="484"/>
      <c r="DRA4" s="484"/>
      <c r="DRB4" s="484"/>
      <c r="DRC4" s="484"/>
      <c r="DRD4" s="484"/>
      <c r="DRE4" s="484"/>
      <c r="DRF4" s="484"/>
      <c r="DRG4" s="484"/>
      <c r="DRH4" s="484"/>
      <c r="DRI4" s="484"/>
      <c r="DRJ4" s="484"/>
      <c r="DRK4" s="484"/>
      <c r="DRL4" s="484"/>
      <c r="DRM4" s="484"/>
      <c r="DRN4" s="484"/>
      <c r="DRO4" s="484"/>
      <c r="DRP4" s="484"/>
      <c r="DRQ4" s="484"/>
      <c r="DRR4" s="484"/>
      <c r="DRS4" s="484"/>
      <c r="DRT4" s="484"/>
      <c r="DRU4" s="484"/>
      <c r="DRV4" s="484"/>
      <c r="DRW4" s="484"/>
      <c r="DRX4" s="484"/>
      <c r="DRY4" s="484"/>
      <c r="DRZ4" s="484"/>
      <c r="DSA4" s="484"/>
      <c r="DSB4" s="484"/>
      <c r="DSC4" s="484"/>
      <c r="DSD4" s="484"/>
      <c r="DSE4" s="484"/>
      <c r="DSF4" s="484"/>
      <c r="DSG4" s="484"/>
      <c r="DSH4" s="484"/>
      <c r="DSI4" s="484"/>
      <c r="DSJ4" s="484"/>
      <c r="DSK4" s="484"/>
      <c r="DSL4" s="484"/>
      <c r="DSM4" s="484"/>
      <c r="DSN4" s="484"/>
      <c r="DSO4" s="484"/>
      <c r="DSP4" s="484"/>
      <c r="DSQ4" s="484"/>
      <c r="DSR4" s="484"/>
      <c r="DSS4" s="484"/>
      <c r="DST4" s="484"/>
      <c r="DSU4" s="484"/>
      <c r="DSV4" s="484"/>
      <c r="DSW4" s="484"/>
      <c r="DSX4" s="484"/>
      <c r="DSY4" s="484"/>
      <c r="DSZ4" s="484"/>
      <c r="DTA4" s="484"/>
      <c r="DTB4" s="484"/>
      <c r="DTC4" s="484"/>
      <c r="DTD4" s="484"/>
      <c r="DTE4" s="484"/>
      <c r="DTF4" s="484"/>
      <c r="DTG4" s="484"/>
      <c r="DTH4" s="484"/>
      <c r="DTI4" s="484"/>
      <c r="DTJ4" s="484"/>
      <c r="DTK4" s="484"/>
      <c r="DTL4" s="484"/>
      <c r="DTM4" s="484"/>
      <c r="DTN4" s="484"/>
      <c r="DTO4" s="484"/>
      <c r="DTP4" s="484"/>
      <c r="DTQ4" s="484"/>
      <c r="DTR4" s="484"/>
      <c r="DTS4" s="484"/>
      <c r="DTT4" s="484"/>
      <c r="DTU4" s="484"/>
      <c r="DTV4" s="484"/>
      <c r="DTW4" s="484"/>
      <c r="DTX4" s="484"/>
      <c r="DTY4" s="484"/>
      <c r="DTZ4" s="484"/>
      <c r="DUA4" s="484"/>
      <c r="DUB4" s="484"/>
      <c r="DUC4" s="484"/>
      <c r="DUD4" s="484"/>
      <c r="DUE4" s="484"/>
      <c r="DUF4" s="484"/>
      <c r="DUG4" s="484"/>
      <c r="DUH4" s="484"/>
      <c r="DUI4" s="484"/>
      <c r="DUJ4" s="484"/>
      <c r="DUK4" s="484"/>
      <c r="DUL4" s="484"/>
      <c r="DUM4" s="484"/>
      <c r="DUN4" s="484"/>
      <c r="DUO4" s="484"/>
      <c r="DUP4" s="484"/>
      <c r="DUQ4" s="484"/>
      <c r="DUR4" s="484"/>
      <c r="DUS4" s="484"/>
      <c r="DUT4" s="484"/>
      <c r="DUU4" s="484"/>
      <c r="DUV4" s="484"/>
      <c r="DUW4" s="484"/>
      <c r="DUX4" s="484"/>
      <c r="DUY4" s="484"/>
      <c r="DUZ4" s="484"/>
      <c r="DVA4" s="484"/>
      <c r="DVB4" s="484"/>
      <c r="DVC4" s="484"/>
      <c r="DVD4" s="484"/>
      <c r="DVE4" s="484"/>
      <c r="DVF4" s="484"/>
      <c r="DVG4" s="484"/>
      <c r="DVH4" s="484"/>
      <c r="DVI4" s="484"/>
      <c r="DVJ4" s="484"/>
      <c r="DVK4" s="484"/>
      <c r="DVL4" s="484"/>
      <c r="DVM4" s="484"/>
      <c r="DVN4" s="484"/>
      <c r="DVO4" s="484"/>
      <c r="DVP4" s="484"/>
      <c r="DVQ4" s="484"/>
      <c r="DVR4" s="484"/>
      <c r="DVS4" s="484"/>
      <c r="DVT4" s="484"/>
      <c r="DVU4" s="484"/>
      <c r="DVV4" s="484"/>
      <c r="DVW4" s="484"/>
      <c r="DVX4" s="484"/>
      <c r="DVY4" s="484"/>
      <c r="DVZ4" s="484"/>
      <c r="DWA4" s="484"/>
      <c r="DWB4" s="484"/>
      <c r="DWC4" s="484"/>
      <c r="DWD4" s="484"/>
      <c r="DWE4" s="484"/>
      <c r="DWF4" s="484"/>
      <c r="DWG4" s="484"/>
      <c r="DWH4" s="484"/>
      <c r="DWI4" s="484"/>
      <c r="DWJ4" s="484"/>
      <c r="DWK4" s="484"/>
      <c r="DWL4" s="484"/>
      <c r="DWM4" s="484"/>
      <c r="DWN4" s="484"/>
      <c r="DWO4" s="484"/>
      <c r="DWP4" s="484"/>
      <c r="DWQ4" s="484"/>
      <c r="DWR4" s="484"/>
      <c r="DWS4" s="484"/>
      <c r="DWT4" s="484"/>
      <c r="DWU4" s="484"/>
      <c r="DWV4" s="484"/>
      <c r="DWW4" s="484"/>
      <c r="DWX4" s="484"/>
      <c r="DWY4" s="484"/>
      <c r="DWZ4" s="484"/>
      <c r="DXA4" s="484"/>
      <c r="DXB4" s="484"/>
      <c r="DXC4" s="484"/>
      <c r="DXD4" s="484"/>
      <c r="DXE4" s="484"/>
      <c r="DXF4" s="484"/>
      <c r="DXG4" s="484"/>
      <c r="DXH4" s="484"/>
      <c r="DXI4" s="484"/>
      <c r="DXJ4" s="484"/>
      <c r="DXK4" s="484"/>
      <c r="DXL4" s="484"/>
      <c r="DXM4" s="484"/>
      <c r="DXN4" s="484"/>
      <c r="DXO4" s="484"/>
      <c r="DXP4" s="484"/>
      <c r="DXQ4" s="484"/>
      <c r="DXR4" s="484"/>
      <c r="DXS4" s="484"/>
      <c r="DXT4" s="484"/>
      <c r="DXU4" s="484"/>
      <c r="DXV4" s="484"/>
      <c r="DXW4" s="484"/>
      <c r="DXX4" s="484"/>
      <c r="DXY4" s="484"/>
      <c r="DXZ4" s="484"/>
      <c r="DYA4" s="484"/>
      <c r="DYB4" s="484"/>
      <c r="DYC4" s="484"/>
      <c r="DYD4" s="484"/>
      <c r="DYE4" s="484"/>
      <c r="DYF4" s="484"/>
      <c r="DYG4" s="484"/>
      <c r="DYH4" s="484"/>
      <c r="DYI4" s="484"/>
      <c r="DYJ4" s="484"/>
      <c r="DYK4" s="484"/>
      <c r="DYL4" s="484"/>
      <c r="DYM4" s="484"/>
      <c r="DYN4" s="484"/>
      <c r="DYO4" s="484"/>
      <c r="DYP4" s="484"/>
      <c r="DYQ4" s="484"/>
      <c r="DYR4" s="484"/>
      <c r="DYS4" s="484"/>
      <c r="DYT4" s="484"/>
      <c r="DYU4" s="484"/>
      <c r="DYV4" s="484"/>
      <c r="DYW4" s="484"/>
      <c r="DYX4" s="484"/>
      <c r="DYY4" s="484"/>
      <c r="DYZ4" s="484"/>
      <c r="DZA4" s="484"/>
      <c r="DZB4" s="484"/>
      <c r="DZC4" s="484"/>
      <c r="DZD4" s="484"/>
      <c r="DZE4" s="484"/>
      <c r="DZF4" s="484"/>
      <c r="DZG4" s="484"/>
      <c r="DZH4" s="484"/>
      <c r="DZI4" s="484"/>
      <c r="DZJ4" s="484"/>
      <c r="DZK4" s="484"/>
      <c r="DZL4" s="484"/>
      <c r="DZM4" s="484"/>
      <c r="DZN4" s="484"/>
      <c r="DZO4" s="484"/>
      <c r="DZP4" s="484"/>
      <c r="DZQ4" s="484"/>
      <c r="DZR4" s="484"/>
      <c r="DZS4" s="484"/>
      <c r="DZT4" s="484"/>
      <c r="DZU4" s="484"/>
      <c r="DZV4" s="484"/>
      <c r="DZW4" s="484"/>
      <c r="DZX4" s="484"/>
      <c r="DZY4" s="484"/>
      <c r="DZZ4" s="484"/>
      <c r="EAA4" s="484"/>
      <c r="EAB4" s="484"/>
      <c r="EAC4" s="484"/>
      <c r="EAD4" s="484"/>
      <c r="EAE4" s="484"/>
      <c r="EAF4" s="484"/>
      <c r="EAG4" s="484"/>
      <c r="EAH4" s="484"/>
      <c r="EAI4" s="484"/>
      <c r="EAJ4" s="484"/>
      <c r="EAK4" s="484"/>
      <c r="EAL4" s="484"/>
      <c r="EAM4" s="484"/>
      <c r="EAN4" s="484"/>
      <c r="EAO4" s="484"/>
      <c r="EAP4" s="484"/>
      <c r="EAQ4" s="484"/>
      <c r="EAR4" s="484"/>
      <c r="EAS4" s="484"/>
      <c r="EAT4" s="484"/>
      <c r="EAU4" s="484"/>
      <c r="EAV4" s="484"/>
      <c r="EAW4" s="484"/>
      <c r="EAX4" s="484"/>
      <c r="EAY4" s="484"/>
      <c r="EAZ4" s="484"/>
      <c r="EBA4" s="484"/>
      <c r="EBB4" s="484"/>
      <c r="EBC4" s="484"/>
      <c r="EBD4" s="484"/>
      <c r="EBE4" s="484"/>
      <c r="EBF4" s="484"/>
      <c r="EBG4" s="484"/>
      <c r="EBH4" s="484"/>
      <c r="EBI4" s="484"/>
      <c r="EBJ4" s="484"/>
      <c r="EBK4" s="484"/>
      <c r="EBL4" s="484"/>
      <c r="EBM4" s="484"/>
      <c r="EBN4" s="484"/>
      <c r="EBO4" s="484"/>
      <c r="EBP4" s="484"/>
      <c r="EBQ4" s="484"/>
      <c r="EBR4" s="484"/>
      <c r="EBS4" s="484"/>
      <c r="EBT4" s="484"/>
      <c r="EBU4" s="484"/>
      <c r="EBV4" s="484"/>
      <c r="EBW4" s="484"/>
      <c r="EBX4" s="484"/>
      <c r="EBY4" s="484"/>
      <c r="EBZ4" s="484"/>
      <c r="ECA4" s="484"/>
      <c r="ECB4" s="484"/>
      <c r="ECC4" s="484"/>
      <c r="ECD4" s="484"/>
      <c r="ECE4" s="484"/>
      <c r="ECF4" s="484"/>
      <c r="ECG4" s="484"/>
      <c r="ECH4" s="484"/>
      <c r="ECI4" s="484"/>
      <c r="ECJ4" s="484"/>
      <c r="ECK4" s="484"/>
      <c r="ECL4" s="484"/>
      <c r="ECM4" s="484"/>
      <c r="ECN4" s="484"/>
      <c r="ECO4" s="484"/>
      <c r="ECP4" s="484"/>
      <c r="ECQ4" s="484"/>
      <c r="ECR4" s="484"/>
      <c r="ECS4" s="484"/>
      <c r="ECT4" s="484"/>
      <c r="ECU4" s="484"/>
      <c r="ECV4" s="484"/>
      <c r="ECW4" s="484"/>
      <c r="ECX4" s="484"/>
      <c r="ECY4" s="484"/>
      <c r="ECZ4" s="484"/>
      <c r="EDA4" s="484"/>
      <c r="EDB4" s="484"/>
      <c r="EDC4" s="484"/>
      <c r="EDD4" s="484"/>
      <c r="EDE4" s="484"/>
      <c r="EDF4" s="484"/>
      <c r="EDG4" s="484"/>
      <c r="EDH4" s="484"/>
      <c r="EDI4" s="484"/>
      <c r="EDJ4" s="484"/>
      <c r="EDK4" s="484"/>
      <c r="EDL4" s="484"/>
      <c r="EDM4" s="484"/>
      <c r="EDN4" s="484"/>
      <c r="EDO4" s="484"/>
      <c r="EDP4" s="484"/>
      <c r="EDQ4" s="484"/>
      <c r="EDR4" s="484"/>
      <c r="EDS4" s="484"/>
      <c r="EDT4" s="484"/>
      <c r="EDU4" s="484"/>
      <c r="EDV4" s="484"/>
      <c r="EDW4" s="484"/>
      <c r="EDX4" s="484"/>
      <c r="EDY4" s="484"/>
      <c r="EDZ4" s="484"/>
      <c r="EEA4" s="484"/>
      <c r="EEB4" s="484"/>
      <c r="EEC4" s="484"/>
      <c r="EED4" s="484"/>
      <c r="EEE4" s="484"/>
      <c r="EEF4" s="484"/>
      <c r="EEG4" s="484"/>
      <c r="EEH4" s="484"/>
      <c r="EEI4" s="484"/>
      <c r="EEJ4" s="484"/>
      <c r="EEK4" s="484"/>
      <c r="EEL4" s="484"/>
      <c r="EEM4" s="484"/>
      <c r="EEN4" s="484"/>
      <c r="EEO4" s="484"/>
      <c r="EEP4" s="484"/>
      <c r="EEQ4" s="484"/>
      <c r="EER4" s="484"/>
      <c r="EES4" s="484"/>
      <c r="EET4" s="484"/>
      <c r="EEU4" s="484"/>
      <c r="EEV4" s="484"/>
      <c r="EEW4" s="484"/>
      <c r="EEX4" s="484"/>
      <c r="EEY4" s="484"/>
      <c r="EEZ4" s="484"/>
      <c r="EFA4" s="484"/>
      <c r="EFB4" s="484"/>
      <c r="EFC4" s="484"/>
      <c r="EFD4" s="484"/>
      <c r="EFE4" s="484"/>
      <c r="EFF4" s="484"/>
      <c r="EFG4" s="484"/>
      <c r="EFH4" s="484"/>
      <c r="EFI4" s="484"/>
      <c r="EFJ4" s="484"/>
      <c r="EFK4" s="484"/>
      <c r="EFL4" s="484"/>
      <c r="EFM4" s="484"/>
      <c r="EFN4" s="484"/>
      <c r="EFO4" s="484"/>
      <c r="EFP4" s="484"/>
      <c r="EFQ4" s="484"/>
      <c r="EFR4" s="484"/>
      <c r="EFS4" s="484"/>
      <c r="EFT4" s="484"/>
      <c r="EFU4" s="484"/>
      <c r="EFV4" s="484"/>
      <c r="EFW4" s="484"/>
      <c r="EFX4" s="484"/>
      <c r="EFY4" s="484"/>
      <c r="EFZ4" s="484"/>
      <c r="EGA4" s="484"/>
      <c r="EGB4" s="484"/>
      <c r="EGC4" s="484"/>
      <c r="EGD4" s="484"/>
      <c r="EGE4" s="484"/>
      <c r="EGF4" s="484"/>
      <c r="EGG4" s="484"/>
      <c r="EGH4" s="484"/>
      <c r="EGI4" s="484"/>
      <c r="EGJ4" s="484"/>
      <c r="EGK4" s="484"/>
      <c r="EGL4" s="484"/>
      <c r="EGM4" s="484"/>
      <c r="EGN4" s="484"/>
      <c r="EGO4" s="484"/>
      <c r="EGP4" s="484"/>
      <c r="EGQ4" s="484"/>
      <c r="EGR4" s="484"/>
      <c r="EGS4" s="484"/>
      <c r="EGT4" s="484"/>
      <c r="EGU4" s="484"/>
      <c r="EGV4" s="484"/>
      <c r="EGW4" s="484"/>
      <c r="EGX4" s="484"/>
      <c r="EGY4" s="484"/>
      <c r="EGZ4" s="484"/>
      <c r="EHA4" s="484"/>
      <c r="EHB4" s="484"/>
      <c r="EHC4" s="484"/>
      <c r="EHD4" s="484"/>
      <c r="EHE4" s="484"/>
      <c r="EHF4" s="484"/>
      <c r="EHG4" s="484"/>
      <c r="EHH4" s="484"/>
      <c r="EHI4" s="484"/>
      <c r="EHJ4" s="484"/>
      <c r="EHK4" s="484"/>
      <c r="EHL4" s="484"/>
      <c r="EHM4" s="484"/>
      <c r="EHN4" s="484"/>
      <c r="EHO4" s="484"/>
      <c r="EHP4" s="484"/>
      <c r="EHQ4" s="484"/>
      <c r="EHR4" s="484"/>
      <c r="EHS4" s="484"/>
      <c r="EHT4" s="484"/>
      <c r="EHU4" s="484"/>
      <c r="EHV4" s="484"/>
      <c r="EHW4" s="484"/>
      <c r="EHX4" s="484"/>
      <c r="EHY4" s="484"/>
      <c r="EHZ4" s="484"/>
      <c r="EIA4" s="484"/>
      <c r="EIB4" s="484"/>
      <c r="EIC4" s="484"/>
      <c r="EID4" s="484"/>
      <c r="EIE4" s="484"/>
      <c r="EIF4" s="484"/>
      <c r="EIG4" s="484"/>
      <c r="EIH4" s="484"/>
      <c r="EII4" s="484"/>
      <c r="EIJ4" s="484"/>
      <c r="EIK4" s="484"/>
      <c r="EIL4" s="484"/>
      <c r="EIM4" s="484"/>
      <c r="EIN4" s="484"/>
      <c r="EIO4" s="484"/>
      <c r="EIP4" s="484"/>
      <c r="EIQ4" s="484"/>
      <c r="EIR4" s="484"/>
      <c r="EIS4" s="484"/>
      <c r="EIT4" s="484"/>
      <c r="EIU4" s="484"/>
      <c r="EIV4" s="484"/>
      <c r="EIW4" s="484"/>
      <c r="EIX4" s="484"/>
      <c r="EIY4" s="484"/>
      <c r="EIZ4" s="484"/>
      <c r="EJA4" s="484"/>
      <c r="EJB4" s="484"/>
      <c r="EJC4" s="484"/>
      <c r="EJD4" s="484"/>
      <c r="EJE4" s="484"/>
      <c r="EJF4" s="484"/>
      <c r="EJG4" s="484"/>
      <c r="EJH4" s="484"/>
      <c r="EJI4" s="484"/>
      <c r="EJJ4" s="484"/>
      <c r="EJK4" s="484"/>
      <c r="EJL4" s="484"/>
      <c r="EJM4" s="484"/>
      <c r="EJN4" s="484"/>
      <c r="EJO4" s="484"/>
      <c r="EJP4" s="484"/>
      <c r="EJQ4" s="484"/>
      <c r="EJR4" s="484"/>
      <c r="EJS4" s="484"/>
      <c r="EJT4" s="484"/>
      <c r="EJU4" s="484"/>
      <c r="EJV4" s="484"/>
      <c r="EJW4" s="484"/>
      <c r="EJX4" s="484"/>
      <c r="EJY4" s="484"/>
      <c r="EJZ4" s="484"/>
      <c r="EKA4" s="484"/>
      <c r="EKB4" s="484"/>
      <c r="EKC4" s="484"/>
      <c r="EKD4" s="484"/>
      <c r="EKE4" s="484"/>
      <c r="EKF4" s="484"/>
      <c r="EKG4" s="484"/>
      <c r="EKH4" s="484"/>
      <c r="EKI4" s="484"/>
      <c r="EKJ4" s="484"/>
      <c r="EKK4" s="484"/>
      <c r="EKL4" s="484"/>
      <c r="EKM4" s="484"/>
      <c r="EKN4" s="484"/>
      <c r="EKO4" s="484"/>
      <c r="EKP4" s="484"/>
      <c r="EKQ4" s="484"/>
      <c r="EKR4" s="484"/>
      <c r="EKS4" s="484"/>
      <c r="EKT4" s="484"/>
      <c r="EKU4" s="484"/>
      <c r="EKV4" s="484"/>
      <c r="EKW4" s="484"/>
      <c r="EKX4" s="484"/>
      <c r="EKY4" s="484"/>
      <c r="EKZ4" s="484"/>
      <c r="ELA4" s="484"/>
      <c r="ELB4" s="484"/>
      <c r="ELC4" s="484"/>
      <c r="ELD4" s="484"/>
      <c r="ELE4" s="484"/>
      <c r="ELF4" s="484"/>
      <c r="ELG4" s="484"/>
      <c r="ELH4" s="484"/>
      <c r="ELI4" s="484"/>
      <c r="ELJ4" s="484"/>
      <c r="ELK4" s="484"/>
      <c r="ELL4" s="484"/>
      <c r="ELM4" s="484"/>
      <c r="ELN4" s="484"/>
      <c r="ELO4" s="484"/>
      <c r="ELP4" s="484"/>
      <c r="ELQ4" s="484"/>
      <c r="ELR4" s="484"/>
      <c r="ELS4" s="484"/>
      <c r="ELT4" s="484"/>
      <c r="ELU4" s="484"/>
      <c r="ELV4" s="484"/>
      <c r="ELW4" s="484"/>
      <c r="ELX4" s="484"/>
      <c r="ELY4" s="484"/>
      <c r="ELZ4" s="484"/>
      <c r="EMA4" s="484"/>
      <c r="EMB4" s="484"/>
      <c r="EMC4" s="484"/>
      <c r="EMD4" s="484"/>
      <c r="EME4" s="484"/>
      <c r="EMF4" s="484"/>
      <c r="EMG4" s="484"/>
      <c r="EMH4" s="484"/>
      <c r="EMI4" s="484"/>
      <c r="EMJ4" s="484"/>
      <c r="EMK4" s="484"/>
      <c r="EML4" s="484"/>
      <c r="EMM4" s="484"/>
      <c r="EMN4" s="484"/>
      <c r="EMO4" s="484"/>
      <c r="EMP4" s="484"/>
      <c r="EMQ4" s="484"/>
      <c r="EMR4" s="484"/>
      <c r="EMS4" s="484"/>
      <c r="EMT4" s="484"/>
      <c r="EMU4" s="484"/>
      <c r="EMV4" s="484"/>
      <c r="EMW4" s="484"/>
      <c r="EMX4" s="484"/>
      <c r="EMY4" s="484"/>
      <c r="EMZ4" s="484"/>
      <c r="ENA4" s="484"/>
      <c r="ENB4" s="484"/>
      <c r="ENC4" s="484"/>
      <c r="END4" s="484"/>
      <c r="ENE4" s="484"/>
      <c r="ENF4" s="484"/>
      <c r="ENG4" s="484"/>
      <c r="ENH4" s="484"/>
      <c r="ENI4" s="484"/>
      <c r="ENJ4" s="484"/>
      <c r="ENK4" s="484"/>
      <c r="ENL4" s="484"/>
      <c r="ENM4" s="484"/>
      <c r="ENN4" s="484"/>
      <c r="ENO4" s="484"/>
      <c r="ENP4" s="484"/>
      <c r="ENQ4" s="484"/>
      <c r="ENR4" s="484"/>
      <c r="ENS4" s="484"/>
      <c r="ENT4" s="484"/>
      <c r="ENU4" s="484"/>
      <c r="ENV4" s="484"/>
      <c r="ENW4" s="484"/>
      <c r="ENX4" s="484"/>
      <c r="ENY4" s="484"/>
      <c r="ENZ4" s="484"/>
      <c r="EOA4" s="484"/>
      <c r="EOB4" s="484"/>
      <c r="EOC4" s="484"/>
      <c r="EOD4" s="484"/>
      <c r="EOE4" s="484"/>
      <c r="EOF4" s="484"/>
      <c r="EOG4" s="484"/>
      <c r="EOH4" s="484"/>
      <c r="EOI4" s="484"/>
      <c r="EOJ4" s="484"/>
      <c r="EOK4" s="484"/>
      <c r="EOL4" s="484"/>
      <c r="EOM4" s="484"/>
      <c r="EON4" s="484"/>
      <c r="EOO4" s="484"/>
      <c r="EOP4" s="484"/>
      <c r="EOQ4" s="484"/>
      <c r="EOR4" s="484"/>
      <c r="EOS4" s="484"/>
      <c r="EOT4" s="484"/>
      <c r="EOU4" s="484"/>
      <c r="EOV4" s="484"/>
      <c r="EOW4" s="484"/>
      <c r="EOX4" s="484"/>
      <c r="EOY4" s="484"/>
      <c r="EOZ4" s="484"/>
      <c r="EPA4" s="484"/>
      <c r="EPB4" s="484"/>
      <c r="EPC4" s="484"/>
      <c r="EPD4" s="484"/>
      <c r="EPE4" s="484"/>
      <c r="EPF4" s="484"/>
      <c r="EPG4" s="484"/>
      <c r="EPH4" s="484"/>
      <c r="EPI4" s="484"/>
      <c r="EPJ4" s="484"/>
      <c r="EPK4" s="484"/>
      <c r="EPL4" s="484"/>
      <c r="EPM4" s="484"/>
      <c r="EPN4" s="484"/>
      <c r="EPO4" s="484"/>
      <c r="EPP4" s="484"/>
      <c r="EPQ4" s="484"/>
      <c r="EPR4" s="484"/>
      <c r="EPS4" s="484"/>
      <c r="EPT4" s="484"/>
      <c r="EPU4" s="484"/>
      <c r="EPV4" s="484"/>
      <c r="EPW4" s="484"/>
      <c r="EPX4" s="484"/>
      <c r="EPY4" s="484"/>
      <c r="EPZ4" s="484"/>
      <c r="EQA4" s="484"/>
      <c r="EQB4" s="484"/>
      <c r="EQC4" s="484"/>
      <c r="EQD4" s="484"/>
      <c r="EQE4" s="484"/>
      <c r="EQF4" s="484"/>
      <c r="EQG4" s="484"/>
      <c r="EQH4" s="484"/>
      <c r="EQI4" s="484"/>
      <c r="EQJ4" s="484"/>
      <c r="EQK4" s="484"/>
      <c r="EQL4" s="484"/>
      <c r="EQM4" s="484"/>
      <c r="EQN4" s="484"/>
      <c r="EQO4" s="484"/>
      <c r="EQP4" s="484"/>
      <c r="EQQ4" s="484"/>
      <c r="EQR4" s="484"/>
      <c r="EQS4" s="484"/>
      <c r="EQT4" s="484"/>
      <c r="EQU4" s="484"/>
      <c r="EQV4" s="484"/>
      <c r="EQW4" s="484"/>
      <c r="EQX4" s="484"/>
      <c r="EQY4" s="484"/>
      <c r="EQZ4" s="484"/>
      <c r="ERA4" s="484"/>
      <c r="ERB4" s="484"/>
      <c r="ERC4" s="484"/>
      <c r="ERD4" s="484"/>
      <c r="ERE4" s="484"/>
      <c r="ERF4" s="484"/>
      <c r="ERG4" s="484"/>
      <c r="ERH4" s="484"/>
      <c r="ERI4" s="484"/>
      <c r="ERJ4" s="484"/>
      <c r="ERK4" s="484"/>
      <c r="ERL4" s="484"/>
      <c r="ERM4" s="484"/>
      <c r="ERN4" s="484"/>
      <c r="ERO4" s="484"/>
      <c r="ERP4" s="484"/>
      <c r="ERQ4" s="484"/>
      <c r="ERR4" s="484"/>
      <c r="ERS4" s="484"/>
      <c r="ERT4" s="484"/>
      <c r="ERU4" s="484"/>
      <c r="ERV4" s="484"/>
      <c r="ERW4" s="484"/>
      <c r="ERX4" s="484"/>
      <c r="ERY4" s="484"/>
      <c r="ERZ4" s="484"/>
      <c r="ESA4" s="484"/>
      <c r="ESB4" s="484"/>
      <c r="ESC4" s="484"/>
      <c r="ESD4" s="484"/>
      <c r="ESE4" s="484"/>
      <c r="ESF4" s="484"/>
      <c r="ESG4" s="484"/>
      <c r="ESH4" s="484"/>
      <c r="ESI4" s="484"/>
      <c r="ESJ4" s="484"/>
      <c r="ESK4" s="484"/>
      <c r="ESL4" s="484"/>
      <c r="ESM4" s="484"/>
      <c r="ESN4" s="484"/>
      <c r="ESO4" s="484"/>
      <c r="ESP4" s="484"/>
      <c r="ESQ4" s="484"/>
      <c r="ESR4" s="484"/>
      <c r="ESS4" s="484"/>
      <c r="EST4" s="484"/>
      <c r="ESU4" s="484"/>
      <c r="ESV4" s="484"/>
      <c r="ESW4" s="484"/>
      <c r="ESX4" s="484"/>
      <c r="ESY4" s="484"/>
      <c r="ESZ4" s="484"/>
      <c r="ETA4" s="484"/>
      <c r="ETB4" s="484"/>
      <c r="ETC4" s="484"/>
      <c r="ETD4" s="484"/>
      <c r="ETE4" s="484"/>
      <c r="ETF4" s="484"/>
      <c r="ETG4" s="484"/>
      <c r="ETH4" s="484"/>
      <c r="ETI4" s="484"/>
      <c r="ETJ4" s="484"/>
      <c r="ETK4" s="484"/>
      <c r="ETL4" s="484"/>
      <c r="ETM4" s="484"/>
      <c r="ETN4" s="484"/>
      <c r="ETO4" s="484"/>
      <c r="ETP4" s="484"/>
      <c r="ETQ4" s="484"/>
      <c r="ETR4" s="484"/>
      <c r="ETS4" s="484"/>
      <c r="ETT4" s="484"/>
      <c r="ETU4" s="484"/>
      <c r="ETV4" s="484"/>
      <c r="ETW4" s="484"/>
      <c r="ETX4" s="484"/>
      <c r="ETY4" s="484"/>
      <c r="ETZ4" s="484"/>
      <c r="EUA4" s="484"/>
      <c r="EUB4" s="484"/>
      <c r="EUC4" s="484"/>
      <c r="EUD4" s="484"/>
      <c r="EUE4" s="484"/>
      <c r="EUF4" s="484"/>
      <c r="EUG4" s="484"/>
      <c r="EUH4" s="484"/>
      <c r="EUI4" s="484"/>
      <c r="EUJ4" s="484"/>
      <c r="EUK4" s="484"/>
      <c r="EUL4" s="484"/>
      <c r="EUM4" s="484"/>
      <c r="EUN4" s="484"/>
      <c r="EUO4" s="484"/>
      <c r="EUP4" s="484"/>
      <c r="EUQ4" s="484"/>
      <c r="EUR4" s="484"/>
      <c r="EUS4" s="484"/>
      <c r="EUT4" s="484"/>
      <c r="EUU4" s="484"/>
      <c r="EUV4" s="484"/>
      <c r="EUW4" s="484"/>
      <c r="EUX4" s="484"/>
      <c r="EUY4" s="484"/>
      <c r="EUZ4" s="484"/>
      <c r="EVA4" s="484"/>
      <c r="EVB4" s="484"/>
      <c r="EVC4" s="484"/>
      <c r="EVD4" s="484"/>
      <c r="EVE4" s="484"/>
      <c r="EVF4" s="484"/>
      <c r="EVG4" s="484"/>
      <c r="EVH4" s="484"/>
      <c r="EVI4" s="484"/>
      <c r="EVJ4" s="484"/>
      <c r="EVK4" s="484"/>
      <c r="EVL4" s="484"/>
      <c r="EVM4" s="484"/>
      <c r="EVN4" s="484"/>
      <c r="EVO4" s="484"/>
      <c r="EVP4" s="484"/>
      <c r="EVQ4" s="484"/>
      <c r="EVR4" s="484"/>
      <c r="EVS4" s="484"/>
      <c r="EVT4" s="484"/>
      <c r="EVU4" s="484"/>
      <c r="EVV4" s="484"/>
      <c r="EVW4" s="484"/>
      <c r="EVX4" s="484"/>
      <c r="EVY4" s="484"/>
      <c r="EVZ4" s="484"/>
      <c r="EWA4" s="484"/>
      <c r="EWB4" s="484"/>
      <c r="EWC4" s="484"/>
      <c r="EWD4" s="484"/>
      <c r="EWE4" s="484"/>
      <c r="EWF4" s="484"/>
      <c r="EWG4" s="484"/>
      <c r="EWH4" s="484"/>
      <c r="EWI4" s="484"/>
      <c r="EWJ4" s="484"/>
      <c r="EWK4" s="484"/>
      <c r="EWL4" s="484"/>
      <c r="EWM4" s="484"/>
      <c r="EWN4" s="484"/>
      <c r="EWO4" s="484"/>
      <c r="EWP4" s="484"/>
      <c r="EWQ4" s="484"/>
      <c r="EWR4" s="484"/>
      <c r="EWS4" s="484"/>
      <c r="EWT4" s="484"/>
      <c r="EWU4" s="484"/>
      <c r="EWV4" s="484"/>
      <c r="EWW4" s="484"/>
      <c r="EWX4" s="484"/>
      <c r="EWY4" s="484"/>
      <c r="EWZ4" s="484"/>
      <c r="EXA4" s="484"/>
      <c r="EXB4" s="484"/>
      <c r="EXC4" s="484"/>
      <c r="EXD4" s="484"/>
      <c r="EXE4" s="484"/>
      <c r="EXF4" s="484"/>
      <c r="EXG4" s="484"/>
      <c r="EXH4" s="484"/>
      <c r="EXI4" s="484"/>
      <c r="EXJ4" s="484"/>
      <c r="EXK4" s="484"/>
      <c r="EXL4" s="484"/>
      <c r="EXM4" s="484"/>
      <c r="EXN4" s="484"/>
      <c r="EXO4" s="484"/>
      <c r="EXP4" s="484"/>
      <c r="EXQ4" s="484"/>
      <c r="EXR4" s="484"/>
      <c r="EXS4" s="484"/>
      <c r="EXT4" s="484"/>
      <c r="EXU4" s="484"/>
      <c r="EXV4" s="484"/>
      <c r="EXW4" s="484"/>
      <c r="EXX4" s="484"/>
      <c r="EXY4" s="484"/>
      <c r="EXZ4" s="484"/>
      <c r="EYA4" s="484"/>
      <c r="EYB4" s="484"/>
      <c r="EYC4" s="484"/>
      <c r="EYD4" s="484"/>
      <c r="EYE4" s="484"/>
      <c r="EYF4" s="484"/>
      <c r="EYG4" s="484"/>
      <c r="EYH4" s="484"/>
      <c r="EYI4" s="484"/>
      <c r="EYJ4" s="484"/>
      <c r="EYK4" s="484"/>
      <c r="EYL4" s="484"/>
      <c r="EYM4" s="484"/>
      <c r="EYN4" s="484"/>
      <c r="EYO4" s="484"/>
      <c r="EYP4" s="484"/>
      <c r="EYQ4" s="484"/>
      <c r="EYR4" s="484"/>
      <c r="EYS4" s="484"/>
      <c r="EYT4" s="484"/>
      <c r="EYU4" s="484"/>
      <c r="EYV4" s="484"/>
      <c r="EYW4" s="484"/>
      <c r="EYX4" s="484"/>
      <c r="EYY4" s="484"/>
      <c r="EYZ4" s="484"/>
      <c r="EZA4" s="484"/>
      <c r="EZB4" s="484"/>
      <c r="EZC4" s="484"/>
      <c r="EZD4" s="484"/>
      <c r="EZE4" s="484"/>
      <c r="EZF4" s="484"/>
      <c r="EZG4" s="484"/>
      <c r="EZH4" s="484"/>
      <c r="EZI4" s="484"/>
      <c r="EZJ4" s="484"/>
      <c r="EZK4" s="484"/>
      <c r="EZL4" s="484"/>
      <c r="EZM4" s="484"/>
      <c r="EZN4" s="484"/>
      <c r="EZO4" s="484"/>
      <c r="EZP4" s="484"/>
      <c r="EZQ4" s="484"/>
      <c r="EZR4" s="484"/>
      <c r="EZS4" s="484"/>
      <c r="EZT4" s="484"/>
      <c r="EZU4" s="484"/>
      <c r="EZV4" s="484"/>
      <c r="EZW4" s="484"/>
      <c r="EZX4" s="484"/>
      <c r="EZY4" s="484"/>
      <c r="EZZ4" s="484"/>
      <c r="FAA4" s="484"/>
      <c r="FAB4" s="484"/>
      <c r="FAC4" s="484"/>
      <c r="FAD4" s="484"/>
      <c r="FAE4" s="484"/>
      <c r="FAF4" s="484"/>
      <c r="FAG4" s="484"/>
      <c r="FAH4" s="484"/>
      <c r="FAI4" s="484"/>
      <c r="FAJ4" s="484"/>
      <c r="FAK4" s="484"/>
      <c r="FAL4" s="484"/>
      <c r="FAM4" s="484"/>
      <c r="FAN4" s="484"/>
      <c r="FAO4" s="484"/>
      <c r="FAP4" s="484"/>
      <c r="FAQ4" s="484"/>
      <c r="FAR4" s="484"/>
      <c r="FAS4" s="484"/>
      <c r="FAT4" s="484"/>
      <c r="FAU4" s="484"/>
      <c r="FAV4" s="484"/>
      <c r="FAW4" s="484"/>
      <c r="FAX4" s="484"/>
      <c r="FAY4" s="484"/>
      <c r="FAZ4" s="484"/>
      <c r="FBA4" s="484"/>
      <c r="FBB4" s="484"/>
      <c r="FBC4" s="484"/>
      <c r="FBD4" s="484"/>
      <c r="FBE4" s="484"/>
      <c r="FBF4" s="484"/>
      <c r="FBG4" s="484"/>
      <c r="FBH4" s="484"/>
      <c r="FBI4" s="484"/>
      <c r="FBJ4" s="484"/>
      <c r="FBK4" s="484"/>
      <c r="FBL4" s="484"/>
      <c r="FBM4" s="484"/>
      <c r="FBN4" s="484"/>
      <c r="FBO4" s="484"/>
      <c r="FBP4" s="484"/>
      <c r="FBQ4" s="484"/>
      <c r="FBR4" s="484"/>
      <c r="FBS4" s="484"/>
      <c r="FBT4" s="484"/>
      <c r="FBU4" s="484"/>
      <c r="FBV4" s="484"/>
      <c r="FBW4" s="484"/>
      <c r="FBX4" s="484"/>
      <c r="FBY4" s="484"/>
      <c r="FBZ4" s="484"/>
      <c r="FCA4" s="484"/>
      <c r="FCB4" s="484"/>
      <c r="FCC4" s="484"/>
      <c r="FCD4" s="484"/>
      <c r="FCE4" s="484"/>
      <c r="FCF4" s="484"/>
      <c r="FCG4" s="484"/>
      <c r="FCH4" s="484"/>
      <c r="FCI4" s="484"/>
      <c r="FCJ4" s="484"/>
      <c r="FCK4" s="484"/>
      <c r="FCL4" s="484"/>
      <c r="FCM4" s="484"/>
      <c r="FCN4" s="484"/>
      <c r="FCO4" s="484"/>
      <c r="FCP4" s="484"/>
      <c r="FCQ4" s="484"/>
      <c r="FCR4" s="484"/>
      <c r="FCS4" s="484"/>
      <c r="FCT4" s="484"/>
      <c r="FCU4" s="484"/>
      <c r="FCV4" s="484"/>
      <c r="FCW4" s="484"/>
      <c r="FCX4" s="484"/>
      <c r="FCY4" s="484"/>
      <c r="FCZ4" s="484"/>
      <c r="FDA4" s="484"/>
      <c r="FDB4" s="484"/>
      <c r="FDC4" s="484"/>
      <c r="FDD4" s="484"/>
      <c r="FDE4" s="484"/>
      <c r="FDF4" s="484"/>
      <c r="FDG4" s="484"/>
      <c r="FDH4" s="484"/>
      <c r="FDI4" s="484"/>
      <c r="FDJ4" s="484"/>
      <c r="FDK4" s="484"/>
      <c r="FDL4" s="484"/>
      <c r="FDM4" s="484"/>
      <c r="FDN4" s="484"/>
      <c r="FDO4" s="484"/>
      <c r="FDP4" s="484"/>
      <c r="FDQ4" s="484"/>
      <c r="FDR4" s="484"/>
      <c r="FDS4" s="484"/>
      <c r="FDT4" s="484"/>
      <c r="FDU4" s="484"/>
      <c r="FDV4" s="484"/>
      <c r="FDW4" s="484"/>
      <c r="FDX4" s="484"/>
      <c r="FDY4" s="484"/>
      <c r="FDZ4" s="484"/>
      <c r="FEA4" s="484"/>
      <c r="FEB4" s="484"/>
      <c r="FEC4" s="484"/>
      <c r="FED4" s="484"/>
      <c r="FEE4" s="484"/>
      <c r="FEF4" s="484"/>
      <c r="FEG4" s="484"/>
      <c r="FEH4" s="484"/>
      <c r="FEI4" s="484"/>
      <c r="FEJ4" s="484"/>
      <c r="FEK4" s="484"/>
      <c r="FEL4" s="484"/>
      <c r="FEM4" s="484"/>
      <c r="FEN4" s="484"/>
      <c r="FEO4" s="484"/>
      <c r="FEP4" s="484"/>
      <c r="FEQ4" s="484"/>
      <c r="FER4" s="484"/>
      <c r="FES4" s="484"/>
      <c r="FET4" s="484"/>
      <c r="FEU4" s="484"/>
      <c r="FEV4" s="484"/>
      <c r="FEW4" s="484"/>
      <c r="FEX4" s="484"/>
      <c r="FEY4" s="484"/>
      <c r="FEZ4" s="484"/>
      <c r="FFA4" s="484"/>
      <c r="FFB4" s="484"/>
      <c r="FFC4" s="484"/>
      <c r="FFD4" s="484"/>
      <c r="FFE4" s="484"/>
      <c r="FFF4" s="484"/>
      <c r="FFG4" s="484"/>
      <c r="FFH4" s="484"/>
      <c r="FFI4" s="484"/>
      <c r="FFJ4" s="484"/>
      <c r="FFK4" s="484"/>
      <c r="FFL4" s="484"/>
      <c r="FFM4" s="484"/>
      <c r="FFN4" s="484"/>
      <c r="FFO4" s="484"/>
      <c r="FFP4" s="484"/>
      <c r="FFQ4" s="484"/>
      <c r="FFR4" s="484"/>
      <c r="FFS4" s="484"/>
      <c r="FFT4" s="484"/>
      <c r="FFU4" s="484"/>
      <c r="FFV4" s="484"/>
      <c r="FFW4" s="484"/>
      <c r="FFX4" s="484"/>
      <c r="FFY4" s="484"/>
      <c r="FFZ4" s="484"/>
      <c r="FGA4" s="484"/>
      <c r="FGB4" s="484"/>
      <c r="FGC4" s="484"/>
      <c r="FGD4" s="484"/>
      <c r="FGE4" s="484"/>
      <c r="FGF4" s="484"/>
      <c r="FGG4" s="484"/>
      <c r="FGH4" s="484"/>
      <c r="FGI4" s="484"/>
      <c r="FGJ4" s="484"/>
      <c r="FGK4" s="484"/>
      <c r="FGL4" s="484"/>
      <c r="FGM4" s="484"/>
      <c r="FGN4" s="484"/>
      <c r="FGO4" s="484"/>
      <c r="FGP4" s="484"/>
      <c r="FGQ4" s="484"/>
      <c r="FGR4" s="484"/>
      <c r="FGS4" s="484"/>
      <c r="FGT4" s="484"/>
      <c r="FGU4" s="484"/>
      <c r="FGV4" s="484"/>
      <c r="FGW4" s="484"/>
      <c r="FGX4" s="484"/>
      <c r="FGY4" s="484"/>
      <c r="FGZ4" s="484"/>
      <c r="FHA4" s="484"/>
      <c r="FHB4" s="484"/>
      <c r="FHC4" s="484"/>
      <c r="FHD4" s="484"/>
      <c r="FHE4" s="484"/>
      <c r="FHF4" s="484"/>
      <c r="FHG4" s="484"/>
      <c r="FHH4" s="484"/>
      <c r="FHI4" s="484"/>
      <c r="FHJ4" s="484"/>
      <c r="FHK4" s="484"/>
      <c r="FHL4" s="484"/>
      <c r="FHM4" s="484"/>
      <c r="FHN4" s="484"/>
      <c r="FHO4" s="484"/>
      <c r="FHP4" s="484"/>
      <c r="FHQ4" s="484"/>
      <c r="FHR4" s="484"/>
      <c r="FHS4" s="484"/>
      <c r="FHT4" s="484"/>
      <c r="FHU4" s="484"/>
      <c r="FHV4" s="484"/>
      <c r="FHW4" s="484"/>
      <c r="FHX4" s="484"/>
      <c r="FHY4" s="484"/>
      <c r="FHZ4" s="484"/>
      <c r="FIA4" s="484"/>
      <c r="FIB4" s="484"/>
      <c r="FIC4" s="484"/>
      <c r="FID4" s="484"/>
      <c r="FIE4" s="484"/>
      <c r="FIF4" s="484"/>
      <c r="FIG4" s="484"/>
      <c r="FIH4" s="484"/>
      <c r="FII4" s="484"/>
      <c r="FIJ4" s="484"/>
      <c r="FIK4" s="484"/>
      <c r="FIL4" s="484"/>
      <c r="FIM4" s="484"/>
      <c r="FIN4" s="484"/>
      <c r="FIO4" s="484"/>
      <c r="FIP4" s="484"/>
      <c r="FIQ4" s="484"/>
      <c r="FIR4" s="484"/>
      <c r="FIS4" s="484"/>
      <c r="FIT4" s="484"/>
      <c r="FIU4" s="484"/>
      <c r="FIV4" s="484"/>
      <c r="FIW4" s="484"/>
      <c r="FIX4" s="484"/>
      <c r="FIY4" s="484"/>
      <c r="FIZ4" s="484"/>
      <c r="FJA4" s="484"/>
      <c r="FJB4" s="484"/>
      <c r="FJC4" s="484"/>
      <c r="FJD4" s="484"/>
      <c r="FJE4" s="484"/>
      <c r="FJF4" s="484"/>
      <c r="FJG4" s="484"/>
      <c r="FJH4" s="484"/>
      <c r="FJI4" s="484"/>
      <c r="FJJ4" s="484"/>
      <c r="FJK4" s="484"/>
      <c r="FJL4" s="484"/>
      <c r="FJM4" s="484"/>
      <c r="FJN4" s="484"/>
      <c r="FJO4" s="484"/>
      <c r="FJP4" s="484"/>
      <c r="FJQ4" s="484"/>
      <c r="FJR4" s="484"/>
      <c r="FJS4" s="484"/>
      <c r="FJT4" s="484"/>
      <c r="FJU4" s="484"/>
      <c r="FJV4" s="484"/>
      <c r="FJW4" s="484"/>
      <c r="FJX4" s="484"/>
      <c r="FJY4" s="484"/>
      <c r="FJZ4" s="484"/>
      <c r="FKA4" s="484"/>
      <c r="FKB4" s="484"/>
      <c r="FKC4" s="484"/>
      <c r="FKD4" s="484"/>
      <c r="FKE4" s="484"/>
      <c r="FKF4" s="484"/>
      <c r="FKG4" s="484"/>
      <c r="FKH4" s="484"/>
      <c r="FKI4" s="484"/>
      <c r="FKJ4" s="484"/>
      <c r="FKK4" s="484"/>
      <c r="FKL4" s="484"/>
      <c r="FKM4" s="484"/>
      <c r="FKN4" s="484"/>
      <c r="FKO4" s="484"/>
      <c r="FKP4" s="484"/>
      <c r="FKQ4" s="484"/>
      <c r="FKR4" s="484"/>
      <c r="FKS4" s="484"/>
      <c r="FKT4" s="484"/>
      <c r="FKU4" s="484"/>
      <c r="FKV4" s="484"/>
      <c r="FKW4" s="484"/>
      <c r="FKX4" s="484"/>
      <c r="FKY4" s="484"/>
      <c r="FKZ4" s="484"/>
      <c r="FLA4" s="484"/>
      <c r="FLB4" s="484"/>
      <c r="FLC4" s="484"/>
      <c r="FLD4" s="484"/>
      <c r="FLE4" s="484"/>
      <c r="FLF4" s="484"/>
      <c r="FLG4" s="484"/>
      <c r="FLH4" s="484"/>
      <c r="FLI4" s="484"/>
      <c r="FLJ4" s="484"/>
      <c r="FLK4" s="484"/>
      <c r="FLL4" s="484"/>
      <c r="FLM4" s="484"/>
      <c r="FLN4" s="484"/>
      <c r="FLO4" s="484"/>
      <c r="FLP4" s="484"/>
      <c r="FLQ4" s="484"/>
      <c r="FLR4" s="484"/>
      <c r="FLS4" s="484"/>
      <c r="FLT4" s="484"/>
      <c r="FLU4" s="484"/>
      <c r="FLV4" s="484"/>
      <c r="FLW4" s="484"/>
      <c r="FLX4" s="484"/>
      <c r="FLY4" s="484"/>
      <c r="FLZ4" s="484"/>
      <c r="FMA4" s="484"/>
      <c r="FMB4" s="484"/>
      <c r="FMC4" s="484"/>
      <c r="FMD4" s="484"/>
      <c r="FME4" s="484"/>
      <c r="FMF4" s="484"/>
      <c r="FMG4" s="484"/>
      <c r="FMH4" s="484"/>
      <c r="FMI4" s="484"/>
      <c r="FMJ4" s="484"/>
      <c r="FMK4" s="484"/>
      <c r="FML4" s="484"/>
      <c r="FMM4" s="484"/>
      <c r="FMN4" s="484"/>
      <c r="FMO4" s="484"/>
      <c r="FMP4" s="484"/>
      <c r="FMQ4" s="484"/>
      <c r="FMR4" s="484"/>
      <c r="FMS4" s="484"/>
      <c r="FMT4" s="484"/>
      <c r="FMU4" s="484"/>
      <c r="FMV4" s="484"/>
      <c r="FMW4" s="484"/>
      <c r="FMX4" s="484"/>
      <c r="FMY4" s="484"/>
      <c r="FMZ4" s="484"/>
      <c r="FNA4" s="484"/>
      <c r="FNB4" s="484"/>
      <c r="FNC4" s="484"/>
      <c r="FND4" s="484"/>
      <c r="FNE4" s="484"/>
      <c r="FNF4" s="484"/>
      <c r="FNG4" s="484"/>
      <c r="FNH4" s="484"/>
      <c r="FNI4" s="484"/>
      <c r="FNJ4" s="484"/>
      <c r="FNK4" s="484"/>
      <c r="FNL4" s="484"/>
      <c r="FNM4" s="484"/>
      <c r="FNN4" s="484"/>
      <c r="FNO4" s="484"/>
      <c r="FNP4" s="484"/>
      <c r="FNQ4" s="484"/>
      <c r="FNR4" s="484"/>
      <c r="FNS4" s="484"/>
      <c r="FNT4" s="484"/>
      <c r="FNU4" s="484"/>
      <c r="FNV4" s="484"/>
      <c r="FNW4" s="484"/>
      <c r="FNX4" s="484"/>
      <c r="FNY4" s="484"/>
      <c r="FNZ4" s="484"/>
      <c r="FOA4" s="484"/>
      <c r="FOB4" s="484"/>
      <c r="FOC4" s="484"/>
      <c r="FOD4" s="484"/>
      <c r="FOE4" s="484"/>
      <c r="FOF4" s="484"/>
      <c r="FOG4" s="484"/>
      <c r="FOH4" s="484"/>
      <c r="FOI4" s="484"/>
      <c r="FOJ4" s="484"/>
      <c r="FOK4" s="484"/>
      <c r="FOL4" s="484"/>
      <c r="FOM4" s="484"/>
      <c r="FON4" s="484"/>
      <c r="FOO4" s="484"/>
      <c r="FOP4" s="484"/>
      <c r="FOQ4" s="484"/>
      <c r="FOR4" s="484"/>
      <c r="FOS4" s="484"/>
      <c r="FOT4" s="484"/>
      <c r="FOU4" s="484"/>
      <c r="FOV4" s="484"/>
      <c r="FOW4" s="484"/>
      <c r="FOX4" s="484"/>
      <c r="FOY4" s="484"/>
      <c r="FOZ4" s="484"/>
      <c r="FPA4" s="484"/>
      <c r="FPB4" s="484"/>
      <c r="FPC4" s="484"/>
      <c r="FPD4" s="484"/>
      <c r="FPE4" s="484"/>
      <c r="FPF4" s="484"/>
      <c r="FPG4" s="484"/>
      <c r="FPH4" s="484"/>
      <c r="FPI4" s="484"/>
      <c r="FPJ4" s="484"/>
      <c r="FPK4" s="484"/>
      <c r="FPL4" s="484"/>
      <c r="FPM4" s="484"/>
      <c r="FPN4" s="484"/>
      <c r="FPO4" s="484"/>
      <c r="FPP4" s="484"/>
      <c r="FPQ4" s="484"/>
      <c r="FPR4" s="484"/>
      <c r="FPS4" s="484"/>
      <c r="FPT4" s="484"/>
      <c r="FPU4" s="484"/>
      <c r="FPV4" s="484"/>
      <c r="FPW4" s="484"/>
      <c r="FPX4" s="484"/>
      <c r="FPY4" s="484"/>
      <c r="FPZ4" s="484"/>
      <c r="FQA4" s="484"/>
      <c r="FQB4" s="484"/>
      <c r="FQC4" s="484"/>
      <c r="FQD4" s="484"/>
      <c r="FQE4" s="484"/>
      <c r="FQF4" s="484"/>
      <c r="FQG4" s="484"/>
      <c r="FQH4" s="484"/>
      <c r="FQI4" s="484"/>
      <c r="FQJ4" s="484"/>
      <c r="FQK4" s="484"/>
      <c r="FQL4" s="484"/>
      <c r="FQM4" s="484"/>
      <c r="FQN4" s="484"/>
      <c r="FQO4" s="484"/>
      <c r="FQP4" s="484"/>
      <c r="FQQ4" s="484"/>
      <c r="FQR4" s="484"/>
      <c r="FQS4" s="484"/>
      <c r="FQT4" s="484"/>
      <c r="FQU4" s="484"/>
      <c r="FQV4" s="484"/>
      <c r="FQW4" s="484"/>
      <c r="FQX4" s="484"/>
      <c r="FQY4" s="484"/>
      <c r="FQZ4" s="484"/>
      <c r="FRA4" s="484"/>
      <c r="FRB4" s="484"/>
      <c r="FRC4" s="484"/>
      <c r="FRD4" s="484"/>
      <c r="FRE4" s="484"/>
      <c r="FRF4" s="484"/>
      <c r="FRG4" s="484"/>
      <c r="FRH4" s="484"/>
      <c r="FRI4" s="484"/>
      <c r="FRJ4" s="484"/>
      <c r="FRK4" s="484"/>
      <c r="FRL4" s="484"/>
      <c r="FRM4" s="484"/>
      <c r="FRN4" s="484"/>
      <c r="FRO4" s="484"/>
      <c r="FRP4" s="484"/>
      <c r="FRQ4" s="484"/>
      <c r="FRR4" s="484"/>
      <c r="FRS4" s="484"/>
      <c r="FRT4" s="484"/>
      <c r="FRU4" s="484"/>
      <c r="FRV4" s="484"/>
      <c r="FRW4" s="484"/>
      <c r="FRX4" s="484"/>
      <c r="FRY4" s="484"/>
      <c r="FRZ4" s="484"/>
      <c r="FSA4" s="484"/>
      <c r="FSB4" s="484"/>
      <c r="FSC4" s="484"/>
      <c r="FSD4" s="484"/>
      <c r="FSE4" s="484"/>
      <c r="FSF4" s="484"/>
      <c r="FSG4" s="484"/>
      <c r="FSH4" s="484"/>
      <c r="FSI4" s="484"/>
      <c r="FSJ4" s="484"/>
      <c r="FSK4" s="484"/>
      <c r="FSL4" s="484"/>
      <c r="FSM4" s="484"/>
      <c r="FSN4" s="484"/>
      <c r="FSO4" s="484"/>
      <c r="FSP4" s="484"/>
      <c r="FSQ4" s="484"/>
      <c r="FSR4" s="484"/>
      <c r="FSS4" s="484"/>
      <c r="FST4" s="484"/>
      <c r="FSU4" s="484"/>
      <c r="FSV4" s="484"/>
      <c r="FSW4" s="484"/>
      <c r="FSX4" s="484"/>
      <c r="FSY4" s="484"/>
      <c r="FSZ4" s="484"/>
      <c r="FTA4" s="484"/>
      <c r="FTB4" s="484"/>
      <c r="FTC4" s="484"/>
      <c r="FTD4" s="484"/>
      <c r="FTE4" s="484"/>
      <c r="FTF4" s="484"/>
      <c r="FTG4" s="484"/>
      <c r="FTH4" s="484"/>
      <c r="FTI4" s="484"/>
      <c r="FTJ4" s="484"/>
      <c r="FTK4" s="484"/>
      <c r="FTL4" s="484"/>
      <c r="FTM4" s="484"/>
      <c r="FTN4" s="484"/>
      <c r="FTO4" s="484"/>
      <c r="FTP4" s="484"/>
      <c r="FTQ4" s="484"/>
      <c r="FTR4" s="484"/>
      <c r="FTS4" s="484"/>
      <c r="FTT4" s="484"/>
      <c r="FTU4" s="484"/>
      <c r="FTV4" s="484"/>
      <c r="FTW4" s="484"/>
      <c r="FTX4" s="484"/>
      <c r="FTY4" s="484"/>
      <c r="FTZ4" s="484"/>
      <c r="FUA4" s="484"/>
      <c r="FUB4" s="484"/>
      <c r="FUC4" s="484"/>
      <c r="FUD4" s="484"/>
      <c r="FUE4" s="484"/>
      <c r="FUF4" s="484"/>
      <c r="FUG4" s="484"/>
      <c r="FUH4" s="484"/>
      <c r="FUI4" s="484"/>
      <c r="FUJ4" s="484"/>
      <c r="FUK4" s="484"/>
      <c r="FUL4" s="484"/>
      <c r="FUM4" s="484"/>
      <c r="FUN4" s="484"/>
      <c r="FUO4" s="484"/>
      <c r="FUP4" s="484"/>
      <c r="FUQ4" s="484"/>
      <c r="FUR4" s="484"/>
      <c r="FUS4" s="484"/>
      <c r="FUT4" s="484"/>
      <c r="FUU4" s="484"/>
      <c r="FUV4" s="484"/>
      <c r="FUW4" s="484"/>
      <c r="FUX4" s="484"/>
      <c r="FUY4" s="484"/>
      <c r="FUZ4" s="484"/>
      <c r="FVA4" s="484"/>
      <c r="FVB4" s="484"/>
      <c r="FVC4" s="484"/>
      <c r="FVD4" s="484"/>
      <c r="FVE4" s="484"/>
      <c r="FVF4" s="484"/>
      <c r="FVG4" s="484"/>
      <c r="FVH4" s="484"/>
      <c r="FVI4" s="484"/>
      <c r="FVJ4" s="484"/>
      <c r="FVK4" s="484"/>
      <c r="FVL4" s="484"/>
      <c r="FVM4" s="484"/>
      <c r="FVN4" s="484"/>
      <c r="FVO4" s="484"/>
      <c r="FVP4" s="484"/>
      <c r="FVQ4" s="484"/>
      <c r="FVR4" s="484"/>
      <c r="FVS4" s="484"/>
      <c r="FVT4" s="484"/>
      <c r="FVU4" s="484"/>
      <c r="FVV4" s="484"/>
      <c r="FVW4" s="484"/>
      <c r="FVX4" s="484"/>
      <c r="FVY4" s="484"/>
      <c r="FVZ4" s="484"/>
      <c r="FWA4" s="484"/>
      <c r="FWB4" s="484"/>
      <c r="FWC4" s="484"/>
      <c r="FWD4" s="484"/>
      <c r="FWE4" s="484"/>
      <c r="FWF4" s="484"/>
      <c r="FWG4" s="484"/>
      <c r="FWH4" s="484"/>
      <c r="FWI4" s="484"/>
      <c r="FWJ4" s="484"/>
      <c r="FWK4" s="484"/>
      <c r="FWL4" s="484"/>
      <c r="FWM4" s="484"/>
      <c r="FWN4" s="484"/>
      <c r="FWO4" s="484"/>
      <c r="FWP4" s="484"/>
      <c r="FWQ4" s="484"/>
      <c r="FWR4" s="484"/>
      <c r="FWS4" s="484"/>
      <c r="FWT4" s="484"/>
      <c r="FWU4" s="484"/>
      <c r="FWV4" s="484"/>
      <c r="FWW4" s="484"/>
      <c r="FWX4" s="484"/>
      <c r="FWY4" s="484"/>
      <c r="FWZ4" s="484"/>
      <c r="FXA4" s="484"/>
      <c r="FXB4" s="484"/>
      <c r="FXC4" s="484"/>
      <c r="FXD4" s="484"/>
      <c r="FXE4" s="484"/>
      <c r="FXF4" s="484"/>
      <c r="FXG4" s="484"/>
      <c r="FXH4" s="484"/>
      <c r="FXI4" s="484"/>
      <c r="FXJ4" s="484"/>
      <c r="FXK4" s="484"/>
      <c r="FXL4" s="484"/>
      <c r="FXM4" s="484"/>
      <c r="FXN4" s="484"/>
      <c r="FXO4" s="484"/>
      <c r="FXP4" s="484"/>
      <c r="FXQ4" s="484"/>
      <c r="FXR4" s="484"/>
      <c r="FXS4" s="484"/>
      <c r="FXT4" s="484"/>
      <c r="FXU4" s="484"/>
      <c r="FXV4" s="484"/>
      <c r="FXW4" s="484"/>
      <c r="FXX4" s="484"/>
      <c r="FXY4" s="484"/>
      <c r="FXZ4" s="484"/>
      <c r="FYA4" s="484"/>
      <c r="FYB4" s="484"/>
      <c r="FYC4" s="484"/>
      <c r="FYD4" s="484"/>
      <c r="FYE4" s="484"/>
      <c r="FYF4" s="484"/>
      <c r="FYG4" s="484"/>
      <c r="FYH4" s="484"/>
      <c r="FYI4" s="484"/>
      <c r="FYJ4" s="484"/>
      <c r="FYK4" s="484"/>
      <c r="FYL4" s="484"/>
      <c r="FYM4" s="484"/>
      <c r="FYN4" s="484"/>
      <c r="FYO4" s="484"/>
      <c r="FYP4" s="484"/>
      <c r="FYQ4" s="484"/>
      <c r="FYR4" s="484"/>
      <c r="FYS4" s="484"/>
      <c r="FYT4" s="484"/>
      <c r="FYU4" s="484"/>
      <c r="FYV4" s="484"/>
      <c r="FYW4" s="484"/>
      <c r="FYX4" s="484"/>
      <c r="FYY4" s="484"/>
      <c r="FYZ4" s="484"/>
      <c r="FZA4" s="484"/>
      <c r="FZB4" s="484"/>
      <c r="FZC4" s="484"/>
      <c r="FZD4" s="484"/>
      <c r="FZE4" s="484"/>
      <c r="FZF4" s="484"/>
      <c r="FZG4" s="484"/>
      <c r="FZH4" s="484"/>
      <c r="FZI4" s="484"/>
      <c r="FZJ4" s="484"/>
      <c r="FZK4" s="484"/>
      <c r="FZL4" s="484"/>
      <c r="FZM4" s="484"/>
      <c r="FZN4" s="484"/>
      <c r="FZO4" s="484"/>
      <c r="FZP4" s="484"/>
      <c r="FZQ4" s="484"/>
      <c r="FZR4" s="484"/>
      <c r="FZS4" s="484"/>
      <c r="FZT4" s="484"/>
      <c r="FZU4" s="484"/>
      <c r="FZV4" s="484"/>
      <c r="FZW4" s="484"/>
      <c r="FZX4" s="484"/>
      <c r="FZY4" s="484"/>
      <c r="FZZ4" s="484"/>
      <c r="GAA4" s="484"/>
      <c r="GAB4" s="484"/>
      <c r="GAC4" s="484"/>
      <c r="GAD4" s="484"/>
      <c r="GAE4" s="484"/>
      <c r="GAF4" s="484"/>
      <c r="GAG4" s="484"/>
      <c r="GAH4" s="484"/>
      <c r="GAI4" s="484"/>
      <c r="GAJ4" s="484"/>
      <c r="GAK4" s="484"/>
      <c r="GAL4" s="484"/>
      <c r="GAM4" s="484"/>
      <c r="GAN4" s="484"/>
      <c r="GAO4" s="484"/>
      <c r="GAP4" s="484"/>
      <c r="GAQ4" s="484"/>
      <c r="GAR4" s="484"/>
      <c r="GAS4" s="484"/>
      <c r="GAT4" s="484"/>
      <c r="GAU4" s="484"/>
      <c r="GAV4" s="484"/>
      <c r="GAW4" s="484"/>
      <c r="GAX4" s="484"/>
      <c r="GAY4" s="484"/>
      <c r="GAZ4" s="484"/>
      <c r="GBA4" s="484"/>
      <c r="GBB4" s="484"/>
      <c r="GBC4" s="484"/>
      <c r="GBD4" s="484"/>
      <c r="GBE4" s="484"/>
      <c r="GBF4" s="484"/>
      <c r="GBG4" s="484"/>
      <c r="GBH4" s="484"/>
      <c r="GBI4" s="484"/>
      <c r="GBJ4" s="484"/>
      <c r="GBK4" s="484"/>
      <c r="GBL4" s="484"/>
      <c r="GBM4" s="484"/>
      <c r="GBN4" s="484"/>
      <c r="GBO4" s="484"/>
      <c r="GBP4" s="484"/>
      <c r="GBQ4" s="484"/>
      <c r="GBR4" s="484"/>
      <c r="GBS4" s="484"/>
      <c r="GBT4" s="484"/>
      <c r="GBU4" s="484"/>
      <c r="GBV4" s="484"/>
      <c r="GBW4" s="484"/>
      <c r="GBX4" s="484"/>
      <c r="GBY4" s="484"/>
      <c r="GBZ4" s="484"/>
      <c r="GCA4" s="484"/>
      <c r="GCB4" s="484"/>
      <c r="GCC4" s="484"/>
      <c r="GCD4" s="484"/>
      <c r="GCE4" s="484"/>
      <c r="GCF4" s="484"/>
      <c r="GCG4" s="484"/>
      <c r="GCH4" s="484"/>
      <c r="GCI4" s="484"/>
      <c r="GCJ4" s="484"/>
      <c r="GCK4" s="484"/>
      <c r="GCL4" s="484"/>
      <c r="GCM4" s="484"/>
      <c r="GCN4" s="484"/>
      <c r="GCO4" s="484"/>
      <c r="GCP4" s="484"/>
      <c r="GCQ4" s="484"/>
      <c r="GCR4" s="484"/>
      <c r="GCS4" s="484"/>
      <c r="GCT4" s="484"/>
      <c r="GCU4" s="484"/>
      <c r="GCV4" s="484"/>
      <c r="GCW4" s="484"/>
      <c r="GCX4" s="484"/>
      <c r="GCY4" s="484"/>
      <c r="GCZ4" s="484"/>
      <c r="GDA4" s="484"/>
      <c r="GDB4" s="484"/>
      <c r="GDC4" s="484"/>
      <c r="GDD4" s="484"/>
      <c r="GDE4" s="484"/>
      <c r="GDF4" s="484"/>
      <c r="GDG4" s="484"/>
      <c r="GDH4" s="484"/>
      <c r="GDI4" s="484"/>
      <c r="GDJ4" s="484"/>
      <c r="GDK4" s="484"/>
      <c r="GDL4" s="484"/>
      <c r="GDM4" s="484"/>
      <c r="GDN4" s="484"/>
      <c r="GDO4" s="484"/>
      <c r="GDP4" s="484"/>
      <c r="GDQ4" s="484"/>
      <c r="GDR4" s="484"/>
      <c r="GDS4" s="484"/>
      <c r="GDT4" s="484"/>
      <c r="GDU4" s="484"/>
      <c r="GDV4" s="484"/>
      <c r="GDW4" s="484"/>
      <c r="GDX4" s="484"/>
      <c r="GDY4" s="484"/>
      <c r="GDZ4" s="484"/>
      <c r="GEA4" s="484"/>
      <c r="GEB4" s="484"/>
      <c r="GEC4" s="484"/>
      <c r="GED4" s="484"/>
      <c r="GEE4" s="484"/>
      <c r="GEF4" s="484"/>
      <c r="GEG4" s="484"/>
      <c r="GEH4" s="484"/>
      <c r="GEI4" s="484"/>
      <c r="GEJ4" s="484"/>
      <c r="GEK4" s="484"/>
      <c r="GEL4" s="484"/>
      <c r="GEM4" s="484"/>
      <c r="GEN4" s="484"/>
      <c r="GEO4" s="484"/>
      <c r="GEP4" s="484"/>
      <c r="GEQ4" s="484"/>
      <c r="GER4" s="484"/>
      <c r="GES4" s="484"/>
      <c r="GET4" s="484"/>
      <c r="GEU4" s="484"/>
      <c r="GEV4" s="484"/>
      <c r="GEW4" s="484"/>
      <c r="GEX4" s="484"/>
      <c r="GEY4" s="484"/>
      <c r="GEZ4" s="484"/>
      <c r="GFA4" s="484"/>
      <c r="GFB4" s="484"/>
      <c r="GFC4" s="484"/>
      <c r="GFD4" s="484"/>
      <c r="GFE4" s="484"/>
      <c r="GFF4" s="484"/>
      <c r="GFG4" s="484"/>
      <c r="GFH4" s="484"/>
      <c r="GFI4" s="484"/>
      <c r="GFJ4" s="484"/>
      <c r="GFK4" s="484"/>
      <c r="GFL4" s="484"/>
      <c r="GFM4" s="484"/>
      <c r="GFN4" s="484"/>
      <c r="GFO4" s="484"/>
      <c r="GFP4" s="484"/>
      <c r="GFQ4" s="484"/>
      <c r="GFR4" s="484"/>
      <c r="GFS4" s="484"/>
      <c r="GFT4" s="484"/>
      <c r="GFU4" s="484"/>
      <c r="GFV4" s="484"/>
      <c r="GFW4" s="484"/>
      <c r="GFX4" s="484"/>
      <c r="GFY4" s="484"/>
      <c r="GFZ4" s="484"/>
      <c r="GGA4" s="484"/>
      <c r="GGB4" s="484"/>
      <c r="GGC4" s="484"/>
      <c r="GGD4" s="484"/>
      <c r="GGE4" s="484"/>
      <c r="GGF4" s="484"/>
      <c r="GGG4" s="484"/>
      <c r="GGH4" s="484"/>
      <c r="GGI4" s="484"/>
      <c r="GGJ4" s="484"/>
      <c r="GGK4" s="484"/>
      <c r="GGL4" s="484"/>
      <c r="GGM4" s="484"/>
      <c r="GGN4" s="484"/>
      <c r="GGO4" s="484"/>
      <c r="GGP4" s="484"/>
      <c r="GGQ4" s="484"/>
      <c r="GGR4" s="484"/>
      <c r="GGS4" s="484"/>
      <c r="GGT4" s="484"/>
      <c r="GGU4" s="484"/>
      <c r="GGV4" s="484"/>
      <c r="GGW4" s="484"/>
      <c r="GGX4" s="484"/>
      <c r="GGY4" s="484"/>
      <c r="GGZ4" s="484"/>
      <c r="GHA4" s="484"/>
      <c r="GHB4" s="484"/>
      <c r="GHC4" s="484"/>
      <c r="GHD4" s="484"/>
      <c r="GHE4" s="484"/>
      <c r="GHF4" s="484"/>
      <c r="GHG4" s="484"/>
      <c r="GHH4" s="484"/>
      <c r="GHI4" s="484"/>
      <c r="GHJ4" s="484"/>
      <c r="GHK4" s="484"/>
      <c r="GHL4" s="484"/>
      <c r="GHM4" s="484"/>
      <c r="GHN4" s="484"/>
      <c r="GHO4" s="484"/>
      <c r="GHP4" s="484"/>
      <c r="GHQ4" s="484"/>
      <c r="GHR4" s="484"/>
      <c r="GHS4" s="484"/>
      <c r="GHT4" s="484"/>
      <c r="GHU4" s="484"/>
      <c r="GHV4" s="484"/>
      <c r="GHW4" s="484"/>
      <c r="GHX4" s="484"/>
      <c r="GHY4" s="484"/>
      <c r="GHZ4" s="484"/>
      <c r="GIA4" s="484"/>
      <c r="GIB4" s="484"/>
      <c r="GIC4" s="484"/>
      <c r="GID4" s="484"/>
      <c r="GIE4" s="484"/>
      <c r="GIF4" s="484"/>
      <c r="GIG4" s="484"/>
      <c r="GIH4" s="484"/>
      <c r="GII4" s="484"/>
      <c r="GIJ4" s="484"/>
      <c r="GIK4" s="484"/>
      <c r="GIL4" s="484"/>
      <c r="GIM4" s="484"/>
      <c r="GIN4" s="484"/>
      <c r="GIO4" s="484"/>
      <c r="GIP4" s="484"/>
      <c r="GIQ4" s="484"/>
      <c r="GIR4" s="484"/>
      <c r="GIS4" s="484"/>
      <c r="GIT4" s="484"/>
      <c r="GIU4" s="484"/>
      <c r="GIV4" s="484"/>
      <c r="GIW4" s="484"/>
      <c r="GIX4" s="484"/>
      <c r="GIY4" s="484"/>
      <c r="GIZ4" s="484"/>
      <c r="GJA4" s="484"/>
      <c r="GJB4" s="484"/>
      <c r="GJC4" s="484"/>
      <c r="GJD4" s="484"/>
      <c r="GJE4" s="484"/>
      <c r="GJF4" s="484"/>
      <c r="GJG4" s="484"/>
      <c r="GJH4" s="484"/>
      <c r="GJI4" s="484"/>
      <c r="GJJ4" s="484"/>
      <c r="GJK4" s="484"/>
      <c r="GJL4" s="484"/>
      <c r="GJM4" s="484"/>
      <c r="GJN4" s="484"/>
      <c r="GJO4" s="484"/>
      <c r="GJP4" s="484"/>
      <c r="GJQ4" s="484"/>
      <c r="GJR4" s="484"/>
      <c r="GJS4" s="484"/>
      <c r="GJT4" s="484"/>
      <c r="GJU4" s="484"/>
      <c r="GJV4" s="484"/>
      <c r="GJW4" s="484"/>
      <c r="GJX4" s="484"/>
      <c r="GJY4" s="484"/>
      <c r="GJZ4" s="484"/>
      <c r="GKA4" s="484"/>
      <c r="GKB4" s="484"/>
      <c r="GKC4" s="484"/>
      <c r="GKD4" s="484"/>
      <c r="GKE4" s="484"/>
      <c r="GKF4" s="484"/>
      <c r="GKG4" s="484"/>
      <c r="GKH4" s="484"/>
      <c r="GKI4" s="484"/>
      <c r="GKJ4" s="484"/>
      <c r="GKK4" s="484"/>
      <c r="GKL4" s="484"/>
      <c r="GKM4" s="484"/>
      <c r="GKN4" s="484"/>
      <c r="GKO4" s="484"/>
      <c r="GKP4" s="484"/>
      <c r="GKQ4" s="484"/>
      <c r="GKR4" s="484"/>
      <c r="GKS4" s="484"/>
      <c r="GKT4" s="484"/>
      <c r="GKU4" s="484"/>
      <c r="GKV4" s="484"/>
      <c r="GKW4" s="484"/>
      <c r="GKX4" s="484"/>
      <c r="GKY4" s="484"/>
      <c r="GKZ4" s="484"/>
      <c r="GLA4" s="484"/>
      <c r="GLB4" s="484"/>
      <c r="GLC4" s="484"/>
      <c r="GLD4" s="484"/>
      <c r="GLE4" s="484"/>
      <c r="GLF4" s="484"/>
      <c r="GLG4" s="484"/>
      <c r="GLH4" s="484"/>
      <c r="GLI4" s="484"/>
      <c r="GLJ4" s="484"/>
      <c r="GLK4" s="484"/>
      <c r="GLL4" s="484"/>
      <c r="GLM4" s="484"/>
      <c r="GLN4" s="484"/>
      <c r="GLO4" s="484"/>
      <c r="GLP4" s="484"/>
      <c r="GLQ4" s="484"/>
      <c r="GLR4" s="484"/>
      <c r="GLS4" s="484"/>
      <c r="GLT4" s="484"/>
      <c r="GLU4" s="484"/>
      <c r="GLV4" s="484"/>
      <c r="GLW4" s="484"/>
      <c r="GLX4" s="484"/>
      <c r="GLY4" s="484"/>
      <c r="GLZ4" s="484"/>
      <c r="GMA4" s="484"/>
      <c r="GMB4" s="484"/>
      <c r="GMC4" s="484"/>
      <c r="GMD4" s="484"/>
      <c r="GME4" s="484"/>
      <c r="GMF4" s="484"/>
      <c r="GMG4" s="484"/>
      <c r="GMH4" s="484"/>
      <c r="GMI4" s="484"/>
      <c r="GMJ4" s="484"/>
      <c r="GMK4" s="484"/>
      <c r="GML4" s="484"/>
      <c r="GMM4" s="484"/>
      <c r="GMN4" s="484"/>
      <c r="GMO4" s="484"/>
      <c r="GMP4" s="484"/>
      <c r="GMQ4" s="484"/>
      <c r="GMR4" s="484"/>
      <c r="GMS4" s="484"/>
      <c r="GMT4" s="484"/>
      <c r="GMU4" s="484"/>
      <c r="GMV4" s="484"/>
      <c r="GMW4" s="484"/>
      <c r="GMX4" s="484"/>
      <c r="GMY4" s="484"/>
      <c r="GMZ4" s="484"/>
      <c r="GNA4" s="484"/>
      <c r="GNB4" s="484"/>
      <c r="GNC4" s="484"/>
      <c r="GND4" s="484"/>
      <c r="GNE4" s="484"/>
      <c r="GNF4" s="484"/>
      <c r="GNG4" s="484"/>
      <c r="GNH4" s="484"/>
      <c r="GNI4" s="484"/>
      <c r="GNJ4" s="484"/>
      <c r="GNK4" s="484"/>
      <c r="GNL4" s="484"/>
      <c r="GNM4" s="484"/>
      <c r="GNN4" s="484"/>
      <c r="GNO4" s="484"/>
      <c r="GNP4" s="484"/>
      <c r="GNQ4" s="484"/>
      <c r="GNR4" s="484"/>
      <c r="GNS4" s="484"/>
      <c r="GNT4" s="484"/>
      <c r="GNU4" s="484"/>
      <c r="GNV4" s="484"/>
      <c r="GNW4" s="484"/>
      <c r="GNX4" s="484"/>
      <c r="GNY4" s="484"/>
      <c r="GNZ4" s="484"/>
      <c r="GOA4" s="484"/>
      <c r="GOB4" s="484"/>
      <c r="GOC4" s="484"/>
      <c r="GOD4" s="484"/>
      <c r="GOE4" s="484"/>
      <c r="GOF4" s="484"/>
      <c r="GOG4" s="484"/>
      <c r="GOH4" s="484"/>
      <c r="GOI4" s="484"/>
      <c r="GOJ4" s="484"/>
      <c r="GOK4" s="484"/>
      <c r="GOL4" s="484"/>
      <c r="GOM4" s="484"/>
      <c r="GON4" s="484"/>
      <c r="GOO4" s="484"/>
      <c r="GOP4" s="484"/>
      <c r="GOQ4" s="484"/>
      <c r="GOR4" s="484"/>
      <c r="GOS4" s="484"/>
      <c r="GOT4" s="484"/>
      <c r="GOU4" s="484"/>
      <c r="GOV4" s="484"/>
      <c r="GOW4" s="484"/>
      <c r="GOX4" s="484"/>
      <c r="GOY4" s="484"/>
      <c r="GOZ4" s="484"/>
      <c r="GPA4" s="484"/>
      <c r="GPB4" s="484"/>
      <c r="GPC4" s="484"/>
      <c r="GPD4" s="484"/>
      <c r="GPE4" s="484"/>
      <c r="GPF4" s="484"/>
      <c r="GPG4" s="484"/>
      <c r="GPH4" s="484"/>
      <c r="GPI4" s="484"/>
      <c r="GPJ4" s="484"/>
      <c r="GPK4" s="484"/>
      <c r="GPL4" s="484"/>
      <c r="GPM4" s="484"/>
      <c r="GPN4" s="484"/>
      <c r="GPO4" s="484"/>
      <c r="GPP4" s="484"/>
      <c r="GPQ4" s="484"/>
      <c r="GPR4" s="484"/>
      <c r="GPS4" s="484"/>
      <c r="GPT4" s="484"/>
      <c r="GPU4" s="484"/>
      <c r="GPV4" s="484"/>
      <c r="GPW4" s="484"/>
      <c r="GPX4" s="484"/>
      <c r="GPY4" s="484"/>
      <c r="GPZ4" s="484"/>
      <c r="GQA4" s="484"/>
      <c r="GQB4" s="484"/>
      <c r="GQC4" s="484"/>
      <c r="GQD4" s="484"/>
      <c r="GQE4" s="484"/>
      <c r="GQF4" s="484"/>
      <c r="GQG4" s="484"/>
      <c r="GQH4" s="484"/>
      <c r="GQI4" s="484"/>
      <c r="GQJ4" s="484"/>
      <c r="GQK4" s="484"/>
      <c r="GQL4" s="484"/>
      <c r="GQM4" s="484"/>
      <c r="GQN4" s="484"/>
      <c r="GQO4" s="484"/>
      <c r="GQP4" s="484"/>
      <c r="GQQ4" s="484"/>
      <c r="GQR4" s="484"/>
      <c r="GQS4" s="484"/>
      <c r="GQT4" s="484"/>
      <c r="GQU4" s="484"/>
      <c r="GQV4" s="484"/>
      <c r="GQW4" s="484"/>
      <c r="GQX4" s="484"/>
      <c r="GQY4" s="484"/>
      <c r="GQZ4" s="484"/>
      <c r="GRA4" s="484"/>
      <c r="GRB4" s="484"/>
      <c r="GRC4" s="484"/>
      <c r="GRD4" s="484"/>
      <c r="GRE4" s="484"/>
      <c r="GRF4" s="484"/>
      <c r="GRG4" s="484"/>
      <c r="GRH4" s="484"/>
      <c r="GRI4" s="484"/>
      <c r="GRJ4" s="484"/>
      <c r="GRK4" s="484"/>
      <c r="GRL4" s="484"/>
      <c r="GRM4" s="484"/>
      <c r="GRN4" s="484"/>
      <c r="GRO4" s="484"/>
      <c r="GRP4" s="484"/>
      <c r="GRQ4" s="484"/>
      <c r="GRR4" s="484"/>
      <c r="GRS4" s="484"/>
      <c r="GRT4" s="484"/>
      <c r="GRU4" s="484"/>
      <c r="GRV4" s="484"/>
      <c r="GRW4" s="484"/>
      <c r="GRX4" s="484"/>
      <c r="GRY4" s="484"/>
      <c r="GRZ4" s="484"/>
      <c r="GSA4" s="484"/>
      <c r="GSB4" s="484"/>
      <c r="GSC4" s="484"/>
      <c r="GSD4" s="484"/>
      <c r="GSE4" s="484"/>
      <c r="GSF4" s="484"/>
      <c r="GSG4" s="484"/>
      <c r="GSH4" s="484"/>
      <c r="GSI4" s="484"/>
      <c r="GSJ4" s="484"/>
      <c r="GSK4" s="484"/>
      <c r="GSL4" s="484"/>
      <c r="GSM4" s="484"/>
      <c r="GSN4" s="484"/>
      <c r="GSO4" s="484"/>
      <c r="GSP4" s="484"/>
      <c r="GSQ4" s="484"/>
      <c r="GSR4" s="484"/>
      <c r="GSS4" s="484"/>
      <c r="GST4" s="484"/>
      <c r="GSU4" s="484"/>
      <c r="GSV4" s="484"/>
      <c r="GSW4" s="484"/>
      <c r="GSX4" s="484"/>
      <c r="GSY4" s="484"/>
      <c r="GSZ4" s="484"/>
      <c r="GTA4" s="484"/>
      <c r="GTB4" s="484"/>
      <c r="GTC4" s="484"/>
      <c r="GTD4" s="484"/>
      <c r="GTE4" s="484"/>
      <c r="GTF4" s="484"/>
      <c r="GTG4" s="484"/>
      <c r="GTH4" s="484"/>
      <c r="GTI4" s="484"/>
      <c r="GTJ4" s="484"/>
      <c r="GTK4" s="484"/>
      <c r="GTL4" s="484"/>
      <c r="GTM4" s="484"/>
      <c r="GTN4" s="484"/>
      <c r="GTO4" s="484"/>
      <c r="GTP4" s="484"/>
      <c r="GTQ4" s="484"/>
      <c r="GTR4" s="484"/>
      <c r="GTS4" s="484"/>
      <c r="GTT4" s="484"/>
      <c r="GTU4" s="484"/>
      <c r="GTV4" s="484"/>
      <c r="GTW4" s="484"/>
      <c r="GTX4" s="484"/>
      <c r="GTY4" s="484"/>
      <c r="GTZ4" s="484"/>
      <c r="GUA4" s="484"/>
      <c r="GUB4" s="484"/>
      <c r="GUC4" s="484"/>
      <c r="GUD4" s="484"/>
      <c r="GUE4" s="484"/>
      <c r="GUF4" s="484"/>
      <c r="GUG4" s="484"/>
      <c r="GUH4" s="484"/>
      <c r="GUI4" s="484"/>
      <c r="GUJ4" s="484"/>
      <c r="GUK4" s="484"/>
      <c r="GUL4" s="484"/>
      <c r="GUM4" s="484"/>
      <c r="GUN4" s="484"/>
      <c r="GUO4" s="484"/>
      <c r="GUP4" s="484"/>
      <c r="GUQ4" s="484"/>
      <c r="GUR4" s="484"/>
      <c r="GUS4" s="484"/>
      <c r="GUT4" s="484"/>
      <c r="GUU4" s="484"/>
      <c r="GUV4" s="484"/>
      <c r="GUW4" s="484"/>
      <c r="GUX4" s="484"/>
      <c r="GUY4" s="484"/>
      <c r="GUZ4" s="484"/>
      <c r="GVA4" s="484"/>
      <c r="GVB4" s="484"/>
      <c r="GVC4" s="484"/>
      <c r="GVD4" s="484"/>
      <c r="GVE4" s="484"/>
      <c r="GVF4" s="484"/>
      <c r="GVG4" s="484"/>
      <c r="GVH4" s="484"/>
      <c r="GVI4" s="484"/>
      <c r="GVJ4" s="484"/>
      <c r="GVK4" s="484"/>
      <c r="GVL4" s="484"/>
      <c r="GVM4" s="484"/>
      <c r="GVN4" s="484"/>
      <c r="GVO4" s="484"/>
      <c r="GVP4" s="484"/>
      <c r="GVQ4" s="484"/>
      <c r="GVR4" s="484"/>
      <c r="GVS4" s="484"/>
      <c r="GVT4" s="484"/>
      <c r="GVU4" s="484"/>
      <c r="GVV4" s="484"/>
      <c r="GVW4" s="484"/>
      <c r="GVX4" s="484"/>
      <c r="GVY4" s="484"/>
      <c r="GVZ4" s="484"/>
      <c r="GWA4" s="484"/>
      <c r="GWB4" s="484"/>
      <c r="GWC4" s="484"/>
      <c r="GWD4" s="484"/>
      <c r="GWE4" s="484"/>
      <c r="GWF4" s="484"/>
      <c r="GWG4" s="484"/>
      <c r="GWH4" s="484"/>
      <c r="GWI4" s="484"/>
      <c r="GWJ4" s="484"/>
      <c r="GWK4" s="484"/>
      <c r="GWL4" s="484"/>
      <c r="GWM4" s="484"/>
      <c r="GWN4" s="484"/>
      <c r="GWO4" s="484"/>
      <c r="GWP4" s="484"/>
      <c r="GWQ4" s="484"/>
      <c r="GWR4" s="484"/>
      <c r="GWS4" s="484"/>
      <c r="GWT4" s="484"/>
      <c r="GWU4" s="484"/>
      <c r="GWV4" s="484"/>
      <c r="GWW4" s="484"/>
      <c r="GWX4" s="484"/>
      <c r="GWY4" s="484"/>
      <c r="GWZ4" s="484"/>
      <c r="GXA4" s="484"/>
      <c r="GXB4" s="484"/>
      <c r="GXC4" s="484"/>
      <c r="GXD4" s="484"/>
      <c r="GXE4" s="484"/>
      <c r="GXF4" s="484"/>
      <c r="GXG4" s="484"/>
      <c r="GXH4" s="484"/>
      <c r="GXI4" s="484"/>
      <c r="GXJ4" s="484"/>
      <c r="GXK4" s="484"/>
      <c r="GXL4" s="484"/>
      <c r="GXM4" s="484"/>
      <c r="GXN4" s="484"/>
      <c r="GXO4" s="484"/>
      <c r="GXP4" s="484"/>
      <c r="GXQ4" s="484"/>
      <c r="GXR4" s="484"/>
      <c r="GXS4" s="484"/>
      <c r="GXT4" s="484"/>
      <c r="GXU4" s="484"/>
      <c r="GXV4" s="484"/>
      <c r="GXW4" s="484"/>
      <c r="GXX4" s="484"/>
      <c r="GXY4" s="484"/>
      <c r="GXZ4" s="484"/>
      <c r="GYA4" s="484"/>
      <c r="GYB4" s="484"/>
      <c r="GYC4" s="484"/>
      <c r="GYD4" s="484"/>
      <c r="GYE4" s="484"/>
      <c r="GYF4" s="484"/>
      <c r="GYG4" s="484"/>
      <c r="GYH4" s="484"/>
      <c r="GYI4" s="484"/>
      <c r="GYJ4" s="484"/>
      <c r="GYK4" s="484"/>
      <c r="GYL4" s="484"/>
      <c r="GYM4" s="484"/>
      <c r="GYN4" s="484"/>
      <c r="GYO4" s="484"/>
      <c r="GYP4" s="484"/>
      <c r="GYQ4" s="484"/>
      <c r="GYR4" s="484"/>
      <c r="GYS4" s="484"/>
      <c r="GYT4" s="484"/>
      <c r="GYU4" s="484"/>
      <c r="GYV4" s="484"/>
      <c r="GYW4" s="484"/>
      <c r="GYX4" s="484"/>
      <c r="GYY4" s="484"/>
      <c r="GYZ4" s="484"/>
      <c r="GZA4" s="484"/>
      <c r="GZB4" s="484"/>
      <c r="GZC4" s="484"/>
      <c r="GZD4" s="484"/>
      <c r="GZE4" s="484"/>
      <c r="GZF4" s="484"/>
      <c r="GZG4" s="484"/>
      <c r="GZH4" s="484"/>
      <c r="GZI4" s="484"/>
      <c r="GZJ4" s="484"/>
      <c r="GZK4" s="484"/>
      <c r="GZL4" s="484"/>
      <c r="GZM4" s="484"/>
      <c r="GZN4" s="484"/>
      <c r="GZO4" s="484"/>
      <c r="GZP4" s="484"/>
      <c r="GZQ4" s="484"/>
      <c r="GZR4" s="484"/>
      <c r="GZS4" s="484"/>
      <c r="GZT4" s="484"/>
      <c r="GZU4" s="484"/>
      <c r="GZV4" s="484"/>
      <c r="GZW4" s="484"/>
      <c r="GZX4" s="484"/>
      <c r="GZY4" s="484"/>
      <c r="GZZ4" s="484"/>
      <c r="HAA4" s="484"/>
      <c r="HAB4" s="484"/>
      <c r="HAC4" s="484"/>
      <c r="HAD4" s="484"/>
      <c r="HAE4" s="484"/>
      <c r="HAF4" s="484"/>
      <c r="HAG4" s="484"/>
      <c r="HAH4" s="484"/>
      <c r="HAI4" s="484"/>
      <c r="HAJ4" s="484"/>
      <c r="HAK4" s="484"/>
      <c r="HAL4" s="484"/>
      <c r="HAM4" s="484"/>
      <c r="HAN4" s="484"/>
      <c r="HAO4" s="484"/>
      <c r="HAP4" s="484"/>
      <c r="HAQ4" s="484"/>
      <c r="HAR4" s="484"/>
      <c r="HAS4" s="484"/>
      <c r="HAT4" s="484"/>
      <c r="HAU4" s="484"/>
      <c r="HAV4" s="484"/>
      <c r="HAW4" s="484"/>
      <c r="HAX4" s="484"/>
      <c r="HAY4" s="484"/>
      <c r="HAZ4" s="484"/>
      <c r="HBA4" s="484"/>
      <c r="HBB4" s="484"/>
      <c r="HBC4" s="484"/>
      <c r="HBD4" s="484"/>
      <c r="HBE4" s="484"/>
      <c r="HBF4" s="484"/>
      <c r="HBG4" s="484"/>
      <c r="HBH4" s="484"/>
      <c r="HBI4" s="484"/>
      <c r="HBJ4" s="484"/>
      <c r="HBK4" s="484"/>
      <c r="HBL4" s="484"/>
      <c r="HBM4" s="484"/>
      <c r="HBN4" s="484"/>
      <c r="HBO4" s="484"/>
      <c r="HBP4" s="484"/>
      <c r="HBQ4" s="484"/>
      <c r="HBR4" s="484"/>
      <c r="HBS4" s="484"/>
      <c r="HBT4" s="484"/>
      <c r="HBU4" s="484"/>
      <c r="HBV4" s="484"/>
      <c r="HBW4" s="484"/>
      <c r="HBX4" s="484"/>
      <c r="HBY4" s="484"/>
      <c r="HBZ4" s="484"/>
      <c r="HCA4" s="484"/>
      <c r="HCB4" s="484"/>
      <c r="HCC4" s="484"/>
      <c r="HCD4" s="484"/>
      <c r="HCE4" s="484"/>
      <c r="HCF4" s="484"/>
      <c r="HCG4" s="484"/>
      <c r="HCH4" s="484"/>
      <c r="HCI4" s="484"/>
      <c r="HCJ4" s="484"/>
      <c r="HCK4" s="484"/>
      <c r="HCL4" s="484"/>
      <c r="HCM4" s="484"/>
      <c r="HCN4" s="484"/>
      <c r="HCO4" s="484"/>
      <c r="HCP4" s="484"/>
      <c r="HCQ4" s="484"/>
      <c r="HCR4" s="484"/>
      <c r="HCS4" s="484"/>
      <c r="HCT4" s="484"/>
      <c r="HCU4" s="484"/>
      <c r="HCV4" s="484"/>
      <c r="HCW4" s="484"/>
      <c r="HCX4" s="484"/>
      <c r="HCY4" s="484"/>
      <c r="HCZ4" s="484"/>
      <c r="HDA4" s="484"/>
      <c r="HDB4" s="484"/>
      <c r="HDC4" s="484"/>
      <c r="HDD4" s="484"/>
      <c r="HDE4" s="484"/>
      <c r="HDF4" s="484"/>
      <c r="HDG4" s="484"/>
      <c r="HDH4" s="484"/>
      <c r="HDI4" s="484"/>
      <c r="HDJ4" s="484"/>
      <c r="HDK4" s="484"/>
      <c r="HDL4" s="484"/>
      <c r="HDM4" s="484"/>
      <c r="HDN4" s="484"/>
      <c r="HDO4" s="484"/>
      <c r="HDP4" s="484"/>
      <c r="HDQ4" s="484"/>
      <c r="HDR4" s="484"/>
      <c r="HDS4" s="484"/>
      <c r="HDT4" s="484"/>
      <c r="HDU4" s="484"/>
      <c r="HDV4" s="484"/>
      <c r="HDW4" s="484"/>
      <c r="HDX4" s="484"/>
      <c r="HDY4" s="484"/>
      <c r="HDZ4" s="484"/>
      <c r="HEA4" s="484"/>
      <c r="HEB4" s="484"/>
      <c r="HEC4" s="484"/>
      <c r="HED4" s="484"/>
      <c r="HEE4" s="484"/>
      <c r="HEF4" s="484"/>
      <c r="HEG4" s="484"/>
      <c r="HEH4" s="484"/>
      <c r="HEI4" s="484"/>
      <c r="HEJ4" s="484"/>
      <c r="HEK4" s="484"/>
      <c r="HEL4" s="484"/>
      <c r="HEM4" s="484"/>
      <c r="HEN4" s="484"/>
      <c r="HEO4" s="484"/>
      <c r="HEP4" s="484"/>
      <c r="HEQ4" s="484"/>
      <c r="HER4" s="484"/>
      <c r="HES4" s="484"/>
      <c r="HET4" s="484"/>
      <c r="HEU4" s="484"/>
      <c r="HEV4" s="484"/>
      <c r="HEW4" s="484"/>
      <c r="HEX4" s="484"/>
      <c r="HEY4" s="484"/>
      <c r="HEZ4" s="484"/>
      <c r="HFA4" s="484"/>
      <c r="HFB4" s="484"/>
      <c r="HFC4" s="484"/>
      <c r="HFD4" s="484"/>
      <c r="HFE4" s="484"/>
      <c r="HFF4" s="484"/>
      <c r="HFG4" s="484"/>
      <c r="HFH4" s="484"/>
      <c r="HFI4" s="484"/>
      <c r="HFJ4" s="484"/>
      <c r="HFK4" s="484"/>
      <c r="HFL4" s="484"/>
      <c r="HFM4" s="484"/>
      <c r="HFN4" s="484"/>
      <c r="HFO4" s="484"/>
      <c r="HFP4" s="484"/>
      <c r="HFQ4" s="484"/>
      <c r="HFR4" s="484"/>
      <c r="HFS4" s="484"/>
      <c r="HFT4" s="484"/>
      <c r="HFU4" s="484"/>
      <c r="HFV4" s="484"/>
      <c r="HFW4" s="484"/>
      <c r="HFX4" s="484"/>
      <c r="HFY4" s="484"/>
      <c r="HFZ4" s="484"/>
      <c r="HGA4" s="484"/>
      <c r="HGB4" s="484"/>
      <c r="HGC4" s="484"/>
      <c r="HGD4" s="484"/>
      <c r="HGE4" s="484"/>
      <c r="HGF4" s="484"/>
      <c r="HGG4" s="484"/>
      <c r="HGH4" s="484"/>
      <c r="HGI4" s="484"/>
      <c r="HGJ4" s="484"/>
      <c r="HGK4" s="484"/>
      <c r="HGL4" s="484"/>
      <c r="HGM4" s="484"/>
      <c r="HGN4" s="484"/>
      <c r="HGO4" s="484"/>
      <c r="HGP4" s="484"/>
      <c r="HGQ4" s="484"/>
      <c r="HGR4" s="484"/>
      <c r="HGS4" s="484"/>
      <c r="HGT4" s="484"/>
      <c r="HGU4" s="484"/>
      <c r="HGV4" s="484"/>
      <c r="HGW4" s="484"/>
      <c r="HGX4" s="484"/>
      <c r="HGY4" s="484"/>
      <c r="HGZ4" s="484"/>
      <c r="HHA4" s="484"/>
      <c r="HHB4" s="484"/>
      <c r="HHC4" s="484"/>
      <c r="HHD4" s="484"/>
      <c r="HHE4" s="484"/>
      <c r="HHF4" s="484"/>
      <c r="HHG4" s="484"/>
      <c r="HHH4" s="484"/>
      <c r="HHI4" s="484"/>
      <c r="HHJ4" s="484"/>
      <c r="HHK4" s="484"/>
      <c r="HHL4" s="484"/>
      <c r="HHM4" s="484"/>
      <c r="HHN4" s="484"/>
      <c r="HHO4" s="484"/>
      <c r="HHP4" s="484"/>
      <c r="HHQ4" s="484"/>
      <c r="HHR4" s="484"/>
      <c r="HHS4" s="484"/>
      <c r="HHT4" s="484"/>
      <c r="HHU4" s="484"/>
      <c r="HHV4" s="484"/>
      <c r="HHW4" s="484"/>
      <c r="HHX4" s="484"/>
      <c r="HHY4" s="484"/>
      <c r="HHZ4" s="484"/>
      <c r="HIA4" s="484"/>
      <c r="HIB4" s="484"/>
      <c r="HIC4" s="484"/>
      <c r="HID4" s="484"/>
      <c r="HIE4" s="484"/>
      <c r="HIF4" s="484"/>
      <c r="HIG4" s="484"/>
      <c r="HIH4" s="484"/>
      <c r="HII4" s="484"/>
      <c r="HIJ4" s="484"/>
      <c r="HIK4" s="484"/>
      <c r="HIL4" s="484"/>
      <c r="HIM4" s="484"/>
      <c r="HIN4" s="484"/>
      <c r="HIO4" s="484"/>
      <c r="HIP4" s="484"/>
      <c r="HIQ4" s="484"/>
      <c r="HIR4" s="484"/>
      <c r="HIS4" s="484"/>
      <c r="HIT4" s="484"/>
      <c r="HIU4" s="484"/>
      <c r="HIV4" s="484"/>
      <c r="HIW4" s="484"/>
      <c r="HIX4" s="484"/>
      <c r="HIY4" s="484"/>
      <c r="HIZ4" s="484"/>
      <c r="HJA4" s="484"/>
      <c r="HJB4" s="484"/>
      <c r="HJC4" s="484"/>
      <c r="HJD4" s="484"/>
      <c r="HJE4" s="484"/>
      <c r="HJF4" s="484"/>
      <c r="HJG4" s="484"/>
      <c r="HJH4" s="484"/>
      <c r="HJI4" s="484"/>
      <c r="HJJ4" s="484"/>
      <c r="HJK4" s="484"/>
      <c r="HJL4" s="484"/>
      <c r="HJM4" s="484"/>
      <c r="HJN4" s="484"/>
      <c r="HJO4" s="484"/>
      <c r="HJP4" s="484"/>
      <c r="HJQ4" s="484"/>
      <c r="HJR4" s="484"/>
      <c r="HJS4" s="484"/>
      <c r="HJT4" s="484"/>
      <c r="HJU4" s="484"/>
      <c r="HJV4" s="484"/>
      <c r="HJW4" s="484"/>
      <c r="HJX4" s="484"/>
      <c r="HJY4" s="484"/>
      <c r="HJZ4" s="484"/>
      <c r="HKA4" s="484"/>
      <c r="HKB4" s="484"/>
      <c r="HKC4" s="484"/>
      <c r="HKD4" s="484"/>
      <c r="HKE4" s="484"/>
      <c r="HKF4" s="484"/>
      <c r="HKG4" s="484"/>
      <c r="HKH4" s="484"/>
      <c r="HKI4" s="484"/>
      <c r="HKJ4" s="484"/>
      <c r="HKK4" s="484"/>
      <c r="HKL4" s="484"/>
      <c r="HKM4" s="484"/>
      <c r="HKN4" s="484"/>
      <c r="HKO4" s="484"/>
      <c r="HKP4" s="484"/>
      <c r="HKQ4" s="484"/>
      <c r="HKR4" s="484"/>
      <c r="HKS4" s="484"/>
      <c r="HKT4" s="484"/>
      <c r="HKU4" s="484"/>
      <c r="HKV4" s="484"/>
      <c r="HKW4" s="484"/>
      <c r="HKX4" s="484"/>
      <c r="HKY4" s="484"/>
      <c r="HKZ4" s="484"/>
      <c r="HLA4" s="484"/>
      <c r="HLB4" s="484"/>
      <c r="HLC4" s="484"/>
      <c r="HLD4" s="484"/>
      <c r="HLE4" s="484"/>
      <c r="HLF4" s="484"/>
      <c r="HLG4" s="484"/>
      <c r="HLH4" s="484"/>
      <c r="HLI4" s="484"/>
      <c r="HLJ4" s="484"/>
      <c r="HLK4" s="484"/>
      <c r="HLL4" s="484"/>
      <c r="HLM4" s="484"/>
      <c r="HLN4" s="484"/>
      <c r="HLO4" s="484"/>
      <c r="HLP4" s="484"/>
      <c r="HLQ4" s="484"/>
      <c r="HLR4" s="484"/>
      <c r="HLS4" s="484"/>
      <c r="HLT4" s="484"/>
      <c r="HLU4" s="484"/>
      <c r="HLV4" s="484"/>
      <c r="HLW4" s="484"/>
      <c r="HLX4" s="484"/>
      <c r="HLY4" s="484"/>
      <c r="HLZ4" s="484"/>
      <c r="HMA4" s="484"/>
      <c r="HMB4" s="484"/>
      <c r="HMC4" s="484"/>
      <c r="HMD4" s="484"/>
      <c r="HME4" s="484"/>
      <c r="HMF4" s="484"/>
      <c r="HMG4" s="484"/>
      <c r="HMH4" s="484"/>
      <c r="HMI4" s="484"/>
      <c r="HMJ4" s="484"/>
      <c r="HMK4" s="484"/>
      <c r="HML4" s="484"/>
      <c r="HMM4" s="484"/>
      <c r="HMN4" s="484"/>
      <c r="HMO4" s="484"/>
      <c r="HMP4" s="484"/>
      <c r="HMQ4" s="484"/>
      <c r="HMR4" s="484"/>
      <c r="HMS4" s="484"/>
      <c r="HMT4" s="484"/>
      <c r="HMU4" s="484"/>
      <c r="HMV4" s="484"/>
      <c r="HMW4" s="484"/>
      <c r="HMX4" s="484"/>
      <c r="HMY4" s="484"/>
      <c r="HMZ4" s="484"/>
      <c r="HNA4" s="484"/>
      <c r="HNB4" s="484"/>
      <c r="HNC4" s="484"/>
      <c r="HND4" s="484"/>
      <c r="HNE4" s="484"/>
      <c r="HNF4" s="484"/>
      <c r="HNG4" s="484"/>
      <c r="HNH4" s="484"/>
      <c r="HNI4" s="484"/>
      <c r="HNJ4" s="484"/>
      <c r="HNK4" s="484"/>
      <c r="HNL4" s="484"/>
      <c r="HNM4" s="484"/>
      <c r="HNN4" s="484"/>
      <c r="HNO4" s="484"/>
      <c r="HNP4" s="484"/>
      <c r="HNQ4" s="484"/>
      <c r="HNR4" s="484"/>
      <c r="HNS4" s="484"/>
      <c r="HNT4" s="484"/>
      <c r="HNU4" s="484"/>
      <c r="HNV4" s="484"/>
      <c r="HNW4" s="484"/>
      <c r="HNX4" s="484"/>
      <c r="HNY4" s="484"/>
      <c r="HNZ4" s="484"/>
      <c r="HOA4" s="484"/>
      <c r="HOB4" s="484"/>
      <c r="HOC4" s="484"/>
      <c r="HOD4" s="484"/>
      <c r="HOE4" s="484"/>
      <c r="HOF4" s="484"/>
      <c r="HOG4" s="484"/>
      <c r="HOH4" s="484"/>
      <c r="HOI4" s="484"/>
      <c r="HOJ4" s="484"/>
      <c r="HOK4" s="484"/>
      <c r="HOL4" s="484"/>
      <c r="HOM4" s="484"/>
      <c r="HON4" s="484"/>
      <c r="HOO4" s="484"/>
      <c r="HOP4" s="484"/>
      <c r="HOQ4" s="484"/>
      <c r="HOR4" s="484"/>
      <c r="HOS4" s="484"/>
      <c r="HOT4" s="484"/>
      <c r="HOU4" s="484"/>
      <c r="HOV4" s="484"/>
      <c r="HOW4" s="484"/>
      <c r="HOX4" s="484"/>
      <c r="HOY4" s="484"/>
      <c r="HOZ4" s="484"/>
      <c r="HPA4" s="484"/>
      <c r="HPB4" s="484"/>
      <c r="HPC4" s="484"/>
      <c r="HPD4" s="484"/>
      <c r="HPE4" s="484"/>
      <c r="HPF4" s="484"/>
      <c r="HPG4" s="484"/>
      <c r="HPH4" s="484"/>
      <c r="HPI4" s="484"/>
      <c r="HPJ4" s="484"/>
      <c r="HPK4" s="484"/>
      <c r="HPL4" s="484"/>
      <c r="HPM4" s="484"/>
      <c r="HPN4" s="484"/>
      <c r="HPO4" s="484"/>
      <c r="HPP4" s="484"/>
      <c r="HPQ4" s="484"/>
      <c r="HPR4" s="484"/>
      <c r="HPS4" s="484"/>
      <c r="HPT4" s="484"/>
      <c r="HPU4" s="484"/>
      <c r="HPV4" s="484"/>
      <c r="HPW4" s="484"/>
      <c r="HPX4" s="484"/>
      <c r="HPY4" s="484"/>
      <c r="HPZ4" s="484"/>
      <c r="HQA4" s="484"/>
      <c r="HQB4" s="484"/>
      <c r="HQC4" s="484"/>
      <c r="HQD4" s="484"/>
      <c r="HQE4" s="484"/>
      <c r="HQF4" s="484"/>
      <c r="HQG4" s="484"/>
      <c r="HQH4" s="484"/>
      <c r="HQI4" s="484"/>
      <c r="HQJ4" s="484"/>
      <c r="HQK4" s="484"/>
      <c r="HQL4" s="484"/>
      <c r="HQM4" s="484"/>
      <c r="HQN4" s="484"/>
      <c r="HQO4" s="484"/>
      <c r="HQP4" s="484"/>
      <c r="HQQ4" s="484"/>
      <c r="HQR4" s="484"/>
      <c r="HQS4" s="484"/>
      <c r="HQT4" s="484"/>
      <c r="HQU4" s="484"/>
      <c r="HQV4" s="484"/>
      <c r="HQW4" s="484"/>
      <c r="HQX4" s="484"/>
      <c r="HQY4" s="484"/>
      <c r="HQZ4" s="484"/>
      <c r="HRA4" s="484"/>
      <c r="HRB4" s="484"/>
      <c r="HRC4" s="484"/>
      <c r="HRD4" s="484"/>
      <c r="HRE4" s="484"/>
      <c r="HRF4" s="484"/>
      <c r="HRG4" s="484"/>
      <c r="HRH4" s="484"/>
      <c r="HRI4" s="484"/>
      <c r="HRJ4" s="484"/>
      <c r="HRK4" s="484"/>
      <c r="HRL4" s="484"/>
      <c r="HRM4" s="484"/>
      <c r="HRN4" s="484"/>
      <c r="HRO4" s="484"/>
      <c r="HRP4" s="484"/>
      <c r="HRQ4" s="484"/>
      <c r="HRR4" s="484"/>
      <c r="HRS4" s="484"/>
      <c r="HRT4" s="484"/>
      <c r="HRU4" s="484"/>
      <c r="HRV4" s="484"/>
      <c r="HRW4" s="484"/>
      <c r="HRX4" s="484"/>
      <c r="HRY4" s="484"/>
      <c r="HRZ4" s="484"/>
      <c r="HSA4" s="484"/>
      <c r="HSB4" s="484"/>
      <c r="HSC4" s="484"/>
      <c r="HSD4" s="484"/>
      <c r="HSE4" s="484"/>
      <c r="HSF4" s="484"/>
      <c r="HSG4" s="484"/>
      <c r="HSH4" s="484"/>
      <c r="HSI4" s="484"/>
      <c r="HSJ4" s="484"/>
      <c r="HSK4" s="484"/>
      <c r="HSL4" s="484"/>
      <c r="HSM4" s="484"/>
      <c r="HSN4" s="484"/>
      <c r="HSO4" s="484"/>
      <c r="HSP4" s="484"/>
      <c r="HSQ4" s="484"/>
      <c r="HSR4" s="484"/>
      <c r="HSS4" s="484"/>
      <c r="HST4" s="484"/>
      <c r="HSU4" s="484"/>
      <c r="HSV4" s="484"/>
      <c r="HSW4" s="484"/>
      <c r="HSX4" s="484"/>
      <c r="HSY4" s="484"/>
      <c r="HSZ4" s="484"/>
      <c r="HTA4" s="484"/>
      <c r="HTB4" s="484"/>
      <c r="HTC4" s="484"/>
      <c r="HTD4" s="484"/>
      <c r="HTE4" s="484"/>
      <c r="HTF4" s="484"/>
      <c r="HTG4" s="484"/>
      <c r="HTH4" s="484"/>
      <c r="HTI4" s="484"/>
      <c r="HTJ4" s="484"/>
      <c r="HTK4" s="484"/>
      <c r="HTL4" s="484"/>
      <c r="HTM4" s="484"/>
      <c r="HTN4" s="484"/>
      <c r="HTO4" s="484"/>
      <c r="HTP4" s="484"/>
      <c r="HTQ4" s="484"/>
      <c r="HTR4" s="484"/>
      <c r="HTS4" s="484"/>
      <c r="HTT4" s="484"/>
      <c r="HTU4" s="484"/>
      <c r="HTV4" s="484"/>
      <c r="HTW4" s="484"/>
      <c r="HTX4" s="484"/>
      <c r="HTY4" s="484"/>
      <c r="HTZ4" s="484"/>
      <c r="HUA4" s="484"/>
      <c r="HUB4" s="484"/>
      <c r="HUC4" s="484"/>
      <c r="HUD4" s="484"/>
      <c r="HUE4" s="484"/>
      <c r="HUF4" s="484"/>
      <c r="HUG4" s="484"/>
      <c r="HUH4" s="484"/>
      <c r="HUI4" s="484"/>
      <c r="HUJ4" s="484"/>
      <c r="HUK4" s="484"/>
      <c r="HUL4" s="484"/>
      <c r="HUM4" s="484"/>
      <c r="HUN4" s="484"/>
      <c r="HUO4" s="484"/>
      <c r="HUP4" s="484"/>
      <c r="HUQ4" s="484"/>
      <c r="HUR4" s="484"/>
      <c r="HUS4" s="484"/>
      <c r="HUT4" s="484"/>
      <c r="HUU4" s="484"/>
      <c r="HUV4" s="484"/>
      <c r="HUW4" s="484"/>
      <c r="HUX4" s="484"/>
      <c r="HUY4" s="484"/>
      <c r="HUZ4" s="484"/>
      <c r="HVA4" s="484"/>
      <c r="HVB4" s="484"/>
      <c r="HVC4" s="484"/>
      <c r="HVD4" s="484"/>
      <c r="HVE4" s="484"/>
      <c r="HVF4" s="484"/>
      <c r="HVG4" s="484"/>
      <c r="HVH4" s="484"/>
      <c r="HVI4" s="484"/>
      <c r="HVJ4" s="484"/>
      <c r="HVK4" s="484"/>
      <c r="HVL4" s="484"/>
      <c r="HVM4" s="484"/>
      <c r="HVN4" s="484"/>
      <c r="HVO4" s="484"/>
      <c r="HVP4" s="484"/>
      <c r="HVQ4" s="484"/>
      <c r="HVR4" s="484"/>
      <c r="HVS4" s="484"/>
      <c r="HVT4" s="484"/>
      <c r="HVU4" s="484"/>
      <c r="HVV4" s="484"/>
      <c r="HVW4" s="484"/>
      <c r="HVX4" s="484"/>
      <c r="HVY4" s="484"/>
      <c r="HVZ4" s="484"/>
      <c r="HWA4" s="484"/>
      <c r="HWB4" s="484"/>
      <c r="HWC4" s="484"/>
      <c r="HWD4" s="484"/>
      <c r="HWE4" s="484"/>
      <c r="HWF4" s="484"/>
      <c r="HWG4" s="484"/>
      <c r="HWH4" s="484"/>
      <c r="HWI4" s="484"/>
      <c r="HWJ4" s="484"/>
      <c r="HWK4" s="484"/>
      <c r="HWL4" s="484"/>
      <c r="HWM4" s="484"/>
      <c r="HWN4" s="484"/>
      <c r="HWO4" s="484"/>
      <c r="HWP4" s="484"/>
      <c r="HWQ4" s="484"/>
      <c r="HWR4" s="484"/>
      <c r="HWS4" s="484"/>
      <c r="HWT4" s="484"/>
      <c r="HWU4" s="484"/>
      <c r="HWV4" s="484"/>
      <c r="HWW4" s="484"/>
      <c r="HWX4" s="484"/>
      <c r="HWY4" s="484"/>
      <c r="HWZ4" s="484"/>
      <c r="HXA4" s="484"/>
      <c r="HXB4" s="484"/>
      <c r="HXC4" s="484"/>
      <c r="HXD4" s="484"/>
      <c r="HXE4" s="484"/>
      <c r="HXF4" s="484"/>
      <c r="HXG4" s="484"/>
      <c r="HXH4" s="484"/>
      <c r="HXI4" s="484"/>
      <c r="HXJ4" s="484"/>
      <c r="HXK4" s="484"/>
      <c r="HXL4" s="484"/>
      <c r="HXM4" s="484"/>
      <c r="HXN4" s="484"/>
      <c r="HXO4" s="484"/>
      <c r="HXP4" s="484"/>
      <c r="HXQ4" s="484"/>
      <c r="HXR4" s="484"/>
      <c r="HXS4" s="484"/>
      <c r="HXT4" s="484"/>
      <c r="HXU4" s="484"/>
      <c r="HXV4" s="484"/>
      <c r="HXW4" s="484"/>
      <c r="HXX4" s="484"/>
      <c r="HXY4" s="484"/>
      <c r="HXZ4" s="484"/>
      <c r="HYA4" s="484"/>
      <c r="HYB4" s="484"/>
      <c r="HYC4" s="484"/>
      <c r="HYD4" s="484"/>
      <c r="HYE4" s="484"/>
      <c r="HYF4" s="484"/>
      <c r="HYG4" s="484"/>
      <c r="HYH4" s="484"/>
      <c r="HYI4" s="484"/>
      <c r="HYJ4" s="484"/>
      <c r="HYK4" s="484"/>
      <c r="HYL4" s="484"/>
      <c r="HYM4" s="484"/>
      <c r="HYN4" s="484"/>
      <c r="HYO4" s="484"/>
      <c r="HYP4" s="484"/>
      <c r="HYQ4" s="484"/>
      <c r="HYR4" s="484"/>
      <c r="HYS4" s="484"/>
      <c r="HYT4" s="484"/>
      <c r="HYU4" s="484"/>
      <c r="HYV4" s="484"/>
      <c r="HYW4" s="484"/>
      <c r="HYX4" s="484"/>
      <c r="HYY4" s="484"/>
      <c r="HYZ4" s="484"/>
      <c r="HZA4" s="484"/>
      <c r="HZB4" s="484"/>
      <c r="HZC4" s="484"/>
      <c r="HZD4" s="484"/>
      <c r="HZE4" s="484"/>
      <c r="HZF4" s="484"/>
      <c r="HZG4" s="484"/>
      <c r="HZH4" s="484"/>
      <c r="HZI4" s="484"/>
      <c r="HZJ4" s="484"/>
      <c r="HZK4" s="484"/>
      <c r="HZL4" s="484"/>
      <c r="HZM4" s="484"/>
      <c r="HZN4" s="484"/>
      <c r="HZO4" s="484"/>
      <c r="HZP4" s="484"/>
      <c r="HZQ4" s="484"/>
      <c r="HZR4" s="484"/>
      <c r="HZS4" s="484"/>
      <c r="HZT4" s="484"/>
      <c r="HZU4" s="484"/>
      <c r="HZV4" s="484"/>
      <c r="HZW4" s="484"/>
      <c r="HZX4" s="484"/>
      <c r="HZY4" s="484"/>
      <c r="HZZ4" s="484"/>
      <c r="IAA4" s="484"/>
      <c r="IAB4" s="484"/>
      <c r="IAC4" s="484"/>
      <c r="IAD4" s="484"/>
      <c r="IAE4" s="484"/>
      <c r="IAF4" s="484"/>
      <c r="IAG4" s="484"/>
      <c r="IAH4" s="484"/>
      <c r="IAI4" s="484"/>
      <c r="IAJ4" s="484"/>
      <c r="IAK4" s="484"/>
      <c r="IAL4" s="484"/>
      <c r="IAM4" s="484"/>
      <c r="IAN4" s="484"/>
      <c r="IAO4" s="484"/>
      <c r="IAP4" s="484"/>
      <c r="IAQ4" s="484"/>
      <c r="IAR4" s="484"/>
      <c r="IAS4" s="484"/>
      <c r="IAT4" s="484"/>
      <c r="IAU4" s="484"/>
      <c r="IAV4" s="484"/>
      <c r="IAW4" s="484"/>
      <c r="IAX4" s="484"/>
      <c r="IAY4" s="484"/>
      <c r="IAZ4" s="484"/>
      <c r="IBA4" s="484"/>
      <c r="IBB4" s="484"/>
      <c r="IBC4" s="484"/>
      <c r="IBD4" s="484"/>
      <c r="IBE4" s="484"/>
      <c r="IBF4" s="484"/>
      <c r="IBG4" s="484"/>
      <c r="IBH4" s="484"/>
      <c r="IBI4" s="484"/>
      <c r="IBJ4" s="484"/>
      <c r="IBK4" s="484"/>
      <c r="IBL4" s="484"/>
      <c r="IBM4" s="484"/>
      <c r="IBN4" s="484"/>
      <c r="IBO4" s="484"/>
      <c r="IBP4" s="484"/>
      <c r="IBQ4" s="484"/>
      <c r="IBR4" s="484"/>
      <c r="IBS4" s="484"/>
      <c r="IBT4" s="484"/>
      <c r="IBU4" s="484"/>
      <c r="IBV4" s="484"/>
      <c r="IBW4" s="484"/>
      <c r="IBX4" s="484"/>
      <c r="IBY4" s="484"/>
      <c r="IBZ4" s="484"/>
      <c r="ICA4" s="484"/>
      <c r="ICB4" s="484"/>
      <c r="ICC4" s="484"/>
      <c r="ICD4" s="484"/>
      <c r="ICE4" s="484"/>
      <c r="ICF4" s="484"/>
      <c r="ICG4" s="484"/>
      <c r="ICH4" s="484"/>
      <c r="ICI4" s="484"/>
      <c r="ICJ4" s="484"/>
      <c r="ICK4" s="484"/>
      <c r="ICL4" s="484"/>
      <c r="ICM4" s="484"/>
      <c r="ICN4" s="484"/>
      <c r="ICO4" s="484"/>
      <c r="ICP4" s="484"/>
      <c r="ICQ4" s="484"/>
      <c r="ICR4" s="484"/>
      <c r="ICS4" s="484"/>
      <c r="ICT4" s="484"/>
      <c r="ICU4" s="484"/>
      <c r="ICV4" s="484"/>
      <c r="ICW4" s="484"/>
      <c r="ICX4" s="484"/>
      <c r="ICY4" s="484"/>
      <c r="ICZ4" s="484"/>
      <c r="IDA4" s="484"/>
      <c r="IDB4" s="484"/>
      <c r="IDC4" s="484"/>
      <c r="IDD4" s="484"/>
      <c r="IDE4" s="484"/>
      <c r="IDF4" s="484"/>
      <c r="IDG4" s="484"/>
      <c r="IDH4" s="484"/>
      <c r="IDI4" s="484"/>
      <c r="IDJ4" s="484"/>
      <c r="IDK4" s="484"/>
      <c r="IDL4" s="484"/>
      <c r="IDM4" s="484"/>
      <c r="IDN4" s="484"/>
      <c r="IDO4" s="484"/>
      <c r="IDP4" s="484"/>
      <c r="IDQ4" s="484"/>
      <c r="IDR4" s="484"/>
      <c r="IDS4" s="484"/>
      <c r="IDT4" s="484"/>
      <c r="IDU4" s="484"/>
      <c r="IDV4" s="484"/>
      <c r="IDW4" s="484"/>
      <c r="IDX4" s="484"/>
      <c r="IDY4" s="484"/>
      <c r="IDZ4" s="484"/>
      <c r="IEA4" s="484"/>
      <c r="IEB4" s="484"/>
      <c r="IEC4" s="484"/>
      <c r="IED4" s="484"/>
      <c r="IEE4" s="484"/>
      <c r="IEF4" s="484"/>
      <c r="IEG4" s="484"/>
      <c r="IEH4" s="484"/>
      <c r="IEI4" s="484"/>
      <c r="IEJ4" s="484"/>
      <c r="IEK4" s="484"/>
      <c r="IEL4" s="484"/>
      <c r="IEM4" s="484"/>
      <c r="IEN4" s="484"/>
      <c r="IEO4" s="484"/>
      <c r="IEP4" s="484"/>
      <c r="IEQ4" s="484"/>
      <c r="IER4" s="484"/>
      <c r="IES4" s="484"/>
      <c r="IET4" s="484"/>
      <c r="IEU4" s="484"/>
      <c r="IEV4" s="484"/>
      <c r="IEW4" s="484"/>
      <c r="IEX4" s="484"/>
      <c r="IEY4" s="484"/>
      <c r="IEZ4" s="484"/>
      <c r="IFA4" s="484"/>
      <c r="IFB4" s="484"/>
      <c r="IFC4" s="484"/>
      <c r="IFD4" s="484"/>
      <c r="IFE4" s="484"/>
      <c r="IFF4" s="484"/>
      <c r="IFG4" s="484"/>
      <c r="IFH4" s="484"/>
      <c r="IFI4" s="484"/>
      <c r="IFJ4" s="484"/>
      <c r="IFK4" s="484"/>
      <c r="IFL4" s="484"/>
      <c r="IFM4" s="484"/>
      <c r="IFN4" s="484"/>
      <c r="IFO4" s="484"/>
      <c r="IFP4" s="484"/>
      <c r="IFQ4" s="484"/>
      <c r="IFR4" s="484"/>
      <c r="IFS4" s="484"/>
      <c r="IFT4" s="484"/>
      <c r="IFU4" s="484"/>
      <c r="IFV4" s="484"/>
      <c r="IFW4" s="484"/>
      <c r="IFX4" s="484"/>
      <c r="IFY4" s="484"/>
      <c r="IFZ4" s="484"/>
      <c r="IGA4" s="484"/>
      <c r="IGB4" s="484"/>
      <c r="IGC4" s="484"/>
      <c r="IGD4" s="484"/>
      <c r="IGE4" s="484"/>
      <c r="IGF4" s="484"/>
      <c r="IGG4" s="484"/>
      <c r="IGH4" s="484"/>
      <c r="IGI4" s="484"/>
      <c r="IGJ4" s="484"/>
      <c r="IGK4" s="484"/>
      <c r="IGL4" s="484"/>
      <c r="IGM4" s="484"/>
      <c r="IGN4" s="484"/>
      <c r="IGO4" s="484"/>
      <c r="IGP4" s="484"/>
      <c r="IGQ4" s="484"/>
      <c r="IGR4" s="484"/>
      <c r="IGS4" s="484"/>
      <c r="IGT4" s="484"/>
      <c r="IGU4" s="484"/>
      <c r="IGV4" s="484"/>
      <c r="IGW4" s="484"/>
      <c r="IGX4" s="484"/>
      <c r="IGY4" s="484"/>
      <c r="IGZ4" s="484"/>
      <c r="IHA4" s="484"/>
      <c r="IHB4" s="484"/>
      <c r="IHC4" s="484"/>
      <c r="IHD4" s="484"/>
      <c r="IHE4" s="484"/>
      <c r="IHF4" s="484"/>
      <c r="IHG4" s="484"/>
      <c r="IHH4" s="484"/>
      <c r="IHI4" s="484"/>
      <c r="IHJ4" s="484"/>
      <c r="IHK4" s="484"/>
      <c r="IHL4" s="484"/>
      <c r="IHM4" s="484"/>
      <c r="IHN4" s="484"/>
      <c r="IHO4" s="484"/>
      <c r="IHP4" s="484"/>
      <c r="IHQ4" s="484"/>
      <c r="IHR4" s="484"/>
      <c r="IHS4" s="484"/>
      <c r="IHT4" s="484"/>
      <c r="IHU4" s="484"/>
      <c r="IHV4" s="484"/>
      <c r="IHW4" s="484"/>
      <c r="IHX4" s="484"/>
      <c r="IHY4" s="484"/>
      <c r="IHZ4" s="484"/>
      <c r="IIA4" s="484"/>
      <c r="IIB4" s="484"/>
      <c r="IIC4" s="484"/>
      <c r="IID4" s="484"/>
      <c r="IIE4" s="484"/>
      <c r="IIF4" s="484"/>
      <c r="IIG4" s="484"/>
      <c r="IIH4" s="484"/>
      <c r="III4" s="484"/>
      <c r="IIJ4" s="484"/>
      <c r="IIK4" s="484"/>
      <c r="IIL4" s="484"/>
      <c r="IIM4" s="484"/>
      <c r="IIN4" s="484"/>
      <c r="IIO4" s="484"/>
      <c r="IIP4" s="484"/>
      <c r="IIQ4" s="484"/>
      <c r="IIR4" s="484"/>
      <c r="IIS4" s="484"/>
      <c r="IIT4" s="484"/>
      <c r="IIU4" s="484"/>
      <c r="IIV4" s="484"/>
      <c r="IIW4" s="484"/>
      <c r="IIX4" s="484"/>
      <c r="IIY4" s="484"/>
      <c r="IIZ4" s="484"/>
      <c r="IJA4" s="484"/>
      <c r="IJB4" s="484"/>
      <c r="IJC4" s="484"/>
      <c r="IJD4" s="484"/>
      <c r="IJE4" s="484"/>
      <c r="IJF4" s="484"/>
      <c r="IJG4" s="484"/>
      <c r="IJH4" s="484"/>
      <c r="IJI4" s="484"/>
      <c r="IJJ4" s="484"/>
      <c r="IJK4" s="484"/>
      <c r="IJL4" s="484"/>
      <c r="IJM4" s="484"/>
      <c r="IJN4" s="484"/>
      <c r="IJO4" s="484"/>
      <c r="IJP4" s="484"/>
      <c r="IJQ4" s="484"/>
      <c r="IJR4" s="484"/>
      <c r="IJS4" s="484"/>
      <c r="IJT4" s="484"/>
      <c r="IJU4" s="484"/>
      <c r="IJV4" s="484"/>
      <c r="IJW4" s="484"/>
      <c r="IJX4" s="484"/>
      <c r="IJY4" s="484"/>
      <c r="IJZ4" s="484"/>
      <c r="IKA4" s="484"/>
      <c r="IKB4" s="484"/>
      <c r="IKC4" s="484"/>
      <c r="IKD4" s="484"/>
      <c r="IKE4" s="484"/>
      <c r="IKF4" s="484"/>
      <c r="IKG4" s="484"/>
      <c r="IKH4" s="484"/>
      <c r="IKI4" s="484"/>
      <c r="IKJ4" s="484"/>
      <c r="IKK4" s="484"/>
      <c r="IKL4" s="484"/>
      <c r="IKM4" s="484"/>
      <c r="IKN4" s="484"/>
      <c r="IKO4" s="484"/>
      <c r="IKP4" s="484"/>
      <c r="IKQ4" s="484"/>
      <c r="IKR4" s="484"/>
      <c r="IKS4" s="484"/>
      <c r="IKT4" s="484"/>
      <c r="IKU4" s="484"/>
      <c r="IKV4" s="484"/>
      <c r="IKW4" s="484"/>
      <c r="IKX4" s="484"/>
      <c r="IKY4" s="484"/>
      <c r="IKZ4" s="484"/>
      <c r="ILA4" s="484"/>
      <c r="ILB4" s="484"/>
      <c r="ILC4" s="484"/>
      <c r="ILD4" s="484"/>
      <c r="ILE4" s="484"/>
      <c r="ILF4" s="484"/>
      <c r="ILG4" s="484"/>
      <c r="ILH4" s="484"/>
      <c r="ILI4" s="484"/>
      <c r="ILJ4" s="484"/>
      <c r="ILK4" s="484"/>
      <c r="ILL4" s="484"/>
      <c r="ILM4" s="484"/>
      <c r="ILN4" s="484"/>
      <c r="ILO4" s="484"/>
      <c r="ILP4" s="484"/>
      <c r="ILQ4" s="484"/>
      <c r="ILR4" s="484"/>
      <c r="ILS4" s="484"/>
      <c r="ILT4" s="484"/>
      <c r="ILU4" s="484"/>
      <c r="ILV4" s="484"/>
      <c r="ILW4" s="484"/>
      <c r="ILX4" s="484"/>
      <c r="ILY4" s="484"/>
      <c r="ILZ4" s="484"/>
      <c r="IMA4" s="484"/>
      <c r="IMB4" s="484"/>
      <c r="IMC4" s="484"/>
      <c r="IMD4" s="484"/>
      <c r="IME4" s="484"/>
      <c r="IMF4" s="484"/>
      <c r="IMG4" s="484"/>
      <c r="IMH4" s="484"/>
      <c r="IMI4" s="484"/>
      <c r="IMJ4" s="484"/>
      <c r="IMK4" s="484"/>
      <c r="IML4" s="484"/>
      <c r="IMM4" s="484"/>
      <c r="IMN4" s="484"/>
      <c r="IMO4" s="484"/>
      <c r="IMP4" s="484"/>
      <c r="IMQ4" s="484"/>
      <c r="IMR4" s="484"/>
      <c r="IMS4" s="484"/>
      <c r="IMT4" s="484"/>
      <c r="IMU4" s="484"/>
      <c r="IMV4" s="484"/>
      <c r="IMW4" s="484"/>
      <c r="IMX4" s="484"/>
      <c r="IMY4" s="484"/>
      <c r="IMZ4" s="484"/>
      <c r="INA4" s="484"/>
      <c r="INB4" s="484"/>
      <c r="INC4" s="484"/>
      <c r="IND4" s="484"/>
      <c r="INE4" s="484"/>
      <c r="INF4" s="484"/>
      <c r="ING4" s="484"/>
      <c r="INH4" s="484"/>
      <c r="INI4" s="484"/>
      <c r="INJ4" s="484"/>
      <c r="INK4" s="484"/>
      <c r="INL4" s="484"/>
      <c r="INM4" s="484"/>
      <c r="INN4" s="484"/>
      <c r="INO4" s="484"/>
      <c r="INP4" s="484"/>
      <c r="INQ4" s="484"/>
      <c r="INR4" s="484"/>
      <c r="INS4" s="484"/>
      <c r="INT4" s="484"/>
      <c r="INU4" s="484"/>
      <c r="INV4" s="484"/>
      <c r="INW4" s="484"/>
      <c r="INX4" s="484"/>
      <c r="INY4" s="484"/>
      <c r="INZ4" s="484"/>
      <c r="IOA4" s="484"/>
      <c r="IOB4" s="484"/>
      <c r="IOC4" s="484"/>
      <c r="IOD4" s="484"/>
      <c r="IOE4" s="484"/>
      <c r="IOF4" s="484"/>
      <c r="IOG4" s="484"/>
      <c r="IOH4" s="484"/>
      <c r="IOI4" s="484"/>
      <c r="IOJ4" s="484"/>
      <c r="IOK4" s="484"/>
      <c r="IOL4" s="484"/>
      <c r="IOM4" s="484"/>
      <c r="ION4" s="484"/>
      <c r="IOO4" s="484"/>
      <c r="IOP4" s="484"/>
      <c r="IOQ4" s="484"/>
      <c r="IOR4" s="484"/>
      <c r="IOS4" s="484"/>
      <c r="IOT4" s="484"/>
      <c r="IOU4" s="484"/>
      <c r="IOV4" s="484"/>
      <c r="IOW4" s="484"/>
      <c r="IOX4" s="484"/>
      <c r="IOY4" s="484"/>
      <c r="IOZ4" s="484"/>
      <c r="IPA4" s="484"/>
      <c r="IPB4" s="484"/>
      <c r="IPC4" s="484"/>
      <c r="IPD4" s="484"/>
      <c r="IPE4" s="484"/>
      <c r="IPF4" s="484"/>
      <c r="IPG4" s="484"/>
      <c r="IPH4" s="484"/>
      <c r="IPI4" s="484"/>
      <c r="IPJ4" s="484"/>
      <c r="IPK4" s="484"/>
      <c r="IPL4" s="484"/>
      <c r="IPM4" s="484"/>
      <c r="IPN4" s="484"/>
      <c r="IPO4" s="484"/>
      <c r="IPP4" s="484"/>
      <c r="IPQ4" s="484"/>
      <c r="IPR4" s="484"/>
      <c r="IPS4" s="484"/>
      <c r="IPT4" s="484"/>
      <c r="IPU4" s="484"/>
      <c r="IPV4" s="484"/>
      <c r="IPW4" s="484"/>
      <c r="IPX4" s="484"/>
      <c r="IPY4" s="484"/>
      <c r="IPZ4" s="484"/>
      <c r="IQA4" s="484"/>
      <c r="IQB4" s="484"/>
      <c r="IQC4" s="484"/>
      <c r="IQD4" s="484"/>
      <c r="IQE4" s="484"/>
      <c r="IQF4" s="484"/>
      <c r="IQG4" s="484"/>
      <c r="IQH4" s="484"/>
      <c r="IQI4" s="484"/>
      <c r="IQJ4" s="484"/>
      <c r="IQK4" s="484"/>
      <c r="IQL4" s="484"/>
      <c r="IQM4" s="484"/>
      <c r="IQN4" s="484"/>
      <c r="IQO4" s="484"/>
      <c r="IQP4" s="484"/>
      <c r="IQQ4" s="484"/>
      <c r="IQR4" s="484"/>
      <c r="IQS4" s="484"/>
      <c r="IQT4" s="484"/>
      <c r="IQU4" s="484"/>
      <c r="IQV4" s="484"/>
      <c r="IQW4" s="484"/>
      <c r="IQX4" s="484"/>
      <c r="IQY4" s="484"/>
      <c r="IQZ4" s="484"/>
      <c r="IRA4" s="484"/>
      <c r="IRB4" s="484"/>
      <c r="IRC4" s="484"/>
      <c r="IRD4" s="484"/>
      <c r="IRE4" s="484"/>
      <c r="IRF4" s="484"/>
      <c r="IRG4" s="484"/>
      <c r="IRH4" s="484"/>
      <c r="IRI4" s="484"/>
      <c r="IRJ4" s="484"/>
      <c r="IRK4" s="484"/>
      <c r="IRL4" s="484"/>
      <c r="IRM4" s="484"/>
      <c r="IRN4" s="484"/>
      <c r="IRO4" s="484"/>
      <c r="IRP4" s="484"/>
      <c r="IRQ4" s="484"/>
      <c r="IRR4" s="484"/>
      <c r="IRS4" s="484"/>
      <c r="IRT4" s="484"/>
      <c r="IRU4" s="484"/>
      <c r="IRV4" s="484"/>
      <c r="IRW4" s="484"/>
      <c r="IRX4" s="484"/>
      <c r="IRY4" s="484"/>
      <c r="IRZ4" s="484"/>
      <c r="ISA4" s="484"/>
      <c r="ISB4" s="484"/>
      <c r="ISC4" s="484"/>
      <c r="ISD4" s="484"/>
      <c r="ISE4" s="484"/>
      <c r="ISF4" s="484"/>
      <c r="ISG4" s="484"/>
      <c r="ISH4" s="484"/>
      <c r="ISI4" s="484"/>
      <c r="ISJ4" s="484"/>
      <c r="ISK4" s="484"/>
      <c r="ISL4" s="484"/>
      <c r="ISM4" s="484"/>
      <c r="ISN4" s="484"/>
      <c r="ISO4" s="484"/>
      <c r="ISP4" s="484"/>
      <c r="ISQ4" s="484"/>
      <c r="ISR4" s="484"/>
      <c r="ISS4" s="484"/>
      <c r="IST4" s="484"/>
      <c r="ISU4" s="484"/>
      <c r="ISV4" s="484"/>
      <c r="ISW4" s="484"/>
      <c r="ISX4" s="484"/>
      <c r="ISY4" s="484"/>
      <c r="ISZ4" s="484"/>
      <c r="ITA4" s="484"/>
      <c r="ITB4" s="484"/>
      <c r="ITC4" s="484"/>
      <c r="ITD4" s="484"/>
      <c r="ITE4" s="484"/>
      <c r="ITF4" s="484"/>
      <c r="ITG4" s="484"/>
      <c r="ITH4" s="484"/>
      <c r="ITI4" s="484"/>
      <c r="ITJ4" s="484"/>
      <c r="ITK4" s="484"/>
      <c r="ITL4" s="484"/>
      <c r="ITM4" s="484"/>
      <c r="ITN4" s="484"/>
      <c r="ITO4" s="484"/>
      <c r="ITP4" s="484"/>
      <c r="ITQ4" s="484"/>
      <c r="ITR4" s="484"/>
      <c r="ITS4" s="484"/>
      <c r="ITT4" s="484"/>
      <c r="ITU4" s="484"/>
      <c r="ITV4" s="484"/>
      <c r="ITW4" s="484"/>
      <c r="ITX4" s="484"/>
      <c r="ITY4" s="484"/>
      <c r="ITZ4" s="484"/>
      <c r="IUA4" s="484"/>
      <c r="IUB4" s="484"/>
      <c r="IUC4" s="484"/>
      <c r="IUD4" s="484"/>
      <c r="IUE4" s="484"/>
      <c r="IUF4" s="484"/>
      <c r="IUG4" s="484"/>
      <c r="IUH4" s="484"/>
      <c r="IUI4" s="484"/>
      <c r="IUJ4" s="484"/>
      <c r="IUK4" s="484"/>
      <c r="IUL4" s="484"/>
      <c r="IUM4" s="484"/>
      <c r="IUN4" s="484"/>
      <c r="IUO4" s="484"/>
      <c r="IUP4" s="484"/>
      <c r="IUQ4" s="484"/>
      <c r="IUR4" s="484"/>
      <c r="IUS4" s="484"/>
      <c r="IUT4" s="484"/>
      <c r="IUU4" s="484"/>
      <c r="IUV4" s="484"/>
      <c r="IUW4" s="484"/>
      <c r="IUX4" s="484"/>
      <c r="IUY4" s="484"/>
      <c r="IUZ4" s="484"/>
      <c r="IVA4" s="484"/>
      <c r="IVB4" s="484"/>
      <c r="IVC4" s="484"/>
      <c r="IVD4" s="484"/>
      <c r="IVE4" s="484"/>
      <c r="IVF4" s="484"/>
      <c r="IVG4" s="484"/>
      <c r="IVH4" s="484"/>
      <c r="IVI4" s="484"/>
      <c r="IVJ4" s="484"/>
      <c r="IVK4" s="484"/>
      <c r="IVL4" s="484"/>
      <c r="IVM4" s="484"/>
      <c r="IVN4" s="484"/>
      <c r="IVO4" s="484"/>
      <c r="IVP4" s="484"/>
      <c r="IVQ4" s="484"/>
      <c r="IVR4" s="484"/>
      <c r="IVS4" s="484"/>
      <c r="IVT4" s="484"/>
      <c r="IVU4" s="484"/>
      <c r="IVV4" s="484"/>
      <c r="IVW4" s="484"/>
      <c r="IVX4" s="484"/>
      <c r="IVY4" s="484"/>
      <c r="IVZ4" s="484"/>
      <c r="IWA4" s="484"/>
      <c r="IWB4" s="484"/>
      <c r="IWC4" s="484"/>
      <c r="IWD4" s="484"/>
      <c r="IWE4" s="484"/>
      <c r="IWF4" s="484"/>
      <c r="IWG4" s="484"/>
      <c r="IWH4" s="484"/>
      <c r="IWI4" s="484"/>
      <c r="IWJ4" s="484"/>
      <c r="IWK4" s="484"/>
      <c r="IWL4" s="484"/>
      <c r="IWM4" s="484"/>
      <c r="IWN4" s="484"/>
      <c r="IWO4" s="484"/>
      <c r="IWP4" s="484"/>
      <c r="IWQ4" s="484"/>
      <c r="IWR4" s="484"/>
      <c r="IWS4" s="484"/>
      <c r="IWT4" s="484"/>
      <c r="IWU4" s="484"/>
      <c r="IWV4" s="484"/>
      <c r="IWW4" s="484"/>
      <c r="IWX4" s="484"/>
      <c r="IWY4" s="484"/>
      <c r="IWZ4" s="484"/>
      <c r="IXA4" s="484"/>
      <c r="IXB4" s="484"/>
      <c r="IXC4" s="484"/>
      <c r="IXD4" s="484"/>
      <c r="IXE4" s="484"/>
      <c r="IXF4" s="484"/>
      <c r="IXG4" s="484"/>
      <c r="IXH4" s="484"/>
      <c r="IXI4" s="484"/>
      <c r="IXJ4" s="484"/>
      <c r="IXK4" s="484"/>
      <c r="IXL4" s="484"/>
      <c r="IXM4" s="484"/>
      <c r="IXN4" s="484"/>
      <c r="IXO4" s="484"/>
      <c r="IXP4" s="484"/>
      <c r="IXQ4" s="484"/>
      <c r="IXR4" s="484"/>
      <c r="IXS4" s="484"/>
      <c r="IXT4" s="484"/>
      <c r="IXU4" s="484"/>
      <c r="IXV4" s="484"/>
      <c r="IXW4" s="484"/>
      <c r="IXX4" s="484"/>
      <c r="IXY4" s="484"/>
      <c r="IXZ4" s="484"/>
      <c r="IYA4" s="484"/>
      <c r="IYB4" s="484"/>
      <c r="IYC4" s="484"/>
      <c r="IYD4" s="484"/>
      <c r="IYE4" s="484"/>
      <c r="IYF4" s="484"/>
      <c r="IYG4" s="484"/>
      <c r="IYH4" s="484"/>
      <c r="IYI4" s="484"/>
      <c r="IYJ4" s="484"/>
      <c r="IYK4" s="484"/>
      <c r="IYL4" s="484"/>
      <c r="IYM4" s="484"/>
      <c r="IYN4" s="484"/>
      <c r="IYO4" s="484"/>
      <c r="IYP4" s="484"/>
      <c r="IYQ4" s="484"/>
      <c r="IYR4" s="484"/>
      <c r="IYS4" s="484"/>
      <c r="IYT4" s="484"/>
      <c r="IYU4" s="484"/>
      <c r="IYV4" s="484"/>
      <c r="IYW4" s="484"/>
      <c r="IYX4" s="484"/>
      <c r="IYY4" s="484"/>
      <c r="IYZ4" s="484"/>
      <c r="IZA4" s="484"/>
      <c r="IZB4" s="484"/>
      <c r="IZC4" s="484"/>
      <c r="IZD4" s="484"/>
      <c r="IZE4" s="484"/>
      <c r="IZF4" s="484"/>
      <c r="IZG4" s="484"/>
      <c r="IZH4" s="484"/>
      <c r="IZI4" s="484"/>
      <c r="IZJ4" s="484"/>
      <c r="IZK4" s="484"/>
      <c r="IZL4" s="484"/>
      <c r="IZM4" s="484"/>
      <c r="IZN4" s="484"/>
      <c r="IZO4" s="484"/>
      <c r="IZP4" s="484"/>
      <c r="IZQ4" s="484"/>
      <c r="IZR4" s="484"/>
      <c r="IZS4" s="484"/>
      <c r="IZT4" s="484"/>
      <c r="IZU4" s="484"/>
      <c r="IZV4" s="484"/>
      <c r="IZW4" s="484"/>
      <c r="IZX4" s="484"/>
      <c r="IZY4" s="484"/>
      <c r="IZZ4" s="484"/>
      <c r="JAA4" s="484"/>
      <c r="JAB4" s="484"/>
      <c r="JAC4" s="484"/>
      <c r="JAD4" s="484"/>
      <c r="JAE4" s="484"/>
      <c r="JAF4" s="484"/>
      <c r="JAG4" s="484"/>
      <c r="JAH4" s="484"/>
      <c r="JAI4" s="484"/>
      <c r="JAJ4" s="484"/>
      <c r="JAK4" s="484"/>
      <c r="JAL4" s="484"/>
      <c r="JAM4" s="484"/>
      <c r="JAN4" s="484"/>
      <c r="JAO4" s="484"/>
      <c r="JAP4" s="484"/>
      <c r="JAQ4" s="484"/>
      <c r="JAR4" s="484"/>
      <c r="JAS4" s="484"/>
      <c r="JAT4" s="484"/>
      <c r="JAU4" s="484"/>
      <c r="JAV4" s="484"/>
      <c r="JAW4" s="484"/>
      <c r="JAX4" s="484"/>
      <c r="JAY4" s="484"/>
      <c r="JAZ4" s="484"/>
      <c r="JBA4" s="484"/>
      <c r="JBB4" s="484"/>
      <c r="JBC4" s="484"/>
      <c r="JBD4" s="484"/>
      <c r="JBE4" s="484"/>
      <c r="JBF4" s="484"/>
      <c r="JBG4" s="484"/>
      <c r="JBH4" s="484"/>
      <c r="JBI4" s="484"/>
      <c r="JBJ4" s="484"/>
      <c r="JBK4" s="484"/>
      <c r="JBL4" s="484"/>
      <c r="JBM4" s="484"/>
      <c r="JBN4" s="484"/>
      <c r="JBO4" s="484"/>
      <c r="JBP4" s="484"/>
      <c r="JBQ4" s="484"/>
      <c r="JBR4" s="484"/>
      <c r="JBS4" s="484"/>
      <c r="JBT4" s="484"/>
      <c r="JBU4" s="484"/>
      <c r="JBV4" s="484"/>
      <c r="JBW4" s="484"/>
      <c r="JBX4" s="484"/>
      <c r="JBY4" s="484"/>
      <c r="JBZ4" s="484"/>
      <c r="JCA4" s="484"/>
      <c r="JCB4" s="484"/>
      <c r="JCC4" s="484"/>
      <c r="JCD4" s="484"/>
      <c r="JCE4" s="484"/>
      <c r="JCF4" s="484"/>
      <c r="JCG4" s="484"/>
      <c r="JCH4" s="484"/>
      <c r="JCI4" s="484"/>
      <c r="JCJ4" s="484"/>
      <c r="JCK4" s="484"/>
      <c r="JCL4" s="484"/>
      <c r="JCM4" s="484"/>
      <c r="JCN4" s="484"/>
      <c r="JCO4" s="484"/>
      <c r="JCP4" s="484"/>
      <c r="JCQ4" s="484"/>
      <c r="JCR4" s="484"/>
      <c r="JCS4" s="484"/>
      <c r="JCT4" s="484"/>
      <c r="JCU4" s="484"/>
      <c r="JCV4" s="484"/>
      <c r="JCW4" s="484"/>
      <c r="JCX4" s="484"/>
      <c r="JCY4" s="484"/>
      <c r="JCZ4" s="484"/>
      <c r="JDA4" s="484"/>
      <c r="JDB4" s="484"/>
      <c r="JDC4" s="484"/>
      <c r="JDD4" s="484"/>
      <c r="JDE4" s="484"/>
      <c r="JDF4" s="484"/>
      <c r="JDG4" s="484"/>
      <c r="JDH4" s="484"/>
      <c r="JDI4" s="484"/>
      <c r="JDJ4" s="484"/>
      <c r="JDK4" s="484"/>
      <c r="JDL4" s="484"/>
      <c r="JDM4" s="484"/>
      <c r="JDN4" s="484"/>
      <c r="JDO4" s="484"/>
      <c r="JDP4" s="484"/>
      <c r="JDQ4" s="484"/>
      <c r="JDR4" s="484"/>
      <c r="JDS4" s="484"/>
      <c r="JDT4" s="484"/>
      <c r="JDU4" s="484"/>
      <c r="JDV4" s="484"/>
      <c r="JDW4" s="484"/>
      <c r="JDX4" s="484"/>
      <c r="JDY4" s="484"/>
      <c r="JDZ4" s="484"/>
      <c r="JEA4" s="484"/>
      <c r="JEB4" s="484"/>
      <c r="JEC4" s="484"/>
      <c r="JED4" s="484"/>
      <c r="JEE4" s="484"/>
      <c r="JEF4" s="484"/>
      <c r="JEG4" s="484"/>
      <c r="JEH4" s="484"/>
      <c r="JEI4" s="484"/>
      <c r="JEJ4" s="484"/>
      <c r="JEK4" s="484"/>
      <c r="JEL4" s="484"/>
      <c r="JEM4" s="484"/>
      <c r="JEN4" s="484"/>
      <c r="JEO4" s="484"/>
      <c r="JEP4" s="484"/>
      <c r="JEQ4" s="484"/>
      <c r="JER4" s="484"/>
      <c r="JES4" s="484"/>
      <c r="JET4" s="484"/>
      <c r="JEU4" s="484"/>
      <c r="JEV4" s="484"/>
      <c r="JEW4" s="484"/>
      <c r="JEX4" s="484"/>
      <c r="JEY4" s="484"/>
      <c r="JEZ4" s="484"/>
      <c r="JFA4" s="484"/>
      <c r="JFB4" s="484"/>
      <c r="JFC4" s="484"/>
      <c r="JFD4" s="484"/>
      <c r="JFE4" s="484"/>
      <c r="JFF4" s="484"/>
      <c r="JFG4" s="484"/>
      <c r="JFH4" s="484"/>
      <c r="JFI4" s="484"/>
      <c r="JFJ4" s="484"/>
      <c r="JFK4" s="484"/>
      <c r="JFL4" s="484"/>
      <c r="JFM4" s="484"/>
      <c r="JFN4" s="484"/>
      <c r="JFO4" s="484"/>
      <c r="JFP4" s="484"/>
      <c r="JFQ4" s="484"/>
      <c r="JFR4" s="484"/>
      <c r="JFS4" s="484"/>
      <c r="JFT4" s="484"/>
      <c r="JFU4" s="484"/>
      <c r="JFV4" s="484"/>
      <c r="JFW4" s="484"/>
      <c r="JFX4" s="484"/>
      <c r="JFY4" s="484"/>
      <c r="JFZ4" s="484"/>
      <c r="JGA4" s="484"/>
      <c r="JGB4" s="484"/>
      <c r="JGC4" s="484"/>
      <c r="JGD4" s="484"/>
      <c r="JGE4" s="484"/>
      <c r="JGF4" s="484"/>
      <c r="JGG4" s="484"/>
      <c r="JGH4" s="484"/>
      <c r="JGI4" s="484"/>
      <c r="JGJ4" s="484"/>
      <c r="JGK4" s="484"/>
      <c r="JGL4" s="484"/>
      <c r="JGM4" s="484"/>
      <c r="JGN4" s="484"/>
      <c r="JGO4" s="484"/>
      <c r="JGP4" s="484"/>
      <c r="JGQ4" s="484"/>
      <c r="JGR4" s="484"/>
      <c r="JGS4" s="484"/>
      <c r="JGT4" s="484"/>
      <c r="JGU4" s="484"/>
      <c r="JGV4" s="484"/>
      <c r="JGW4" s="484"/>
      <c r="JGX4" s="484"/>
      <c r="JGY4" s="484"/>
      <c r="JGZ4" s="484"/>
      <c r="JHA4" s="484"/>
      <c r="JHB4" s="484"/>
      <c r="JHC4" s="484"/>
      <c r="JHD4" s="484"/>
      <c r="JHE4" s="484"/>
      <c r="JHF4" s="484"/>
      <c r="JHG4" s="484"/>
      <c r="JHH4" s="484"/>
      <c r="JHI4" s="484"/>
      <c r="JHJ4" s="484"/>
      <c r="JHK4" s="484"/>
      <c r="JHL4" s="484"/>
      <c r="JHM4" s="484"/>
      <c r="JHN4" s="484"/>
      <c r="JHO4" s="484"/>
      <c r="JHP4" s="484"/>
      <c r="JHQ4" s="484"/>
      <c r="JHR4" s="484"/>
      <c r="JHS4" s="484"/>
      <c r="JHT4" s="484"/>
      <c r="JHU4" s="484"/>
      <c r="JHV4" s="484"/>
      <c r="JHW4" s="484"/>
      <c r="JHX4" s="484"/>
      <c r="JHY4" s="484"/>
      <c r="JHZ4" s="484"/>
      <c r="JIA4" s="484"/>
      <c r="JIB4" s="484"/>
      <c r="JIC4" s="484"/>
      <c r="JID4" s="484"/>
      <c r="JIE4" s="484"/>
      <c r="JIF4" s="484"/>
      <c r="JIG4" s="484"/>
      <c r="JIH4" s="484"/>
      <c r="JII4" s="484"/>
      <c r="JIJ4" s="484"/>
      <c r="JIK4" s="484"/>
      <c r="JIL4" s="484"/>
      <c r="JIM4" s="484"/>
      <c r="JIN4" s="484"/>
      <c r="JIO4" s="484"/>
      <c r="JIP4" s="484"/>
      <c r="JIQ4" s="484"/>
      <c r="JIR4" s="484"/>
      <c r="JIS4" s="484"/>
      <c r="JIT4" s="484"/>
      <c r="JIU4" s="484"/>
      <c r="JIV4" s="484"/>
      <c r="JIW4" s="484"/>
      <c r="JIX4" s="484"/>
      <c r="JIY4" s="484"/>
      <c r="JIZ4" s="484"/>
      <c r="JJA4" s="484"/>
      <c r="JJB4" s="484"/>
      <c r="JJC4" s="484"/>
      <c r="JJD4" s="484"/>
      <c r="JJE4" s="484"/>
      <c r="JJF4" s="484"/>
      <c r="JJG4" s="484"/>
      <c r="JJH4" s="484"/>
      <c r="JJI4" s="484"/>
      <c r="JJJ4" s="484"/>
      <c r="JJK4" s="484"/>
      <c r="JJL4" s="484"/>
      <c r="JJM4" s="484"/>
      <c r="JJN4" s="484"/>
      <c r="JJO4" s="484"/>
      <c r="JJP4" s="484"/>
      <c r="JJQ4" s="484"/>
      <c r="JJR4" s="484"/>
      <c r="JJS4" s="484"/>
      <c r="JJT4" s="484"/>
      <c r="JJU4" s="484"/>
      <c r="JJV4" s="484"/>
      <c r="JJW4" s="484"/>
      <c r="JJX4" s="484"/>
      <c r="JJY4" s="484"/>
      <c r="JJZ4" s="484"/>
      <c r="JKA4" s="484"/>
      <c r="JKB4" s="484"/>
      <c r="JKC4" s="484"/>
      <c r="JKD4" s="484"/>
      <c r="JKE4" s="484"/>
      <c r="JKF4" s="484"/>
      <c r="JKG4" s="484"/>
      <c r="JKH4" s="484"/>
      <c r="JKI4" s="484"/>
      <c r="JKJ4" s="484"/>
      <c r="JKK4" s="484"/>
      <c r="JKL4" s="484"/>
      <c r="JKM4" s="484"/>
      <c r="JKN4" s="484"/>
      <c r="JKO4" s="484"/>
      <c r="JKP4" s="484"/>
      <c r="JKQ4" s="484"/>
      <c r="JKR4" s="484"/>
      <c r="JKS4" s="484"/>
      <c r="JKT4" s="484"/>
      <c r="JKU4" s="484"/>
      <c r="JKV4" s="484"/>
      <c r="JKW4" s="484"/>
      <c r="JKX4" s="484"/>
      <c r="JKY4" s="484"/>
      <c r="JKZ4" s="484"/>
      <c r="JLA4" s="484"/>
      <c r="JLB4" s="484"/>
      <c r="JLC4" s="484"/>
      <c r="JLD4" s="484"/>
      <c r="JLE4" s="484"/>
      <c r="JLF4" s="484"/>
      <c r="JLG4" s="484"/>
      <c r="JLH4" s="484"/>
      <c r="JLI4" s="484"/>
      <c r="JLJ4" s="484"/>
      <c r="JLK4" s="484"/>
      <c r="JLL4" s="484"/>
      <c r="JLM4" s="484"/>
      <c r="JLN4" s="484"/>
      <c r="JLO4" s="484"/>
      <c r="JLP4" s="484"/>
      <c r="JLQ4" s="484"/>
      <c r="JLR4" s="484"/>
      <c r="JLS4" s="484"/>
      <c r="JLT4" s="484"/>
      <c r="JLU4" s="484"/>
      <c r="JLV4" s="484"/>
      <c r="JLW4" s="484"/>
      <c r="JLX4" s="484"/>
      <c r="JLY4" s="484"/>
      <c r="JLZ4" s="484"/>
      <c r="JMA4" s="484"/>
      <c r="JMB4" s="484"/>
      <c r="JMC4" s="484"/>
      <c r="JMD4" s="484"/>
      <c r="JME4" s="484"/>
      <c r="JMF4" s="484"/>
      <c r="JMG4" s="484"/>
      <c r="JMH4" s="484"/>
      <c r="JMI4" s="484"/>
      <c r="JMJ4" s="484"/>
      <c r="JMK4" s="484"/>
      <c r="JML4" s="484"/>
      <c r="JMM4" s="484"/>
      <c r="JMN4" s="484"/>
      <c r="JMO4" s="484"/>
      <c r="JMP4" s="484"/>
      <c r="JMQ4" s="484"/>
      <c r="JMR4" s="484"/>
      <c r="JMS4" s="484"/>
      <c r="JMT4" s="484"/>
      <c r="JMU4" s="484"/>
      <c r="JMV4" s="484"/>
      <c r="JMW4" s="484"/>
      <c r="JMX4" s="484"/>
      <c r="JMY4" s="484"/>
      <c r="JMZ4" s="484"/>
      <c r="JNA4" s="484"/>
      <c r="JNB4" s="484"/>
      <c r="JNC4" s="484"/>
      <c r="JND4" s="484"/>
      <c r="JNE4" s="484"/>
      <c r="JNF4" s="484"/>
      <c r="JNG4" s="484"/>
      <c r="JNH4" s="484"/>
      <c r="JNI4" s="484"/>
      <c r="JNJ4" s="484"/>
      <c r="JNK4" s="484"/>
      <c r="JNL4" s="484"/>
      <c r="JNM4" s="484"/>
      <c r="JNN4" s="484"/>
      <c r="JNO4" s="484"/>
      <c r="JNP4" s="484"/>
      <c r="JNQ4" s="484"/>
      <c r="JNR4" s="484"/>
      <c r="JNS4" s="484"/>
      <c r="JNT4" s="484"/>
      <c r="JNU4" s="484"/>
      <c r="JNV4" s="484"/>
      <c r="JNW4" s="484"/>
      <c r="JNX4" s="484"/>
      <c r="JNY4" s="484"/>
      <c r="JNZ4" s="484"/>
      <c r="JOA4" s="484"/>
      <c r="JOB4" s="484"/>
      <c r="JOC4" s="484"/>
      <c r="JOD4" s="484"/>
      <c r="JOE4" s="484"/>
      <c r="JOF4" s="484"/>
      <c r="JOG4" s="484"/>
      <c r="JOH4" s="484"/>
      <c r="JOI4" s="484"/>
      <c r="JOJ4" s="484"/>
      <c r="JOK4" s="484"/>
      <c r="JOL4" s="484"/>
      <c r="JOM4" s="484"/>
      <c r="JON4" s="484"/>
      <c r="JOO4" s="484"/>
      <c r="JOP4" s="484"/>
      <c r="JOQ4" s="484"/>
      <c r="JOR4" s="484"/>
      <c r="JOS4" s="484"/>
      <c r="JOT4" s="484"/>
      <c r="JOU4" s="484"/>
      <c r="JOV4" s="484"/>
      <c r="JOW4" s="484"/>
      <c r="JOX4" s="484"/>
      <c r="JOY4" s="484"/>
      <c r="JOZ4" s="484"/>
      <c r="JPA4" s="484"/>
      <c r="JPB4" s="484"/>
      <c r="JPC4" s="484"/>
      <c r="JPD4" s="484"/>
      <c r="JPE4" s="484"/>
      <c r="JPF4" s="484"/>
      <c r="JPG4" s="484"/>
      <c r="JPH4" s="484"/>
      <c r="JPI4" s="484"/>
      <c r="JPJ4" s="484"/>
      <c r="JPK4" s="484"/>
      <c r="JPL4" s="484"/>
      <c r="JPM4" s="484"/>
      <c r="JPN4" s="484"/>
      <c r="JPO4" s="484"/>
      <c r="JPP4" s="484"/>
      <c r="JPQ4" s="484"/>
      <c r="JPR4" s="484"/>
      <c r="JPS4" s="484"/>
      <c r="JPT4" s="484"/>
      <c r="JPU4" s="484"/>
      <c r="JPV4" s="484"/>
      <c r="JPW4" s="484"/>
      <c r="JPX4" s="484"/>
      <c r="JPY4" s="484"/>
      <c r="JPZ4" s="484"/>
      <c r="JQA4" s="484"/>
      <c r="JQB4" s="484"/>
      <c r="JQC4" s="484"/>
      <c r="JQD4" s="484"/>
      <c r="JQE4" s="484"/>
      <c r="JQF4" s="484"/>
      <c r="JQG4" s="484"/>
      <c r="JQH4" s="484"/>
      <c r="JQI4" s="484"/>
      <c r="JQJ4" s="484"/>
      <c r="JQK4" s="484"/>
      <c r="JQL4" s="484"/>
      <c r="JQM4" s="484"/>
      <c r="JQN4" s="484"/>
      <c r="JQO4" s="484"/>
      <c r="JQP4" s="484"/>
      <c r="JQQ4" s="484"/>
      <c r="JQR4" s="484"/>
      <c r="JQS4" s="484"/>
      <c r="JQT4" s="484"/>
      <c r="JQU4" s="484"/>
      <c r="JQV4" s="484"/>
      <c r="JQW4" s="484"/>
      <c r="JQX4" s="484"/>
      <c r="JQY4" s="484"/>
      <c r="JQZ4" s="484"/>
      <c r="JRA4" s="484"/>
      <c r="JRB4" s="484"/>
      <c r="JRC4" s="484"/>
      <c r="JRD4" s="484"/>
      <c r="JRE4" s="484"/>
      <c r="JRF4" s="484"/>
      <c r="JRG4" s="484"/>
      <c r="JRH4" s="484"/>
      <c r="JRI4" s="484"/>
      <c r="JRJ4" s="484"/>
      <c r="JRK4" s="484"/>
      <c r="JRL4" s="484"/>
      <c r="JRM4" s="484"/>
      <c r="JRN4" s="484"/>
      <c r="JRO4" s="484"/>
      <c r="JRP4" s="484"/>
      <c r="JRQ4" s="484"/>
      <c r="JRR4" s="484"/>
      <c r="JRS4" s="484"/>
      <c r="JRT4" s="484"/>
      <c r="JRU4" s="484"/>
      <c r="JRV4" s="484"/>
      <c r="JRW4" s="484"/>
      <c r="JRX4" s="484"/>
      <c r="JRY4" s="484"/>
      <c r="JRZ4" s="484"/>
      <c r="JSA4" s="484"/>
      <c r="JSB4" s="484"/>
      <c r="JSC4" s="484"/>
      <c r="JSD4" s="484"/>
      <c r="JSE4" s="484"/>
      <c r="JSF4" s="484"/>
      <c r="JSG4" s="484"/>
      <c r="JSH4" s="484"/>
      <c r="JSI4" s="484"/>
      <c r="JSJ4" s="484"/>
      <c r="JSK4" s="484"/>
      <c r="JSL4" s="484"/>
      <c r="JSM4" s="484"/>
      <c r="JSN4" s="484"/>
      <c r="JSO4" s="484"/>
      <c r="JSP4" s="484"/>
      <c r="JSQ4" s="484"/>
      <c r="JSR4" s="484"/>
      <c r="JSS4" s="484"/>
      <c r="JST4" s="484"/>
      <c r="JSU4" s="484"/>
      <c r="JSV4" s="484"/>
      <c r="JSW4" s="484"/>
      <c r="JSX4" s="484"/>
      <c r="JSY4" s="484"/>
      <c r="JSZ4" s="484"/>
      <c r="JTA4" s="484"/>
      <c r="JTB4" s="484"/>
      <c r="JTC4" s="484"/>
      <c r="JTD4" s="484"/>
      <c r="JTE4" s="484"/>
      <c r="JTF4" s="484"/>
      <c r="JTG4" s="484"/>
      <c r="JTH4" s="484"/>
      <c r="JTI4" s="484"/>
      <c r="JTJ4" s="484"/>
      <c r="JTK4" s="484"/>
      <c r="JTL4" s="484"/>
      <c r="JTM4" s="484"/>
      <c r="JTN4" s="484"/>
      <c r="JTO4" s="484"/>
      <c r="JTP4" s="484"/>
      <c r="JTQ4" s="484"/>
      <c r="JTR4" s="484"/>
      <c r="JTS4" s="484"/>
      <c r="JTT4" s="484"/>
      <c r="JTU4" s="484"/>
      <c r="JTV4" s="484"/>
      <c r="JTW4" s="484"/>
      <c r="JTX4" s="484"/>
      <c r="JTY4" s="484"/>
      <c r="JTZ4" s="484"/>
      <c r="JUA4" s="484"/>
      <c r="JUB4" s="484"/>
      <c r="JUC4" s="484"/>
      <c r="JUD4" s="484"/>
      <c r="JUE4" s="484"/>
      <c r="JUF4" s="484"/>
      <c r="JUG4" s="484"/>
      <c r="JUH4" s="484"/>
      <c r="JUI4" s="484"/>
      <c r="JUJ4" s="484"/>
      <c r="JUK4" s="484"/>
      <c r="JUL4" s="484"/>
      <c r="JUM4" s="484"/>
      <c r="JUN4" s="484"/>
      <c r="JUO4" s="484"/>
      <c r="JUP4" s="484"/>
      <c r="JUQ4" s="484"/>
      <c r="JUR4" s="484"/>
      <c r="JUS4" s="484"/>
      <c r="JUT4" s="484"/>
      <c r="JUU4" s="484"/>
      <c r="JUV4" s="484"/>
      <c r="JUW4" s="484"/>
      <c r="JUX4" s="484"/>
      <c r="JUY4" s="484"/>
      <c r="JUZ4" s="484"/>
      <c r="JVA4" s="484"/>
      <c r="JVB4" s="484"/>
      <c r="JVC4" s="484"/>
      <c r="JVD4" s="484"/>
      <c r="JVE4" s="484"/>
      <c r="JVF4" s="484"/>
      <c r="JVG4" s="484"/>
      <c r="JVH4" s="484"/>
      <c r="JVI4" s="484"/>
      <c r="JVJ4" s="484"/>
      <c r="JVK4" s="484"/>
      <c r="JVL4" s="484"/>
      <c r="JVM4" s="484"/>
      <c r="JVN4" s="484"/>
      <c r="JVO4" s="484"/>
      <c r="JVP4" s="484"/>
      <c r="JVQ4" s="484"/>
      <c r="JVR4" s="484"/>
      <c r="JVS4" s="484"/>
      <c r="JVT4" s="484"/>
      <c r="JVU4" s="484"/>
      <c r="JVV4" s="484"/>
      <c r="JVW4" s="484"/>
      <c r="JVX4" s="484"/>
      <c r="JVY4" s="484"/>
      <c r="JVZ4" s="484"/>
      <c r="JWA4" s="484"/>
      <c r="JWB4" s="484"/>
      <c r="JWC4" s="484"/>
      <c r="JWD4" s="484"/>
      <c r="JWE4" s="484"/>
      <c r="JWF4" s="484"/>
      <c r="JWG4" s="484"/>
      <c r="JWH4" s="484"/>
      <c r="JWI4" s="484"/>
      <c r="JWJ4" s="484"/>
      <c r="JWK4" s="484"/>
      <c r="JWL4" s="484"/>
      <c r="JWM4" s="484"/>
      <c r="JWN4" s="484"/>
      <c r="JWO4" s="484"/>
      <c r="JWP4" s="484"/>
      <c r="JWQ4" s="484"/>
      <c r="JWR4" s="484"/>
      <c r="JWS4" s="484"/>
      <c r="JWT4" s="484"/>
      <c r="JWU4" s="484"/>
      <c r="JWV4" s="484"/>
      <c r="JWW4" s="484"/>
      <c r="JWX4" s="484"/>
      <c r="JWY4" s="484"/>
      <c r="JWZ4" s="484"/>
      <c r="JXA4" s="484"/>
      <c r="JXB4" s="484"/>
      <c r="JXC4" s="484"/>
      <c r="JXD4" s="484"/>
      <c r="JXE4" s="484"/>
      <c r="JXF4" s="484"/>
      <c r="JXG4" s="484"/>
      <c r="JXH4" s="484"/>
      <c r="JXI4" s="484"/>
      <c r="JXJ4" s="484"/>
      <c r="JXK4" s="484"/>
      <c r="JXL4" s="484"/>
      <c r="JXM4" s="484"/>
      <c r="JXN4" s="484"/>
      <c r="JXO4" s="484"/>
      <c r="JXP4" s="484"/>
      <c r="JXQ4" s="484"/>
      <c r="JXR4" s="484"/>
      <c r="JXS4" s="484"/>
      <c r="JXT4" s="484"/>
      <c r="JXU4" s="484"/>
      <c r="JXV4" s="484"/>
      <c r="JXW4" s="484"/>
      <c r="JXX4" s="484"/>
      <c r="JXY4" s="484"/>
      <c r="JXZ4" s="484"/>
      <c r="JYA4" s="484"/>
      <c r="JYB4" s="484"/>
      <c r="JYC4" s="484"/>
      <c r="JYD4" s="484"/>
      <c r="JYE4" s="484"/>
      <c r="JYF4" s="484"/>
      <c r="JYG4" s="484"/>
      <c r="JYH4" s="484"/>
      <c r="JYI4" s="484"/>
      <c r="JYJ4" s="484"/>
      <c r="JYK4" s="484"/>
      <c r="JYL4" s="484"/>
      <c r="JYM4" s="484"/>
      <c r="JYN4" s="484"/>
      <c r="JYO4" s="484"/>
      <c r="JYP4" s="484"/>
      <c r="JYQ4" s="484"/>
      <c r="JYR4" s="484"/>
      <c r="JYS4" s="484"/>
      <c r="JYT4" s="484"/>
      <c r="JYU4" s="484"/>
      <c r="JYV4" s="484"/>
      <c r="JYW4" s="484"/>
      <c r="JYX4" s="484"/>
      <c r="JYY4" s="484"/>
      <c r="JYZ4" s="484"/>
      <c r="JZA4" s="484"/>
      <c r="JZB4" s="484"/>
      <c r="JZC4" s="484"/>
      <c r="JZD4" s="484"/>
      <c r="JZE4" s="484"/>
      <c r="JZF4" s="484"/>
      <c r="JZG4" s="484"/>
      <c r="JZH4" s="484"/>
      <c r="JZI4" s="484"/>
      <c r="JZJ4" s="484"/>
      <c r="JZK4" s="484"/>
      <c r="JZL4" s="484"/>
      <c r="JZM4" s="484"/>
      <c r="JZN4" s="484"/>
      <c r="JZO4" s="484"/>
      <c r="JZP4" s="484"/>
      <c r="JZQ4" s="484"/>
      <c r="JZR4" s="484"/>
      <c r="JZS4" s="484"/>
      <c r="JZT4" s="484"/>
      <c r="JZU4" s="484"/>
      <c r="JZV4" s="484"/>
      <c r="JZW4" s="484"/>
      <c r="JZX4" s="484"/>
      <c r="JZY4" s="484"/>
      <c r="JZZ4" s="484"/>
      <c r="KAA4" s="484"/>
      <c r="KAB4" s="484"/>
      <c r="KAC4" s="484"/>
      <c r="KAD4" s="484"/>
      <c r="KAE4" s="484"/>
      <c r="KAF4" s="484"/>
      <c r="KAG4" s="484"/>
      <c r="KAH4" s="484"/>
      <c r="KAI4" s="484"/>
      <c r="KAJ4" s="484"/>
      <c r="KAK4" s="484"/>
      <c r="KAL4" s="484"/>
      <c r="KAM4" s="484"/>
      <c r="KAN4" s="484"/>
      <c r="KAO4" s="484"/>
      <c r="KAP4" s="484"/>
      <c r="KAQ4" s="484"/>
      <c r="KAR4" s="484"/>
      <c r="KAS4" s="484"/>
      <c r="KAT4" s="484"/>
      <c r="KAU4" s="484"/>
      <c r="KAV4" s="484"/>
      <c r="KAW4" s="484"/>
      <c r="KAX4" s="484"/>
      <c r="KAY4" s="484"/>
      <c r="KAZ4" s="484"/>
      <c r="KBA4" s="484"/>
      <c r="KBB4" s="484"/>
      <c r="KBC4" s="484"/>
      <c r="KBD4" s="484"/>
      <c r="KBE4" s="484"/>
      <c r="KBF4" s="484"/>
      <c r="KBG4" s="484"/>
      <c r="KBH4" s="484"/>
      <c r="KBI4" s="484"/>
      <c r="KBJ4" s="484"/>
      <c r="KBK4" s="484"/>
      <c r="KBL4" s="484"/>
      <c r="KBM4" s="484"/>
      <c r="KBN4" s="484"/>
      <c r="KBO4" s="484"/>
      <c r="KBP4" s="484"/>
      <c r="KBQ4" s="484"/>
      <c r="KBR4" s="484"/>
      <c r="KBS4" s="484"/>
      <c r="KBT4" s="484"/>
      <c r="KBU4" s="484"/>
      <c r="KBV4" s="484"/>
      <c r="KBW4" s="484"/>
      <c r="KBX4" s="484"/>
      <c r="KBY4" s="484"/>
      <c r="KBZ4" s="484"/>
      <c r="KCA4" s="484"/>
      <c r="KCB4" s="484"/>
      <c r="KCC4" s="484"/>
      <c r="KCD4" s="484"/>
      <c r="KCE4" s="484"/>
      <c r="KCF4" s="484"/>
      <c r="KCG4" s="484"/>
      <c r="KCH4" s="484"/>
      <c r="KCI4" s="484"/>
      <c r="KCJ4" s="484"/>
      <c r="KCK4" s="484"/>
      <c r="KCL4" s="484"/>
      <c r="KCM4" s="484"/>
      <c r="KCN4" s="484"/>
      <c r="KCO4" s="484"/>
      <c r="KCP4" s="484"/>
      <c r="KCQ4" s="484"/>
      <c r="KCR4" s="484"/>
      <c r="KCS4" s="484"/>
      <c r="KCT4" s="484"/>
      <c r="KCU4" s="484"/>
      <c r="KCV4" s="484"/>
      <c r="KCW4" s="484"/>
      <c r="KCX4" s="484"/>
      <c r="KCY4" s="484"/>
      <c r="KCZ4" s="484"/>
      <c r="KDA4" s="484"/>
      <c r="KDB4" s="484"/>
      <c r="KDC4" s="484"/>
      <c r="KDD4" s="484"/>
      <c r="KDE4" s="484"/>
      <c r="KDF4" s="484"/>
      <c r="KDG4" s="484"/>
      <c r="KDH4" s="484"/>
      <c r="KDI4" s="484"/>
      <c r="KDJ4" s="484"/>
      <c r="KDK4" s="484"/>
      <c r="KDL4" s="484"/>
      <c r="KDM4" s="484"/>
      <c r="KDN4" s="484"/>
      <c r="KDO4" s="484"/>
      <c r="KDP4" s="484"/>
      <c r="KDQ4" s="484"/>
      <c r="KDR4" s="484"/>
      <c r="KDS4" s="484"/>
      <c r="KDT4" s="484"/>
      <c r="KDU4" s="484"/>
      <c r="KDV4" s="484"/>
      <c r="KDW4" s="484"/>
      <c r="KDX4" s="484"/>
      <c r="KDY4" s="484"/>
      <c r="KDZ4" s="484"/>
      <c r="KEA4" s="484"/>
      <c r="KEB4" s="484"/>
      <c r="KEC4" s="484"/>
      <c r="KED4" s="484"/>
      <c r="KEE4" s="484"/>
      <c r="KEF4" s="484"/>
      <c r="KEG4" s="484"/>
      <c r="KEH4" s="484"/>
      <c r="KEI4" s="484"/>
      <c r="KEJ4" s="484"/>
      <c r="KEK4" s="484"/>
      <c r="KEL4" s="484"/>
      <c r="KEM4" s="484"/>
      <c r="KEN4" s="484"/>
      <c r="KEO4" s="484"/>
      <c r="KEP4" s="484"/>
      <c r="KEQ4" s="484"/>
      <c r="KER4" s="484"/>
      <c r="KES4" s="484"/>
      <c r="KET4" s="484"/>
      <c r="KEU4" s="484"/>
      <c r="KEV4" s="484"/>
      <c r="KEW4" s="484"/>
      <c r="KEX4" s="484"/>
      <c r="KEY4" s="484"/>
      <c r="KEZ4" s="484"/>
      <c r="KFA4" s="484"/>
      <c r="KFB4" s="484"/>
      <c r="KFC4" s="484"/>
      <c r="KFD4" s="484"/>
      <c r="KFE4" s="484"/>
      <c r="KFF4" s="484"/>
      <c r="KFG4" s="484"/>
      <c r="KFH4" s="484"/>
      <c r="KFI4" s="484"/>
      <c r="KFJ4" s="484"/>
      <c r="KFK4" s="484"/>
      <c r="KFL4" s="484"/>
      <c r="KFM4" s="484"/>
      <c r="KFN4" s="484"/>
      <c r="KFO4" s="484"/>
      <c r="KFP4" s="484"/>
      <c r="KFQ4" s="484"/>
      <c r="KFR4" s="484"/>
      <c r="KFS4" s="484"/>
      <c r="KFT4" s="484"/>
      <c r="KFU4" s="484"/>
      <c r="KFV4" s="484"/>
      <c r="KFW4" s="484"/>
      <c r="KFX4" s="484"/>
      <c r="KFY4" s="484"/>
      <c r="KFZ4" s="484"/>
      <c r="KGA4" s="484"/>
      <c r="KGB4" s="484"/>
      <c r="KGC4" s="484"/>
      <c r="KGD4" s="484"/>
      <c r="KGE4" s="484"/>
      <c r="KGF4" s="484"/>
      <c r="KGG4" s="484"/>
      <c r="KGH4" s="484"/>
      <c r="KGI4" s="484"/>
      <c r="KGJ4" s="484"/>
      <c r="KGK4" s="484"/>
      <c r="KGL4" s="484"/>
      <c r="KGM4" s="484"/>
      <c r="KGN4" s="484"/>
      <c r="KGO4" s="484"/>
      <c r="KGP4" s="484"/>
      <c r="KGQ4" s="484"/>
      <c r="KGR4" s="484"/>
      <c r="KGS4" s="484"/>
      <c r="KGT4" s="484"/>
      <c r="KGU4" s="484"/>
      <c r="KGV4" s="484"/>
      <c r="KGW4" s="484"/>
      <c r="KGX4" s="484"/>
      <c r="KGY4" s="484"/>
      <c r="KGZ4" s="484"/>
      <c r="KHA4" s="484"/>
      <c r="KHB4" s="484"/>
      <c r="KHC4" s="484"/>
      <c r="KHD4" s="484"/>
      <c r="KHE4" s="484"/>
      <c r="KHF4" s="484"/>
      <c r="KHG4" s="484"/>
      <c r="KHH4" s="484"/>
      <c r="KHI4" s="484"/>
      <c r="KHJ4" s="484"/>
      <c r="KHK4" s="484"/>
      <c r="KHL4" s="484"/>
      <c r="KHM4" s="484"/>
      <c r="KHN4" s="484"/>
      <c r="KHO4" s="484"/>
      <c r="KHP4" s="484"/>
      <c r="KHQ4" s="484"/>
      <c r="KHR4" s="484"/>
      <c r="KHS4" s="484"/>
      <c r="KHT4" s="484"/>
      <c r="KHU4" s="484"/>
      <c r="KHV4" s="484"/>
      <c r="KHW4" s="484"/>
      <c r="KHX4" s="484"/>
      <c r="KHY4" s="484"/>
      <c r="KHZ4" s="484"/>
      <c r="KIA4" s="484"/>
      <c r="KIB4" s="484"/>
      <c r="KIC4" s="484"/>
      <c r="KID4" s="484"/>
      <c r="KIE4" s="484"/>
      <c r="KIF4" s="484"/>
      <c r="KIG4" s="484"/>
      <c r="KIH4" s="484"/>
      <c r="KII4" s="484"/>
      <c r="KIJ4" s="484"/>
      <c r="KIK4" s="484"/>
      <c r="KIL4" s="484"/>
      <c r="KIM4" s="484"/>
      <c r="KIN4" s="484"/>
      <c r="KIO4" s="484"/>
      <c r="KIP4" s="484"/>
      <c r="KIQ4" s="484"/>
      <c r="KIR4" s="484"/>
      <c r="KIS4" s="484"/>
      <c r="KIT4" s="484"/>
      <c r="KIU4" s="484"/>
      <c r="KIV4" s="484"/>
      <c r="KIW4" s="484"/>
      <c r="KIX4" s="484"/>
      <c r="KIY4" s="484"/>
      <c r="KIZ4" s="484"/>
      <c r="KJA4" s="484"/>
      <c r="KJB4" s="484"/>
      <c r="KJC4" s="484"/>
      <c r="KJD4" s="484"/>
      <c r="KJE4" s="484"/>
      <c r="KJF4" s="484"/>
      <c r="KJG4" s="484"/>
      <c r="KJH4" s="484"/>
      <c r="KJI4" s="484"/>
      <c r="KJJ4" s="484"/>
      <c r="KJK4" s="484"/>
      <c r="KJL4" s="484"/>
      <c r="KJM4" s="484"/>
      <c r="KJN4" s="484"/>
      <c r="KJO4" s="484"/>
      <c r="KJP4" s="484"/>
      <c r="KJQ4" s="484"/>
      <c r="KJR4" s="484"/>
      <c r="KJS4" s="484"/>
      <c r="KJT4" s="484"/>
      <c r="KJU4" s="484"/>
      <c r="KJV4" s="484"/>
      <c r="KJW4" s="484"/>
      <c r="KJX4" s="484"/>
      <c r="KJY4" s="484"/>
      <c r="KJZ4" s="484"/>
      <c r="KKA4" s="484"/>
      <c r="KKB4" s="484"/>
      <c r="KKC4" s="484"/>
      <c r="KKD4" s="484"/>
      <c r="KKE4" s="484"/>
      <c r="KKF4" s="484"/>
      <c r="KKG4" s="484"/>
      <c r="KKH4" s="484"/>
      <c r="KKI4" s="484"/>
      <c r="KKJ4" s="484"/>
      <c r="KKK4" s="484"/>
      <c r="KKL4" s="484"/>
      <c r="KKM4" s="484"/>
      <c r="KKN4" s="484"/>
      <c r="KKO4" s="484"/>
      <c r="KKP4" s="484"/>
      <c r="KKQ4" s="484"/>
      <c r="KKR4" s="484"/>
      <c r="KKS4" s="484"/>
      <c r="KKT4" s="484"/>
      <c r="KKU4" s="484"/>
      <c r="KKV4" s="484"/>
      <c r="KKW4" s="484"/>
      <c r="KKX4" s="484"/>
      <c r="KKY4" s="484"/>
      <c r="KKZ4" s="484"/>
      <c r="KLA4" s="484"/>
      <c r="KLB4" s="484"/>
      <c r="KLC4" s="484"/>
      <c r="KLD4" s="484"/>
      <c r="KLE4" s="484"/>
      <c r="KLF4" s="484"/>
      <c r="KLG4" s="484"/>
      <c r="KLH4" s="484"/>
      <c r="KLI4" s="484"/>
      <c r="KLJ4" s="484"/>
      <c r="KLK4" s="484"/>
      <c r="KLL4" s="484"/>
      <c r="KLM4" s="484"/>
      <c r="KLN4" s="484"/>
      <c r="KLO4" s="484"/>
      <c r="KLP4" s="484"/>
      <c r="KLQ4" s="484"/>
      <c r="KLR4" s="484"/>
      <c r="KLS4" s="484"/>
      <c r="KLT4" s="484"/>
      <c r="KLU4" s="484"/>
      <c r="KLV4" s="484"/>
      <c r="KLW4" s="484"/>
      <c r="KLX4" s="484"/>
      <c r="KLY4" s="484"/>
      <c r="KLZ4" s="484"/>
      <c r="KMA4" s="484"/>
      <c r="KMB4" s="484"/>
      <c r="KMC4" s="484"/>
      <c r="KMD4" s="484"/>
      <c r="KME4" s="484"/>
      <c r="KMF4" s="484"/>
      <c r="KMG4" s="484"/>
      <c r="KMH4" s="484"/>
      <c r="KMI4" s="484"/>
      <c r="KMJ4" s="484"/>
      <c r="KMK4" s="484"/>
      <c r="KML4" s="484"/>
      <c r="KMM4" s="484"/>
      <c r="KMN4" s="484"/>
      <c r="KMO4" s="484"/>
      <c r="KMP4" s="484"/>
      <c r="KMQ4" s="484"/>
      <c r="KMR4" s="484"/>
      <c r="KMS4" s="484"/>
      <c r="KMT4" s="484"/>
      <c r="KMU4" s="484"/>
      <c r="KMV4" s="484"/>
      <c r="KMW4" s="484"/>
      <c r="KMX4" s="484"/>
      <c r="KMY4" s="484"/>
      <c r="KMZ4" s="484"/>
      <c r="KNA4" s="484"/>
      <c r="KNB4" s="484"/>
      <c r="KNC4" s="484"/>
      <c r="KND4" s="484"/>
      <c r="KNE4" s="484"/>
      <c r="KNF4" s="484"/>
      <c r="KNG4" s="484"/>
      <c r="KNH4" s="484"/>
      <c r="KNI4" s="484"/>
      <c r="KNJ4" s="484"/>
      <c r="KNK4" s="484"/>
      <c r="KNL4" s="484"/>
      <c r="KNM4" s="484"/>
      <c r="KNN4" s="484"/>
      <c r="KNO4" s="484"/>
      <c r="KNP4" s="484"/>
      <c r="KNQ4" s="484"/>
      <c r="KNR4" s="484"/>
      <c r="KNS4" s="484"/>
      <c r="KNT4" s="484"/>
      <c r="KNU4" s="484"/>
      <c r="KNV4" s="484"/>
      <c r="KNW4" s="484"/>
      <c r="KNX4" s="484"/>
      <c r="KNY4" s="484"/>
      <c r="KNZ4" s="484"/>
      <c r="KOA4" s="484"/>
      <c r="KOB4" s="484"/>
      <c r="KOC4" s="484"/>
      <c r="KOD4" s="484"/>
      <c r="KOE4" s="484"/>
      <c r="KOF4" s="484"/>
      <c r="KOG4" s="484"/>
      <c r="KOH4" s="484"/>
      <c r="KOI4" s="484"/>
      <c r="KOJ4" s="484"/>
      <c r="KOK4" s="484"/>
      <c r="KOL4" s="484"/>
      <c r="KOM4" s="484"/>
      <c r="KON4" s="484"/>
      <c r="KOO4" s="484"/>
      <c r="KOP4" s="484"/>
      <c r="KOQ4" s="484"/>
      <c r="KOR4" s="484"/>
      <c r="KOS4" s="484"/>
      <c r="KOT4" s="484"/>
      <c r="KOU4" s="484"/>
      <c r="KOV4" s="484"/>
      <c r="KOW4" s="484"/>
      <c r="KOX4" s="484"/>
      <c r="KOY4" s="484"/>
      <c r="KOZ4" s="484"/>
      <c r="KPA4" s="484"/>
      <c r="KPB4" s="484"/>
      <c r="KPC4" s="484"/>
      <c r="KPD4" s="484"/>
      <c r="KPE4" s="484"/>
      <c r="KPF4" s="484"/>
      <c r="KPG4" s="484"/>
      <c r="KPH4" s="484"/>
      <c r="KPI4" s="484"/>
      <c r="KPJ4" s="484"/>
      <c r="KPK4" s="484"/>
      <c r="KPL4" s="484"/>
      <c r="KPM4" s="484"/>
      <c r="KPN4" s="484"/>
      <c r="KPO4" s="484"/>
      <c r="KPP4" s="484"/>
      <c r="KPQ4" s="484"/>
      <c r="KPR4" s="484"/>
      <c r="KPS4" s="484"/>
      <c r="KPT4" s="484"/>
      <c r="KPU4" s="484"/>
      <c r="KPV4" s="484"/>
      <c r="KPW4" s="484"/>
      <c r="KPX4" s="484"/>
      <c r="KPY4" s="484"/>
      <c r="KPZ4" s="484"/>
      <c r="KQA4" s="484"/>
      <c r="KQB4" s="484"/>
      <c r="KQC4" s="484"/>
      <c r="KQD4" s="484"/>
      <c r="KQE4" s="484"/>
      <c r="KQF4" s="484"/>
      <c r="KQG4" s="484"/>
      <c r="KQH4" s="484"/>
      <c r="KQI4" s="484"/>
      <c r="KQJ4" s="484"/>
      <c r="KQK4" s="484"/>
      <c r="KQL4" s="484"/>
      <c r="KQM4" s="484"/>
      <c r="KQN4" s="484"/>
      <c r="KQO4" s="484"/>
      <c r="KQP4" s="484"/>
      <c r="KQQ4" s="484"/>
      <c r="KQR4" s="484"/>
      <c r="KQS4" s="484"/>
      <c r="KQT4" s="484"/>
      <c r="KQU4" s="484"/>
      <c r="KQV4" s="484"/>
      <c r="KQW4" s="484"/>
      <c r="KQX4" s="484"/>
      <c r="KQY4" s="484"/>
      <c r="KQZ4" s="484"/>
      <c r="KRA4" s="484"/>
      <c r="KRB4" s="484"/>
      <c r="KRC4" s="484"/>
      <c r="KRD4" s="484"/>
      <c r="KRE4" s="484"/>
      <c r="KRF4" s="484"/>
      <c r="KRG4" s="484"/>
      <c r="KRH4" s="484"/>
      <c r="KRI4" s="484"/>
      <c r="KRJ4" s="484"/>
      <c r="KRK4" s="484"/>
      <c r="KRL4" s="484"/>
      <c r="KRM4" s="484"/>
      <c r="KRN4" s="484"/>
      <c r="KRO4" s="484"/>
      <c r="KRP4" s="484"/>
      <c r="KRQ4" s="484"/>
      <c r="KRR4" s="484"/>
      <c r="KRS4" s="484"/>
      <c r="KRT4" s="484"/>
      <c r="KRU4" s="484"/>
      <c r="KRV4" s="484"/>
      <c r="KRW4" s="484"/>
      <c r="KRX4" s="484"/>
      <c r="KRY4" s="484"/>
      <c r="KRZ4" s="484"/>
      <c r="KSA4" s="484"/>
      <c r="KSB4" s="484"/>
      <c r="KSC4" s="484"/>
      <c r="KSD4" s="484"/>
      <c r="KSE4" s="484"/>
      <c r="KSF4" s="484"/>
      <c r="KSG4" s="484"/>
      <c r="KSH4" s="484"/>
      <c r="KSI4" s="484"/>
      <c r="KSJ4" s="484"/>
      <c r="KSK4" s="484"/>
      <c r="KSL4" s="484"/>
      <c r="KSM4" s="484"/>
      <c r="KSN4" s="484"/>
      <c r="KSO4" s="484"/>
      <c r="KSP4" s="484"/>
      <c r="KSQ4" s="484"/>
      <c r="KSR4" s="484"/>
      <c r="KSS4" s="484"/>
      <c r="KST4" s="484"/>
      <c r="KSU4" s="484"/>
      <c r="KSV4" s="484"/>
      <c r="KSW4" s="484"/>
      <c r="KSX4" s="484"/>
      <c r="KSY4" s="484"/>
      <c r="KSZ4" s="484"/>
      <c r="KTA4" s="484"/>
      <c r="KTB4" s="484"/>
      <c r="KTC4" s="484"/>
      <c r="KTD4" s="484"/>
      <c r="KTE4" s="484"/>
      <c r="KTF4" s="484"/>
      <c r="KTG4" s="484"/>
      <c r="KTH4" s="484"/>
      <c r="KTI4" s="484"/>
      <c r="KTJ4" s="484"/>
      <c r="KTK4" s="484"/>
      <c r="KTL4" s="484"/>
      <c r="KTM4" s="484"/>
      <c r="KTN4" s="484"/>
      <c r="KTO4" s="484"/>
      <c r="KTP4" s="484"/>
      <c r="KTQ4" s="484"/>
      <c r="KTR4" s="484"/>
      <c r="KTS4" s="484"/>
      <c r="KTT4" s="484"/>
      <c r="KTU4" s="484"/>
      <c r="KTV4" s="484"/>
      <c r="KTW4" s="484"/>
      <c r="KTX4" s="484"/>
      <c r="KTY4" s="484"/>
      <c r="KTZ4" s="484"/>
      <c r="KUA4" s="484"/>
      <c r="KUB4" s="484"/>
      <c r="KUC4" s="484"/>
      <c r="KUD4" s="484"/>
      <c r="KUE4" s="484"/>
      <c r="KUF4" s="484"/>
      <c r="KUG4" s="484"/>
      <c r="KUH4" s="484"/>
      <c r="KUI4" s="484"/>
      <c r="KUJ4" s="484"/>
      <c r="KUK4" s="484"/>
      <c r="KUL4" s="484"/>
      <c r="KUM4" s="484"/>
      <c r="KUN4" s="484"/>
      <c r="KUO4" s="484"/>
      <c r="KUP4" s="484"/>
      <c r="KUQ4" s="484"/>
      <c r="KUR4" s="484"/>
      <c r="KUS4" s="484"/>
      <c r="KUT4" s="484"/>
      <c r="KUU4" s="484"/>
      <c r="KUV4" s="484"/>
      <c r="KUW4" s="484"/>
      <c r="KUX4" s="484"/>
      <c r="KUY4" s="484"/>
      <c r="KUZ4" s="484"/>
      <c r="KVA4" s="484"/>
      <c r="KVB4" s="484"/>
      <c r="KVC4" s="484"/>
      <c r="KVD4" s="484"/>
      <c r="KVE4" s="484"/>
      <c r="KVF4" s="484"/>
      <c r="KVG4" s="484"/>
      <c r="KVH4" s="484"/>
      <c r="KVI4" s="484"/>
      <c r="KVJ4" s="484"/>
      <c r="KVK4" s="484"/>
      <c r="KVL4" s="484"/>
      <c r="KVM4" s="484"/>
      <c r="KVN4" s="484"/>
      <c r="KVO4" s="484"/>
      <c r="KVP4" s="484"/>
      <c r="KVQ4" s="484"/>
      <c r="KVR4" s="484"/>
      <c r="KVS4" s="484"/>
      <c r="KVT4" s="484"/>
      <c r="KVU4" s="484"/>
      <c r="KVV4" s="484"/>
      <c r="KVW4" s="484"/>
      <c r="KVX4" s="484"/>
      <c r="KVY4" s="484"/>
      <c r="KVZ4" s="484"/>
      <c r="KWA4" s="484"/>
      <c r="KWB4" s="484"/>
      <c r="KWC4" s="484"/>
      <c r="KWD4" s="484"/>
      <c r="KWE4" s="484"/>
      <c r="KWF4" s="484"/>
      <c r="KWG4" s="484"/>
      <c r="KWH4" s="484"/>
      <c r="KWI4" s="484"/>
      <c r="KWJ4" s="484"/>
      <c r="KWK4" s="484"/>
      <c r="KWL4" s="484"/>
      <c r="KWM4" s="484"/>
      <c r="KWN4" s="484"/>
      <c r="KWO4" s="484"/>
      <c r="KWP4" s="484"/>
      <c r="KWQ4" s="484"/>
      <c r="KWR4" s="484"/>
      <c r="KWS4" s="484"/>
      <c r="KWT4" s="484"/>
      <c r="KWU4" s="484"/>
      <c r="KWV4" s="484"/>
      <c r="KWW4" s="484"/>
      <c r="KWX4" s="484"/>
      <c r="KWY4" s="484"/>
      <c r="KWZ4" s="484"/>
      <c r="KXA4" s="484"/>
      <c r="KXB4" s="484"/>
      <c r="KXC4" s="484"/>
      <c r="KXD4" s="484"/>
      <c r="KXE4" s="484"/>
      <c r="KXF4" s="484"/>
      <c r="KXG4" s="484"/>
      <c r="KXH4" s="484"/>
      <c r="KXI4" s="484"/>
      <c r="KXJ4" s="484"/>
      <c r="KXK4" s="484"/>
      <c r="KXL4" s="484"/>
      <c r="KXM4" s="484"/>
      <c r="KXN4" s="484"/>
      <c r="KXO4" s="484"/>
      <c r="KXP4" s="484"/>
      <c r="KXQ4" s="484"/>
      <c r="KXR4" s="484"/>
      <c r="KXS4" s="484"/>
      <c r="KXT4" s="484"/>
      <c r="KXU4" s="484"/>
      <c r="KXV4" s="484"/>
      <c r="KXW4" s="484"/>
      <c r="KXX4" s="484"/>
      <c r="KXY4" s="484"/>
      <c r="KXZ4" s="484"/>
      <c r="KYA4" s="484"/>
      <c r="KYB4" s="484"/>
      <c r="KYC4" s="484"/>
      <c r="KYD4" s="484"/>
      <c r="KYE4" s="484"/>
      <c r="KYF4" s="484"/>
      <c r="KYG4" s="484"/>
      <c r="KYH4" s="484"/>
      <c r="KYI4" s="484"/>
      <c r="KYJ4" s="484"/>
      <c r="KYK4" s="484"/>
      <c r="KYL4" s="484"/>
      <c r="KYM4" s="484"/>
      <c r="KYN4" s="484"/>
      <c r="KYO4" s="484"/>
      <c r="KYP4" s="484"/>
      <c r="KYQ4" s="484"/>
      <c r="KYR4" s="484"/>
      <c r="KYS4" s="484"/>
      <c r="KYT4" s="484"/>
      <c r="KYU4" s="484"/>
      <c r="KYV4" s="484"/>
      <c r="KYW4" s="484"/>
      <c r="KYX4" s="484"/>
      <c r="KYY4" s="484"/>
      <c r="KYZ4" s="484"/>
      <c r="KZA4" s="484"/>
      <c r="KZB4" s="484"/>
      <c r="KZC4" s="484"/>
      <c r="KZD4" s="484"/>
      <c r="KZE4" s="484"/>
      <c r="KZF4" s="484"/>
      <c r="KZG4" s="484"/>
      <c r="KZH4" s="484"/>
      <c r="KZI4" s="484"/>
      <c r="KZJ4" s="484"/>
      <c r="KZK4" s="484"/>
      <c r="KZL4" s="484"/>
      <c r="KZM4" s="484"/>
      <c r="KZN4" s="484"/>
      <c r="KZO4" s="484"/>
      <c r="KZP4" s="484"/>
      <c r="KZQ4" s="484"/>
      <c r="KZR4" s="484"/>
      <c r="KZS4" s="484"/>
      <c r="KZT4" s="484"/>
      <c r="KZU4" s="484"/>
      <c r="KZV4" s="484"/>
      <c r="KZW4" s="484"/>
      <c r="KZX4" s="484"/>
      <c r="KZY4" s="484"/>
      <c r="KZZ4" s="484"/>
      <c r="LAA4" s="484"/>
      <c r="LAB4" s="484"/>
      <c r="LAC4" s="484"/>
      <c r="LAD4" s="484"/>
      <c r="LAE4" s="484"/>
      <c r="LAF4" s="484"/>
      <c r="LAG4" s="484"/>
      <c r="LAH4" s="484"/>
      <c r="LAI4" s="484"/>
      <c r="LAJ4" s="484"/>
      <c r="LAK4" s="484"/>
      <c r="LAL4" s="484"/>
      <c r="LAM4" s="484"/>
      <c r="LAN4" s="484"/>
      <c r="LAO4" s="484"/>
      <c r="LAP4" s="484"/>
      <c r="LAQ4" s="484"/>
      <c r="LAR4" s="484"/>
      <c r="LAS4" s="484"/>
      <c r="LAT4" s="484"/>
      <c r="LAU4" s="484"/>
      <c r="LAV4" s="484"/>
      <c r="LAW4" s="484"/>
      <c r="LAX4" s="484"/>
      <c r="LAY4" s="484"/>
      <c r="LAZ4" s="484"/>
      <c r="LBA4" s="484"/>
      <c r="LBB4" s="484"/>
      <c r="LBC4" s="484"/>
      <c r="LBD4" s="484"/>
      <c r="LBE4" s="484"/>
      <c r="LBF4" s="484"/>
      <c r="LBG4" s="484"/>
      <c r="LBH4" s="484"/>
      <c r="LBI4" s="484"/>
      <c r="LBJ4" s="484"/>
      <c r="LBK4" s="484"/>
      <c r="LBL4" s="484"/>
      <c r="LBM4" s="484"/>
      <c r="LBN4" s="484"/>
      <c r="LBO4" s="484"/>
      <c r="LBP4" s="484"/>
      <c r="LBQ4" s="484"/>
      <c r="LBR4" s="484"/>
      <c r="LBS4" s="484"/>
      <c r="LBT4" s="484"/>
      <c r="LBU4" s="484"/>
      <c r="LBV4" s="484"/>
      <c r="LBW4" s="484"/>
      <c r="LBX4" s="484"/>
      <c r="LBY4" s="484"/>
      <c r="LBZ4" s="484"/>
      <c r="LCA4" s="484"/>
      <c r="LCB4" s="484"/>
      <c r="LCC4" s="484"/>
      <c r="LCD4" s="484"/>
      <c r="LCE4" s="484"/>
      <c r="LCF4" s="484"/>
      <c r="LCG4" s="484"/>
      <c r="LCH4" s="484"/>
      <c r="LCI4" s="484"/>
      <c r="LCJ4" s="484"/>
      <c r="LCK4" s="484"/>
      <c r="LCL4" s="484"/>
      <c r="LCM4" s="484"/>
      <c r="LCN4" s="484"/>
      <c r="LCO4" s="484"/>
      <c r="LCP4" s="484"/>
      <c r="LCQ4" s="484"/>
      <c r="LCR4" s="484"/>
      <c r="LCS4" s="484"/>
      <c r="LCT4" s="484"/>
      <c r="LCU4" s="484"/>
      <c r="LCV4" s="484"/>
      <c r="LCW4" s="484"/>
      <c r="LCX4" s="484"/>
      <c r="LCY4" s="484"/>
      <c r="LCZ4" s="484"/>
      <c r="LDA4" s="484"/>
      <c r="LDB4" s="484"/>
      <c r="LDC4" s="484"/>
      <c r="LDD4" s="484"/>
      <c r="LDE4" s="484"/>
      <c r="LDF4" s="484"/>
      <c r="LDG4" s="484"/>
      <c r="LDH4" s="484"/>
      <c r="LDI4" s="484"/>
      <c r="LDJ4" s="484"/>
      <c r="LDK4" s="484"/>
      <c r="LDL4" s="484"/>
      <c r="LDM4" s="484"/>
      <c r="LDN4" s="484"/>
      <c r="LDO4" s="484"/>
      <c r="LDP4" s="484"/>
      <c r="LDQ4" s="484"/>
      <c r="LDR4" s="484"/>
      <c r="LDS4" s="484"/>
      <c r="LDT4" s="484"/>
      <c r="LDU4" s="484"/>
      <c r="LDV4" s="484"/>
      <c r="LDW4" s="484"/>
      <c r="LDX4" s="484"/>
      <c r="LDY4" s="484"/>
      <c r="LDZ4" s="484"/>
      <c r="LEA4" s="484"/>
      <c r="LEB4" s="484"/>
      <c r="LEC4" s="484"/>
      <c r="LED4" s="484"/>
      <c r="LEE4" s="484"/>
      <c r="LEF4" s="484"/>
      <c r="LEG4" s="484"/>
      <c r="LEH4" s="484"/>
      <c r="LEI4" s="484"/>
      <c r="LEJ4" s="484"/>
      <c r="LEK4" s="484"/>
      <c r="LEL4" s="484"/>
      <c r="LEM4" s="484"/>
      <c r="LEN4" s="484"/>
      <c r="LEO4" s="484"/>
      <c r="LEP4" s="484"/>
      <c r="LEQ4" s="484"/>
      <c r="LER4" s="484"/>
      <c r="LES4" s="484"/>
      <c r="LET4" s="484"/>
      <c r="LEU4" s="484"/>
      <c r="LEV4" s="484"/>
      <c r="LEW4" s="484"/>
      <c r="LEX4" s="484"/>
      <c r="LEY4" s="484"/>
      <c r="LEZ4" s="484"/>
      <c r="LFA4" s="484"/>
      <c r="LFB4" s="484"/>
      <c r="LFC4" s="484"/>
      <c r="LFD4" s="484"/>
      <c r="LFE4" s="484"/>
      <c r="LFF4" s="484"/>
      <c r="LFG4" s="484"/>
      <c r="LFH4" s="484"/>
      <c r="LFI4" s="484"/>
      <c r="LFJ4" s="484"/>
      <c r="LFK4" s="484"/>
      <c r="LFL4" s="484"/>
      <c r="LFM4" s="484"/>
      <c r="LFN4" s="484"/>
      <c r="LFO4" s="484"/>
      <c r="LFP4" s="484"/>
      <c r="LFQ4" s="484"/>
      <c r="LFR4" s="484"/>
      <c r="LFS4" s="484"/>
      <c r="LFT4" s="484"/>
      <c r="LFU4" s="484"/>
      <c r="LFV4" s="484"/>
      <c r="LFW4" s="484"/>
      <c r="LFX4" s="484"/>
      <c r="LFY4" s="484"/>
      <c r="LFZ4" s="484"/>
      <c r="LGA4" s="484"/>
      <c r="LGB4" s="484"/>
      <c r="LGC4" s="484"/>
      <c r="LGD4" s="484"/>
      <c r="LGE4" s="484"/>
      <c r="LGF4" s="484"/>
      <c r="LGG4" s="484"/>
      <c r="LGH4" s="484"/>
      <c r="LGI4" s="484"/>
      <c r="LGJ4" s="484"/>
      <c r="LGK4" s="484"/>
      <c r="LGL4" s="484"/>
      <c r="LGM4" s="484"/>
      <c r="LGN4" s="484"/>
      <c r="LGO4" s="484"/>
      <c r="LGP4" s="484"/>
      <c r="LGQ4" s="484"/>
      <c r="LGR4" s="484"/>
      <c r="LGS4" s="484"/>
      <c r="LGT4" s="484"/>
      <c r="LGU4" s="484"/>
      <c r="LGV4" s="484"/>
      <c r="LGW4" s="484"/>
      <c r="LGX4" s="484"/>
      <c r="LGY4" s="484"/>
      <c r="LGZ4" s="484"/>
      <c r="LHA4" s="484"/>
      <c r="LHB4" s="484"/>
      <c r="LHC4" s="484"/>
      <c r="LHD4" s="484"/>
      <c r="LHE4" s="484"/>
      <c r="LHF4" s="484"/>
      <c r="LHG4" s="484"/>
      <c r="LHH4" s="484"/>
      <c r="LHI4" s="484"/>
      <c r="LHJ4" s="484"/>
      <c r="LHK4" s="484"/>
      <c r="LHL4" s="484"/>
      <c r="LHM4" s="484"/>
      <c r="LHN4" s="484"/>
      <c r="LHO4" s="484"/>
      <c r="LHP4" s="484"/>
      <c r="LHQ4" s="484"/>
      <c r="LHR4" s="484"/>
      <c r="LHS4" s="484"/>
      <c r="LHT4" s="484"/>
      <c r="LHU4" s="484"/>
      <c r="LHV4" s="484"/>
      <c r="LHW4" s="484"/>
      <c r="LHX4" s="484"/>
      <c r="LHY4" s="484"/>
      <c r="LHZ4" s="484"/>
      <c r="LIA4" s="484"/>
      <c r="LIB4" s="484"/>
      <c r="LIC4" s="484"/>
      <c r="LID4" s="484"/>
      <c r="LIE4" s="484"/>
      <c r="LIF4" s="484"/>
      <c r="LIG4" s="484"/>
      <c r="LIH4" s="484"/>
      <c r="LII4" s="484"/>
      <c r="LIJ4" s="484"/>
      <c r="LIK4" s="484"/>
      <c r="LIL4" s="484"/>
      <c r="LIM4" s="484"/>
      <c r="LIN4" s="484"/>
      <c r="LIO4" s="484"/>
      <c r="LIP4" s="484"/>
      <c r="LIQ4" s="484"/>
      <c r="LIR4" s="484"/>
      <c r="LIS4" s="484"/>
      <c r="LIT4" s="484"/>
      <c r="LIU4" s="484"/>
      <c r="LIV4" s="484"/>
      <c r="LIW4" s="484"/>
      <c r="LIX4" s="484"/>
      <c r="LIY4" s="484"/>
      <c r="LIZ4" s="484"/>
      <c r="LJA4" s="484"/>
      <c r="LJB4" s="484"/>
      <c r="LJC4" s="484"/>
      <c r="LJD4" s="484"/>
      <c r="LJE4" s="484"/>
      <c r="LJF4" s="484"/>
      <c r="LJG4" s="484"/>
      <c r="LJH4" s="484"/>
      <c r="LJI4" s="484"/>
      <c r="LJJ4" s="484"/>
      <c r="LJK4" s="484"/>
      <c r="LJL4" s="484"/>
      <c r="LJM4" s="484"/>
      <c r="LJN4" s="484"/>
      <c r="LJO4" s="484"/>
      <c r="LJP4" s="484"/>
      <c r="LJQ4" s="484"/>
      <c r="LJR4" s="484"/>
      <c r="LJS4" s="484"/>
      <c r="LJT4" s="484"/>
      <c r="LJU4" s="484"/>
      <c r="LJV4" s="484"/>
      <c r="LJW4" s="484"/>
      <c r="LJX4" s="484"/>
      <c r="LJY4" s="484"/>
      <c r="LJZ4" s="484"/>
      <c r="LKA4" s="484"/>
      <c r="LKB4" s="484"/>
      <c r="LKC4" s="484"/>
      <c r="LKD4" s="484"/>
      <c r="LKE4" s="484"/>
      <c r="LKF4" s="484"/>
      <c r="LKG4" s="484"/>
      <c r="LKH4" s="484"/>
      <c r="LKI4" s="484"/>
      <c r="LKJ4" s="484"/>
      <c r="LKK4" s="484"/>
      <c r="LKL4" s="484"/>
      <c r="LKM4" s="484"/>
      <c r="LKN4" s="484"/>
      <c r="LKO4" s="484"/>
      <c r="LKP4" s="484"/>
      <c r="LKQ4" s="484"/>
      <c r="LKR4" s="484"/>
      <c r="LKS4" s="484"/>
      <c r="LKT4" s="484"/>
      <c r="LKU4" s="484"/>
      <c r="LKV4" s="484"/>
      <c r="LKW4" s="484"/>
      <c r="LKX4" s="484"/>
      <c r="LKY4" s="484"/>
      <c r="LKZ4" s="484"/>
      <c r="LLA4" s="484"/>
      <c r="LLB4" s="484"/>
      <c r="LLC4" s="484"/>
      <c r="LLD4" s="484"/>
      <c r="LLE4" s="484"/>
      <c r="LLF4" s="484"/>
      <c r="LLG4" s="484"/>
      <c r="LLH4" s="484"/>
      <c r="LLI4" s="484"/>
      <c r="LLJ4" s="484"/>
      <c r="LLK4" s="484"/>
      <c r="LLL4" s="484"/>
      <c r="LLM4" s="484"/>
      <c r="LLN4" s="484"/>
      <c r="LLO4" s="484"/>
      <c r="LLP4" s="484"/>
      <c r="LLQ4" s="484"/>
      <c r="LLR4" s="484"/>
      <c r="LLS4" s="484"/>
      <c r="LLT4" s="484"/>
      <c r="LLU4" s="484"/>
      <c r="LLV4" s="484"/>
      <c r="LLW4" s="484"/>
      <c r="LLX4" s="484"/>
      <c r="LLY4" s="484"/>
      <c r="LLZ4" s="484"/>
      <c r="LMA4" s="484"/>
      <c r="LMB4" s="484"/>
      <c r="LMC4" s="484"/>
      <c r="LMD4" s="484"/>
      <c r="LME4" s="484"/>
      <c r="LMF4" s="484"/>
      <c r="LMG4" s="484"/>
      <c r="LMH4" s="484"/>
      <c r="LMI4" s="484"/>
      <c r="LMJ4" s="484"/>
      <c r="LMK4" s="484"/>
      <c r="LML4" s="484"/>
      <c r="LMM4" s="484"/>
      <c r="LMN4" s="484"/>
      <c r="LMO4" s="484"/>
      <c r="LMP4" s="484"/>
      <c r="LMQ4" s="484"/>
      <c r="LMR4" s="484"/>
      <c r="LMS4" s="484"/>
      <c r="LMT4" s="484"/>
      <c r="LMU4" s="484"/>
      <c r="LMV4" s="484"/>
      <c r="LMW4" s="484"/>
      <c r="LMX4" s="484"/>
      <c r="LMY4" s="484"/>
      <c r="LMZ4" s="484"/>
      <c r="LNA4" s="484"/>
      <c r="LNB4" s="484"/>
      <c r="LNC4" s="484"/>
      <c r="LND4" s="484"/>
      <c r="LNE4" s="484"/>
      <c r="LNF4" s="484"/>
      <c r="LNG4" s="484"/>
      <c r="LNH4" s="484"/>
      <c r="LNI4" s="484"/>
      <c r="LNJ4" s="484"/>
      <c r="LNK4" s="484"/>
      <c r="LNL4" s="484"/>
      <c r="LNM4" s="484"/>
      <c r="LNN4" s="484"/>
      <c r="LNO4" s="484"/>
      <c r="LNP4" s="484"/>
      <c r="LNQ4" s="484"/>
      <c r="LNR4" s="484"/>
      <c r="LNS4" s="484"/>
      <c r="LNT4" s="484"/>
      <c r="LNU4" s="484"/>
      <c r="LNV4" s="484"/>
      <c r="LNW4" s="484"/>
      <c r="LNX4" s="484"/>
      <c r="LNY4" s="484"/>
      <c r="LNZ4" s="484"/>
      <c r="LOA4" s="484"/>
      <c r="LOB4" s="484"/>
      <c r="LOC4" s="484"/>
      <c r="LOD4" s="484"/>
      <c r="LOE4" s="484"/>
      <c r="LOF4" s="484"/>
      <c r="LOG4" s="484"/>
      <c r="LOH4" s="484"/>
      <c r="LOI4" s="484"/>
      <c r="LOJ4" s="484"/>
      <c r="LOK4" s="484"/>
      <c r="LOL4" s="484"/>
      <c r="LOM4" s="484"/>
      <c r="LON4" s="484"/>
      <c r="LOO4" s="484"/>
      <c r="LOP4" s="484"/>
      <c r="LOQ4" s="484"/>
      <c r="LOR4" s="484"/>
      <c r="LOS4" s="484"/>
      <c r="LOT4" s="484"/>
      <c r="LOU4" s="484"/>
      <c r="LOV4" s="484"/>
      <c r="LOW4" s="484"/>
      <c r="LOX4" s="484"/>
      <c r="LOY4" s="484"/>
      <c r="LOZ4" s="484"/>
      <c r="LPA4" s="484"/>
      <c r="LPB4" s="484"/>
      <c r="LPC4" s="484"/>
      <c r="LPD4" s="484"/>
      <c r="LPE4" s="484"/>
      <c r="LPF4" s="484"/>
      <c r="LPG4" s="484"/>
      <c r="LPH4" s="484"/>
      <c r="LPI4" s="484"/>
      <c r="LPJ4" s="484"/>
      <c r="LPK4" s="484"/>
      <c r="LPL4" s="484"/>
      <c r="LPM4" s="484"/>
      <c r="LPN4" s="484"/>
      <c r="LPO4" s="484"/>
      <c r="LPP4" s="484"/>
      <c r="LPQ4" s="484"/>
      <c r="LPR4" s="484"/>
      <c r="LPS4" s="484"/>
      <c r="LPT4" s="484"/>
      <c r="LPU4" s="484"/>
      <c r="LPV4" s="484"/>
      <c r="LPW4" s="484"/>
      <c r="LPX4" s="484"/>
      <c r="LPY4" s="484"/>
      <c r="LPZ4" s="484"/>
      <c r="LQA4" s="484"/>
      <c r="LQB4" s="484"/>
      <c r="LQC4" s="484"/>
      <c r="LQD4" s="484"/>
      <c r="LQE4" s="484"/>
      <c r="LQF4" s="484"/>
      <c r="LQG4" s="484"/>
      <c r="LQH4" s="484"/>
      <c r="LQI4" s="484"/>
      <c r="LQJ4" s="484"/>
      <c r="LQK4" s="484"/>
      <c r="LQL4" s="484"/>
      <c r="LQM4" s="484"/>
      <c r="LQN4" s="484"/>
      <c r="LQO4" s="484"/>
      <c r="LQP4" s="484"/>
      <c r="LQQ4" s="484"/>
      <c r="LQR4" s="484"/>
      <c r="LQS4" s="484"/>
      <c r="LQT4" s="484"/>
      <c r="LQU4" s="484"/>
      <c r="LQV4" s="484"/>
      <c r="LQW4" s="484"/>
      <c r="LQX4" s="484"/>
      <c r="LQY4" s="484"/>
      <c r="LQZ4" s="484"/>
      <c r="LRA4" s="484"/>
      <c r="LRB4" s="484"/>
      <c r="LRC4" s="484"/>
      <c r="LRD4" s="484"/>
      <c r="LRE4" s="484"/>
      <c r="LRF4" s="484"/>
      <c r="LRG4" s="484"/>
      <c r="LRH4" s="484"/>
      <c r="LRI4" s="484"/>
      <c r="LRJ4" s="484"/>
      <c r="LRK4" s="484"/>
      <c r="LRL4" s="484"/>
      <c r="LRM4" s="484"/>
      <c r="LRN4" s="484"/>
      <c r="LRO4" s="484"/>
      <c r="LRP4" s="484"/>
      <c r="LRQ4" s="484"/>
      <c r="LRR4" s="484"/>
      <c r="LRS4" s="484"/>
      <c r="LRT4" s="484"/>
      <c r="LRU4" s="484"/>
      <c r="LRV4" s="484"/>
      <c r="LRW4" s="484"/>
      <c r="LRX4" s="484"/>
      <c r="LRY4" s="484"/>
      <c r="LRZ4" s="484"/>
      <c r="LSA4" s="484"/>
      <c r="LSB4" s="484"/>
      <c r="LSC4" s="484"/>
      <c r="LSD4" s="484"/>
      <c r="LSE4" s="484"/>
      <c r="LSF4" s="484"/>
      <c r="LSG4" s="484"/>
      <c r="LSH4" s="484"/>
      <c r="LSI4" s="484"/>
      <c r="LSJ4" s="484"/>
      <c r="LSK4" s="484"/>
      <c r="LSL4" s="484"/>
      <c r="LSM4" s="484"/>
      <c r="LSN4" s="484"/>
      <c r="LSO4" s="484"/>
      <c r="LSP4" s="484"/>
      <c r="LSQ4" s="484"/>
      <c r="LSR4" s="484"/>
      <c r="LSS4" s="484"/>
      <c r="LST4" s="484"/>
      <c r="LSU4" s="484"/>
      <c r="LSV4" s="484"/>
      <c r="LSW4" s="484"/>
      <c r="LSX4" s="484"/>
      <c r="LSY4" s="484"/>
      <c r="LSZ4" s="484"/>
      <c r="LTA4" s="484"/>
      <c r="LTB4" s="484"/>
      <c r="LTC4" s="484"/>
      <c r="LTD4" s="484"/>
      <c r="LTE4" s="484"/>
      <c r="LTF4" s="484"/>
      <c r="LTG4" s="484"/>
      <c r="LTH4" s="484"/>
      <c r="LTI4" s="484"/>
      <c r="LTJ4" s="484"/>
      <c r="LTK4" s="484"/>
      <c r="LTL4" s="484"/>
      <c r="LTM4" s="484"/>
      <c r="LTN4" s="484"/>
      <c r="LTO4" s="484"/>
      <c r="LTP4" s="484"/>
      <c r="LTQ4" s="484"/>
      <c r="LTR4" s="484"/>
      <c r="LTS4" s="484"/>
      <c r="LTT4" s="484"/>
      <c r="LTU4" s="484"/>
      <c r="LTV4" s="484"/>
      <c r="LTW4" s="484"/>
      <c r="LTX4" s="484"/>
      <c r="LTY4" s="484"/>
      <c r="LTZ4" s="484"/>
      <c r="LUA4" s="484"/>
      <c r="LUB4" s="484"/>
      <c r="LUC4" s="484"/>
      <c r="LUD4" s="484"/>
      <c r="LUE4" s="484"/>
      <c r="LUF4" s="484"/>
      <c r="LUG4" s="484"/>
      <c r="LUH4" s="484"/>
      <c r="LUI4" s="484"/>
      <c r="LUJ4" s="484"/>
      <c r="LUK4" s="484"/>
      <c r="LUL4" s="484"/>
      <c r="LUM4" s="484"/>
      <c r="LUN4" s="484"/>
      <c r="LUO4" s="484"/>
      <c r="LUP4" s="484"/>
      <c r="LUQ4" s="484"/>
      <c r="LUR4" s="484"/>
      <c r="LUS4" s="484"/>
      <c r="LUT4" s="484"/>
      <c r="LUU4" s="484"/>
      <c r="LUV4" s="484"/>
      <c r="LUW4" s="484"/>
      <c r="LUX4" s="484"/>
      <c r="LUY4" s="484"/>
      <c r="LUZ4" s="484"/>
      <c r="LVA4" s="484"/>
      <c r="LVB4" s="484"/>
      <c r="LVC4" s="484"/>
      <c r="LVD4" s="484"/>
      <c r="LVE4" s="484"/>
      <c r="LVF4" s="484"/>
      <c r="LVG4" s="484"/>
      <c r="LVH4" s="484"/>
      <c r="LVI4" s="484"/>
      <c r="LVJ4" s="484"/>
      <c r="LVK4" s="484"/>
      <c r="LVL4" s="484"/>
      <c r="LVM4" s="484"/>
      <c r="LVN4" s="484"/>
      <c r="LVO4" s="484"/>
      <c r="LVP4" s="484"/>
      <c r="LVQ4" s="484"/>
      <c r="LVR4" s="484"/>
      <c r="LVS4" s="484"/>
      <c r="LVT4" s="484"/>
      <c r="LVU4" s="484"/>
      <c r="LVV4" s="484"/>
      <c r="LVW4" s="484"/>
      <c r="LVX4" s="484"/>
      <c r="LVY4" s="484"/>
      <c r="LVZ4" s="484"/>
      <c r="LWA4" s="484"/>
      <c r="LWB4" s="484"/>
      <c r="LWC4" s="484"/>
      <c r="LWD4" s="484"/>
      <c r="LWE4" s="484"/>
      <c r="LWF4" s="484"/>
      <c r="LWG4" s="484"/>
      <c r="LWH4" s="484"/>
      <c r="LWI4" s="484"/>
      <c r="LWJ4" s="484"/>
      <c r="LWK4" s="484"/>
      <c r="LWL4" s="484"/>
      <c r="LWM4" s="484"/>
      <c r="LWN4" s="484"/>
      <c r="LWO4" s="484"/>
      <c r="LWP4" s="484"/>
      <c r="LWQ4" s="484"/>
      <c r="LWR4" s="484"/>
      <c r="LWS4" s="484"/>
      <c r="LWT4" s="484"/>
      <c r="LWU4" s="484"/>
      <c r="LWV4" s="484"/>
      <c r="LWW4" s="484"/>
      <c r="LWX4" s="484"/>
      <c r="LWY4" s="484"/>
      <c r="LWZ4" s="484"/>
      <c r="LXA4" s="484"/>
      <c r="LXB4" s="484"/>
      <c r="LXC4" s="484"/>
      <c r="LXD4" s="484"/>
      <c r="LXE4" s="484"/>
      <c r="LXF4" s="484"/>
      <c r="LXG4" s="484"/>
      <c r="LXH4" s="484"/>
      <c r="LXI4" s="484"/>
      <c r="LXJ4" s="484"/>
      <c r="LXK4" s="484"/>
      <c r="LXL4" s="484"/>
      <c r="LXM4" s="484"/>
      <c r="LXN4" s="484"/>
      <c r="LXO4" s="484"/>
      <c r="LXP4" s="484"/>
      <c r="LXQ4" s="484"/>
      <c r="LXR4" s="484"/>
      <c r="LXS4" s="484"/>
      <c r="LXT4" s="484"/>
      <c r="LXU4" s="484"/>
      <c r="LXV4" s="484"/>
      <c r="LXW4" s="484"/>
      <c r="LXX4" s="484"/>
      <c r="LXY4" s="484"/>
      <c r="LXZ4" s="484"/>
      <c r="LYA4" s="484"/>
      <c r="LYB4" s="484"/>
      <c r="LYC4" s="484"/>
      <c r="LYD4" s="484"/>
      <c r="LYE4" s="484"/>
      <c r="LYF4" s="484"/>
      <c r="LYG4" s="484"/>
      <c r="LYH4" s="484"/>
      <c r="LYI4" s="484"/>
      <c r="LYJ4" s="484"/>
      <c r="LYK4" s="484"/>
      <c r="LYL4" s="484"/>
      <c r="LYM4" s="484"/>
      <c r="LYN4" s="484"/>
      <c r="LYO4" s="484"/>
      <c r="LYP4" s="484"/>
      <c r="LYQ4" s="484"/>
      <c r="LYR4" s="484"/>
      <c r="LYS4" s="484"/>
      <c r="LYT4" s="484"/>
      <c r="LYU4" s="484"/>
      <c r="LYV4" s="484"/>
      <c r="LYW4" s="484"/>
      <c r="LYX4" s="484"/>
      <c r="LYY4" s="484"/>
      <c r="LYZ4" s="484"/>
      <c r="LZA4" s="484"/>
      <c r="LZB4" s="484"/>
      <c r="LZC4" s="484"/>
      <c r="LZD4" s="484"/>
      <c r="LZE4" s="484"/>
      <c r="LZF4" s="484"/>
      <c r="LZG4" s="484"/>
      <c r="LZH4" s="484"/>
      <c r="LZI4" s="484"/>
      <c r="LZJ4" s="484"/>
      <c r="LZK4" s="484"/>
      <c r="LZL4" s="484"/>
      <c r="LZM4" s="484"/>
      <c r="LZN4" s="484"/>
      <c r="LZO4" s="484"/>
      <c r="LZP4" s="484"/>
      <c r="LZQ4" s="484"/>
      <c r="LZR4" s="484"/>
      <c r="LZS4" s="484"/>
      <c r="LZT4" s="484"/>
      <c r="LZU4" s="484"/>
      <c r="LZV4" s="484"/>
      <c r="LZW4" s="484"/>
      <c r="LZX4" s="484"/>
      <c r="LZY4" s="484"/>
      <c r="LZZ4" s="484"/>
      <c r="MAA4" s="484"/>
      <c r="MAB4" s="484"/>
      <c r="MAC4" s="484"/>
      <c r="MAD4" s="484"/>
      <c r="MAE4" s="484"/>
      <c r="MAF4" s="484"/>
      <c r="MAG4" s="484"/>
      <c r="MAH4" s="484"/>
      <c r="MAI4" s="484"/>
      <c r="MAJ4" s="484"/>
      <c r="MAK4" s="484"/>
      <c r="MAL4" s="484"/>
      <c r="MAM4" s="484"/>
      <c r="MAN4" s="484"/>
      <c r="MAO4" s="484"/>
      <c r="MAP4" s="484"/>
      <c r="MAQ4" s="484"/>
      <c r="MAR4" s="484"/>
      <c r="MAS4" s="484"/>
      <c r="MAT4" s="484"/>
      <c r="MAU4" s="484"/>
      <c r="MAV4" s="484"/>
      <c r="MAW4" s="484"/>
      <c r="MAX4" s="484"/>
      <c r="MAY4" s="484"/>
      <c r="MAZ4" s="484"/>
      <c r="MBA4" s="484"/>
      <c r="MBB4" s="484"/>
      <c r="MBC4" s="484"/>
      <c r="MBD4" s="484"/>
      <c r="MBE4" s="484"/>
      <c r="MBF4" s="484"/>
      <c r="MBG4" s="484"/>
      <c r="MBH4" s="484"/>
      <c r="MBI4" s="484"/>
      <c r="MBJ4" s="484"/>
      <c r="MBK4" s="484"/>
      <c r="MBL4" s="484"/>
      <c r="MBM4" s="484"/>
      <c r="MBN4" s="484"/>
      <c r="MBO4" s="484"/>
      <c r="MBP4" s="484"/>
      <c r="MBQ4" s="484"/>
      <c r="MBR4" s="484"/>
      <c r="MBS4" s="484"/>
      <c r="MBT4" s="484"/>
      <c r="MBU4" s="484"/>
      <c r="MBV4" s="484"/>
      <c r="MBW4" s="484"/>
      <c r="MBX4" s="484"/>
      <c r="MBY4" s="484"/>
      <c r="MBZ4" s="484"/>
      <c r="MCA4" s="484"/>
      <c r="MCB4" s="484"/>
      <c r="MCC4" s="484"/>
      <c r="MCD4" s="484"/>
      <c r="MCE4" s="484"/>
      <c r="MCF4" s="484"/>
      <c r="MCG4" s="484"/>
      <c r="MCH4" s="484"/>
      <c r="MCI4" s="484"/>
      <c r="MCJ4" s="484"/>
      <c r="MCK4" s="484"/>
      <c r="MCL4" s="484"/>
      <c r="MCM4" s="484"/>
      <c r="MCN4" s="484"/>
      <c r="MCO4" s="484"/>
      <c r="MCP4" s="484"/>
      <c r="MCQ4" s="484"/>
      <c r="MCR4" s="484"/>
      <c r="MCS4" s="484"/>
      <c r="MCT4" s="484"/>
      <c r="MCU4" s="484"/>
      <c r="MCV4" s="484"/>
      <c r="MCW4" s="484"/>
      <c r="MCX4" s="484"/>
      <c r="MCY4" s="484"/>
      <c r="MCZ4" s="484"/>
      <c r="MDA4" s="484"/>
      <c r="MDB4" s="484"/>
      <c r="MDC4" s="484"/>
      <c r="MDD4" s="484"/>
      <c r="MDE4" s="484"/>
      <c r="MDF4" s="484"/>
      <c r="MDG4" s="484"/>
      <c r="MDH4" s="484"/>
      <c r="MDI4" s="484"/>
      <c r="MDJ4" s="484"/>
      <c r="MDK4" s="484"/>
      <c r="MDL4" s="484"/>
      <c r="MDM4" s="484"/>
      <c r="MDN4" s="484"/>
      <c r="MDO4" s="484"/>
      <c r="MDP4" s="484"/>
      <c r="MDQ4" s="484"/>
      <c r="MDR4" s="484"/>
      <c r="MDS4" s="484"/>
      <c r="MDT4" s="484"/>
      <c r="MDU4" s="484"/>
      <c r="MDV4" s="484"/>
      <c r="MDW4" s="484"/>
      <c r="MDX4" s="484"/>
      <c r="MDY4" s="484"/>
      <c r="MDZ4" s="484"/>
      <c r="MEA4" s="484"/>
      <c r="MEB4" s="484"/>
      <c r="MEC4" s="484"/>
      <c r="MED4" s="484"/>
      <c r="MEE4" s="484"/>
      <c r="MEF4" s="484"/>
      <c r="MEG4" s="484"/>
      <c r="MEH4" s="484"/>
      <c r="MEI4" s="484"/>
      <c r="MEJ4" s="484"/>
      <c r="MEK4" s="484"/>
      <c r="MEL4" s="484"/>
      <c r="MEM4" s="484"/>
      <c r="MEN4" s="484"/>
      <c r="MEO4" s="484"/>
      <c r="MEP4" s="484"/>
      <c r="MEQ4" s="484"/>
      <c r="MER4" s="484"/>
      <c r="MES4" s="484"/>
      <c r="MET4" s="484"/>
      <c r="MEU4" s="484"/>
      <c r="MEV4" s="484"/>
      <c r="MEW4" s="484"/>
      <c r="MEX4" s="484"/>
      <c r="MEY4" s="484"/>
      <c r="MEZ4" s="484"/>
      <c r="MFA4" s="484"/>
      <c r="MFB4" s="484"/>
      <c r="MFC4" s="484"/>
      <c r="MFD4" s="484"/>
      <c r="MFE4" s="484"/>
      <c r="MFF4" s="484"/>
      <c r="MFG4" s="484"/>
      <c r="MFH4" s="484"/>
      <c r="MFI4" s="484"/>
      <c r="MFJ4" s="484"/>
      <c r="MFK4" s="484"/>
      <c r="MFL4" s="484"/>
      <c r="MFM4" s="484"/>
      <c r="MFN4" s="484"/>
      <c r="MFO4" s="484"/>
      <c r="MFP4" s="484"/>
      <c r="MFQ4" s="484"/>
      <c r="MFR4" s="484"/>
      <c r="MFS4" s="484"/>
      <c r="MFT4" s="484"/>
      <c r="MFU4" s="484"/>
      <c r="MFV4" s="484"/>
      <c r="MFW4" s="484"/>
      <c r="MFX4" s="484"/>
      <c r="MFY4" s="484"/>
      <c r="MFZ4" s="484"/>
      <c r="MGA4" s="484"/>
      <c r="MGB4" s="484"/>
      <c r="MGC4" s="484"/>
      <c r="MGD4" s="484"/>
      <c r="MGE4" s="484"/>
      <c r="MGF4" s="484"/>
      <c r="MGG4" s="484"/>
      <c r="MGH4" s="484"/>
      <c r="MGI4" s="484"/>
      <c r="MGJ4" s="484"/>
      <c r="MGK4" s="484"/>
      <c r="MGL4" s="484"/>
      <c r="MGM4" s="484"/>
      <c r="MGN4" s="484"/>
      <c r="MGO4" s="484"/>
      <c r="MGP4" s="484"/>
      <c r="MGQ4" s="484"/>
      <c r="MGR4" s="484"/>
      <c r="MGS4" s="484"/>
      <c r="MGT4" s="484"/>
      <c r="MGU4" s="484"/>
      <c r="MGV4" s="484"/>
      <c r="MGW4" s="484"/>
      <c r="MGX4" s="484"/>
      <c r="MGY4" s="484"/>
      <c r="MGZ4" s="484"/>
      <c r="MHA4" s="484"/>
      <c r="MHB4" s="484"/>
      <c r="MHC4" s="484"/>
      <c r="MHD4" s="484"/>
      <c r="MHE4" s="484"/>
      <c r="MHF4" s="484"/>
      <c r="MHG4" s="484"/>
      <c r="MHH4" s="484"/>
      <c r="MHI4" s="484"/>
      <c r="MHJ4" s="484"/>
      <c r="MHK4" s="484"/>
      <c r="MHL4" s="484"/>
      <c r="MHM4" s="484"/>
      <c r="MHN4" s="484"/>
      <c r="MHO4" s="484"/>
      <c r="MHP4" s="484"/>
      <c r="MHQ4" s="484"/>
      <c r="MHR4" s="484"/>
      <c r="MHS4" s="484"/>
      <c r="MHT4" s="484"/>
      <c r="MHU4" s="484"/>
      <c r="MHV4" s="484"/>
      <c r="MHW4" s="484"/>
      <c r="MHX4" s="484"/>
      <c r="MHY4" s="484"/>
      <c r="MHZ4" s="484"/>
      <c r="MIA4" s="484"/>
      <c r="MIB4" s="484"/>
      <c r="MIC4" s="484"/>
      <c r="MID4" s="484"/>
      <c r="MIE4" s="484"/>
      <c r="MIF4" s="484"/>
      <c r="MIG4" s="484"/>
      <c r="MIH4" s="484"/>
      <c r="MII4" s="484"/>
      <c r="MIJ4" s="484"/>
      <c r="MIK4" s="484"/>
      <c r="MIL4" s="484"/>
      <c r="MIM4" s="484"/>
      <c r="MIN4" s="484"/>
      <c r="MIO4" s="484"/>
      <c r="MIP4" s="484"/>
      <c r="MIQ4" s="484"/>
      <c r="MIR4" s="484"/>
      <c r="MIS4" s="484"/>
      <c r="MIT4" s="484"/>
      <c r="MIU4" s="484"/>
      <c r="MIV4" s="484"/>
      <c r="MIW4" s="484"/>
      <c r="MIX4" s="484"/>
      <c r="MIY4" s="484"/>
      <c r="MIZ4" s="484"/>
      <c r="MJA4" s="484"/>
      <c r="MJB4" s="484"/>
      <c r="MJC4" s="484"/>
      <c r="MJD4" s="484"/>
      <c r="MJE4" s="484"/>
      <c r="MJF4" s="484"/>
      <c r="MJG4" s="484"/>
      <c r="MJH4" s="484"/>
      <c r="MJI4" s="484"/>
      <c r="MJJ4" s="484"/>
      <c r="MJK4" s="484"/>
      <c r="MJL4" s="484"/>
      <c r="MJM4" s="484"/>
      <c r="MJN4" s="484"/>
      <c r="MJO4" s="484"/>
      <c r="MJP4" s="484"/>
      <c r="MJQ4" s="484"/>
      <c r="MJR4" s="484"/>
      <c r="MJS4" s="484"/>
      <c r="MJT4" s="484"/>
      <c r="MJU4" s="484"/>
      <c r="MJV4" s="484"/>
      <c r="MJW4" s="484"/>
      <c r="MJX4" s="484"/>
      <c r="MJY4" s="484"/>
      <c r="MJZ4" s="484"/>
      <c r="MKA4" s="484"/>
      <c r="MKB4" s="484"/>
      <c r="MKC4" s="484"/>
      <c r="MKD4" s="484"/>
      <c r="MKE4" s="484"/>
      <c r="MKF4" s="484"/>
      <c r="MKG4" s="484"/>
      <c r="MKH4" s="484"/>
      <c r="MKI4" s="484"/>
      <c r="MKJ4" s="484"/>
      <c r="MKK4" s="484"/>
      <c r="MKL4" s="484"/>
      <c r="MKM4" s="484"/>
      <c r="MKN4" s="484"/>
      <c r="MKO4" s="484"/>
      <c r="MKP4" s="484"/>
      <c r="MKQ4" s="484"/>
      <c r="MKR4" s="484"/>
      <c r="MKS4" s="484"/>
      <c r="MKT4" s="484"/>
      <c r="MKU4" s="484"/>
      <c r="MKV4" s="484"/>
      <c r="MKW4" s="484"/>
      <c r="MKX4" s="484"/>
      <c r="MKY4" s="484"/>
      <c r="MKZ4" s="484"/>
      <c r="MLA4" s="484"/>
      <c r="MLB4" s="484"/>
      <c r="MLC4" s="484"/>
      <c r="MLD4" s="484"/>
      <c r="MLE4" s="484"/>
      <c r="MLF4" s="484"/>
      <c r="MLG4" s="484"/>
      <c r="MLH4" s="484"/>
      <c r="MLI4" s="484"/>
      <c r="MLJ4" s="484"/>
      <c r="MLK4" s="484"/>
      <c r="MLL4" s="484"/>
      <c r="MLM4" s="484"/>
      <c r="MLN4" s="484"/>
      <c r="MLO4" s="484"/>
      <c r="MLP4" s="484"/>
      <c r="MLQ4" s="484"/>
      <c r="MLR4" s="484"/>
      <c r="MLS4" s="484"/>
      <c r="MLT4" s="484"/>
      <c r="MLU4" s="484"/>
      <c r="MLV4" s="484"/>
      <c r="MLW4" s="484"/>
      <c r="MLX4" s="484"/>
      <c r="MLY4" s="484"/>
      <c r="MLZ4" s="484"/>
      <c r="MMA4" s="484"/>
      <c r="MMB4" s="484"/>
      <c r="MMC4" s="484"/>
      <c r="MMD4" s="484"/>
      <c r="MME4" s="484"/>
      <c r="MMF4" s="484"/>
      <c r="MMG4" s="484"/>
      <c r="MMH4" s="484"/>
      <c r="MMI4" s="484"/>
      <c r="MMJ4" s="484"/>
      <c r="MMK4" s="484"/>
      <c r="MML4" s="484"/>
      <c r="MMM4" s="484"/>
      <c r="MMN4" s="484"/>
      <c r="MMO4" s="484"/>
      <c r="MMP4" s="484"/>
      <c r="MMQ4" s="484"/>
      <c r="MMR4" s="484"/>
      <c r="MMS4" s="484"/>
      <c r="MMT4" s="484"/>
      <c r="MMU4" s="484"/>
      <c r="MMV4" s="484"/>
      <c r="MMW4" s="484"/>
      <c r="MMX4" s="484"/>
      <c r="MMY4" s="484"/>
      <c r="MMZ4" s="484"/>
      <c r="MNA4" s="484"/>
      <c r="MNB4" s="484"/>
      <c r="MNC4" s="484"/>
      <c r="MND4" s="484"/>
      <c r="MNE4" s="484"/>
      <c r="MNF4" s="484"/>
      <c r="MNG4" s="484"/>
      <c r="MNH4" s="484"/>
      <c r="MNI4" s="484"/>
      <c r="MNJ4" s="484"/>
      <c r="MNK4" s="484"/>
      <c r="MNL4" s="484"/>
      <c r="MNM4" s="484"/>
      <c r="MNN4" s="484"/>
      <c r="MNO4" s="484"/>
      <c r="MNP4" s="484"/>
      <c r="MNQ4" s="484"/>
      <c r="MNR4" s="484"/>
      <c r="MNS4" s="484"/>
      <c r="MNT4" s="484"/>
      <c r="MNU4" s="484"/>
      <c r="MNV4" s="484"/>
      <c r="MNW4" s="484"/>
      <c r="MNX4" s="484"/>
      <c r="MNY4" s="484"/>
      <c r="MNZ4" s="484"/>
      <c r="MOA4" s="484"/>
      <c r="MOB4" s="484"/>
      <c r="MOC4" s="484"/>
      <c r="MOD4" s="484"/>
      <c r="MOE4" s="484"/>
      <c r="MOF4" s="484"/>
      <c r="MOG4" s="484"/>
      <c r="MOH4" s="484"/>
      <c r="MOI4" s="484"/>
      <c r="MOJ4" s="484"/>
      <c r="MOK4" s="484"/>
      <c r="MOL4" s="484"/>
      <c r="MOM4" s="484"/>
      <c r="MON4" s="484"/>
      <c r="MOO4" s="484"/>
      <c r="MOP4" s="484"/>
      <c r="MOQ4" s="484"/>
      <c r="MOR4" s="484"/>
      <c r="MOS4" s="484"/>
      <c r="MOT4" s="484"/>
      <c r="MOU4" s="484"/>
      <c r="MOV4" s="484"/>
      <c r="MOW4" s="484"/>
      <c r="MOX4" s="484"/>
      <c r="MOY4" s="484"/>
      <c r="MOZ4" s="484"/>
      <c r="MPA4" s="484"/>
      <c r="MPB4" s="484"/>
      <c r="MPC4" s="484"/>
      <c r="MPD4" s="484"/>
      <c r="MPE4" s="484"/>
      <c r="MPF4" s="484"/>
      <c r="MPG4" s="484"/>
      <c r="MPH4" s="484"/>
      <c r="MPI4" s="484"/>
      <c r="MPJ4" s="484"/>
      <c r="MPK4" s="484"/>
      <c r="MPL4" s="484"/>
      <c r="MPM4" s="484"/>
      <c r="MPN4" s="484"/>
      <c r="MPO4" s="484"/>
      <c r="MPP4" s="484"/>
      <c r="MPQ4" s="484"/>
      <c r="MPR4" s="484"/>
      <c r="MPS4" s="484"/>
      <c r="MPT4" s="484"/>
      <c r="MPU4" s="484"/>
      <c r="MPV4" s="484"/>
      <c r="MPW4" s="484"/>
      <c r="MPX4" s="484"/>
      <c r="MPY4" s="484"/>
      <c r="MPZ4" s="484"/>
      <c r="MQA4" s="484"/>
      <c r="MQB4" s="484"/>
      <c r="MQC4" s="484"/>
      <c r="MQD4" s="484"/>
      <c r="MQE4" s="484"/>
      <c r="MQF4" s="484"/>
      <c r="MQG4" s="484"/>
      <c r="MQH4" s="484"/>
      <c r="MQI4" s="484"/>
      <c r="MQJ4" s="484"/>
      <c r="MQK4" s="484"/>
      <c r="MQL4" s="484"/>
      <c r="MQM4" s="484"/>
      <c r="MQN4" s="484"/>
      <c r="MQO4" s="484"/>
      <c r="MQP4" s="484"/>
      <c r="MQQ4" s="484"/>
      <c r="MQR4" s="484"/>
      <c r="MQS4" s="484"/>
      <c r="MQT4" s="484"/>
      <c r="MQU4" s="484"/>
      <c r="MQV4" s="484"/>
      <c r="MQW4" s="484"/>
      <c r="MQX4" s="484"/>
      <c r="MQY4" s="484"/>
      <c r="MQZ4" s="484"/>
      <c r="MRA4" s="484"/>
      <c r="MRB4" s="484"/>
      <c r="MRC4" s="484"/>
      <c r="MRD4" s="484"/>
      <c r="MRE4" s="484"/>
      <c r="MRF4" s="484"/>
      <c r="MRG4" s="484"/>
      <c r="MRH4" s="484"/>
      <c r="MRI4" s="484"/>
      <c r="MRJ4" s="484"/>
      <c r="MRK4" s="484"/>
      <c r="MRL4" s="484"/>
      <c r="MRM4" s="484"/>
      <c r="MRN4" s="484"/>
      <c r="MRO4" s="484"/>
      <c r="MRP4" s="484"/>
      <c r="MRQ4" s="484"/>
      <c r="MRR4" s="484"/>
      <c r="MRS4" s="484"/>
      <c r="MRT4" s="484"/>
      <c r="MRU4" s="484"/>
      <c r="MRV4" s="484"/>
      <c r="MRW4" s="484"/>
      <c r="MRX4" s="484"/>
      <c r="MRY4" s="484"/>
      <c r="MRZ4" s="484"/>
      <c r="MSA4" s="484"/>
      <c r="MSB4" s="484"/>
      <c r="MSC4" s="484"/>
      <c r="MSD4" s="484"/>
      <c r="MSE4" s="484"/>
      <c r="MSF4" s="484"/>
      <c r="MSG4" s="484"/>
      <c r="MSH4" s="484"/>
      <c r="MSI4" s="484"/>
      <c r="MSJ4" s="484"/>
      <c r="MSK4" s="484"/>
      <c r="MSL4" s="484"/>
      <c r="MSM4" s="484"/>
      <c r="MSN4" s="484"/>
      <c r="MSO4" s="484"/>
      <c r="MSP4" s="484"/>
      <c r="MSQ4" s="484"/>
      <c r="MSR4" s="484"/>
      <c r="MSS4" s="484"/>
      <c r="MST4" s="484"/>
      <c r="MSU4" s="484"/>
      <c r="MSV4" s="484"/>
      <c r="MSW4" s="484"/>
      <c r="MSX4" s="484"/>
      <c r="MSY4" s="484"/>
      <c r="MSZ4" s="484"/>
      <c r="MTA4" s="484"/>
      <c r="MTB4" s="484"/>
      <c r="MTC4" s="484"/>
      <c r="MTD4" s="484"/>
      <c r="MTE4" s="484"/>
      <c r="MTF4" s="484"/>
      <c r="MTG4" s="484"/>
      <c r="MTH4" s="484"/>
      <c r="MTI4" s="484"/>
      <c r="MTJ4" s="484"/>
      <c r="MTK4" s="484"/>
      <c r="MTL4" s="484"/>
      <c r="MTM4" s="484"/>
      <c r="MTN4" s="484"/>
      <c r="MTO4" s="484"/>
      <c r="MTP4" s="484"/>
      <c r="MTQ4" s="484"/>
      <c r="MTR4" s="484"/>
      <c r="MTS4" s="484"/>
      <c r="MTT4" s="484"/>
      <c r="MTU4" s="484"/>
      <c r="MTV4" s="484"/>
      <c r="MTW4" s="484"/>
      <c r="MTX4" s="484"/>
      <c r="MTY4" s="484"/>
      <c r="MTZ4" s="484"/>
      <c r="MUA4" s="484"/>
      <c r="MUB4" s="484"/>
      <c r="MUC4" s="484"/>
      <c r="MUD4" s="484"/>
      <c r="MUE4" s="484"/>
      <c r="MUF4" s="484"/>
      <c r="MUG4" s="484"/>
      <c r="MUH4" s="484"/>
      <c r="MUI4" s="484"/>
      <c r="MUJ4" s="484"/>
      <c r="MUK4" s="484"/>
      <c r="MUL4" s="484"/>
      <c r="MUM4" s="484"/>
      <c r="MUN4" s="484"/>
      <c r="MUO4" s="484"/>
      <c r="MUP4" s="484"/>
      <c r="MUQ4" s="484"/>
      <c r="MUR4" s="484"/>
      <c r="MUS4" s="484"/>
      <c r="MUT4" s="484"/>
      <c r="MUU4" s="484"/>
      <c r="MUV4" s="484"/>
      <c r="MUW4" s="484"/>
      <c r="MUX4" s="484"/>
      <c r="MUY4" s="484"/>
      <c r="MUZ4" s="484"/>
      <c r="MVA4" s="484"/>
      <c r="MVB4" s="484"/>
      <c r="MVC4" s="484"/>
      <c r="MVD4" s="484"/>
      <c r="MVE4" s="484"/>
      <c r="MVF4" s="484"/>
      <c r="MVG4" s="484"/>
      <c r="MVH4" s="484"/>
      <c r="MVI4" s="484"/>
      <c r="MVJ4" s="484"/>
      <c r="MVK4" s="484"/>
      <c r="MVL4" s="484"/>
      <c r="MVM4" s="484"/>
      <c r="MVN4" s="484"/>
      <c r="MVO4" s="484"/>
      <c r="MVP4" s="484"/>
      <c r="MVQ4" s="484"/>
      <c r="MVR4" s="484"/>
      <c r="MVS4" s="484"/>
      <c r="MVT4" s="484"/>
      <c r="MVU4" s="484"/>
      <c r="MVV4" s="484"/>
      <c r="MVW4" s="484"/>
      <c r="MVX4" s="484"/>
      <c r="MVY4" s="484"/>
      <c r="MVZ4" s="484"/>
      <c r="MWA4" s="484"/>
      <c r="MWB4" s="484"/>
      <c r="MWC4" s="484"/>
      <c r="MWD4" s="484"/>
      <c r="MWE4" s="484"/>
      <c r="MWF4" s="484"/>
      <c r="MWG4" s="484"/>
      <c r="MWH4" s="484"/>
      <c r="MWI4" s="484"/>
      <c r="MWJ4" s="484"/>
      <c r="MWK4" s="484"/>
      <c r="MWL4" s="484"/>
      <c r="MWM4" s="484"/>
      <c r="MWN4" s="484"/>
      <c r="MWO4" s="484"/>
      <c r="MWP4" s="484"/>
      <c r="MWQ4" s="484"/>
      <c r="MWR4" s="484"/>
      <c r="MWS4" s="484"/>
      <c r="MWT4" s="484"/>
      <c r="MWU4" s="484"/>
      <c r="MWV4" s="484"/>
      <c r="MWW4" s="484"/>
      <c r="MWX4" s="484"/>
      <c r="MWY4" s="484"/>
      <c r="MWZ4" s="484"/>
      <c r="MXA4" s="484"/>
      <c r="MXB4" s="484"/>
      <c r="MXC4" s="484"/>
      <c r="MXD4" s="484"/>
      <c r="MXE4" s="484"/>
      <c r="MXF4" s="484"/>
      <c r="MXG4" s="484"/>
      <c r="MXH4" s="484"/>
      <c r="MXI4" s="484"/>
      <c r="MXJ4" s="484"/>
      <c r="MXK4" s="484"/>
      <c r="MXL4" s="484"/>
      <c r="MXM4" s="484"/>
      <c r="MXN4" s="484"/>
      <c r="MXO4" s="484"/>
      <c r="MXP4" s="484"/>
      <c r="MXQ4" s="484"/>
      <c r="MXR4" s="484"/>
      <c r="MXS4" s="484"/>
      <c r="MXT4" s="484"/>
      <c r="MXU4" s="484"/>
      <c r="MXV4" s="484"/>
      <c r="MXW4" s="484"/>
      <c r="MXX4" s="484"/>
      <c r="MXY4" s="484"/>
      <c r="MXZ4" s="484"/>
      <c r="MYA4" s="484"/>
      <c r="MYB4" s="484"/>
      <c r="MYC4" s="484"/>
      <c r="MYD4" s="484"/>
      <c r="MYE4" s="484"/>
      <c r="MYF4" s="484"/>
      <c r="MYG4" s="484"/>
      <c r="MYH4" s="484"/>
      <c r="MYI4" s="484"/>
      <c r="MYJ4" s="484"/>
      <c r="MYK4" s="484"/>
      <c r="MYL4" s="484"/>
      <c r="MYM4" s="484"/>
      <c r="MYN4" s="484"/>
      <c r="MYO4" s="484"/>
      <c r="MYP4" s="484"/>
      <c r="MYQ4" s="484"/>
      <c r="MYR4" s="484"/>
      <c r="MYS4" s="484"/>
      <c r="MYT4" s="484"/>
      <c r="MYU4" s="484"/>
      <c r="MYV4" s="484"/>
      <c r="MYW4" s="484"/>
      <c r="MYX4" s="484"/>
      <c r="MYY4" s="484"/>
      <c r="MYZ4" s="484"/>
      <c r="MZA4" s="484"/>
      <c r="MZB4" s="484"/>
      <c r="MZC4" s="484"/>
      <c r="MZD4" s="484"/>
      <c r="MZE4" s="484"/>
      <c r="MZF4" s="484"/>
      <c r="MZG4" s="484"/>
      <c r="MZH4" s="484"/>
      <c r="MZI4" s="484"/>
      <c r="MZJ4" s="484"/>
      <c r="MZK4" s="484"/>
      <c r="MZL4" s="484"/>
      <c r="MZM4" s="484"/>
      <c r="MZN4" s="484"/>
      <c r="MZO4" s="484"/>
      <c r="MZP4" s="484"/>
      <c r="MZQ4" s="484"/>
      <c r="MZR4" s="484"/>
      <c r="MZS4" s="484"/>
      <c r="MZT4" s="484"/>
      <c r="MZU4" s="484"/>
      <c r="MZV4" s="484"/>
      <c r="MZW4" s="484"/>
      <c r="MZX4" s="484"/>
      <c r="MZY4" s="484"/>
      <c r="MZZ4" s="484"/>
      <c r="NAA4" s="484"/>
      <c r="NAB4" s="484"/>
      <c r="NAC4" s="484"/>
      <c r="NAD4" s="484"/>
      <c r="NAE4" s="484"/>
      <c r="NAF4" s="484"/>
      <c r="NAG4" s="484"/>
      <c r="NAH4" s="484"/>
      <c r="NAI4" s="484"/>
      <c r="NAJ4" s="484"/>
      <c r="NAK4" s="484"/>
      <c r="NAL4" s="484"/>
      <c r="NAM4" s="484"/>
      <c r="NAN4" s="484"/>
      <c r="NAO4" s="484"/>
      <c r="NAP4" s="484"/>
      <c r="NAQ4" s="484"/>
      <c r="NAR4" s="484"/>
      <c r="NAS4" s="484"/>
      <c r="NAT4" s="484"/>
      <c r="NAU4" s="484"/>
      <c r="NAV4" s="484"/>
      <c r="NAW4" s="484"/>
      <c r="NAX4" s="484"/>
      <c r="NAY4" s="484"/>
      <c r="NAZ4" s="484"/>
      <c r="NBA4" s="484"/>
      <c r="NBB4" s="484"/>
      <c r="NBC4" s="484"/>
      <c r="NBD4" s="484"/>
      <c r="NBE4" s="484"/>
      <c r="NBF4" s="484"/>
      <c r="NBG4" s="484"/>
      <c r="NBH4" s="484"/>
      <c r="NBI4" s="484"/>
      <c r="NBJ4" s="484"/>
      <c r="NBK4" s="484"/>
      <c r="NBL4" s="484"/>
      <c r="NBM4" s="484"/>
      <c r="NBN4" s="484"/>
      <c r="NBO4" s="484"/>
      <c r="NBP4" s="484"/>
      <c r="NBQ4" s="484"/>
      <c r="NBR4" s="484"/>
      <c r="NBS4" s="484"/>
      <c r="NBT4" s="484"/>
      <c r="NBU4" s="484"/>
      <c r="NBV4" s="484"/>
      <c r="NBW4" s="484"/>
      <c r="NBX4" s="484"/>
      <c r="NBY4" s="484"/>
      <c r="NBZ4" s="484"/>
      <c r="NCA4" s="484"/>
      <c r="NCB4" s="484"/>
      <c r="NCC4" s="484"/>
      <c r="NCD4" s="484"/>
      <c r="NCE4" s="484"/>
      <c r="NCF4" s="484"/>
      <c r="NCG4" s="484"/>
      <c r="NCH4" s="484"/>
      <c r="NCI4" s="484"/>
      <c r="NCJ4" s="484"/>
      <c r="NCK4" s="484"/>
      <c r="NCL4" s="484"/>
      <c r="NCM4" s="484"/>
      <c r="NCN4" s="484"/>
      <c r="NCO4" s="484"/>
      <c r="NCP4" s="484"/>
      <c r="NCQ4" s="484"/>
      <c r="NCR4" s="484"/>
      <c r="NCS4" s="484"/>
      <c r="NCT4" s="484"/>
      <c r="NCU4" s="484"/>
      <c r="NCV4" s="484"/>
      <c r="NCW4" s="484"/>
      <c r="NCX4" s="484"/>
      <c r="NCY4" s="484"/>
      <c r="NCZ4" s="484"/>
      <c r="NDA4" s="484"/>
      <c r="NDB4" s="484"/>
      <c r="NDC4" s="484"/>
      <c r="NDD4" s="484"/>
      <c r="NDE4" s="484"/>
      <c r="NDF4" s="484"/>
      <c r="NDG4" s="484"/>
      <c r="NDH4" s="484"/>
      <c r="NDI4" s="484"/>
      <c r="NDJ4" s="484"/>
      <c r="NDK4" s="484"/>
      <c r="NDL4" s="484"/>
      <c r="NDM4" s="484"/>
      <c r="NDN4" s="484"/>
      <c r="NDO4" s="484"/>
      <c r="NDP4" s="484"/>
      <c r="NDQ4" s="484"/>
      <c r="NDR4" s="484"/>
      <c r="NDS4" s="484"/>
      <c r="NDT4" s="484"/>
      <c r="NDU4" s="484"/>
      <c r="NDV4" s="484"/>
      <c r="NDW4" s="484"/>
      <c r="NDX4" s="484"/>
      <c r="NDY4" s="484"/>
      <c r="NDZ4" s="484"/>
      <c r="NEA4" s="484"/>
      <c r="NEB4" s="484"/>
      <c r="NEC4" s="484"/>
      <c r="NED4" s="484"/>
      <c r="NEE4" s="484"/>
      <c r="NEF4" s="484"/>
      <c r="NEG4" s="484"/>
      <c r="NEH4" s="484"/>
      <c r="NEI4" s="484"/>
      <c r="NEJ4" s="484"/>
      <c r="NEK4" s="484"/>
      <c r="NEL4" s="484"/>
      <c r="NEM4" s="484"/>
      <c r="NEN4" s="484"/>
      <c r="NEO4" s="484"/>
      <c r="NEP4" s="484"/>
      <c r="NEQ4" s="484"/>
      <c r="NER4" s="484"/>
      <c r="NES4" s="484"/>
      <c r="NET4" s="484"/>
      <c r="NEU4" s="484"/>
      <c r="NEV4" s="484"/>
      <c r="NEW4" s="484"/>
      <c r="NEX4" s="484"/>
      <c r="NEY4" s="484"/>
      <c r="NEZ4" s="484"/>
      <c r="NFA4" s="484"/>
      <c r="NFB4" s="484"/>
      <c r="NFC4" s="484"/>
      <c r="NFD4" s="484"/>
      <c r="NFE4" s="484"/>
      <c r="NFF4" s="484"/>
      <c r="NFG4" s="484"/>
      <c r="NFH4" s="484"/>
      <c r="NFI4" s="484"/>
      <c r="NFJ4" s="484"/>
      <c r="NFK4" s="484"/>
      <c r="NFL4" s="484"/>
      <c r="NFM4" s="484"/>
      <c r="NFN4" s="484"/>
      <c r="NFO4" s="484"/>
      <c r="NFP4" s="484"/>
      <c r="NFQ4" s="484"/>
      <c r="NFR4" s="484"/>
      <c r="NFS4" s="484"/>
      <c r="NFT4" s="484"/>
      <c r="NFU4" s="484"/>
      <c r="NFV4" s="484"/>
      <c r="NFW4" s="484"/>
      <c r="NFX4" s="484"/>
      <c r="NFY4" s="484"/>
      <c r="NFZ4" s="484"/>
      <c r="NGA4" s="484"/>
      <c r="NGB4" s="484"/>
      <c r="NGC4" s="484"/>
      <c r="NGD4" s="484"/>
      <c r="NGE4" s="484"/>
      <c r="NGF4" s="484"/>
      <c r="NGG4" s="484"/>
      <c r="NGH4" s="484"/>
      <c r="NGI4" s="484"/>
      <c r="NGJ4" s="484"/>
      <c r="NGK4" s="484"/>
      <c r="NGL4" s="484"/>
      <c r="NGM4" s="484"/>
      <c r="NGN4" s="484"/>
      <c r="NGO4" s="484"/>
      <c r="NGP4" s="484"/>
      <c r="NGQ4" s="484"/>
      <c r="NGR4" s="484"/>
      <c r="NGS4" s="484"/>
      <c r="NGT4" s="484"/>
      <c r="NGU4" s="484"/>
      <c r="NGV4" s="484"/>
      <c r="NGW4" s="484"/>
      <c r="NGX4" s="484"/>
      <c r="NGY4" s="484"/>
      <c r="NGZ4" s="484"/>
      <c r="NHA4" s="484"/>
      <c r="NHB4" s="484"/>
      <c r="NHC4" s="484"/>
      <c r="NHD4" s="484"/>
      <c r="NHE4" s="484"/>
      <c r="NHF4" s="484"/>
      <c r="NHG4" s="484"/>
      <c r="NHH4" s="484"/>
      <c r="NHI4" s="484"/>
      <c r="NHJ4" s="484"/>
      <c r="NHK4" s="484"/>
      <c r="NHL4" s="484"/>
      <c r="NHM4" s="484"/>
      <c r="NHN4" s="484"/>
      <c r="NHO4" s="484"/>
      <c r="NHP4" s="484"/>
      <c r="NHQ4" s="484"/>
      <c r="NHR4" s="484"/>
      <c r="NHS4" s="484"/>
      <c r="NHT4" s="484"/>
      <c r="NHU4" s="484"/>
      <c r="NHV4" s="484"/>
      <c r="NHW4" s="484"/>
      <c r="NHX4" s="484"/>
      <c r="NHY4" s="484"/>
      <c r="NHZ4" s="484"/>
      <c r="NIA4" s="484"/>
      <c r="NIB4" s="484"/>
      <c r="NIC4" s="484"/>
      <c r="NID4" s="484"/>
      <c r="NIE4" s="484"/>
      <c r="NIF4" s="484"/>
      <c r="NIG4" s="484"/>
      <c r="NIH4" s="484"/>
      <c r="NII4" s="484"/>
      <c r="NIJ4" s="484"/>
      <c r="NIK4" s="484"/>
      <c r="NIL4" s="484"/>
      <c r="NIM4" s="484"/>
      <c r="NIN4" s="484"/>
      <c r="NIO4" s="484"/>
      <c r="NIP4" s="484"/>
      <c r="NIQ4" s="484"/>
      <c r="NIR4" s="484"/>
      <c r="NIS4" s="484"/>
      <c r="NIT4" s="484"/>
      <c r="NIU4" s="484"/>
      <c r="NIV4" s="484"/>
      <c r="NIW4" s="484"/>
      <c r="NIX4" s="484"/>
      <c r="NIY4" s="484"/>
      <c r="NIZ4" s="484"/>
      <c r="NJA4" s="484"/>
      <c r="NJB4" s="484"/>
      <c r="NJC4" s="484"/>
      <c r="NJD4" s="484"/>
      <c r="NJE4" s="484"/>
      <c r="NJF4" s="484"/>
      <c r="NJG4" s="484"/>
      <c r="NJH4" s="484"/>
      <c r="NJI4" s="484"/>
      <c r="NJJ4" s="484"/>
      <c r="NJK4" s="484"/>
      <c r="NJL4" s="484"/>
      <c r="NJM4" s="484"/>
      <c r="NJN4" s="484"/>
      <c r="NJO4" s="484"/>
      <c r="NJP4" s="484"/>
      <c r="NJQ4" s="484"/>
      <c r="NJR4" s="484"/>
      <c r="NJS4" s="484"/>
      <c r="NJT4" s="484"/>
      <c r="NJU4" s="484"/>
      <c r="NJV4" s="484"/>
      <c r="NJW4" s="484"/>
      <c r="NJX4" s="484"/>
      <c r="NJY4" s="484"/>
      <c r="NJZ4" s="484"/>
      <c r="NKA4" s="484"/>
      <c r="NKB4" s="484"/>
      <c r="NKC4" s="484"/>
      <c r="NKD4" s="484"/>
      <c r="NKE4" s="484"/>
      <c r="NKF4" s="484"/>
      <c r="NKG4" s="484"/>
      <c r="NKH4" s="484"/>
      <c r="NKI4" s="484"/>
      <c r="NKJ4" s="484"/>
      <c r="NKK4" s="484"/>
      <c r="NKL4" s="484"/>
      <c r="NKM4" s="484"/>
      <c r="NKN4" s="484"/>
      <c r="NKO4" s="484"/>
      <c r="NKP4" s="484"/>
      <c r="NKQ4" s="484"/>
      <c r="NKR4" s="484"/>
      <c r="NKS4" s="484"/>
      <c r="NKT4" s="484"/>
      <c r="NKU4" s="484"/>
      <c r="NKV4" s="484"/>
      <c r="NKW4" s="484"/>
      <c r="NKX4" s="484"/>
      <c r="NKY4" s="484"/>
      <c r="NKZ4" s="484"/>
      <c r="NLA4" s="484"/>
      <c r="NLB4" s="484"/>
      <c r="NLC4" s="484"/>
      <c r="NLD4" s="484"/>
      <c r="NLE4" s="484"/>
      <c r="NLF4" s="484"/>
      <c r="NLG4" s="484"/>
      <c r="NLH4" s="484"/>
      <c r="NLI4" s="484"/>
      <c r="NLJ4" s="484"/>
      <c r="NLK4" s="484"/>
      <c r="NLL4" s="484"/>
      <c r="NLM4" s="484"/>
      <c r="NLN4" s="484"/>
      <c r="NLO4" s="484"/>
      <c r="NLP4" s="484"/>
      <c r="NLQ4" s="484"/>
      <c r="NLR4" s="484"/>
      <c r="NLS4" s="484"/>
      <c r="NLT4" s="484"/>
      <c r="NLU4" s="484"/>
      <c r="NLV4" s="484"/>
      <c r="NLW4" s="484"/>
      <c r="NLX4" s="484"/>
      <c r="NLY4" s="484"/>
      <c r="NLZ4" s="484"/>
      <c r="NMA4" s="484"/>
      <c r="NMB4" s="484"/>
      <c r="NMC4" s="484"/>
      <c r="NMD4" s="484"/>
      <c r="NME4" s="484"/>
      <c r="NMF4" s="484"/>
      <c r="NMG4" s="484"/>
      <c r="NMH4" s="484"/>
      <c r="NMI4" s="484"/>
      <c r="NMJ4" s="484"/>
      <c r="NMK4" s="484"/>
      <c r="NML4" s="484"/>
      <c r="NMM4" s="484"/>
      <c r="NMN4" s="484"/>
      <c r="NMO4" s="484"/>
      <c r="NMP4" s="484"/>
      <c r="NMQ4" s="484"/>
      <c r="NMR4" s="484"/>
      <c r="NMS4" s="484"/>
      <c r="NMT4" s="484"/>
      <c r="NMU4" s="484"/>
      <c r="NMV4" s="484"/>
      <c r="NMW4" s="484"/>
      <c r="NMX4" s="484"/>
      <c r="NMY4" s="484"/>
      <c r="NMZ4" s="484"/>
      <c r="NNA4" s="484"/>
      <c r="NNB4" s="484"/>
      <c r="NNC4" s="484"/>
      <c r="NND4" s="484"/>
      <c r="NNE4" s="484"/>
      <c r="NNF4" s="484"/>
      <c r="NNG4" s="484"/>
      <c r="NNH4" s="484"/>
      <c r="NNI4" s="484"/>
      <c r="NNJ4" s="484"/>
      <c r="NNK4" s="484"/>
      <c r="NNL4" s="484"/>
      <c r="NNM4" s="484"/>
      <c r="NNN4" s="484"/>
      <c r="NNO4" s="484"/>
      <c r="NNP4" s="484"/>
      <c r="NNQ4" s="484"/>
      <c r="NNR4" s="484"/>
      <c r="NNS4" s="484"/>
      <c r="NNT4" s="484"/>
      <c r="NNU4" s="484"/>
      <c r="NNV4" s="484"/>
      <c r="NNW4" s="484"/>
      <c r="NNX4" s="484"/>
      <c r="NNY4" s="484"/>
      <c r="NNZ4" s="484"/>
      <c r="NOA4" s="484"/>
      <c r="NOB4" s="484"/>
      <c r="NOC4" s="484"/>
      <c r="NOD4" s="484"/>
      <c r="NOE4" s="484"/>
      <c r="NOF4" s="484"/>
      <c r="NOG4" s="484"/>
      <c r="NOH4" s="484"/>
      <c r="NOI4" s="484"/>
      <c r="NOJ4" s="484"/>
      <c r="NOK4" s="484"/>
      <c r="NOL4" s="484"/>
      <c r="NOM4" s="484"/>
      <c r="NON4" s="484"/>
      <c r="NOO4" s="484"/>
      <c r="NOP4" s="484"/>
      <c r="NOQ4" s="484"/>
      <c r="NOR4" s="484"/>
      <c r="NOS4" s="484"/>
      <c r="NOT4" s="484"/>
      <c r="NOU4" s="484"/>
      <c r="NOV4" s="484"/>
      <c r="NOW4" s="484"/>
      <c r="NOX4" s="484"/>
      <c r="NOY4" s="484"/>
      <c r="NOZ4" s="484"/>
      <c r="NPA4" s="484"/>
      <c r="NPB4" s="484"/>
      <c r="NPC4" s="484"/>
      <c r="NPD4" s="484"/>
      <c r="NPE4" s="484"/>
      <c r="NPF4" s="484"/>
      <c r="NPG4" s="484"/>
      <c r="NPH4" s="484"/>
      <c r="NPI4" s="484"/>
      <c r="NPJ4" s="484"/>
      <c r="NPK4" s="484"/>
      <c r="NPL4" s="484"/>
      <c r="NPM4" s="484"/>
      <c r="NPN4" s="484"/>
      <c r="NPO4" s="484"/>
      <c r="NPP4" s="484"/>
      <c r="NPQ4" s="484"/>
      <c r="NPR4" s="484"/>
      <c r="NPS4" s="484"/>
      <c r="NPT4" s="484"/>
      <c r="NPU4" s="484"/>
      <c r="NPV4" s="484"/>
      <c r="NPW4" s="484"/>
      <c r="NPX4" s="484"/>
      <c r="NPY4" s="484"/>
      <c r="NPZ4" s="484"/>
      <c r="NQA4" s="484"/>
      <c r="NQB4" s="484"/>
      <c r="NQC4" s="484"/>
      <c r="NQD4" s="484"/>
      <c r="NQE4" s="484"/>
      <c r="NQF4" s="484"/>
      <c r="NQG4" s="484"/>
      <c r="NQH4" s="484"/>
      <c r="NQI4" s="484"/>
      <c r="NQJ4" s="484"/>
      <c r="NQK4" s="484"/>
      <c r="NQL4" s="484"/>
      <c r="NQM4" s="484"/>
      <c r="NQN4" s="484"/>
      <c r="NQO4" s="484"/>
      <c r="NQP4" s="484"/>
      <c r="NQQ4" s="484"/>
      <c r="NQR4" s="484"/>
      <c r="NQS4" s="484"/>
      <c r="NQT4" s="484"/>
      <c r="NQU4" s="484"/>
      <c r="NQV4" s="484"/>
      <c r="NQW4" s="484"/>
      <c r="NQX4" s="484"/>
      <c r="NQY4" s="484"/>
      <c r="NQZ4" s="484"/>
      <c r="NRA4" s="484"/>
      <c r="NRB4" s="484"/>
      <c r="NRC4" s="484"/>
      <c r="NRD4" s="484"/>
      <c r="NRE4" s="484"/>
      <c r="NRF4" s="484"/>
      <c r="NRG4" s="484"/>
      <c r="NRH4" s="484"/>
      <c r="NRI4" s="484"/>
      <c r="NRJ4" s="484"/>
      <c r="NRK4" s="484"/>
      <c r="NRL4" s="484"/>
      <c r="NRM4" s="484"/>
      <c r="NRN4" s="484"/>
      <c r="NRO4" s="484"/>
      <c r="NRP4" s="484"/>
      <c r="NRQ4" s="484"/>
      <c r="NRR4" s="484"/>
      <c r="NRS4" s="484"/>
      <c r="NRT4" s="484"/>
      <c r="NRU4" s="484"/>
      <c r="NRV4" s="484"/>
      <c r="NRW4" s="484"/>
      <c r="NRX4" s="484"/>
      <c r="NRY4" s="484"/>
      <c r="NRZ4" s="484"/>
      <c r="NSA4" s="484"/>
      <c r="NSB4" s="484"/>
      <c r="NSC4" s="484"/>
      <c r="NSD4" s="484"/>
      <c r="NSE4" s="484"/>
      <c r="NSF4" s="484"/>
      <c r="NSG4" s="484"/>
      <c r="NSH4" s="484"/>
      <c r="NSI4" s="484"/>
      <c r="NSJ4" s="484"/>
      <c r="NSK4" s="484"/>
      <c r="NSL4" s="484"/>
      <c r="NSM4" s="484"/>
      <c r="NSN4" s="484"/>
      <c r="NSO4" s="484"/>
      <c r="NSP4" s="484"/>
      <c r="NSQ4" s="484"/>
      <c r="NSR4" s="484"/>
      <c r="NSS4" s="484"/>
      <c r="NST4" s="484"/>
      <c r="NSU4" s="484"/>
      <c r="NSV4" s="484"/>
      <c r="NSW4" s="484"/>
      <c r="NSX4" s="484"/>
      <c r="NSY4" s="484"/>
      <c r="NSZ4" s="484"/>
      <c r="NTA4" s="484"/>
      <c r="NTB4" s="484"/>
      <c r="NTC4" s="484"/>
      <c r="NTD4" s="484"/>
      <c r="NTE4" s="484"/>
      <c r="NTF4" s="484"/>
      <c r="NTG4" s="484"/>
      <c r="NTH4" s="484"/>
      <c r="NTI4" s="484"/>
      <c r="NTJ4" s="484"/>
      <c r="NTK4" s="484"/>
      <c r="NTL4" s="484"/>
      <c r="NTM4" s="484"/>
      <c r="NTN4" s="484"/>
      <c r="NTO4" s="484"/>
      <c r="NTP4" s="484"/>
      <c r="NTQ4" s="484"/>
      <c r="NTR4" s="484"/>
      <c r="NTS4" s="484"/>
      <c r="NTT4" s="484"/>
      <c r="NTU4" s="484"/>
      <c r="NTV4" s="484"/>
      <c r="NTW4" s="484"/>
      <c r="NTX4" s="484"/>
      <c r="NTY4" s="484"/>
      <c r="NTZ4" s="484"/>
      <c r="NUA4" s="484"/>
      <c r="NUB4" s="484"/>
      <c r="NUC4" s="484"/>
      <c r="NUD4" s="484"/>
      <c r="NUE4" s="484"/>
      <c r="NUF4" s="484"/>
      <c r="NUG4" s="484"/>
      <c r="NUH4" s="484"/>
      <c r="NUI4" s="484"/>
      <c r="NUJ4" s="484"/>
      <c r="NUK4" s="484"/>
      <c r="NUL4" s="484"/>
      <c r="NUM4" s="484"/>
      <c r="NUN4" s="484"/>
      <c r="NUO4" s="484"/>
      <c r="NUP4" s="484"/>
      <c r="NUQ4" s="484"/>
      <c r="NUR4" s="484"/>
      <c r="NUS4" s="484"/>
      <c r="NUT4" s="484"/>
      <c r="NUU4" s="484"/>
      <c r="NUV4" s="484"/>
      <c r="NUW4" s="484"/>
      <c r="NUX4" s="484"/>
      <c r="NUY4" s="484"/>
      <c r="NUZ4" s="484"/>
      <c r="NVA4" s="484"/>
      <c r="NVB4" s="484"/>
      <c r="NVC4" s="484"/>
      <c r="NVD4" s="484"/>
      <c r="NVE4" s="484"/>
      <c r="NVF4" s="484"/>
      <c r="NVG4" s="484"/>
      <c r="NVH4" s="484"/>
      <c r="NVI4" s="484"/>
      <c r="NVJ4" s="484"/>
      <c r="NVK4" s="484"/>
      <c r="NVL4" s="484"/>
      <c r="NVM4" s="484"/>
      <c r="NVN4" s="484"/>
      <c r="NVO4" s="484"/>
      <c r="NVP4" s="484"/>
      <c r="NVQ4" s="484"/>
      <c r="NVR4" s="484"/>
      <c r="NVS4" s="484"/>
      <c r="NVT4" s="484"/>
      <c r="NVU4" s="484"/>
      <c r="NVV4" s="484"/>
      <c r="NVW4" s="484"/>
      <c r="NVX4" s="484"/>
      <c r="NVY4" s="484"/>
      <c r="NVZ4" s="484"/>
      <c r="NWA4" s="484"/>
      <c r="NWB4" s="484"/>
      <c r="NWC4" s="484"/>
      <c r="NWD4" s="484"/>
      <c r="NWE4" s="484"/>
      <c r="NWF4" s="484"/>
      <c r="NWG4" s="484"/>
      <c r="NWH4" s="484"/>
      <c r="NWI4" s="484"/>
      <c r="NWJ4" s="484"/>
      <c r="NWK4" s="484"/>
      <c r="NWL4" s="484"/>
      <c r="NWM4" s="484"/>
      <c r="NWN4" s="484"/>
      <c r="NWO4" s="484"/>
      <c r="NWP4" s="484"/>
      <c r="NWQ4" s="484"/>
      <c r="NWR4" s="484"/>
      <c r="NWS4" s="484"/>
      <c r="NWT4" s="484"/>
      <c r="NWU4" s="484"/>
      <c r="NWV4" s="484"/>
      <c r="NWW4" s="484"/>
      <c r="NWX4" s="484"/>
      <c r="NWY4" s="484"/>
      <c r="NWZ4" s="484"/>
      <c r="NXA4" s="484"/>
      <c r="NXB4" s="484"/>
      <c r="NXC4" s="484"/>
      <c r="NXD4" s="484"/>
      <c r="NXE4" s="484"/>
      <c r="NXF4" s="484"/>
      <c r="NXG4" s="484"/>
      <c r="NXH4" s="484"/>
      <c r="NXI4" s="484"/>
      <c r="NXJ4" s="484"/>
      <c r="NXK4" s="484"/>
      <c r="NXL4" s="484"/>
      <c r="NXM4" s="484"/>
      <c r="NXN4" s="484"/>
      <c r="NXO4" s="484"/>
      <c r="NXP4" s="484"/>
      <c r="NXQ4" s="484"/>
      <c r="NXR4" s="484"/>
      <c r="NXS4" s="484"/>
      <c r="NXT4" s="484"/>
      <c r="NXU4" s="484"/>
      <c r="NXV4" s="484"/>
      <c r="NXW4" s="484"/>
      <c r="NXX4" s="484"/>
      <c r="NXY4" s="484"/>
      <c r="NXZ4" s="484"/>
      <c r="NYA4" s="484"/>
      <c r="NYB4" s="484"/>
      <c r="NYC4" s="484"/>
      <c r="NYD4" s="484"/>
      <c r="NYE4" s="484"/>
      <c r="NYF4" s="484"/>
      <c r="NYG4" s="484"/>
      <c r="NYH4" s="484"/>
      <c r="NYI4" s="484"/>
      <c r="NYJ4" s="484"/>
      <c r="NYK4" s="484"/>
      <c r="NYL4" s="484"/>
      <c r="NYM4" s="484"/>
      <c r="NYN4" s="484"/>
      <c r="NYO4" s="484"/>
      <c r="NYP4" s="484"/>
      <c r="NYQ4" s="484"/>
      <c r="NYR4" s="484"/>
      <c r="NYS4" s="484"/>
      <c r="NYT4" s="484"/>
      <c r="NYU4" s="484"/>
      <c r="NYV4" s="484"/>
      <c r="NYW4" s="484"/>
      <c r="NYX4" s="484"/>
      <c r="NYY4" s="484"/>
      <c r="NYZ4" s="484"/>
      <c r="NZA4" s="484"/>
      <c r="NZB4" s="484"/>
      <c r="NZC4" s="484"/>
      <c r="NZD4" s="484"/>
      <c r="NZE4" s="484"/>
      <c r="NZF4" s="484"/>
      <c r="NZG4" s="484"/>
      <c r="NZH4" s="484"/>
      <c r="NZI4" s="484"/>
      <c r="NZJ4" s="484"/>
      <c r="NZK4" s="484"/>
      <c r="NZL4" s="484"/>
      <c r="NZM4" s="484"/>
      <c r="NZN4" s="484"/>
      <c r="NZO4" s="484"/>
      <c r="NZP4" s="484"/>
      <c r="NZQ4" s="484"/>
      <c r="NZR4" s="484"/>
      <c r="NZS4" s="484"/>
      <c r="NZT4" s="484"/>
      <c r="NZU4" s="484"/>
      <c r="NZV4" s="484"/>
      <c r="NZW4" s="484"/>
      <c r="NZX4" s="484"/>
      <c r="NZY4" s="484"/>
      <c r="NZZ4" s="484"/>
      <c r="OAA4" s="484"/>
      <c r="OAB4" s="484"/>
      <c r="OAC4" s="484"/>
      <c r="OAD4" s="484"/>
      <c r="OAE4" s="484"/>
      <c r="OAF4" s="484"/>
      <c r="OAG4" s="484"/>
      <c r="OAH4" s="484"/>
      <c r="OAI4" s="484"/>
      <c r="OAJ4" s="484"/>
      <c r="OAK4" s="484"/>
      <c r="OAL4" s="484"/>
      <c r="OAM4" s="484"/>
      <c r="OAN4" s="484"/>
      <c r="OAO4" s="484"/>
      <c r="OAP4" s="484"/>
      <c r="OAQ4" s="484"/>
      <c r="OAR4" s="484"/>
      <c r="OAS4" s="484"/>
      <c r="OAT4" s="484"/>
      <c r="OAU4" s="484"/>
      <c r="OAV4" s="484"/>
      <c r="OAW4" s="484"/>
      <c r="OAX4" s="484"/>
      <c r="OAY4" s="484"/>
      <c r="OAZ4" s="484"/>
      <c r="OBA4" s="484"/>
      <c r="OBB4" s="484"/>
      <c r="OBC4" s="484"/>
      <c r="OBD4" s="484"/>
      <c r="OBE4" s="484"/>
      <c r="OBF4" s="484"/>
      <c r="OBG4" s="484"/>
      <c r="OBH4" s="484"/>
      <c r="OBI4" s="484"/>
      <c r="OBJ4" s="484"/>
      <c r="OBK4" s="484"/>
      <c r="OBL4" s="484"/>
      <c r="OBM4" s="484"/>
      <c r="OBN4" s="484"/>
      <c r="OBO4" s="484"/>
      <c r="OBP4" s="484"/>
      <c r="OBQ4" s="484"/>
      <c r="OBR4" s="484"/>
      <c r="OBS4" s="484"/>
      <c r="OBT4" s="484"/>
      <c r="OBU4" s="484"/>
      <c r="OBV4" s="484"/>
      <c r="OBW4" s="484"/>
      <c r="OBX4" s="484"/>
      <c r="OBY4" s="484"/>
      <c r="OBZ4" s="484"/>
      <c r="OCA4" s="484"/>
      <c r="OCB4" s="484"/>
      <c r="OCC4" s="484"/>
      <c r="OCD4" s="484"/>
      <c r="OCE4" s="484"/>
      <c r="OCF4" s="484"/>
      <c r="OCG4" s="484"/>
      <c r="OCH4" s="484"/>
      <c r="OCI4" s="484"/>
      <c r="OCJ4" s="484"/>
      <c r="OCK4" s="484"/>
      <c r="OCL4" s="484"/>
      <c r="OCM4" s="484"/>
      <c r="OCN4" s="484"/>
      <c r="OCO4" s="484"/>
      <c r="OCP4" s="484"/>
      <c r="OCQ4" s="484"/>
      <c r="OCR4" s="484"/>
      <c r="OCS4" s="484"/>
      <c r="OCT4" s="484"/>
      <c r="OCU4" s="484"/>
      <c r="OCV4" s="484"/>
      <c r="OCW4" s="484"/>
      <c r="OCX4" s="484"/>
      <c r="OCY4" s="484"/>
      <c r="OCZ4" s="484"/>
      <c r="ODA4" s="484"/>
      <c r="ODB4" s="484"/>
      <c r="ODC4" s="484"/>
      <c r="ODD4" s="484"/>
      <c r="ODE4" s="484"/>
      <c r="ODF4" s="484"/>
      <c r="ODG4" s="484"/>
      <c r="ODH4" s="484"/>
      <c r="ODI4" s="484"/>
      <c r="ODJ4" s="484"/>
      <c r="ODK4" s="484"/>
      <c r="ODL4" s="484"/>
      <c r="ODM4" s="484"/>
      <c r="ODN4" s="484"/>
      <c r="ODO4" s="484"/>
      <c r="ODP4" s="484"/>
      <c r="ODQ4" s="484"/>
      <c r="ODR4" s="484"/>
      <c r="ODS4" s="484"/>
      <c r="ODT4" s="484"/>
      <c r="ODU4" s="484"/>
      <c r="ODV4" s="484"/>
      <c r="ODW4" s="484"/>
      <c r="ODX4" s="484"/>
      <c r="ODY4" s="484"/>
      <c r="ODZ4" s="484"/>
      <c r="OEA4" s="484"/>
      <c r="OEB4" s="484"/>
      <c r="OEC4" s="484"/>
      <c r="OED4" s="484"/>
      <c r="OEE4" s="484"/>
      <c r="OEF4" s="484"/>
      <c r="OEG4" s="484"/>
      <c r="OEH4" s="484"/>
      <c r="OEI4" s="484"/>
      <c r="OEJ4" s="484"/>
      <c r="OEK4" s="484"/>
      <c r="OEL4" s="484"/>
      <c r="OEM4" s="484"/>
      <c r="OEN4" s="484"/>
      <c r="OEO4" s="484"/>
      <c r="OEP4" s="484"/>
      <c r="OEQ4" s="484"/>
      <c r="OER4" s="484"/>
      <c r="OES4" s="484"/>
      <c r="OET4" s="484"/>
      <c r="OEU4" s="484"/>
      <c r="OEV4" s="484"/>
      <c r="OEW4" s="484"/>
      <c r="OEX4" s="484"/>
      <c r="OEY4" s="484"/>
      <c r="OEZ4" s="484"/>
      <c r="OFA4" s="484"/>
      <c r="OFB4" s="484"/>
      <c r="OFC4" s="484"/>
      <c r="OFD4" s="484"/>
      <c r="OFE4" s="484"/>
      <c r="OFF4" s="484"/>
      <c r="OFG4" s="484"/>
      <c r="OFH4" s="484"/>
      <c r="OFI4" s="484"/>
      <c r="OFJ4" s="484"/>
      <c r="OFK4" s="484"/>
      <c r="OFL4" s="484"/>
      <c r="OFM4" s="484"/>
      <c r="OFN4" s="484"/>
      <c r="OFO4" s="484"/>
      <c r="OFP4" s="484"/>
      <c r="OFQ4" s="484"/>
      <c r="OFR4" s="484"/>
      <c r="OFS4" s="484"/>
      <c r="OFT4" s="484"/>
      <c r="OFU4" s="484"/>
      <c r="OFV4" s="484"/>
      <c r="OFW4" s="484"/>
      <c r="OFX4" s="484"/>
      <c r="OFY4" s="484"/>
      <c r="OFZ4" s="484"/>
      <c r="OGA4" s="484"/>
      <c r="OGB4" s="484"/>
      <c r="OGC4" s="484"/>
      <c r="OGD4" s="484"/>
      <c r="OGE4" s="484"/>
      <c r="OGF4" s="484"/>
      <c r="OGG4" s="484"/>
      <c r="OGH4" s="484"/>
      <c r="OGI4" s="484"/>
      <c r="OGJ4" s="484"/>
      <c r="OGK4" s="484"/>
      <c r="OGL4" s="484"/>
      <c r="OGM4" s="484"/>
      <c r="OGN4" s="484"/>
      <c r="OGO4" s="484"/>
      <c r="OGP4" s="484"/>
      <c r="OGQ4" s="484"/>
      <c r="OGR4" s="484"/>
      <c r="OGS4" s="484"/>
      <c r="OGT4" s="484"/>
      <c r="OGU4" s="484"/>
      <c r="OGV4" s="484"/>
      <c r="OGW4" s="484"/>
      <c r="OGX4" s="484"/>
      <c r="OGY4" s="484"/>
      <c r="OGZ4" s="484"/>
      <c r="OHA4" s="484"/>
      <c r="OHB4" s="484"/>
      <c r="OHC4" s="484"/>
      <c r="OHD4" s="484"/>
      <c r="OHE4" s="484"/>
      <c r="OHF4" s="484"/>
      <c r="OHG4" s="484"/>
      <c r="OHH4" s="484"/>
      <c r="OHI4" s="484"/>
      <c r="OHJ4" s="484"/>
      <c r="OHK4" s="484"/>
      <c r="OHL4" s="484"/>
      <c r="OHM4" s="484"/>
      <c r="OHN4" s="484"/>
      <c r="OHO4" s="484"/>
      <c r="OHP4" s="484"/>
      <c r="OHQ4" s="484"/>
      <c r="OHR4" s="484"/>
      <c r="OHS4" s="484"/>
      <c r="OHT4" s="484"/>
      <c r="OHU4" s="484"/>
      <c r="OHV4" s="484"/>
      <c r="OHW4" s="484"/>
      <c r="OHX4" s="484"/>
      <c r="OHY4" s="484"/>
      <c r="OHZ4" s="484"/>
      <c r="OIA4" s="484"/>
      <c r="OIB4" s="484"/>
      <c r="OIC4" s="484"/>
      <c r="OID4" s="484"/>
      <c r="OIE4" s="484"/>
      <c r="OIF4" s="484"/>
      <c r="OIG4" s="484"/>
      <c r="OIH4" s="484"/>
      <c r="OII4" s="484"/>
      <c r="OIJ4" s="484"/>
      <c r="OIK4" s="484"/>
      <c r="OIL4" s="484"/>
      <c r="OIM4" s="484"/>
      <c r="OIN4" s="484"/>
      <c r="OIO4" s="484"/>
      <c r="OIP4" s="484"/>
      <c r="OIQ4" s="484"/>
      <c r="OIR4" s="484"/>
      <c r="OIS4" s="484"/>
      <c r="OIT4" s="484"/>
      <c r="OIU4" s="484"/>
      <c r="OIV4" s="484"/>
      <c r="OIW4" s="484"/>
      <c r="OIX4" s="484"/>
      <c r="OIY4" s="484"/>
      <c r="OIZ4" s="484"/>
      <c r="OJA4" s="484"/>
      <c r="OJB4" s="484"/>
      <c r="OJC4" s="484"/>
      <c r="OJD4" s="484"/>
      <c r="OJE4" s="484"/>
      <c r="OJF4" s="484"/>
      <c r="OJG4" s="484"/>
      <c r="OJH4" s="484"/>
      <c r="OJI4" s="484"/>
      <c r="OJJ4" s="484"/>
      <c r="OJK4" s="484"/>
      <c r="OJL4" s="484"/>
      <c r="OJM4" s="484"/>
      <c r="OJN4" s="484"/>
      <c r="OJO4" s="484"/>
      <c r="OJP4" s="484"/>
      <c r="OJQ4" s="484"/>
      <c r="OJR4" s="484"/>
      <c r="OJS4" s="484"/>
      <c r="OJT4" s="484"/>
      <c r="OJU4" s="484"/>
      <c r="OJV4" s="484"/>
      <c r="OJW4" s="484"/>
      <c r="OJX4" s="484"/>
      <c r="OJY4" s="484"/>
      <c r="OJZ4" s="484"/>
      <c r="OKA4" s="484"/>
      <c r="OKB4" s="484"/>
      <c r="OKC4" s="484"/>
      <c r="OKD4" s="484"/>
      <c r="OKE4" s="484"/>
      <c r="OKF4" s="484"/>
      <c r="OKG4" s="484"/>
      <c r="OKH4" s="484"/>
      <c r="OKI4" s="484"/>
      <c r="OKJ4" s="484"/>
      <c r="OKK4" s="484"/>
      <c r="OKL4" s="484"/>
      <c r="OKM4" s="484"/>
      <c r="OKN4" s="484"/>
      <c r="OKO4" s="484"/>
      <c r="OKP4" s="484"/>
      <c r="OKQ4" s="484"/>
      <c r="OKR4" s="484"/>
      <c r="OKS4" s="484"/>
      <c r="OKT4" s="484"/>
      <c r="OKU4" s="484"/>
      <c r="OKV4" s="484"/>
      <c r="OKW4" s="484"/>
      <c r="OKX4" s="484"/>
      <c r="OKY4" s="484"/>
      <c r="OKZ4" s="484"/>
      <c r="OLA4" s="484"/>
      <c r="OLB4" s="484"/>
      <c r="OLC4" s="484"/>
      <c r="OLD4" s="484"/>
      <c r="OLE4" s="484"/>
      <c r="OLF4" s="484"/>
      <c r="OLG4" s="484"/>
      <c r="OLH4" s="484"/>
      <c r="OLI4" s="484"/>
      <c r="OLJ4" s="484"/>
      <c r="OLK4" s="484"/>
      <c r="OLL4" s="484"/>
      <c r="OLM4" s="484"/>
      <c r="OLN4" s="484"/>
      <c r="OLO4" s="484"/>
      <c r="OLP4" s="484"/>
      <c r="OLQ4" s="484"/>
      <c r="OLR4" s="484"/>
      <c r="OLS4" s="484"/>
      <c r="OLT4" s="484"/>
      <c r="OLU4" s="484"/>
      <c r="OLV4" s="484"/>
      <c r="OLW4" s="484"/>
      <c r="OLX4" s="484"/>
      <c r="OLY4" s="484"/>
      <c r="OLZ4" s="484"/>
      <c r="OMA4" s="484"/>
      <c r="OMB4" s="484"/>
      <c r="OMC4" s="484"/>
      <c r="OMD4" s="484"/>
      <c r="OME4" s="484"/>
      <c r="OMF4" s="484"/>
      <c r="OMG4" s="484"/>
      <c r="OMH4" s="484"/>
      <c r="OMI4" s="484"/>
      <c r="OMJ4" s="484"/>
      <c r="OMK4" s="484"/>
      <c r="OML4" s="484"/>
      <c r="OMM4" s="484"/>
      <c r="OMN4" s="484"/>
      <c r="OMO4" s="484"/>
      <c r="OMP4" s="484"/>
      <c r="OMQ4" s="484"/>
      <c r="OMR4" s="484"/>
      <c r="OMS4" s="484"/>
      <c r="OMT4" s="484"/>
      <c r="OMU4" s="484"/>
      <c r="OMV4" s="484"/>
      <c r="OMW4" s="484"/>
      <c r="OMX4" s="484"/>
      <c r="OMY4" s="484"/>
      <c r="OMZ4" s="484"/>
      <c r="ONA4" s="484"/>
      <c r="ONB4" s="484"/>
      <c r="ONC4" s="484"/>
      <c r="OND4" s="484"/>
      <c r="ONE4" s="484"/>
      <c r="ONF4" s="484"/>
      <c r="ONG4" s="484"/>
      <c r="ONH4" s="484"/>
      <c r="ONI4" s="484"/>
      <c r="ONJ4" s="484"/>
      <c r="ONK4" s="484"/>
      <c r="ONL4" s="484"/>
      <c r="ONM4" s="484"/>
      <c r="ONN4" s="484"/>
      <c r="ONO4" s="484"/>
      <c r="ONP4" s="484"/>
      <c r="ONQ4" s="484"/>
      <c r="ONR4" s="484"/>
      <c r="ONS4" s="484"/>
      <c r="ONT4" s="484"/>
      <c r="ONU4" s="484"/>
      <c r="ONV4" s="484"/>
      <c r="ONW4" s="484"/>
      <c r="ONX4" s="484"/>
      <c r="ONY4" s="484"/>
      <c r="ONZ4" s="484"/>
      <c r="OOA4" s="484"/>
      <c r="OOB4" s="484"/>
      <c r="OOC4" s="484"/>
      <c r="OOD4" s="484"/>
      <c r="OOE4" s="484"/>
      <c r="OOF4" s="484"/>
      <c r="OOG4" s="484"/>
      <c r="OOH4" s="484"/>
      <c r="OOI4" s="484"/>
      <c r="OOJ4" s="484"/>
      <c r="OOK4" s="484"/>
      <c r="OOL4" s="484"/>
      <c r="OOM4" s="484"/>
      <c r="OON4" s="484"/>
      <c r="OOO4" s="484"/>
      <c r="OOP4" s="484"/>
      <c r="OOQ4" s="484"/>
      <c r="OOR4" s="484"/>
      <c r="OOS4" s="484"/>
      <c r="OOT4" s="484"/>
      <c r="OOU4" s="484"/>
      <c r="OOV4" s="484"/>
      <c r="OOW4" s="484"/>
      <c r="OOX4" s="484"/>
      <c r="OOY4" s="484"/>
      <c r="OOZ4" s="484"/>
      <c r="OPA4" s="484"/>
      <c r="OPB4" s="484"/>
      <c r="OPC4" s="484"/>
      <c r="OPD4" s="484"/>
      <c r="OPE4" s="484"/>
      <c r="OPF4" s="484"/>
      <c r="OPG4" s="484"/>
      <c r="OPH4" s="484"/>
      <c r="OPI4" s="484"/>
      <c r="OPJ4" s="484"/>
      <c r="OPK4" s="484"/>
      <c r="OPL4" s="484"/>
      <c r="OPM4" s="484"/>
      <c r="OPN4" s="484"/>
      <c r="OPO4" s="484"/>
      <c r="OPP4" s="484"/>
      <c r="OPQ4" s="484"/>
      <c r="OPR4" s="484"/>
      <c r="OPS4" s="484"/>
      <c r="OPT4" s="484"/>
      <c r="OPU4" s="484"/>
      <c r="OPV4" s="484"/>
      <c r="OPW4" s="484"/>
      <c r="OPX4" s="484"/>
      <c r="OPY4" s="484"/>
      <c r="OPZ4" s="484"/>
      <c r="OQA4" s="484"/>
      <c r="OQB4" s="484"/>
      <c r="OQC4" s="484"/>
      <c r="OQD4" s="484"/>
      <c r="OQE4" s="484"/>
      <c r="OQF4" s="484"/>
      <c r="OQG4" s="484"/>
      <c r="OQH4" s="484"/>
      <c r="OQI4" s="484"/>
      <c r="OQJ4" s="484"/>
      <c r="OQK4" s="484"/>
      <c r="OQL4" s="484"/>
      <c r="OQM4" s="484"/>
      <c r="OQN4" s="484"/>
      <c r="OQO4" s="484"/>
      <c r="OQP4" s="484"/>
      <c r="OQQ4" s="484"/>
      <c r="OQR4" s="484"/>
      <c r="OQS4" s="484"/>
      <c r="OQT4" s="484"/>
      <c r="OQU4" s="484"/>
      <c r="OQV4" s="484"/>
      <c r="OQW4" s="484"/>
      <c r="OQX4" s="484"/>
      <c r="OQY4" s="484"/>
      <c r="OQZ4" s="484"/>
      <c r="ORA4" s="484"/>
      <c r="ORB4" s="484"/>
      <c r="ORC4" s="484"/>
      <c r="ORD4" s="484"/>
      <c r="ORE4" s="484"/>
      <c r="ORF4" s="484"/>
      <c r="ORG4" s="484"/>
      <c r="ORH4" s="484"/>
      <c r="ORI4" s="484"/>
      <c r="ORJ4" s="484"/>
      <c r="ORK4" s="484"/>
      <c r="ORL4" s="484"/>
      <c r="ORM4" s="484"/>
      <c r="ORN4" s="484"/>
      <c r="ORO4" s="484"/>
      <c r="ORP4" s="484"/>
      <c r="ORQ4" s="484"/>
      <c r="ORR4" s="484"/>
      <c r="ORS4" s="484"/>
      <c r="ORT4" s="484"/>
      <c r="ORU4" s="484"/>
      <c r="ORV4" s="484"/>
      <c r="ORW4" s="484"/>
      <c r="ORX4" s="484"/>
      <c r="ORY4" s="484"/>
      <c r="ORZ4" s="484"/>
      <c r="OSA4" s="484"/>
      <c r="OSB4" s="484"/>
      <c r="OSC4" s="484"/>
      <c r="OSD4" s="484"/>
      <c r="OSE4" s="484"/>
      <c r="OSF4" s="484"/>
      <c r="OSG4" s="484"/>
      <c r="OSH4" s="484"/>
      <c r="OSI4" s="484"/>
      <c r="OSJ4" s="484"/>
      <c r="OSK4" s="484"/>
      <c r="OSL4" s="484"/>
      <c r="OSM4" s="484"/>
      <c r="OSN4" s="484"/>
      <c r="OSO4" s="484"/>
      <c r="OSP4" s="484"/>
      <c r="OSQ4" s="484"/>
      <c r="OSR4" s="484"/>
      <c r="OSS4" s="484"/>
      <c r="OST4" s="484"/>
      <c r="OSU4" s="484"/>
      <c r="OSV4" s="484"/>
      <c r="OSW4" s="484"/>
      <c r="OSX4" s="484"/>
      <c r="OSY4" s="484"/>
      <c r="OSZ4" s="484"/>
      <c r="OTA4" s="484"/>
      <c r="OTB4" s="484"/>
      <c r="OTC4" s="484"/>
      <c r="OTD4" s="484"/>
      <c r="OTE4" s="484"/>
      <c r="OTF4" s="484"/>
      <c r="OTG4" s="484"/>
      <c r="OTH4" s="484"/>
      <c r="OTI4" s="484"/>
      <c r="OTJ4" s="484"/>
      <c r="OTK4" s="484"/>
      <c r="OTL4" s="484"/>
      <c r="OTM4" s="484"/>
      <c r="OTN4" s="484"/>
      <c r="OTO4" s="484"/>
      <c r="OTP4" s="484"/>
      <c r="OTQ4" s="484"/>
      <c r="OTR4" s="484"/>
      <c r="OTS4" s="484"/>
      <c r="OTT4" s="484"/>
      <c r="OTU4" s="484"/>
      <c r="OTV4" s="484"/>
      <c r="OTW4" s="484"/>
      <c r="OTX4" s="484"/>
      <c r="OTY4" s="484"/>
      <c r="OTZ4" s="484"/>
      <c r="OUA4" s="484"/>
      <c r="OUB4" s="484"/>
      <c r="OUC4" s="484"/>
      <c r="OUD4" s="484"/>
      <c r="OUE4" s="484"/>
      <c r="OUF4" s="484"/>
      <c r="OUG4" s="484"/>
      <c r="OUH4" s="484"/>
      <c r="OUI4" s="484"/>
      <c r="OUJ4" s="484"/>
      <c r="OUK4" s="484"/>
      <c r="OUL4" s="484"/>
      <c r="OUM4" s="484"/>
      <c r="OUN4" s="484"/>
      <c r="OUO4" s="484"/>
      <c r="OUP4" s="484"/>
      <c r="OUQ4" s="484"/>
      <c r="OUR4" s="484"/>
      <c r="OUS4" s="484"/>
      <c r="OUT4" s="484"/>
      <c r="OUU4" s="484"/>
      <c r="OUV4" s="484"/>
      <c r="OUW4" s="484"/>
      <c r="OUX4" s="484"/>
      <c r="OUY4" s="484"/>
      <c r="OUZ4" s="484"/>
      <c r="OVA4" s="484"/>
      <c r="OVB4" s="484"/>
      <c r="OVC4" s="484"/>
      <c r="OVD4" s="484"/>
      <c r="OVE4" s="484"/>
      <c r="OVF4" s="484"/>
      <c r="OVG4" s="484"/>
      <c r="OVH4" s="484"/>
      <c r="OVI4" s="484"/>
      <c r="OVJ4" s="484"/>
      <c r="OVK4" s="484"/>
      <c r="OVL4" s="484"/>
      <c r="OVM4" s="484"/>
      <c r="OVN4" s="484"/>
      <c r="OVO4" s="484"/>
      <c r="OVP4" s="484"/>
      <c r="OVQ4" s="484"/>
      <c r="OVR4" s="484"/>
      <c r="OVS4" s="484"/>
      <c r="OVT4" s="484"/>
      <c r="OVU4" s="484"/>
      <c r="OVV4" s="484"/>
      <c r="OVW4" s="484"/>
      <c r="OVX4" s="484"/>
      <c r="OVY4" s="484"/>
      <c r="OVZ4" s="484"/>
      <c r="OWA4" s="484"/>
      <c r="OWB4" s="484"/>
      <c r="OWC4" s="484"/>
      <c r="OWD4" s="484"/>
      <c r="OWE4" s="484"/>
      <c r="OWF4" s="484"/>
      <c r="OWG4" s="484"/>
      <c r="OWH4" s="484"/>
      <c r="OWI4" s="484"/>
      <c r="OWJ4" s="484"/>
      <c r="OWK4" s="484"/>
      <c r="OWL4" s="484"/>
      <c r="OWM4" s="484"/>
      <c r="OWN4" s="484"/>
      <c r="OWO4" s="484"/>
      <c r="OWP4" s="484"/>
      <c r="OWQ4" s="484"/>
      <c r="OWR4" s="484"/>
      <c r="OWS4" s="484"/>
      <c r="OWT4" s="484"/>
      <c r="OWU4" s="484"/>
      <c r="OWV4" s="484"/>
      <c r="OWW4" s="484"/>
      <c r="OWX4" s="484"/>
      <c r="OWY4" s="484"/>
      <c r="OWZ4" s="484"/>
      <c r="OXA4" s="484"/>
      <c r="OXB4" s="484"/>
      <c r="OXC4" s="484"/>
      <c r="OXD4" s="484"/>
      <c r="OXE4" s="484"/>
      <c r="OXF4" s="484"/>
      <c r="OXG4" s="484"/>
      <c r="OXH4" s="484"/>
      <c r="OXI4" s="484"/>
      <c r="OXJ4" s="484"/>
      <c r="OXK4" s="484"/>
      <c r="OXL4" s="484"/>
      <c r="OXM4" s="484"/>
      <c r="OXN4" s="484"/>
      <c r="OXO4" s="484"/>
      <c r="OXP4" s="484"/>
      <c r="OXQ4" s="484"/>
      <c r="OXR4" s="484"/>
      <c r="OXS4" s="484"/>
      <c r="OXT4" s="484"/>
      <c r="OXU4" s="484"/>
      <c r="OXV4" s="484"/>
      <c r="OXW4" s="484"/>
      <c r="OXX4" s="484"/>
      <c r="OXY4" s="484"/>
      <c r="OXZ4" s="484"/>
      <c r="OYA4" s="484"/>
      <c r="OYB4" s="484"/>
      <c r="OYC4" s="484"/>
      <c r="OYD4" s="484"/>
      <c r="OYE4" s="484"/>
      <c r="OYF4" s="484"/>
      <c r="OYG4" s="484"/>
      <c r="OYH4" s="484"/>
      <c r="OYI4" s="484"/>
      <c r="OYJ4" s="484"/>
      <c r="OYK4" s="484"/>
      <c r="OYL4" s="484"/>
      <c r="OYM4" s="484"/>
      <c r="OYN4" s="484"/>
      <c r="OYO4" s="484"/>
      <c r="OYP4" s="484"/>
      <c r="OYQ4" s="484"/>
      <c r="OYR4" s="484"/>
      <c r="OYS4" s="484"/>
      <c r="OYT4" s="484"/>
      <c r="OYU4" s="484"/>
      <c r="OYV4" s="484"/>
      <c r="OYW4" s="484"/>
      <c r="OYX4" s="484"/>
      <c r="OYY4" s="484"/>
      <c r="OYZ4" s="484"/>
      <c r="OZA4" s="484"/>
      <c r="OZB4" s="484"/>
      <c r="OZC4" s="484"/>
      <c r="OZD4" s="484"/>
      <c r="OZE4" s="484"/>
      <c r="OZF4" s="484"/>
      <c r="OZG4" s="484"/>
      <c r="OZH4" s="484"/>
      <c r="OZI4" s="484"/>
      <c r="OZJ4" s="484"/>
      <c r="OZK4" s="484"/>
      <c r="OZL4" s="484"/>
      <c r="OZM4" s="484"/>
      <c r="OZN4" s="484"/>
      <c r="OZO4" s="484"/>
      <c r="OZP4" s="484"/>
      <c r="OZQ4" s="484"/>
      <c r="OZR4" s="484"/>
      <c r="OZS4" s="484"/>
      <c r="OZT4" s="484"/>
      <c r="OZU4" s="484"/>
      <c r="OZV4" s="484"/>
      <c r="OZW4" s="484"/>
      <c r="OZX4" s="484"/>
      <c r="OZY4" s="484"/>
      <c r="OZZ4" s="484"/>
      <c r="PAA4" s="484"/>
      <c r="PAB4" s="484"/>
      <c r="PAC4" s="484"/>
      <c r="PAD4" s="484"/>
      <c r="PAE4" s="484"/>
      <c r="PAF4" s="484"/>
      <c r="PAG4" s="484"/>
      <c r="PAH4" s="484"/>
      <c r="PAI4" s="484"/>
      <c r="PAJ4" s="484"/>
      <c r="PAK4" s="484"/>
      <c r="PAL4" s="484"/>
      <c r="PAM4" s="484"/>
      <c r="PAN4" s="484"/>
      <c r="PAO4" s="484"/>
      <c r="PAP4" s="484"/>
      <c r="PAQ4" s="484"/>
      <c r="PAR4" s="484"/>
      <c r="PAS4" s="484"/>
      <c r="PAT4" s="484"/>
      <c r="PAU4" s="484"/>
      <c r="PAV4" s="484"/>
      <c r="PAW4" s="484"/>
      <c r="PAX4" s="484"/>
      <c r="PAY4" s="484"/>
      <c r="PAZ4" s="484"/>
      <c r="PBA4" s="484"/>
      <c r="PBB4" s="484"/>
      <c r="PBC4" s="484"/>
      <c r="PBD4" s="484"/>
      <c r="PBE4" s="484"/>
      <c r="PBF4" s="484"/>
      <c r="PBG4" s="484"/>
      <c r="PBH4" s="484"/>
      <c r="PBI4" s="484"/>
      <c r="PBJ4" s="484"/>
      <c r="PBK4" s="484"/>
      <c r="PBL4" s="484"/>
      <c r="PBM4" s="484"/>
      <c r="PBN4" s="484"/>
      <c r="PBO4" s="484"/>
      <c r="PBP4" s="484"/>
      <c r="PBQ4" s="484"/>
      <c r="PBR4" s="484"/>
      <c r="PBS4" s="484"/>
      <c r="PBT4" s="484"/>
      <c r="PBU4" s="484"/>
      <c r="PBV4" s="484"/>
      <c r="PBW4" s="484"/>
      <c r="PBX4" s="484"/>
      <c r="PBY4" s="484"/>
      <c r="PBZ4" s="484"/>
      <c r="PCA4" s="484"/>
      <c r="PCB4" s="484"/>
      <c r="PCC4" s="484"/>
      <c r="PCD4" s="484"/>
      <c r="PCE4" s="484"/>
      <c r="PCF4" s="484"/>
      <c r="PCG4" s="484"/>
      <c r="PCH4" s="484"/>
      <c r="PCI4" s="484"/>
      <c r="PCJ4" s="484"/>
      <c r="PCK4" s="484"/>
      <c r="PCL4" s="484"/>
      <c r="PCM4" s="484"/>
      <c r="PCN4" s="484"/>
      <c r="PCO4" s="484"/>
      <c r="PCP4" s="484"/>
      <c r="PCQ4" s="484"/>
      <c r="PCR4" s="484"/>
      <c r="PCS4" s="484"/>
      <c r="PCT4" s="484"/>
      <c r="PCU4" s="484"/>
      <c r="PCV4" s="484"/>
      <c r="PCW4" s="484"/>
      <c r="PCX4" s="484"/>
      <c r="PCY4" s="484"/>
      <c r="PCZ4" s="484"/>
      <c r="PDA4" s="484"/>
      <c r="PDB4" s="484"/>
      <c r="PDC4" s="484"/>
      <c r="PDD4" s="484"/>
      <c r="PDE4" s="484"/>
      <c r="PDF4" s="484"/>
      <c r="PDG4" s="484"/>
      <c r="PDH4" s="484"/>
      <c r="PDI4" s="484"/>
      <c r="PDJ4" s="484"/>
      <c r="PDK4" s="484"/>
      <c r="PDL4" s="484"/>
      <c r="PDM4" s="484"/>
      <c r="PDN4" s="484"/>
      <c r="PDO4" s="484"/>
      <c r="PDP4" s="484"/>
      <c r="PDQ4" s="484"/>
      <c r="PDR4" s="484"/>
      <c r="PDS4" s="484"/>
      <c r="PDT4" s="484"/>
      <c r="PDU4" s="484"/>
      <c r="PDV4" s="484"/>
      <c r="PDW4" s="484"/>
      <c r="PDX4" s="484"/>
      <c r="PDY4" s="484"/>
      <c r="PDZ4" s="484"/>
      <c r="PEA4" s="484"/>
      <c r="PEB4" s="484"/>
      <c r="PEC4" s="484"/>
      <c r="PED4" s="484"/>
      <c r="PEE4" s="484"/>
      <c r="PEF4" s="484"/>
      <c r="PEG4" s="484"/>
      <c r="PEH4" s="484"/>
      <c r="PEI4" s="484"/>
      <c r="PEJ4" s="484"/>
      <c r="PEK4" s="484"/>
      <c r="PEL4" s="484"/>
      <c r="PEM4" s="484"/>
      <c r="PEN4" s="484"/>
      <c r="PEO4" s="484"/>
      <c r="PEP4" s="484"/>
      <c r="PEQ4" s="484"/>
      <c r="PER4" s="484"/>
      <c r="PES4" s="484"/>
      <c r="PET4" s="484"/>
      <c r="PEU4" s="484"/>
      <c r="PEV4" s="484"/>
      <c r="PEW4" s="484"/>
      <c r="PEX4" s="484"/>
      <c r="PEY4" s="484"/>
      <c r="PEZ4" s="484"/>
      <c r="PFA4" s="484"/>
      <c r="PFB4" s="484"/>
      <c r="PFC4" s="484"/>
      <c r="PFD4" s="484"/>
      <c r="PFE4" s="484"/>
      <c r="PFF4" s="484"/>
      <c r="PFG4" s="484"/>
      <c r="PFH4" s="484"/>
      <c r="PFI4" s="484"/>
      <c r="PFJ4" s="484"/>
      <c r="PFK4" s="484"/>
      <c r="PFL4" s="484"/>
      <c r="PFM4" s="484"/>
      <c r="PFN4" s="484"/>
      <c r="PFO4" s="484"/>
      <c r="PFP4" s="484"/>
      <c r="PFQ4" s="484"/>
      <c r="PFR4" s="484"/>
      <c r="PFS4" s="484"/>
      <c r="PFT4" s="484"/>
      <c r="PFU4" s="484"/>
      <c r="PFV4" s="484"/>
      <c r="PFW4" s="484"/>
      <c r="PFX4" s="484"/>
      <c r="PFY4" s="484"/>
      <c r="PFZ4" s="484"/>
      <c r="PGA4" s="484"/>
      <c r="PGB4" s="484"/>
      <c r="PGC4" s="484"/>
      <c r="PGD4" s="484"/>
      <c r="PGE4" s="484"/>
      <c r="PGF4" s="484"/>
      <c r="PGG4" s="484"/>
      <c r="PGH4" s="484"/>
      <c r="PGI4" s="484"/>
      <c r="PGJ4" s="484"/>
      <c r="PGK4" s="484"/>
      <c r="PGL4" s="484"/>
      <c r="PGM4" s="484"/>
      <c r="PGN4" s="484"/>
      <c r="PGO4" s="484"/>
      <c r="PGP4" s="484"/>
      <c r="PGQ4" s="484"/>
      <c r="PGR4" s="484"/>
      <c r="PGS4" s="484"/>
      <c r="PGT4" s="484"/>
      <c r="PGU4" s="484"/>
      <c r="PGV4" s="484"/>
      <c r="PGW4" s="484"/>
      <c r="PGX4" s="484"/>
      <c r="PGY4" s="484"/>
      <c r="PGZ4" s="484"/>
      <c r="PHA4" s="484"/>
      <c r="PHB4" s="484"/>
      <c r="PHC4" s="484"/>
      <c r="PHD4" s="484"/>
      <c r="PHE4" s="484"/>
      <c r="PHF4" s="484"/>
      <c r="PHG4" s="484"/>
      <c r="PHH4" s="484"/>
      <c r="PHI4" s="484"/>
      <c r="PHJ4" s="484"/>
      <c r="PHK4" s="484"/>
      <c r="PHL4" s="484"/>
      <c r="PHM4" s="484"/>
      <c r="PHN4" s="484"/>
      <c r="PHO4" s="484"/>
      <c r="PHP4" s="484"/>
      <c r="PHQ4" s="484"/>
      <c r="PHR4" s="484"/>
      <c r="PHS4" s="484"/>
      <c r="PHT4" s="484"/>
      <c r="PHU4" s="484"/>
      <c r="PHV4" s="484"/>
      <c r="PHW4" s="484"/>
      <c r="PHX4" s="484"/>
      <c r="PHY4" s="484"/>
      <c r="PHZ4" s="484"/>
      <c r="PIA4" s="484"/>
      <c r="PIB4" s="484"/>
      <c r="PIC4" s="484"/>
      <c r="PID4" s="484"/>
      <c r="PIE4" s="484"/>
      <c r="PIF4" s="484"/>
      <c r="PIG4" s="484"/>
      <c r="PIH4" s="484"/>
      <c r="PII4" s="484"/>
      <c r="PIJ4" s="484"/>
      <c r="PIK4" s="484"/>
      <c r="PIL4" s="484"/>
      <c r="PIM4" s="484"/>
      <c r="PIN4" s="484"/>
      <c r="PIO4" s="484"/>
      <c r="PIP4" s="484"/>
      <c r="PIQ4" s="484"/>
      <c r="PIR4" s="484"/>
      <c r="PIS4" s="484"/>
      <c r="PIT4" s="484"/>
      <c r="PIU4" s="484"/>
      <c r="PIV4" s="484"/>
      <c r="PIW4" s="484"/>
      <c r="PIX4" s="484"/>
      <c r="PIY4" s="484"/>
      <c r="PIZ4" s="484"/>
      <c r="PJA4" s="484"/>
      <c r="PJB4" s="484"/>
      <c r="PJC4" s="484"/>
      <c r="PJD4" s="484"/>
      <c r="PJE4" s="484"/>
      <c r="PJF4" s="484"/>
      <c r="PJG4" s="484"/>
      <c r="PJH4" s="484"/>
      <c r="PJI4" s="484"/>
      <c r="PJJ4" s="484"/>
      <c r="PJK4" s="484"/>
      <c r="PJL4" s="484"/>
      <c r="PJM4" s="484"/>
      <c r="PJN4" s="484"/>
      <c r="PJO4" s="484"/>
      <c r="PJP4" s="484"/>
      <c r="PJQ4" s="484"/>
      <c r="PJR4" s="484"/>
      <c r="PJS4" s="484"/>
      <c r="PJT4" s="484"/>
      <c r="PJU4" s="484"/>
      <c r="PJV4" s="484"/>
      <c r="PJW4" s="484"/>
      <c r="PJX4" s="484"/>
      <c r="PJY4" s="484"/>
      <c r="PJZ4" s="484"/>
      <c r="PKA4" s="484"/>
      <c r="PKB4" s="484"/>
      <c r="PKC4" s="484"/>
      <c r="PKD4" s="484"/>
      <c r="PKE4" s="484"/>
      <c r="PKF4" s="484"/>
      <c r="PKG4" s="484"/>
      <c r="PKH4" s="484"/>
      <c r="PKI4" s="484"/>
      <c r="PKJ4" s="484"/>
      <c r="PKK4" s="484"/>
      <c r="PKL4" s="484"/>
      <c r="PKM4" s="484"/>
      <c r="PKN4" s="484"/>
      <c r="PKO4" s="484"/>
      <c r="PKP4" s="484"/>
      <c r="PKQ4" s="484"/>
      <c r="PKR4" s="484"/>
      <c r="PKS4" s="484"/>
      <c r="PKT4" s="484"/>
      <c r="PKU4" s="484"/>
      <c r="PKV4" s="484"/>
      <c r="PKW4" s="484"/>
      <c r="PKX4" s="484"/>
      <c r="PKY4" s="484"/>
      <c r="PKZ4" s="484"/>
      <c r="PLA4" s="484"/>
      <c r="PLB4" s="484"/>
      <c r="PLC4" s="484"/>
      <c r="PLD4" s="484"/>
      <c r="PLE4" s="484"/>
      <c r="PLF4" s="484"/>
      <c r="PLG4" s="484"/>
      <c r="PLH4" s="484"/>
      <c r="PLI4" s="484"/>
      <c r="PLJ4" s="484"/>
      <c r="PLK4" s="484"/>
      <c r="PLL4" s="484"/>
      <c r="PLM4" s="484"/>
      <c r="PLN4" s="484"/>
      <c r="PLO4" s="484"/>
      <c r="PLP4" s="484"/>
      <c r="PLQ4" s="484"/>
      <c r="PLR4" s="484"/>
      <c r="PLS4" s="484"/>
      <c r="PLT4" s="484"/>
      <c r="PLU4" s="484"/>
      <c r="PLV4" s="484"/>
      <c r="PLW4" s="484"/>
      <c r="PLX4" s="484"/>
      <c r="PLY4" s="484"/>
      <c r="PLZ4" s="484"/>
      <c r="PMA4" s="484"/>
      <c r="PMB4" s="484"/>
      <c r="PMC4" s="484"/>
      <c r="PMD4" s="484"/>
      <c r="PME4" s="484"/>
      <c r="PMF4" s="484"/>
      <c r="PMG4" s="484"/>
      <c r="PMH4" s="484"/>
      <c r="PMI4" s="484"/>
      <c r="PMJ4" s="484"/>
      <c r="PMK4" s="484"/>
      <c r="PML4" s="484"/>
      <c r="PMM4" s="484"/>
      <c r="PMN4" s="484"/>
      <c r="PMO4" s="484"/>
      <c r="PMP4" s="484"/>
      <c r="PMQ4" s="484"/>
      <c r="PMR4" s="484"/>
      <c r="PMS4" s="484"/>
      <c r="PMT4" s="484"/>
      <c r="PMU4" s="484"/>
      <c r="PMV4" s="484"/>
      <c r="PMW4" s="484"/>
      <c r="PMX4" s="484"/>
      <c r="PMY4" s="484"/>
      <c r="PMZ4" s="484"/>
      <c r="PNA4" s="484"/>
      <c r="PNB4" s="484"/>
      <c r="PNC4" s="484"/>
      <c r="PND4" s="484"/>
      <c r="PNE4" s="484"/>
      <c r="PNF4" s="484"/>
      <c r="PNG4" s="484"/>
      <c r="PNH4" s="484"/>
      <c r="PNI4" s="484"/>
      <c r="PNJ4" s="484"/>
      <c r="PNK4" s="484"/>
      <c r="PNL4" s="484"/>
      <c r="PNM4" s="484"/>
      <c r="PNN4" s="484"/>
      <c r="PNO4" s="484"/>
      <c r="PNP4" s="484"/>
      <c r="PNQ4" s="484"/>
      <c r="PNR4" s="484"/>
      <c r="PNS4" s="484"/>
      <c r="PNT4" s="484"/>
      <c r="PNU4" s="484"/>
      <c r="PNV4" s="484"/>
      <c r="PNW4" s="484"/>
      <c r="PNX4" s="484"/>
      <c r="PNY4" s="484"/>
      <c r="PNZ4" s="484"/>
      <c r="POA4" s="484"/>
      <c r="POB4" s="484"/>
      <c r="POC4" s="484"/>
      <c r="POD4" s="484"/>
      <c r="POE4" s="484"/>
      <c r="POF4" s="484"/>
      <c r="POG4" s="484"/>
      <c r="POH4" s="484"/>
      <c r="POI4" s="484"/>
      <c r="POJ4" s="484"/>
      <c r="POK4" s="484"/>
      <c r="POL4" s="484"/>
      <c r="POM4" s="484"/>
      <c r="PON4" s="484"/>
      <c r="POO4" s="484"/>
      <c r="POP4" s="484"/>
      <c r="POQ4" s="484"/>
      <c r="POR4" s="484"/>
      <c r="POS4" s="484"/>
      <c r="POT4" s="484"/>
      <c r="POU4" s="484"/>
      <c r="POV4" s="484"/>
      <c r="POW4" s="484"/>
      <c r="POX4" s="484"/>
      <c r="POY4" s="484"/>
      <c r="POZ4" s="484"/>
      <c r="PPA4" s="484"/>
      <c r="PPB4" s="484"/>
      <c r="PPC4" s="484"/>
      <c r="PPD4" s="484"/>
      <c r="PPE4" s="484"/>
      <c r="PPF4" s="484"/>
      <c r="PPG4" s="484"/>
      <c r="PPH4" s="484"/>
      <c r="PPI4" s="484"/>
      <c r="PPJ4" s="484"/>
      <c r="PPK4" s="484"/>
      <c r="PPL4" s="484"/>
      <c r="PPM4" s="484"/>
      <c r="PPN4" s="484"/>
      <c r="PPO4" s="484"/>
      <c r="PPP4" s="484"/>
      <c r="PPQ4" s="484"/>
      <c r="PPR4" s="484"/>
      <c r="PPS4" s="484"/>
      <c r="PPT4" s="484"/>
      <c r="PPU4" s="484"/>
      <c r="PPV4" s="484"/>
      <c r="PPW4" s="484"/>
      <c r="PPX4" s="484"/>
      <c r="PPY4" s="484"/>
      <c r="PPZ4" s="484"/>
      <c r="PQA4" s="484"/>
      <c r="PQB4" s="484"/>
      <c r="PQC4" s="484"/>
      <c r="PQD4" s="484"/>
      <c r="PQE4" s="484"/>
      <c r="PQF4" s="484"/>
      <c r="PQG4" s="484"/>
      <c r="PQH4" s="484"/>
      <c r="PQI4" s="484"/>
      <c r="PQJ4" s="484"/>
      <c r="PQK4" s="484"/>
      <c r="PQL4" s="484"/>
      <c r="PQM4" s="484"/>
      <c r="PQN4" s="484"/>
      <c r="PQO4" s="484"/>
      <c r="PQP4" s="484"/>
      <c r="PQQ4" s="484"/>
      <c r="PQR4" s="484"/>
      <c r="PQS4" s="484"/>
      <c r="PQT4" s="484"/>
      <c r="PQU4" s="484"/>
      <c r="PQV4" s="484"/>
      <c r="PQW4" s="484"/>
      <c r="PQX4" s="484"/>
      <c r="PQY4" s="484"/>
      <c r="PQZ4" s="484"/>
      <c r="PRA4" s="484"/>
      <c r="PRB4" s="484"/>
      <c r="PRC4" s="484"/>
      <c r="PRD4" s="484"/>
      <c r="PRE4" s="484"/>
      <c r="PRF4" s="484"/>
      <c r="PRG4" s="484"/>
      <c r="PRH4" s="484"/>
      <c r="PRI4" s="484"/>
      <c r="PRJ4" s="484"/>
      <c r="PRK4" s="484"/>
      <c r="PRL4" s="484"/>
      <c r="PRM4" s="484"/>
      <c r="PRN4" s="484"/>
      <c r="PRO4" s="484"/>
      <c r="PRP4" s="484"/>
      <c r="PRQ4" s="484"/>
      <c r="PRR4" s="484"/>
      <c r="PRS4" s="484"/>
      <c r="PRT4" s="484"/>
      <c r="PRU4" s="484"/>
      <c r="PRV4" s="484"/>
      <c r="PRW4" s="484"/>
      <c r="PRX4" s="484"/>
      <c r="PRY4" s="484"/>
      <c r="PRZ4" s="484"/>
      <c r="PSA4" s="484"/>
      <c r="PSB4" s="484"/>
      <c r="PSC4" s="484"/>
      <c r="PSD4" s="484"/>
      <c r="PSE4" s="484"/>
      <c r="PSF4" s="484"/>
      <c r="PSG4" s="484"/>
      <c r="PSH4" s="484"/>
      <c r="PSI4" s="484"/>
      <c r="PSJ4" s="484"/>
      <c r="PSK4" s="484"/>
      <c r="PSL4" s="484"/>
      <c r="PSM4" s="484"/>
      <c r="PSN4" s="484"/>
      <c r="PSO4" s="484"/>
      <c r="PSP4" s="484"/>
      <c r="PSQ4" s="484"/>
      <c r="PSR4" s="484"/>
      <c r="PSS4" s="484"/>
      <c r="PST4" s="484"/>
      <c r="PSU4" s="484"/>
      <c r="PSV4" s="484"/>
      <c r="PSW4" s="484"/>
      <c r="PSX4" s="484"/>
      <c r="PSY4" s="484"/>
      <c r="PSZ4" s="484"/>
      <c r="PTA4" s="484"/>
      <c r="PTB4" s="484"/>
      <c r="PTC4" s="484"/>
      <c r="PTD4" s="484"/>
      <c r="PTE4" s="484"/>
      <c r="PTF4" s="484"/>
      <c r="PTG4" s="484"/>
      <c r="PTH4" s="484"/>
      <c r="PTI4" s="484"/>
      <c r="PTJ4" s="484"/>
      <c r="PTK4" s="484"/>
      <c r="PTL4" s="484"/>
      <c r="PTM4" s="484"/>
      <c r="PTN4" s="484"/>
      <c r="PTO4" s="484"/>
      <c r="PTP4" s="484"/>
      <c r="PTQ4" s="484"/>
      <c r="PTR4" s="484"/>
      <c r="PTS4" s="484"/>
      <c r="PTT4" s="484"/>
      <c r="PTU4" s="484"/>
      <c r="PTV4" s="484"/>
      <c r="PTW4" s="484"/>
      <c r="PTX4" s="484"/>
      <c r="PTY4" s="484"/>
      <c r="PTZ4" s="484"/>
      <c r="PUA4" s="484"/>
      <c r="PUB4" s="484"/>
      <c r="PUC4" s="484"/>
      <c r="PUD4" s="484"/>
      <c r="PUE4" s="484"/>
      <c r="PUF4" s="484"/>
      <c r="PUG4" s="484"/>
      <c r="PUH4" s="484"/>
      <c r="PUI4" s="484"/>
      <c r="PUJ4" s="484"/>
      <c r="PUK4" s="484"/>
      <c r="PUL4" s="484"/>
      <c r="PUM4" s="484"/>
      <c r="PUN4" s="484"/>
      <c r="PUO4" s="484"/>
      <c r="PUP4" s="484"/>
      <c r="PUQ4" s="484"/>
      <c r="PUR4" s="484"/>
      <c r="PUS4" s="484"/>
      <c r="PUT4" s="484"/>
      <c r="PUU4" s="484"/>
      <c r="PUV4" s="484"/>
      <c r="PUW4" s="484"/>
      <c r="PUX4" s="484"/>
      <c r="PUY4" s="484"/>
      <c r="PUZ4" s="484"/>
      <c r="PVA4" s="484"/>
      <c r="PVB4" s="484"/>
      <c r="PVC4" s="484"/>
      <c r="PVD4" s="484"/>
      <c r="PVE4" s="484"/>
      <c r="PVF4" s="484"/>
      <c r="PVG4" s="484"/>
      <c r="PVH4" s="484"/>
      <c r="PVI4" s="484"/>
      <c r="PVJ4" s="484"/>
      <c r="PVK4" s="484"/>
      <c r="PVL4" s="484"/>
      <c r="PVM4" s="484"/>
      <c r="PVN4" s="484"/>
      <c r="PVO4" s="484"/>
      <c r="PVP4" s="484"/>
      <c r="PVQ4" s="484"/>
      <c r="PVR4" s="484"/>
      <c r="PVS4" s="484"/>
      <c r="PVT4" s="484"/>
      <c r="PVU4" s="484"/>
      <c r="PVV4" s="484"/>
      <c r="PVW4" s="484"/>
      <c r="PVX4" s="484"/>
      <c r="PVY4" s="484"/>
      <c r="PVZ4" s="484"/>
      <c r="PWA4" s="484"/>
      <c r="PWB4" s="484"/>
      <c r="PWC4" s="484"/>
      <c r="PWD4" s="484"/>
      <c r="PWE4" s="484"/>
      <c r="PWF4" s="484"/>
      <c r="PWG4" s="484"/>
      <c r="PWH4" s="484"/>
      <c r="PWI4" s="484"/>
      <c r="PWJ4" s="484"/>
      <c r="PWK4" s="484"/>
      <c r="PWL4" s="484"/>
      <c r="PWM4" s="484"/>
      <c r="PWN4" s="484"/>
      <c r="PWO4" s="484"/>
      <c r="PWP4" s="484"/>
      <c r="PWQ4" s="484"/>
      <c r="PWR4" s="484"/>
      <c r="PWS4" s="484"/>
      <c r="PWT4" s="484"/>
      <c r="PWU4" s="484"/>
      <c r="PWV4" s="484"/>
      <c r="PWW4" s="484"/>
      <c r="PWX4" s="484"/>
      <c r="PWY4" s="484"/>
      <c r="PWZ4" s="484"/>
      <c r="PXA4" s="484"/>
      <c r="PXB4" s="484"/>
      <c r="PXC4" s="484"/>
      <c r="PXD4" s="484"/>
      <c r="PXE4" s="484"/>
      <c r="PXF4" s="484"/>
      <c r="PXG4" s="484"/>
      <c r="PXH4" s="484"/>
      <c r="PXI4" s="484"/>
      <c r="PXJ4" s="484"/>
      <c r="PXK4" s="484"/>
      <c r="PXL4" s="484"/>
      <c r="PXM4" s="484"/>
      <c r="PXN4" s="484"/>
      <c r="PXO4" s="484"/>
      <c r="PXP4" s="484"/>
      <c r="PXQ4" s="484"/>
      <c r="PXR4" s="484"/>
      <c r="PXS4" s="484"/>
      <c r="PXT4" s="484"/>
      <c r="PXU4" s="484"/>
      <c r="PXV4" s="484"/>
      <c r="PXW4" s="484"/>
      <c r="PXX4" s="484"/>
      <c r="PXY4" s="484"/>
      <c r="PXZ4" s="484"/>
      <c r="PYA4" s="484"/>
      <c r="PYB4" s="484"/>
      <c r="PYC4" s="484"/>
      <c r="PYD4" s="484"/>
      <c r="PYE4" s="484"/>
      <c r="PYF4" s="484"/>
      <c r="PYG4" s="484"/>
      <c r="PYH4" s="484"/>
      <c r="PYI4" s="484"/>
      <c r="PYJ4" s="484"/>
      <c r="PYK4" s="484"/>
      <c r="PYL4" s="484"/>
      <c r="PYM4" s="484"/>
      <c r="PYN4" s="484"/>
      <c r="PYO4" s="484"/>
      <c r="PYP4" s="484"/>
      <c r="PYQ4" s="484"/>
      <c r="PYR4" s="484"/>
      <c r="PYS4" s="484"/>
      <c r="PYT4" s="484"/>
      <c r="PYU4" s="484"/>
      <c r="PYV4" s="484"/>
      <c r="PYW4" s="484"/>
      <c r="PYX4" s="484"/>
      <c r="PYY4" s="484"/>
      <c r="PYZ4" s="484"/>
      <c r="PZA4" s="484"/>
      <c r="PZB4" s="484"/>
      <c r="PZC4" s="484"/>
      <c r="PZD4" s="484"/>
      <c r="PZE4" s="484"/>
      <c r="PZF4" s="484"/>
      <c r="PZG4" s="484"/>
      <c r="PZH4" s="484"/>
      <c r="PZI4" s="484"/>
      <c r="PZJ4" s="484"/>
      <c r="PZK4" s="484"/>
      <c r="PZL4" s="484"/>
      <c r="PZM4" s="484"/>
      <c r="PZN4" s="484"/>
      <c r="PZO4" s="484"/>
      <c r="PZP4" s="484"/>
      <c r="PZQ4" s="484"/>
      <c r="PZR4" s="484"/>
      <c r="PZS4" s="484"/>
      <c r="PZT4" s="484"/>
      <c r="PZU4" s="484"/>
      <c r="PZV4" s="484"/>
      <c r="PZW4" s="484"/>
      <c r="PZX4" s="484"/>
      <c r="PZY4" s="484"/>
      <c r="PZZ4" s="484"/>
      <c r="QAA4" s="484"/>
      <c r="QAB4" s="484"/>
      <c r="QAC4" s="484"/>
      <c r="QAD4" s="484"/>
      <c r="QAE4" s="484"/>
      <c r="QAF4" s="484"/>
      <c r="QAG4" s="484"/>
      <c r="QAH4" s="484"/>
      <c r="QAI4" s="484"/>
      <c r="QAJ4" s="484"/>
      <c r="QAK4" s="484"/>
      <c r="QAL4" s="484"/>
      <c r="QAM4" s="484"/>
      <c r="QAN4" s="484"/>
      <c r="QAO4" s="484"/>
      <c r="QAP4" s="484"/>
      <c r="QAQ4" s="484"/>
      <c r="QAR4" s="484"/>
      <c r="QAS4" s="484"/>
      <c r="QAT4" s="484"/>
      <c r="QAU4" s="484"/>
      <c r="QAV4" s="484"/>
      <c r="QAW4" s="484"/>
      <c r="QAX4" s="484"/>
      <c r="QAY4" s="484"/>
      <c r="QAZ4" s="484"/>
      <c r="QBA4" s="484"/>
      <c r="QBB4" s="484"/>
      <c r="QBC4" s="484"/>
      <c r="QBD4" s="484"/>
      <c r="QBE4" s="484"/>
      <c r="QBF4" s="484"/>
      <c r="QBG4" s="484"/>
      <c r="QBH4" s="484"/>
      <c r="QBI4" s="484"/>
      <c r="QBJ4" s="484"/>
      <c r="QBK4" s="484"/>
      <c r="QBL4" s="484"/>
      <c r="QBM4" s="484"/>
      <c r="QBN4" s="484"/>
      <c r="QBO4" s="484"/>
      <c r="QBP4" s="484"/>
      <c r="QBQ4" s="484"/>
      <c r="QBR4" s="484"/>
      <c r="QBS4" s="484"/>
      <c r="QBT4" s="484"/>
      <c r="QBU4" s="484"/>
      <c r="QBV4" s="484"/>
      <c r="QBW4" s="484"/>
      <c r="QBX4" s="484"/>
      <c r="QBY4" s="484"/>
      <c r="QBZ4" s="484"/>
      <c r="QCA4" s="484"/>
      <c r="QCB4" s="484"/>
      <c r="QCC4" s="484"/>
      <c r="QCD4" s="484"/>
      <c r="QCE4" s="484"/>
      <c r="QCF4" s="484"/>
      <c r="QCG4" s="484"/>
      <c r="QCH4" s="484"/>
      <c r="QCI4" s="484"/>
      <c r="QCJ4" s="484"/>
      <c r="QCK4" s="484"/>
      <c r="QCL4" s="484"/>
      <c r="QCM4" s="484"/>
      <c r="QCN4" s="484"/>
      <c r="QCO4" s="484"/>
      <c r="QCP4" s="484"/>
      <c r="QCQ4" s="484"/>
      <c r="QCR4" s="484"/>
      <c r="QCS4" s="484"/>
      <c r="QCT4" s="484"/>
      <c r="QCU4" s="484"/>
      <c r="QCV4" s="484"/>
      <c r="QCW4" s="484"/>
      <c r="QCX4" s="484"/>
      <c r="QCY4" s="484"/>
      <c r="QCZ4" s="484"/>
      <c r="QDA4" s="484"/>
      <c r="QDB4" s="484"/>
      <c r="QDC4" s="484"/>
      <c r="QDD4" s="484"/>
      <c r="QDE4" s="484"/>
      <c r="QDF4" s="484"/>
      <c r="QDG4" s="484"/>
      <c r="QDH4" s="484"/>
      <c r="QDI4" s="484"/>
      <c r="QDJ4" s="484"/>
      <c r="QDK4" s="484"/>
      <c r="QDL4" s="484"/>
      <c r="QDM4" s="484"/>
      <c r="QDN4" s="484"/>
      <c r="QDO4" s="484"/>
      <c r="QDP4" s="484"/>
      <c r="QDQ4" s="484"/>
      <c r="QDR4" s="484"/>
      <c r="QDS4" s="484"/>
      <c r="QDT4" s="484"/>
      <c r="QDU4" s="484"/>
      <c r="QDV4" s="484"/>
      <c r="QDW4" s="484"/>
      <c r="QDX4" s="484"/>
      <c r="QDY4" s="484"/>
      <c r="QDZ4" s="484"/>
      <c r="QEA4" s="484"/>
      <c r="QEB4" s="484"/>
      <c r="QEC4" s="484"/>
      <c r="QED4" s="484"/>
      <c r="QEE4" s="484"/>
      <c r="QEF4" s="484"/>
      <c r="QEG4" s="484"/>
      <c r="QEH4" s="484"/>
      <c r="QEI4" s="484"/>
      <c r="QEJ4" s="484"/>
      <c r="QEK4" s="484"/>
      <c r="QEL4" s="484"/>
      <c r="QEM4" s="484"/>
      <c r="QEN4" s="484"/>
      <c r="QEO4" s="484"/>
      <c r="QEP4" s="484"/>
      <c r="QEQ4" s="484"/>
      <c r="QER4" s="484"/>
      <c r="QES4" s="484"/>
      <c r="QET4" s="484"/>
      <c r="QEU4" s="484"/>
      <c r="QEV4" s="484"/>
      <c r="QEW4" s="484"/>
      <c r="QEX4" s="484"/>
      <c r="QEY4" s="484"/>
      <c r="QEZ4" s="484"/>
      <c r="QFA4" s="484"/>
      <c r="QFB4" s="484"/>
      <c r="QFC4" s="484"/>
      <c r="QFD4" s="484"/>
      <c r="QFE4" s="484"/>
      <c r="QFF4" s="484"/>
      <c r="QFG4" s="484"/>
      <c r="QFH4" s="484"/>
      <c r="QFI4" s="484"/>
      <c r="QFJ4" s="484"/>
      <c r="QFK4" s="484"/>
      <c r="QFL4" s="484"/>
      <c r="QFM4" s="484"/>
      <c r="QFN4" s="484"/>
      <c r="QFO4" s="484"/>
      <c r="QFP4" s="484"/>
      <c r="QFQ4" s="484"/>
      <c r="QFR4" s="484"/>
      <c r="QFS4" s="484"/>
      <c r="QFT4" s="484"/>
      <c r="QFU4" s="484"/>
      <c r="QFV4" s="484"/>
      <c r="QFW4" s="484"/>
      <c r="QFX4" s="484"/>
      <c r="QFY4" s="484"/>
      <c r="QFZ4" s="484"/>
      <c r="QGA4" s="484"/>
      <c r="QGB4" s="484"/>
      <c r="QGC4" s="484"/>
      <c r="QGD4" s="484"/>
      <c r="QGE4" s="484"/>
      <c r="QGF4" s="484"/>
      <c r="QGG4" s="484"/>
      <c r="QGH4" s="484"/>
      <c r="QGI4" s="484"/>
      <c r="QGJ4" s="484"/>
      <c r="QGK4" s="484"/>
      <c r="QGL4" s="484"/>
      <c r="QGM4" s="484"/>
      <c r="QGN4" s="484"/>
      <c r="QGO4" s="484"/>
      <c r="QGP4" s="484"/>
      <c r="QGQ4" s="484"/>
      <c r="QGR4" s="484"/>
      <c r="QGS4" s="484"/>
      <c r="QGT4" s="484"/>
      <c r="QGU4" s="484"/>
      <c r="QGV4" s="484"/>
      <c r="QGW4" s="484"/>
      <c r="QGX4" s="484"/>
      <c r="QGY4" s="484"/>
      <c r="QGZ4" s="484"/>
      <c r="QHA4" s="484"/>
      <c r="QHB4" s="484"/>
      <c r="QHC4" s="484"/>
      <c r="QHD4" s="484"/>
      <c r="QHE4" s="484"/>
      <c r="QHF4" s="484"/>
      <c r="QHG4" s="484"/>
      <c r="QHH4" s="484"/>
      <c r="QHI4" s="484"/>
      <c r="QHJ4" s="484"/>
      <c r="QHK4" s="484"/>
      <c r="QHL4" s="484"/>
      <c r="QHM4" s="484"/>
      <c r="QHN4" s="484"/>
      <c r="QHO4" s="484"/>
      <c r="QHP4" s="484"/>
      <c r="QHQ4" s="484"/>
      <c r="QHR4" s="484"/>
      <c r="QHS4" s="484"/>
      <c r="QHT4" s="484"/>
      <c r="QHU4" s="484"/>
      <c r="QHV4" s="484"/>
      <c r="QHW4" s="484"/>
      <c r="QHX4" s="484"/>
      <c r="QHY4" s="484"/>
      <c r="QHZ4" s="484"/>
      <c r="QIA4" s="484"/>
      <c r="QIB4" s="484"/>
      <c r="QIC4" s="484"/>
      <c r="QID4" s="484"/>
      <c r="QIE4" s="484"/>
      <c r="QIF4" s="484"/>
      <c r="QIG4" s="484"/>
      <c r="QIH4" s="484"/>
      <c r="QII4" s="484"/>
      <c r="QIJ4" s="484"/>
      <c r="QIK4" s="484"/>
      <c r="QIL4" s="484"/>
      <c r="QIM4" s="484"/>
      <c r="QIN4" s="484"/>
      <c r="QIO4" s="484"/>
      <c r="QIP4" s="484"/>
      <c r="QIQ4" s="484"/>
      <c r="QIR4" s="484"/>
      <c r="QIS4" s="484"/>
      <c r="QIT4" s="484"/>
      <c r="QIU4" s="484"/>
      <c r="QIV4" s="484"/>
      <c r="QIW4" s="484"/>
      <c r="QIX4" s="484"/>
      <c r="QIY4" s="484"/>
      <c r="QIZ4" s="484"/>
      <c r="QJA4" s="484"/>
      <c r="QJB4" s="484"/>
      <c r="QJC4" s="484"/>
      <c r="QJD4" s="484"/>
      <c r="QJE4" s="484"/>
      <c r="QJF4" s="484"/>
      <c r="QJG4" s="484"/>
      <c r="QJH4" s="484"/>
      <c r="QJI4" s="484"/>
      <c r="QJJ4" s="484"/>
      <c r="QJK4" s="484"/>
      <c r="QJL4" s="484"/>
      <c r="QJM4" s="484"/>
      <c r="QJN4" s="484"/>
      <c r="QJO4" s="484"/>
      <c r="QJP4" s="484"/>
      <c r="QJQ4" s="484"/>
      <c r="QJR4" s="484"/>
      <c r="QJS4" s="484"/>
      <c r="QJT4" s="484"/>
      <c r="QJU4" s="484"/>
      <c r="QJV4" s="484"/>
      <c r="QJW4" s="484"/>
      <c r="QJX4" s="484"/>
      <c r="QJY4" s="484"/>
      <c r="QJZ4" s="484"/>
      <c r="QKA4" s="484"/>
      <c r="QKB4" s="484"/>
      <c r="QKC4" s="484"/>
      <c r="QKD4" s="484"/>
      <c r="QKE4" s="484"/>
      <c r="QKF4" s="484"/>
      <c r="QKG4" s="484"/>
      <c r="QKH4" s="484"/>
      <c r="QKI4" s="484"/>
      <c r="QKJ4" s="484"/>
      <c r="QKK4" s="484"/>
      <c r="QKL4" s="484"/>
      <c r="QKM4" s="484"/>
      <c r="QKN4" s="484"/>
      <c r="QKO4" s="484"/>
      <c r="QKP4" s="484"/>
      <c r="QKQ4" s="484"/>
      <c r="QKR4" s="484"/>
      <c r="QKS4" s="484"/>
      <c r="QKT4" s="484"/>
      <c r="QKU4" s="484"/>
      <c r="QKV4" s="484"/>
      <c r="QKW4" s="484"/>
      <c r="QKX4" s="484"/>
      <c r="QKY4" s="484"/>
      <c r="QKZ4" s="484"/>
      <c r="QLA4" s="484"/>
      <c r="QLB4" s="484"/>
      <c r="QLC4" s="484"/>
      <c r="QLD4" s="484"/>
      <c r="QLE4" s="484"/>
      <c r="QLF4" s="484"/>
      <c r="QLG4" s="484"/>
      <c r="QLH4" s="484"/>
      <c r="QLI4" s="484"/>
      <c r="QLJ4" s="484"/>
      <c r="QLK4" s="484"/>
      <c r="QLL4" s="484"/>
      <c r="QLM4" s="484"/>
      <c r="QLN4" s="484"/>
      <c r="QLO4" s="484"/>
      <c r="QLP4" s="484"/>
      <c r="QLQ4" s="484"/>
      <c r="QLR4" s="484"/>
      <c r="QLS4" s="484"/>
      <c r="QLT4" s="484"/>
      <c r="QLU4" s="484"/>
      <c r="QLV4" s="484"/>
      <c r="QLW4" s="484"/>
      <c r="QLX4" s="484"/>
      <c r="QLY4" s="484"/>
      <c r="QLZ4" s="484"/>
      <c r="QMA4" s="484"/>
      <c r="QMB4" s="484"/>
      <c r="QMC4" s="484"/>
      <c r="QMD4" s="484"/>
      <c r="QME4" s="484"/>
      <c r="QMF4" s="484"/>
      <c r="QMG4" s="484"/>
      <c r="QMH4" s="484"/>
      <c r="QMI4" s="484"/>
      <c r="QMJ4" s="484"/>
      <c r="QMK4" s="484"/>
      <c r="QML4" s="484"/>
      <c r="QMM4" s="484"/>
      <c r="QMN4" s="484"/>
      <c r="QMO4" s="484"/>
      <c r="QMP4" s="484"/>
      <c r="QMQ4" s="484"/>
      <c r="QMR4" s="484"/>
      <c r="QMS4" s="484"/>
      <c r="QMT4" s="484"/>
      <c r="QMU4" s="484"/>
      <c r="QMV4" s="484"/>
      <c r="QMW4" s="484"/>
      <c r="QMX4" s="484"/>
      <c r="QMY4" s="484"/>
      <c r="QMZ4" s="484"/>
      <c r="QNA4" s="484"/>
      <c r="QNB4" s="484"/>
      <c r="QNC4" s="484"/>
      <c r="QND4" s="484"/>
      <c r="QNE4" s="484"/>
      <c r="QNF4" s="484"/>
      <c r="QNG4" s="484"/>
      <c r="QNH4" s="484"/>
      <c r="QNI4" s="484"/>
      <c r="QNJ4" s="484"/>
      <c r="QNK4" s="484"/>
      <c r="QNL4" s="484"/>
      <c r="QNM4" s="484"/>
      <c r="QNN4" s="484"/>
      <c r="QNO4" s="484"/>
      <c r="QNP4" s="484"/>
      <c r="QNQ4" s="484"/>
      <c r="QNR4" s="484"/>
      <c r="QNS4" s="484"/>
      <c r="QNT4" s="484"/>
      <c r="QNU4" s="484"/>
      <c r="QNV4" s="484"/>
      <c r="QNW4" s="484"/>
      <c r="QNX4" s="484"/>
      <c r="QNY4" s="484"/>
      <c r="QNZ4" s="484"/>
      <c r="QOA4" s="484"/>
      <c r="QOB4" s="484"/>
      <c r="QOC4" s="484"/>
      <c r="QOD4" s="484"/>
      <c r="QOE4" s="484"/>
      <c r="QOF4" s="484"/>
      <c r="QOG4" s="484"/>
      <c r="QOH4" s="484"/>
      <c r="QOI4" s="484"/>
      <c r="QOJ4" s="484"/>
      <c r="QOK4" s="484"/>
      <c r="QOL4" s="484"/>
      <c r="QOM4" s="484"/>
      <c r="QON4" s="484"/>
      <c r="QOO4" s="484"/>
      <c r="QOP4" s="484"/>
      <c r="QOQ4" s="484"/>
      <c r="QOR4" s="484"/>
      <c r="QOS4" s="484"/>
      <c r="QOT4" s="484"/>
      <c r="QOU4" s="484"/>
      <c r="QOV4" s="484"/>
      <c r="QOW4" s="484"/>
      <c r="QOX4" s="484"/>
      <c r="QOY4" s="484"/>
      <c r="QOZ4" s="484"/>
      <c r="QPA4" s="484"/>
      <c r="QPB4" s="484"/>
      <c r="QPC4" s="484"/>
      <c r="QPD4" s="484"/>
      <c r="QPE4" s="484"/>
      <c r="QPF4" s="484"/>
      <c r="QPG4" s="484"/>
      <c r="QPH4" s="484"/>
      <c r="QPI4" s="484"/>
      <c r="QPJ4" s="484"/>
      <c r="QPK4" s="484"/>
      <c r="QPL4" s="484"/>
      <c r="QPM4" s="484"/>
      <c r="QPN4" s="484"/>
      <c r="QPO4" s="484"/>
      <c r="QPP4" s="484"/>
      <c r="QPQ4" s="484"/>
      <c r="QPR4" s="484"/>
      <c r="QPS4" s="484"/>
      <c r="QPT4" s="484"/>
      <c r="QPU4" s="484"/>
      <c r="QPV4" s="484"/>
      <c r="QPW4" s="484"/>
      <c r="QPX4" s="484"/>
      <c r="QPY4" s="484"/>
      <c r="QPZ4" s="484"/>
      <c r="QQA4" s="484"/>
      <c r="QQB4" s="484"/>
      <c r="QQC4" s="484"/>
      <c r="QQD4" s="484"/>
      <c r="QQE4" s="484"/>
      <c r="QQF4" s="484"/>
      <c r="QQG4" s="484"/>
      <c r="QQH4" s="484"/>
      <c r="QQI4" s="484"/>
      <c r="QQJ4" s="484"/>
      <c r="QQK4" s="484"/>
      <c r="QQL4" s="484"/>
      <c r="QQM4" s="484"/>
      <c r="QQN4" s="484"/>
      <c r="QQO4" s="484"/>
      <c r="QQP4" s="484"/>
      <c r="QQQ4" s="484"/>
      <c r="QQR4" s="484"/>
      <c r="QQS4" s="484"/>
      <c r="QQT4" s="484"/>
      <c r="QQU4" s="484"/>
      <c r="QQV4" s="484"/>
      <c r="QQW4" s="484"/>
      <c r="QQX4" s="484"/>
      <c r="QQY4" s="484"/>
      <c r="QQZ4" s="484"/>
      <c r="QRA4" s="484"/>
      <c r="QRB4" s="484"/>
      <c r="QRC4" s="484"/>
      <c r="QRD4" s="484"/>
      <c r="QRE4" s="484"/>
      <c r="QRF4" s="484"/>
      <c r="QRG4" s="484"/>
      <c r="QRH4" s="484"/>
      <c r="QRI4" s="484"/>
      <c r="QRJ4" s="484"/>
      <c r="QRK4" s="484"/>
      <c r="QRL4" s="484"/>
      <c r="QRM4" s="484"/>
      <c r="QRN4" s="484"/>
      <c r="QRO4" s="484"/>
      <c r="QRP4" s="484"/>
      <c r="QRQ4" s="484"/>
      <c r="QRR4" s="484"/>
      <c r="QRS4" s="484"/>
      <c r="QRT4" s="484"/>
      <c r="QRU4" s="484"/>
      <c r="QRV4" s="484"/>
      <c r="QRW4" s="484"/>
      <c r="QRX4" s="484"/>
      <c r="QRY4" s="484"/>
      <c r="QRZ4" s="484"/>
      <c r="QSA4" s="484"/>
      <c r="QSB4" s="484"/>
      <c r="QSC4" s="484"/>
      <c r="QSD4" s="484"/>
      <c r="QSE4" s="484"/>
      <c r="QSF4" s="484"/>
      <c r="QSG4" s="484"/>
      <c r="QSH4" s="484"/>
      <c r="QSI4" s="484"/>
      <c r="QSJ4" s="484"/>
      <c r="QSK4" s="484"/>
      <c r="QSL4" s="484"/>
      <c r="QSM4" s="484"/>
      <c r="QSN4" s="484"/>
      <c r="QSO4" s="484"/>
      <c r="QSP4" s="484"/>
      <c r="QSQ4" s="484"/>
      <c r="QSR4" s="484"/>
      <c r="QSS4" s="484"/>
      <c r="QST4" s="484"/>
      <c r="QSU4" s="484"/>
      <c r="QSV4" s="484"/>
      <c r="QSW4" s="484"/>
      <c r="QSX4" s="484"/>
      <c r="QSY4" s="484"/>
      <c r="QSZ4" s="484"/>
      <c r="QTA4" s="484"/>
      <c r="QTB4" s="484"/>
      <c r="QTC4" s="484"/>
      <c r="QTD4" s="484"/>
      <c r="QTE4" s="484"/>
      <c r="QTF4" s="484"/>
      <c r="QTG4" s="484"/>
      <c r="QTH4" s="484"/>
      <c r="QTI4" s="484"/>
      <c r="QTJ4" s="484"/>
      <c r="QTK4" s="484"/>
      <c r="QTL4" s="484"/>
      <c r="QTM4" s="484"/>
      <c r="QTN4" s="484"/>
      <c r="QTO4" s="484"/>
      <c r="QTP4" s="484"/>
      <c r="QTQ4" s="484"/>
      <c r="QTR4" s="484"/>
      <c r="QTS4" s="484"/>
      <c r="QTT4" s="484"/>
      <c r="QTU4" s="484"/>
      <c r="QTV4" s="484"/>
      <c r="QTW4" s="484"/>
      <c r="QTX4" s="484"/>
      <c r="QTY4" s="484"/>
      <c r="QTZ4" s="484"/>
      <c r="QUA4" s="484"/>
      <c r="QUB4" s="484"/>
      <c r="QUC4" s="484"/>
      <c r="QUD4" s="484"/>
      <c r="QUE4" s="484"/>
      <c r="QUF4" s="484"/>
      <c r="QUG4" s="484"/>
      <c r="QUH4" s="484"/>
      <c r="QUI4" s="484"/>
      <c r="QUJ4" s="484"/>
      <c r="QUK4" s="484"/>
      <c r="QUL4" s="484"/>
      <c r="QUM4" s="484"/>
      <c r="QUN4" s="484"/>
      <c r="QUO4" s="484"/>
      <c r="QUP4" s="484"/>
      <c r="QUQ4" s="484"/>
      <c r="QUR4" s="484"/>
      <c r="QUS4" s="484"/>
      <c r="QUT4" s="484"/>
      <c r="QUU4" s="484"/>
      <c r="QUV4" s="484"/>
      <c r="QUW4" s="484"/>
      <c r="QUX4" s="484"/>
      <c r="QUY4" s="484"/>
      <c r="QUZ4" s="484"/>
      <c r="QVA4" s="484"/>
      <c r="QVB4" s="484"/>
      <c r="QVC4" s="484"/>
      <c r="QVD4" s="484"/>
      <c r="QVE4" s="484"/>
      <c r="QVF4" s="484"/>
      <c r="QVG4" s="484"/>
      <c r="QVH4" s="484"/>
      <c r="QVI4" s="484"/>
      <c r="QVJ4" s="484"/>
      <c r="QVK4" s="484"/>
      <c r="QVL4" s="484"/>
      <c r="QVM4" s="484"/>
      <c r="QVN4" s="484"/>
      <c r="QVO4" s="484"/>
      <c r="QVP4" s="484"/>
      <c r="QVQ4" s="484"/>
      <c r="QVR4" s="484"/>
      <c r="QVS4" s="484"/>
      <c r="QVT4" s="484"/>
      <c r="QVU4" s="484"/>
      <c r="QVV4" s="484"/>
      <c r="QVW4" s="484"/>
      <c r="QVX4" s="484"/>
      <c r="QVY4" s="484"/>
      <c r="QVZ4" s="484"/>
      <c r="QWA4" s="484"/>
      <c r="QWB4" s="484"/>
      <c r="QWC4" s="484"/>
      <c r="QWD4" s="484"/>
      <c r="QWE4" s="484"/>
      <c r="QWF4" s="484"/>
      <c r="QWG4" s="484"/>
      <c r="QWH4" s="484"/>
      <c r="QWI4" s="484"/>
      <c r="QWJ4" s="484"/>
      <c r="QWK4" s="484"/>
      <c r="QWL4" s="484"/>
      <c r="QWM4" s="484"/>
      <c r="QWN4" s="484"/>
      <c r="QWO4" s="484"/>
      <c r="QWP4" s="484"/>
      <c r="QWQ4" s="484"/>
      <c r="QWR4" s="484"/>
      <c r="QWS4" s="484"/>
      <c r="QWT4" s="484"/>
      <c r="QWU4" s="484"/>
      <c r="QWV4" s="484"/>
      <c r="QWW4" s="484"/>
      <c r="QWX4" s="484"/>
      <c r="QWY4" s="484"/>
      <c r="QWZ4" s="484"/>
      <c r="QXA4" s="484"/>
      <c r="QXB4" s="484"/>
      <c r="QXC4" s="484"/>
      <c r="QXD4" s="484"/>
      <c r="QXE4" s="484"/>
      <c r="QXF4" s="484"/>
      <c r="QXG4" s="484"/>
      <c r="QXH4" s="484"/>
      <c r="QXI4" s="484"/>
      <c r="QXJ4" s="484"/>
      <c r="QXK4" s="484"/>
      <c r="QXL4" s="484"/>
      <c r="QXM4" s="484"/>
      <c r="QXN4" s="484"/>
      <c r="QXO4" s="484"/>
      <c r="QXP4" s="484"/>
      <c r="QXQ4" s="484"/>
      <c r="QXR4" s="484"/>
      <c r="QXS4" s="484"/>
      <c r="QXT4" s="484"/>
      <c r="QXU4" s="484"/>
      <c r="QXV4" s="484"/>
      <c r="QXW4" s="484"/>
      <c r="QXX4" s="484"/>
      <c r="QXY4" s="484"/>
      <c r="QXZ4" s="484"/>
      <c r="QYA4" s="484"/>
      <c r="QYB4" s="484"/>
      <c r="QYC4" s="484"/>
      <c r="QYD4" s="484"/>
      <c r="QYE4" s="484"/>
      <c r="QYF4" s="484"/>
      <c r="QYG4" s="484"/>
      <c r="QYH4" s="484"/>
      <c r="QYI4" s="484"/>
      <c r="QYJ4" s="484"/>
      <c r="QYK4" s="484"/>
      <c r="QYL4" s="484"/>
      <c r="QYM4" s="484"/>
      <c r="QYN4" s="484"/>
      <c r="QYO4" s="484"/>
      <c r="QYP4" s="484"/>
      <c r="QYQ4" s="484"/>
      <c r="QYR4" s="484"/>
      <c r="QYS4" s="484"/>
      <c r="QYT4" s="484"/>
      <c r="QYU4" s="484"/>
      <c r="QYV4" s="484"/>
      <c r="QYW4" s="484"/>
      <c r="QYX4" s="484"/>
      <c r="QYY4" s="484"/>
      <c r="QYZ4" s="484"/>
      <c r="QZA4" s="484"/>
      <c r="QZB4" s="484"/>
      <c r="QZC4" s="484"/>
      <c r="QZD4" s="484"/>
      <c r="QZE4" s="484"/>
      <c r="QZF4" s="484"/>
      <c r="QZG4" s="484"/>
      <c r="QZH4" s="484"/>
      <c r="QZI4" s="484"/>
      <c r="QZJ4" s="484"/>
      <c r="QZK4" s="484"/>
      <c r="QZL4" s="484"/>
      <c r="QZM4" s="484"/>
      <c r="QZN4" s="484"/>
      <c r="QZO4" s="484"/>
      <c r="QZP4" s="484"/>
      <c r="QZQ4" s="484"/>
      <c r="QZR4" s="484"/>
      <c r="QZS4" s="484"/>
      <c r="QZT4" s="484"/>
      <c r="QZU4" s="484"/>
      <c r="QZV4" s="484"/>
      <c r="QZW4" s="484"/>
      <c r="QZX4" s="484"/>
      <c r="QZY4" s="484"/>
      <c r="QZZ4" s="484"/>
      <c r="RAA4" s="484"/>
      <c r="RAB4" s="484"/>
      <c r="RAC4" s="484"/>
      <c r="RAD4" s="484"/>
      <c r="RAE4" s="484"/>
      <c r="RAF4" s="484"/>
      <c r="RAG4" s="484"/>
      <c r="RAH4" s="484"/>
      <c r="RAI4" s="484"/>
      <c r="RAJ4" s="484"/>
      <c r="RAK4" s="484"/>
      <c r="RAL4" s="484"/>
      <c r="RAM4" s="484"/>
      <c r="RAN4" s="484"/>
      <c r="RAO4" s="484"/>
      <c r="RAP4" s="484"/>
      <c r="RAQ4" s="484"/>
      <c r="RAR4" s="484"/>
      <c r="RAS4" s="484"/>
      <c r="RAT4" s="484"/>
      <c r="RAU4" s="484"/>
      <c r="RAV4" s="484"/>
      <c r="RAW4" s="484"/>
      <c r="RAX4" s="484"/>
      <c r="RAY4" s="484"/>
      <c r="RAZ4" s="484"/>
      <c r="RBA4" s="484"/>
      <c r="RBB4" s="484"/>
      <c r="RBC4" s="484"/>
      <c r="RBD4" s="484"/>
      <c r="RBE4" s="484"/>
      <c r="RBF4" s="484"/>
      <c r="RBG4" s="484"/>
      <c r="RBH4" s="484"/>
      <c r="RBI4" s="484"/>
      <c r="RBJ4" s="484"/>
      <c r="RBK4" s="484"/>
      <c r="RBL4" s="484"/>
      <c r="RBM4" s="484"/>
      <c r="RBN4" s="484"/>
      <c r="RBO4" s="484"/>
      <c r="RBP4" s="484"/>
      <c r="RBQ4" s="484"/>
      <c r="RBR4" s="484"/>
      <c r="RBS4" s="484"/>
      <c r="RBT4" s="484"/>
      <c r="RBU4" s="484"/>
      <c r="RBV4" s="484"/>
      <c r="RBW4" s="484"/>
      <c r="RBX4" s="484"/>
      <c r="RBY4" s="484"/>
      <c r="RBZ4" s="484"/>
      <c r="RCA4" s="484"/>
      <c r="RCB4" s="484"/>
      <c r="RCC4" s="484"/>
      <c r="RCD4" s="484"/>
      <c r="RCE4" s="484"/>
      <c r="RCF4" s="484"/>
      <c r="RCG4" s="484"/>
      <c r="RCH4" s="484"/>
      <c r="RCI4" s="484"/>
      <c r="RCJ4" s="484"/>
      <c r="RCK4" s="484"/>
      <c r="RCL4" s="484"/>
      <c r="RCM4" s="484"/>
      <c r="RCN4" s="484"/>
      <c r="RCO4" s="484"/>
      <c r="RCP4" s="484"/>
      <c r="RCQ4" s="484"/>
      <c r="RCR4" s="484"/>
      <c r="RCS4" s="484"/>
      <c r="RCT4" s="484"/>
      <c r="RCU4" s="484"/>
      <c r="RCV4" s="484"/>
      <c r="RCW4" s="484"/>
      <c r="RCX4" s="484"/>
      <c r="RCY4" s="484"/>
      <c r="RCZ4" s="484"/>
      <c r="RDA4" s="484"/>
      <c r="RDB4" s="484"/>
      <c r="RDC4" s="484"/>
      <c r="RDD4" s="484"/>
      <c r="RDE4" s="484"/>
      <c r="RDF4" s="484"/>
      <c r="RDG4" s="484"/>
      <c r="RDH4" s="484"/>
      <c r="RDI4" s="484"/>
      <c r="RDJ4" s="484"/>
      <c r="RDK4" s="484"/>
      <c r="RDL4" s="484"/>
      <c r="RDM4" s="484"/>
      <c r="RDN4" s="484"/>
      <c r="RDO4" s="484"/>
      <c r="RDP4" s="484"/>
      <c r="RDQ4" s="484"/>
      <c r="RDR4" s="484"/>
      <c r="RDS4" s="484"/>
      <c r="RDT4" s="484"/>
      <c r="RDU4" s="484"/>
      <c r="RDV4" s="484"/>
      <c r="RDW4" s="484"/>
      <c r="RDX4" s="484"/>
      <c r="RDY4" s="484"/>
      <c r="RDZ4" s="484"/>
      <c r="REA4" s="484"/>
      <c r="REB4" s="484"/>
      <c r="REC4" s="484"/>
      <c r="RED4" s="484"/>
      <c r="REE4" s="484"/>
      <c r="REF4" s="484"/>
      <c r="REG4" s="484"/>
      <c r="REH4" s="484"/>
      <c r="REI4" s="484"/>
      <c r="REJ4" s="484"/>
      <c r="REK4" s="484"/>
      <c r="REL4" s="484"/>
      <c r="REM4" s="484"/>
      <c r="REN4" s="484"/>
      <c r="REO4" s="484"/>
      <c r="REP4" s="484"/>
      <c r="REQ4" s="484"/>
      <c r="RER4" s="484"/>
      <c r="RES4" s="484"/>
      <c r="RET4" s="484"/>
      <c r="REU4" s="484"/>
      <c r="REV4" s="484"/>
      <c r="REW4" s="484"/>
      <c r="REX4" s="484"/>
      <c r="REY4" s="484"/>
      <c r="REZ4" s="484"/>
      <c r="RFA4" s="484"/>
      <c r="RFB4" s="484"/>
      <c r="RFC4" s="484"/>
      <c r="RFD4" s="484"/>
      <c r="RFE4" s="484"/>
      <c r="RFF4" s="484"/>
      <c r="RFG4" s="484"/>
      <c r="RFH4" s="484"/>
      <c r="RFI4" s="484"/>
      <c r="RFJ4" s="484"/>
      <c r="RFK4" s="484"/>
      <c r="RFL4" s="484"/>
      <c r="RFM4" s="484"/>
      <c r="RFN4" s="484"/>
      <c r="RFO4" s="484"/>
      <c r="RFP4" s="484"/>
      <c r="RFQ4" s="484"/>
      <c r="RFR4" s="484"/>
      <c r="RFS4" s="484"/>
      <c r="RFT4" s="484"/>
      <c r="RFU4" s="484"/>
      <c r="RFV4" s="484"/>
      <c r="RFW4" s="484"/>
      <c r="RFX4" s="484"/>
      <c r="RFY4" s="484"/>
      <c r="RFZ4" s="484"/>
      <c r="RGA4" s="484"/>
      <c r="RGB4" s="484"/>
      <c r="RGC4" s="484"/>
      <c r="RGD4" s="484"/>
      <c r="RGE4" s="484"/>
      <c r="RGF4" s="484"/>
      <c r="RGG4" s="484"/>
      <c r="RGH4" s="484"/>
      <c r="RGI4" s="484"/>
      <c r="RGJ4" s="484"/>
      <c r="RGK4" s="484"/>
      <c r="RGL4" s="484"/>
      <c r="RGM4" s="484"/>
      <c r="RGN4" s="484"/>
      <c r="RGO4" s="484"/>
      <c r="RGP4" s="484"/>
      <c r="RGQ4" s="484"/>
      <c r="RGR4" s="484"/>
      <c r="RGS4" s="484"/>
      <c r="RGT4" s="484"/>
      <c r="RGU4" s="484"/>
      <c r="RGV4" s="484"/>
      <c r="RGW4" s="484"/>
      <c r="RGX4" s="484"/>
      <c r="RGY4" s="484"/>
      <c r="RGZ4" s="484"/>
      <c r="RHA4" s="484"/>
      <c r="RHB4" s="484"/>
      <c r="RHC4" s="484"/>
      <c r="RHD4" s="484"/>
      <c r="RHE4" s="484"/>
      <c r="RHF4" s="484"/>
      <c r="RHG4" s="484"/>
      <c r="RHH4" s="484"/>
      <c r="RHI4" s="484"/>
      <c r="RHJ4" s="484"/>
      <c r="RHK4" s="484"/>
      <c r="RHL4" s="484"/>
      <c r="RHM4" s="484"/>
      <c r="RHN4" s="484"/>
      <c r="RHO4" s="484"/>
      <c r="RHP4" s="484"/>
      <c r="RHQ4" s="484"/>
      <c r="RHR4" s="484"/>
      <c r="RHS4" s="484"/>
      <c r="RHT4" s="484"/>
      <c r="RHU4" s="484"/>
      <c r="RHV4" s="484"/>
      <c r="RHW4" s="484"/>
      <c r="RHX4" s="484"/>
      <c r="RHY4" s="484"/>
      <c r="RHZ4" s="484"/>
      <c r="RIA4" s="484"/>
      <c r="RIB4" s="484"/>
      <c r="RIC4" s="484"/>
      <c r="RID4" s="484"/>
      <c r="RIE4" s="484"/>
      <c r="RIF4" s="484"/>
      <c r="RIG4" s="484"/>
      <c r="RIH4" s="484"/>
      <c r="RII4" s="484"/>
      <c r="RIJ4" s="484"/>
      <c r="RIK4" s="484"/>
      <c r="RIL4" s="484"/>
      <c r="RIM4" s="484"/>
      <c r="RIN4" s="484"/>
      <c r="RIO4" s="484"/>
      <c r="RIP4" s="484"/>
      <c r="RIQ4" s="484"/>
      <c r="RIR4" s="484"/>
      <c r="RIS4" s="484"/>
      <c r="RIT4" s="484"/>
      <c r="RIU4" s="484"/>
      <c r="RIV4" s="484"/>
      <c r="RIW4" s="484"/>
      <c r="RIX4" s="484"/>
      <c r="RIY4" s="484"/>
      <c r="RIZ4" s="484"/>
      <c r="RJA4" s="484"/>
      <c r="RJB4" s="484"/>
      <c r="RJC4" s="484"/>
      <c r="RJD4" s="484"/>
      <c r="RJE4" s="484"/>
      <c r="RJF4" s="484"/>
      <c r="RJG4" s="484"/>
      <c r="RJH4" s="484"/>
      <c r="RJI4" s="484"/>
      <c r="RJJ4" s="484"/>
      <c r="RJK4" s="484"/>
      <c r="RJL4" s="484"/>
      <c r="RJM4" s="484"/>
      <c r="RJN4" s="484"/>
      <c r="RJO4" s="484"/>
      <c r="RJP4" s="484"/>
      <c r="RJQ4" s="484"/>
      <c r="RJR4" s="484"/>
      <c r="RJS4" s="484"/>
      <c r="RJT4" s="484"/>
      <c r="RJU4" s="484"/>
      <c r="RJV4" s="484"/>
      <c r="RJW4" s="484"/>
      <c r="RJX4" s="484"/>
      <c r="RJY4" s="484"/>
      <c r="RJZ4" s="484"/>
      <c r="RKA4" s="484"/>
      <c r="RKB4" s="484"/>
      <c r="RKC4" s="484"/>
      <c r="RKD4" s="484"/>
      <c r="RKE4" s="484"/>
      <c r="RKF4" s="484"/>
      <c r="RKG4" s="484"/>
      <c r="RKH4" s="484"/>
      <c r="RKI4" s="484"/>
      <c r="RKJ4" s="484"/>
      <c r="RKK4" s="484"/>
      <c r="RKL4" s="484"/>
      <c r="RKM4" s="484"/>
      <c r="RKN4" s="484"/>
      <c r="RKO4" s="484"/>
      <c r="RKP4" s="484"/>
      <c r="RKQ4" s="484"/>
      <c r="RKR4" s="484"/>
      <c r="RKS4" s="484"/>
      <c r="RKT4" s="484"/>
      <c r="RKU4" s="484"/>
      <c r="RKV4" s="484"/>
      <c r="RKW4" s="484"/>
      <c r="RKX4" s="484"/>
      <c r="RKY4" s="484"/>
      <c r="RKZ4" s="484"/>
      <c r="RLA4" s="484"/>
      <c r="RLB4" s="484"/>
      <c r="RLC4" s="484"/>
      <c r="RLD4" s="484"/>
      <c r="RLE4" s="484"/>
      <c r="RLF4" s="484"/>
      <c r="RLG4" s="484"/>
      <c r="RLH4" s="484"/>
      <c r="RLI4" s="484"/>
      <c r="RLJ4" s="484"/>
      <c r="RLK4" s="484"/>
      <c r="RLL4" s="484"/>
      <c r="RLM4" s="484"/>
      <c r="RLN4" s="484"/>
      <c r="RLO4" s="484"/>
      <c r="RLP4" s="484"/>
      <c r="RLQ4" s="484"/>
      <c r="RLR4" s="484"/>
      <c r="RLS4" s="484"/>
      <c r="RLT4" s="484"/>
      <c r="RLU4" s="484"/>
      <c r="RLV4" s="484"/>
      <c r="RLW4" s="484"/>
      <c r="RLX4" s="484"/>
      <c r="RLY4" s="484"/>
      <c r="RLZ4" s="484"/>
      <c r="RMA4" s="484"/>
      <c r="RMB4" s="484"/>
      <c r="RMC4" s="484"/>
      <c r="RMD4" s="484"/>
      <c r="RME4" s="484"/>
      <c r="RMF4" s="484"/>
      <c r="RMG4" s="484"/>
      <c r="RMH4" s="484"/>
      <c r="RMI4" s="484"/>
      <c r="RMJ4" s="484"/>
      <c r="RMK4" s="484"/>
      <c r="RML4" s="484"/>
      <c r="RMM4" s="484"/>
      <c r="RMN4" s="484"/>
      <c r="RMO4" s="484"/>
      <c r="RMP4" s="484"/>
      <c r="RMQ4" s="484"/>
      <c r="RMR4" s="484"/>
      <c r="RMS4" s="484"/>
      <c r="RMT4" s="484"/>
      <c r="RMU4" s="484"/>
      <c r="RMV4" s="484"/>
      <c r="RMW4" s="484"/>
      <c r="RMX4" s="484"/>
      <c r="RMY4" s="484"/>
      <c r="RMZ4" s="484"/>
      <c r="RNA4" s="484"/>
      <c r="RNB4" s="484"/>
      <c r="RNC4" s="484"/>
      <c r="RND4" s="484"/>
      <c r="RNE4" s="484"/>
      <c r="RNF4" s="484"/>
      <c r="RNG4" s="484"/>
      <c r="RNH4" s="484"/>
      <c r="RNI4" s="484"/>
      <c r="RNJ4" s="484"/>
      <c r="RNK4" s="484"/>
      <c r="RNL4" s="484"/>
      <c r="RNM4" s="484"/>
      <c r="RNN4" s="484"/>
      <c r="RNO4" s="484"/>
      <c r="RNP4" s="484"/>
      <c r="RNQ4" s="484"/>
      <c r="RNR4" s="484"/>
      <c r="RNS4" s="484"/>
      <c r="RNT4" s="484"/>
      <c r="RNU4" s="484"/>
      <c r="RNV4" s="484"/>
      <c r="RNW4" s="484"/>
      <c r="RNX4" s="484"/>
      <c r="RNY4" s="484"/>
      <c r="RNZ4" s="484"/>
      <c r="ROA4" s="484"/>
      <c r="ROB4" s="484"/>
      <c r="ROC4" s="484"/>
      <c r="ROD4" s="484"/>
      <c r="ROE4" s="484"/>
      <c r="ROF4" s="484"/>
      <c r="ROG4" s="484"/>
      <c r="ROH4" s="484"/>
      <c r="ROI4" s="484"/>
      <c r="ROJ4" s="484"/>
      <c r="ROK4" s="484"/>
      <c r="ROL4" s="484"/>
      <c r="ROM4" s="484"/>
      <c r="RON4" s="484"/>
      <c r="ROO4" s="484"/>
      <c r="ROP4" s="484"/>
      <c r="ROQ4" s="484"/>
      <c r="ROR4" s="484"/>
      <c r="ROS4" s="484"/>
      <c r="ROT4" s="484"/>
      <c r="ROU4" s="484"/>
      <c r="ROV4" s="484"/>
      <c r="ROW4" s="484"/>
      <c r="ROX4" s="484"/>
      <c r="ROY4" s="484"/>
      <c r="ROZ4" s="484"/>
      <c r="RPA4" s="484"/>
      <c r="RPB4" s="484"/>
      <c r="RPC4" s="484"/>
      <c r="RPD4" s="484"/>
      <c r="RPE4" s="484"/>
      <c r="RPF4" s="484"/>
      <c r="RPG4" s="484"/>
      <c r="RPH4" s="484"/>
      <c r="RPI4" s="484"/>
      <c r="RPJ4" s="484"/>
      <c r="RPK4" s="484"/>
      <c r="RPL4" s="484"/>
      <c r="RPM4" s="484"/>
      <c r="RPN4" s="484"/>
      <c r="RPO4" s="484"/>
      <c r="RPP4" s="484"/>
      <c r="RPQ4" s="484"/>
      <c r="RPR4" s="484"/>
      <c r="RPS4" s="484"/>
      <c r="RPT4" s="484"/>
      <c r="RPU4" s="484"/>
      <c r="RPV4" s="484"/>
      <c r="RPW4" s="484"/>
      <c r="RPX4" s="484"/>
      <c r="RPY4" s="484"/>
      <c r="RPZ4" s="484"/>
      <c r="RQA4" s="484"/>
      <c r="RQB4" s="484"/>
      <c r="RQC4" s="484"/>
      <c r="RQD4" s="484"/>
      <c r="RQE4" s="484"/>
      <c r="RQF4" s="484"/>
      <c r="RQG4" s="484"/>
      <c r="RQH4" s="484"/>
      <c r="RQI4" s="484"/>
      <c r="RQJ4" s="484"/>
      <c r="RQK4" s="484"/>
      <c r="RQL4" s="484"/>
      <c r="RQM4" s="484"/>
      <c r="RQN4" s="484"/>
      <c r="RQO4" s="484"/>
      <c r="RQP4" s="484"/>
      <c r="RQQ4" s="484"/>
      <c r="RQR4" s="484"/>
      <c r="RQS4" s="484"/>
      <c r="RQT4" s="484"/>
      <c r="RQU4" s="484"/>
      <c r="RQV4" s="484"/>
      <c r="RQW4" s="484"/>
      <c r="RQX4" s="484"/>
      <c r="RQY4" s="484"/>
      <c r="RQZ4" s="484"/>
      <c r="RRA4" s="484"/>
      <c r="RRB4" s="484"/>
      <c r="RRC4" s="484"/>
      <c r="RRD4" s="484"/>
      <c r="RRE4" s="484"/>
      <c r="RRF4" s="484"/>
      <c r="RRG4" s="484"/>
      <c r="RRH4" s="484"/>
      <c r="RRI4" s="484"/>
      <c r="RRJ4" s="484"/>
      <c r="RRK4" s="484"/>
      <c r="RRL4" s="484"/>
      <c r="RRM4" s="484"/>
      <c r="RRN4" s="484"/>
      <c r="RRO4" s="484"/>
      <c r="RRP4" s="484"/>
      <c r="RRQ4" s="484"/>
      <c r="RRR4" s="484"/>
      <c r="RRS4" s="484"/>
      <c r="RRT4" s="484"/>
      <c r="RRU4" s="484"/>
      <c r="RRV4" s="484"/>
      <c r="RRW4" s="484"/>
      <c r="RRX4" s="484"/>
      <c r="RRY4" s="484"/>
      <c r="RRZ4" s="484"/>
      <c r="RSA4" s="484"/>
      <c r="RSB4" s="484"/>
      <c r="RSC4" s="484"/>
      <c r="RSD4" s="484"/>
      <c r="RSE4" s="484"/>
      <c r="RSF4" s="484"/>
      <c r="RSG4" s="484"/>
      <c r="RSH4" s="484"/>
      <c r="RSI4" s="484"/>
      <c r="RSJ4" s="484"/>
      <c r="RSK4" s="484"/>
      <c r="RSL4" s="484"/>
      <c r="RSM4" s="484"/>
      <c r="RSN4" s="484"/>
      <c r="RSO4" s="484"/>
      <c r="RSP4" s="484"/>
      <c r="RSQ4" s="484"/>
      <c r="RSR4" s="484"/>
      <c r="RSS4" s="484"/>
      <c r="RST4" s="484"/>
      <c r="RSU4" s="484"/>
      <c r="RSV4" s="484"/>
      <c r="RSW4" s="484"/>
      <c r="RSX4" s="484"/>
      <c r="RSY4" s="484"/>
      <c r="RSZ4" s="484"/>
      <c r="RTA4" s="484"/>
      <c r="RTB4" s="484"/>
      <c r="RTC4" s="484"/>
      <c r="RTD4" s="484"/>
      <c r="RTE4" s="484"/>
      <c r="RTF4" s="484"/>
      <c r="RTG4" s="484"/>
      <c r="RTH4" s="484"/>
      <c r="RTI4" s="484"/>
      <c r="RTJ4" s="484"/>
      <c r="RTK4" s="484"/>
      <c r="RTL4" s="484"/>
      <c r="RTM4" s="484"/>
      <c r="RTN4" s="484"/>
      <c r="RTO4" s="484"/>
      <c r="RTP4" s="484"/>
      <c r="RTQ4" s="484"/>
      <c r="RTR4" s="484"/>
      <c r="RTS4" s="484"/>
      <c r="RTT4" s="484"/>
      <c r="RTU4" s="484"/>
      <c r="RTV4" s="484"/>
      <c r="RTW4" s="484"/>
      <c r="RTX4" s="484"/>
      <c r="RTY4" s="484"/>
      <c r="RTZ4" s="484"/>
      <c r="RUA4" s="484"/>
      <c r="RUB4" s="484"/>
      <c r="RUC4" s="484"/>
      <c r="RUD4" s="484"/>
      <c r="RUE4" s="484"/>
      <c r="RUF4" s="484"/>
      <c r="RUG4" s="484"/>
      <c r="RUH4" s="484"/>
      <c r="RUI4" s="484"/>
      <c r="RUJ4" s="484"/>
      <c r="RUK4" s="484"/>
      <c r="RUL4" s="484"/>
      <c r="RUM4" s="484"/>
      <c r="RUN4" s="484"/>
      <c r="RUO4" s="484"/>
      <c r="RUP4" s="484"/>
      <c r="RUQ4" s="484"/>
      <c r="RUR4" s="484"/>
      <c r="RUS4" s="484"/>
      <c r="RUT4" s="484"/>
      <c r="RUU4" s="484"/>
      <c r="RUV4" s="484"/>
      <c r="RUW4" s="484"/>
      <c r="RUX4" s="484"/>
      <c r="RUY4" s="484"/>
      <c r="RUZ4" s="484"/>
      <c r="RVA4" s="484"/>
      <c r="RVB4" s="484"/>
      <c r="RVC4" s="484"/>
      <c r="RVD4" s="484"/>
      <c r="RVE4" s="484"/>
      <c r="RVF4" s="484"/>
      <c r="RVG4" s="484"/>
      <c r="RVH4" s="484"/>
      <c r="RVI4" s="484"/>
      <c r="RVJ4" s="484"/>
      <c r="RVK4" s="484"/>
      <c r="RVL4" s="484"/>
      <c r="RVM4" s="484"/>
      <c r="RVN4" s="484"/>
      <c r="RVO4" s="484"/>
      <c r="RVP4" s="484"/>
      <c r="RVQ4" s="484"/>
      <c r="RVR4" s="484"/>
      <c r="RVS4" s="484"/>
      <c r="RVT4" s="484"/>
      <c r="RVU4" s="484"/>
      <c r="RVV4" s="484"/>
      <c r="RVW4" s="484"/>
      <c r="RVX4" s="484"/>
      <c r="RVY4" s="484"/>
      <c r="RVZ4" s="484"/>
      <c r="RWA4" s="484"/>
      <c r="RWB4" s="484"/>
      <c r="RWC4" s="484"/>
      <c r="RWD4" s="484"/>
      <c r="RWE4" s="484"/>
      <c r="RWF4" s="484"/>
      <c r="RWG4" s="484"/>
      <c r="RWH4" s="484"/>
      <c r="RWI4" s="484"/>
      <c r="RWJ4" s="484"/>
      <c r="RWK4" s="484"/>
      <c r="RWL4" s="484"/>
      <c r="RWM4" s="484"/>
      <c r="RWN4" s="484"/>
      <c r="RWO4" s="484"/>
      <c r="RWP4" s="484"/>
      <c r="RWQ4" s="484"/>
      <c r="RWR4" s="484"/>
      <c r="RWS4" s="484"/>
      <c r="RWT4" s="484"/>
      <c r="RWU4" s="484"/>
      <c r="RWV4" s="484"/>
      <c r="RWW4" s="484"/>
      <c r="RWX4" s="484"/>
      <c r="RWY4" s="484"/>
      <c r="RWZ4" s="484"/>
      <c r="RXA4" s="484"/>
      <c r="RXB4" s="484"/>
      <c r="RXC4" s="484"/>
      <c r="RXD4" s="484"/>
      <c r="RXE4" s="484"/>
      <c r="RXF4" s="484"/>
      <c r="RXG4" s="484"/>
      <c r="RXH4" s="484"/>
      <c r="RXI4" s="484"/>
      <c r="RXJ4" s="484"/>
      <c r="RXK4" s="484"/>
      <c r="RXL4" s="484"/>
      <c r="RXM4" s="484"/>
      <c r="RXN4" s="484"/>
      <c r="RXO4" s="484"/>
      <c r="RXP4" s="484"/>
      <c r="RXQ4" s="484"/>
      <c r="RXR4" s="484"/>
      <c r="RXS4" s="484"/>
      <c r="RXT4" s="484"/>
      <c r="RXU4" s="484"/>
      <c r="RXV4" s="484"/>
      <c r="RXW4" s="484"/>
      <c r="RXX4" s="484"/>
      <c r="RXY4" s="484"/>
      <c r="RXZ4" s="484"/>
      <c r="RYA4" s="484"/>
      <c r="RYB4" s="484"/>
      <c r="RYC4" s="484"/>
      <c r="RYD4" s="484"/>
      <c r="RYE4" s="484"/>
      <c r="RYF4" s="484"/>
      <c r="RYG4" s="484"/>
      <c r="RYH4" s="484"/>
      <c r="RYI4" s="484"/>
      <c r="RYJ4" s="484"/>
      <c r="RYK4" s="484"/>
      <c r="RYL4" s="484"/>
      <c r="RYM4" s="484"/>
      <c r="RYN4" s="484"/>
      <c r="RYO4" s="484"/>
      <c r="RYP4" s="484"/>
      <c r="RYQ4" s="484"/>
      <c r="RYR4" s="484"/>
      <c r="RYS4" s="484"/>
      <c r="RYT4" s="484"/>
      <c r="RYU4" s="484"/>
      <c r="RYV4" s="484"/>
      <c r="RYW4" s="484"/>
      <c r="RYX4" s="484"/>
      <c r="RYY4" s="484"/>
      <c r="RYZ4" s="484"/>
      <c r="RZA4" s="484"/>
      <c r="RZB4" s="484"/>
      <c r="RZC4" s="484"/>
      <c r="RZD4" s="484"/>
      <c r="RZE4" s="484"/>
      <c r="RZF4" s="484"/>
      <c r="RZG4" s="484"/>
      <c r="RZH4" s="484"/>
      <c r="RZI4" s="484"/>
      <c r="RZJ4" s="484"/>
      <c r="RZK4" s="484"/>
      <c r="RZL4" s="484"/>
      <c r="RZM4" s="484"/>
      <c r="RZN4" s="484"/>
      <c r="RZO4" s="484"/>
      <c r="RZP4" s="484"/>
      <c r="RZQ4" s="484"/>
      <c r="RZR4" s="484"/>
      <c r="RZS4" s="484"/>
      <c r="RZT4" s="484"/>
      <c r="RZU4" s="484"/>
      <c r="RZV4" s="484"/>
      <c r="RZW4" s="484"/>
      <c r="RZX4" s="484"/>
      <c r="RZY4" s="484"/>
      <c r="RZZ4" s="484"/>
      <c r="SAA4" s="484"/>
      <c r="SAB4" s="484"/>
      <c r="SAC4" s="484"/>
      <c r="SAD4" s="484"/>
      <c r="SAE4" s="484"/>
      <c r="SAF4" s="484"/>
      <c r="SAG4" s="484"/>
      <c r="SAH4" s="484"/>
      <c r="SAI4" s="484"/>
      <c r="SAJ4" s="484"/>
      <c r="SAK4" s="484"/>
      <c r="SAL4" s="484"/>
      <c r="SAM4" s="484"/>
      <c r="SAN4" s="484"/>
      <c r="SAO4" s="484"/>
      <c r="SAP4" s="484"/>
      <c r="SAQ4" s="484"/>
      <c r="SAR4" s="484"/>
      <c r="SAS4" s="484"/>
      <c r="SAT4" s="484"/>
      <c r="SAU4" s="484"/>
      <c r="SAV4" s="484"/>
      <c r="SAW4" s="484"/>
      <c r="SAX4" s="484"/>
      <c r="SAY4" s="484"/>
      <c r="SAZ4" s="484"/>
      <c r="SBA4" s="484"/>
      <c r="SBB4" s="484"/>
      <c r="SBC4" s="484"/>
      <c r="SBD4" s="484"/>
      <c r="SBE4" s="484"/>
      <c r="SBF4" s="484"/>
      <c r="SBG4" s="484"/>
      <c r="SBH4" s="484"/>
      <c r="SBI4" s="484"/>
      <c r="SBJ4" s="484"/>
      <c r="SBK4" s="484"/>
      <c r="SBL4" s="484"/>
      <c r="SBM4" s="484"/>
      <c r="SBN4" s="484"/>
      <c r="SBO4" s="484"/>
      <c r="SBP4" s="484"/>
      <c r="SBQ4" s="484"/>
      <c r="SBR4" s="484"/>
      <c r="SBS4" s="484"/>
      <c r="SBT4" s="484"/>
      <c r="SBU4" s="484"/>
      <c r="SBV4" s="484"/>
      <c r="SBW4" s="484"/>
      <c r="SBX4" s="484"/>
      <c r="SBY4" s="484"/>
      <c r="SBZ4" s="484"/>
      <c r="SCA4" s="484"/>
      <c r="SCB4" s="484"/>
      <c r="SCC4" s="484"/>
      <c r="SCD4" s="484"/>
      <c r="SCE4" s="484"/>
      <c r="SCF4" s="484"/>
      <c r="SCG4" s="484"/>
      <c r="SCH4" s="484"/>
      <c r="SCI4" s="484"/>
      <c r="SCJ4" s="484"/>
      <c r="SCK4" s="484"/>
      <c r="SCL4" s="484"/>
      <c r="SCM4" s="484"/>
      <c r="SCN4" s="484"/>
      <c r="SCO4" s="484"/>
      <c r="SCP4" s="484"/>
      <c r="SCQ4" s="484"/>
      <c r="SCR4" s="484"/>
      <c r="SCS4" s="484"/>
      <c r="SCT4" s="484"/>
      <c r="SCU4" s="484"/>
      <c r="SCV4" s="484"/>
      <c r="SCW4" s="484"/>
      <c r="SCX4" s="484"/>
      <c r="SCY4" s="484"/>
      <c r="SCZ4" s="484"/>
      <c r="SDA4" s="484"/>
      <c r="SDB4" s="484"/>
      <c r="SDC4" s="484"/>
      <c r="SDD4" s="484"/>
      <c r="SDE4" s="484"/>
      <c r="SDF4" s="484"/>
      <c r="SDG4" s="484"/>
      <c r="SDH4" s="484"/>
      <c r="SDI4" s="484"/>
      <c r="SDJ4" s="484"/>
      <c r="SDK4" s="484"/>
      <c r="SDL4" s="484"/>
      <c r="SDM4" s="484"/>
      <c r="SDN4" s="484"/>
      <c r="SDO4" s="484"/>
      <c r="SDP4" s="484"/>
      <c r="SDQ4" s="484"/>
      <c r="SDR4" s="484"/>
      <c r="SDS4" s="484"/>
      <c r="SDT4" s="484"/>
      <c r="SDU4" s="484"/>
      <c r="SDV4" s="484"/>
      <c r="SDW4" s="484"/>
      <c r="SDX4" s="484"/>
      <c r="SDY4" s="484"/>
      <c r="SDZ4" s="484"/>
      <c r="SEA4" s="484"/>
      <c r="SEB4" s="484"/>
      <c r="SEC4" s="484"/>
      <c r="SED4" s="484"/>
      <c r="SEE4" s="484"/>
      <c r="SEF4" s="484"/>
      <c r="SEG4" s="484"/>
      <c r="SEH4" s="484"/>
      <c r="SEI4" s="484"/>
      <c r="SEJ4" s="484"/>
      <c r="SEK4" s="484"/>
      <c r="SEL4" s="484"/>
      <c r="SEM4" s="484"/>
      <c r="SEN4" s="484"/>
      <c r="SEO4" s="484"/>
      <c r="SEP4" s="484"/>
      <c r="SEQ4" s="484"/>
      <c r="SER4" s="484"/>
      <c r="SES4" s="484"/>
      <c r="SET4" s="484"/>
      <c r="SEU4" s="484"/>
      <c r="SEV4" s="484"/>
      <c r="SEW4" s="484"/>
      <c r="SEX4" s="484"/>
      <c r="SEY4" s="484"/>
      <c r="SEZ4" s="484"/>
      <c r="SFA4" s="484"/>
      <c r="SFB4" s="484"/>
      <c r="SFC4" s="484"/>
      <c r="SFD4" s="484"/>
      <c r="SFE4" s="484"/>
      <c r="SFF4" s="484"/>
      <c r="SFG4" s="484"/>
      <c r="SFH4" s="484"/>
      <c r="SFI4" s="484"/>
      <c r="SFJ4" s="484"/>
      <c r="SFK4" s="484"/>
      <c r="SFL4" s="484"/>
      <c r="SFM4" s="484"/>
      <c r="SFN4" s="484"/>
      <c r="SFO4" s="484"/>
      <c r="SFP4" s="484"/>
      <c r="SFQ4" s="484"/>
      <c r="SFR4" s="484"/>
      <c r="SFS4" s="484"/>
      <c r="SFT4" s="484"/>
      <c r="SFU4" s="484"/>
      <c r="SFV4" s="484"/>
      <c r="SFW4" s="484"/>
      <c r="SFX4" s="484"/>
      <c r="SFY4" s="484"/>
      <c r="SFZ4" s="484"/>
      <c r="SGA4" s="484"/>
      <c r="SGB4" s="484"/>
      <c r="SGC4" s="484"/>
      <c r="SGD4" s="484"/>
      <c r="SGE4" s="484"/>
      <c r="SGF4" s="484"/>
      <c r="SGG4" s="484"/>
      <c r="SGH4" s="484"/>
      <c r="SGI4" s="484"/>
      <c r="SGJ4" s="484"/>
      <c r="SGK4" s="484"/>
      <c r="SGL4" s="484"/>
      <c r="SGM4" s="484"/>
      <c r="SGN4" s="484"/>
      <c r="SGO4" s="484"/>
      <c r="SGP4" s="484"/>
      <c r="SGQ4" s="484"/>
      <c r="SGR4" s="484"/>
      <c r="SGS4" s="484"/>
      <c r="SGT4" s="484"/>
      <c r="SGU4" s="484"/>
      <c r="SGV4" s="484"/>
      <c r="SGW4" s="484"/>
      <c r="SGX4" s="484"/>
      <c r="SGY4" s="484"/>
      <c r="SGZ4" s="484"/>
      <c r="SHA4" s="484"/>
      <c r="SHB4" s="484"/>
      <c r="SHC4" s="484"/>
      <c r="SHD4" s="484"/>
      <c r="SHE4" s="484"/>
      <c r="SHF4" s="484"/>
      <c r="SHG4" s="484"/>
      <c r="SHH4" s="484"/>
      <c r="SHI4" s="484"/>
      <c r="SHJ4" s="484"/>
      <c r="SHK4" s="484"/>
      <c r="SHL4" s="484"/>
      <c r="SHM4" s="484"/>
      <c r="SHN4" s="484"/>
      <c r="SHO4" s="484"/>
      <c r="SHP4" s="484"/>
      <c r="SHQ4" s="484"/>
      <c r="SHR4" s="484"/>
      <c r="SHS4" s="484"/>
      <c r="SHT4" s="484"/>
      <c r="SHU4" s="484"/>
      <c r="SHV4" s="484"/>
      <c r="SHW4" s="484"/>
      <c r="SHX4" s="484"/>
      <c r="SHY4" s="484"/>
      <c r="SHZ4" s="484"/>
      <c r="SIA4" s="484"/>
      <c r="SIB4" s="484"/>
      <c r="SIC4" s="484"/>
      <c r="SID4" s="484"/>
      <c r="SIE4" s="484"/>
      <c r="SIF4" s="484"/>
      <c r="SIG4" s="484"/>
      <c r="SIH4" s="484"/>
      <c r="SII4" s="484"/>
      <c r="SIJ4" s="484"/>
      <c r="SIK4" s="484"/>
      <c r="SIL4" s="484"/>
      <c r="SIM4" s="484"/>
      <c r="SIN4" s="484"/>
      <c r="SIO4" s="484"/>
      <c r="SIP4" s="484"/>
      <c r="SIQ4" s="484"/>
      <c r="SIR4" s="484"/>
      <c r="SIS4" s="484"/>
      <c r="SIT4" s="484"/>
      <c r="SIU4" s="484"/>
      <c r="SIV4" s="484"/>
      <c r="SIW4" s="484"/>
      <c r="SIX4" s="484"/>
      <c r="SIY4" s="484"/>
      <c r="SIZ4" s="484"/>
      <c r="SJA4" s="484"/>
      <c r="SJB4" s="484"/>
      <c r="SJC4" s="484"/>
      <c r="SJD4" s="484"/>
      <c r="SJE4" s="484"/>
      <c r="SJF4" s="484"/>
      <c r="SJG4" s="484"/>
      <c r="SJH4" s="484"/>
      <c r="SJI4" s="484"/>
      <c r="SJJ4" s="484"/>
      <c r="SJK4" s="484"/>
      <c r="SJL4" s="484"/>
      <c r="SJM4" s="484"/>
      <c r="SJN4" s="484"/>
      <c r="SJO4" s="484"/>
      <c r="SJP4" s="484"/>
      <c r="SJQ4" s="484"/>
      <c r="SJR4" s="484"/>
      <c r="SJS4" s="484"/>
      <c r="SJT4" s="484"/>
      <c r="SJU4" s="484"/>
      <c r="SJV4" s="484"/>
      <c r="SJW4" s="484"/>
      <c r="SJX4" s="484"/>
      <c r="SJY4" s="484"/>
      <c r="SJZ4" s="484"/>
      <c r="SKA4" s="484"/>
      <c r="SKB4" s="484"/>
      <c r="SKC4" s="484"/>
      <c r="SKD4" s="484"/>
      <c r="SKE4" s="484"/>
      <c r="SKF4" s="484"/>
      <c r="SKG4" s="484"/>
      <c r="SKH4" s="484"/>
      <c r="SKI4" s="484"/>
      <c r="SKJ4" s="484"/>
      <c r="SKK4" s="484"/>
      <c r="SKL4" s="484"/>
      <c r="SKM4" s="484"/>
      <c r="SKN4" s="484"/>
      <c r="SKO4" s="484"/>
      <c r="SKP4" s="484"/>
      <c r="SKQ4" s="484"/>
      <c r="SKR4" s="484"/>
      <c r="SKS4" s="484"/>
      <c r="SKT4" s="484"/>
      <c r="SKU4" s="484"/>
      <c r="SKV4" s="484"/>
      <c r="SKW4" s="484"/>
      <c r="SKX4" s="484"/>
      <c r="SKY4" s="484"/>
      <c r="SKZ4" s="484"/>
      <c r="SLA4" s="484"/>
      <c r="SLB4" s="484"/>
      <c r="SLC4" s="484"/>
      <c r="SLD4" s="484"/>
      <c r="SLE4" s="484"/>
      <c r="SLF4" s="484"/>
      <c r="SLG4" s="484"/>
      <c r="SLH4" s="484"/>
      <c r="SLI4" s="484"/>
      <c r="SLJ4" s="484"/>
      <c r="SLK4" s="484"/>
      <c r="SLL4" s="484"/>
      <c r="SLM4" s="484"/>
      <c r="SLN4" s="484"/>
      <c r="SLO4" s="484"/>
      <c r="SLP4" s="484"/>
      <c r="SLQ4" s="484"/>
      <c r="SLR4" s="484"/>
      <c r="SLS4" s="484"/>
      <c r="SLT4" s="484"/>
      <c r="SLU4" s="484"/>
      <c r="SLV4" s="484"/>
      <c r="SLW4" s="484"/>
      <c r="SLX4" s="484"/>
      <c r="SLY4" s="484"/>
      <c r="SLZ4" s="484"/>
      <c r="SMA4" s="484"/>
      <c r="SMB4" s="484"/>
      <c r="SMC4" s="484"/>
      <c r="SMD4" s="484"/>
      <c r="SME4" s="484"/>
      <c r="SMF4" s="484"/>
      <c r="SMG4" s="484"/>
      <c r="SMH4" s="484"/>
      <c r="SMI4" s="484"/>
      <c r="SMJ4" s="484"/>
      <c r="SMK4" s="484"/>
      <c r="SML4" s="484"/>
      <c r="SMM4" s="484"/>
      <c r="SMN4" s="484"/>
      <c r="SMO4" s="484"/>
      <c r="SMP4" s="484"/>
      <c r="SMQ4" s="484"/>
      <c r="SMR4" s="484"/>
      <c r="SMS4" s="484"/>
      <c r="SMT4" s="484"/>
      <c r="SMU4" s="484"/>
      <c r="SMV4" s="484"/>
      <c r="SMW4" s="484"/>
      <c r="SMX4" s="484"/>
      <c r="SMY4" s="484"/>
      <c r="SMZ4" s="484"/>
      <c r="SNA4" s="484"/>
      <c r="SNB4" s="484"/>
      <c r="SNC4" s="484"/>
      <c r="SND4" s="484"/>
      <c r="SNE4" s="484"/>
      <c r="SNF4" s="484"/>
      <c r="SNG4" s="484"/>
      <c r="SNH4" s="484"/>
      <c r="SNI4" s="484"/>
      <c r="SNJ4" s="484"/>
      <c r="SNK4" s="484"/>
      <c r="SNL4" s="484"/>
      <c r="SNM4" s="484"/>
      <c r="SNN4" s="484"/>
      <c r="SNO4" s="484"/>
      <c r="SNP4" s="484"/>
      <c r="SNQ4" s="484"/>
      <c r="SNR4" s="484"/>
      <c r="SNS4" s="484"/>
      <c r="SNT4" s="484"/>
      <c r="SNU4" s="484"/>
      <c r="SNV4" s="484"/>
      <c r="SNW4" s="484"/>
      <c r="SNX4" s="484"/>
      <c r="SNY4" s="484"/>
      <c r="SNZ4" s="484"/>
      <c r="SOA4" s="484"/>
      <c r="SOB4" s="484"/>
      <c r="SOC4" s="484"/>
      <c r="SOD4" s="484"/>
      <c r="SOE4" s="484"/>
      <c r="SOF4" s="484"/>
      <c r="SOG4" s="484"/>
      <c r="SOH4" s="484"/>
      <c r="SOI4" s="484"/>
      <c r="SOJ4" s="484"/>
      <c r="SOK4" s="484"/>
      <c r="SOL4" s="484"/>
      <c r="SOM4" s="484"/>
      <c r="SON4" s="484"/>
      <c r="SOO4" s="484"/>
      <c r="SOP4" s="484"/>
      <c r="SOQ4" s="484"/>
      <c r="SOR4" s="484"/>
      <c r="SOS4" s="484"/>
      <c r="SOT4" s="484"/>
      <c r="SOU4" s="484"/>
      <c r="SOV4" s="484"/>
      <c r="SOW4" s="484"/>
      <c r="SOX4" s="484"/>
      <c r="SOY4" s="484"/>
      <c r="SOZ4" s="484"/>
      <c r="SPA4" s="484"/>
      <c r="SPB4" s="484"/>
      <c r="SPC4" s="484"/>
      <c r="SPD4" s="484"/>
      <c r="SPE4" s="484"/>
      <c r="SPF4" s="484"/>
      <c r="SPG4" s="484"/>
      <c r="SPH4" s="484"/>
      <c r="SPI4" s="484"/>
      <c r="SPJ4" s="484"/>
      <c r="SPK4" s="484"/>
      <c r="SPL4" s="484"/>
      <c r="SPM4" s="484"/>
      <c r="SPN4" s="484"/>
      <c r="SPO4" s="484"/>
      <c r="SPP4" s="484"/>
      <c r="SPQ4" s="484"/>
      <c r="SPR4" s="484"/>
      <c r="SPS4" s="484"/>
      <c r="SPT4" s="484"/>
      <c r="SPU4" s="484"/>
      <c r="SPV4" s="484"/>
      <c r="SPW4" s="484"/>
      <c r="SPX4" s="484"/>
      <c r="SPY4" s="484"/>
      <c r="SPZ4" s="484"/>
      <c r="SQA4" s="484"/>
      <c r="SQB4" s="484"/>
      <c r="SQC4" s="484"/>
      <c r="SQD4" s="484"/>
      <c r="SQE4" s="484"/>
      <c r="SQF4" s="484"/>
      <c r="SQG4" s="484"/>
      <c r="SQH4" s="484"/>
      <c r="SQI4" s="484"/>
      <c r="SQJ4" s="484"/>
      <c r="SQK4" s="484"/>
      <c r="SQL4" s="484"/>
      <c r="SQM4" s="484"/>
      <c r="SQN4" s="484"/>
      <c r="SQO4" s="484"/>
      <c r="SQP4" s="484"/>
      <c r="SQQ4" s="484"/>
      <c r="SQR4" s="484"/>
      <c r="SQS4" s="484"/>
      <c r="SQT4" s="484"/>
      <c r="SQU4" s="484"/>
      <c r="SQV4" s="484"/>
      <c r="SQW4" s="484"/>
      <c r="SQX4" s="484"/>
      <c r="SQY4" s="484"/>
      <c r="SQZ4" s="484"/>
      <c r="SRA4" s="484"/>
      <c r="SRB4" s="484"/>
      <c r="SRC4" s="484"/>
      <c r="SRD4" s="484"/>
      <c r="SRE4" s="484"/>
      <c r="SRF4" s="484"/>
      <c r="SRG4" s="484"/>
      <c r="SRH4" s="484"/>
      <c r="SRI4" s="484"/>
      <c r="SRJ4" s="484"/>
      <c r="SRK4" s="484"/>
      <c r="SRL4" s="484"/>
      <c r="SRM4" s="484"/>
      <c r="SRN4" s="484"/>
      <c r="SRO4" s="484"/>
      <c r="SRP4" s="484"/>
      <c r="SRQ4" s="484"/>
      <c r="SRR4" s="484"/>
      <c r="SRS4" s="484"/>
      <c r="SRT4" s="484"/>
      <c r="SRU4" s="484"/>
      <c r="SRV4" s="484"/>
      <c r="SRW4" s="484"/>
      <c r="SRX4" s="484"/>
      <c r="SRY4" s="484"/>
      <c r="SRZ4" s="484"/>
      <c r="SSA4" s="484"/>
      <c r="SSB4" s="484"/>
      <c r="SSC4" s="484"/>
      <c r="SSD4" s="484"/>
      <c r="SSE4" s="484"/>
      <c r="SSF4" s="484"/>
      <c r="SSG4" s="484"/>
      <c r="SSH4" s="484"/>
      <c r="SSI4" s="484"/>
      <c r="SSJ4" s="484"/>
      <c r="SSK4" s="484"/>
      <c r="SSL4" s="484"/>
      <c r="SSM4" s="484"/>
      <c r="SSN4" s="484"/>
      <c r="SSO4" s="484"/>
      <c r="SSP4" s="484"/>
      <c r="SSQ4" s="484"/>
      <c r="SSR4" s="484"/>
      <c r="SSS4" s="484"/>
      <c r="SST4" s="484"/>
      <c r="SSU4" s="484"/>
      <c r="SSV4" s="484"/>
      <c r="SSW4" s="484"/>
      <c r="SSX4" s="484"/>
      <c r="SSY4" s="484"/>
      <c r="SSZ4" s="484"/>
      <c r="STA4" s="484"/>
      <c r="STB4" s="484"/>
      <c r="STC4" s="484"/>
      <c r="STD4" s="484"/>
      <c r="STE4" s="484"/>
      <c r="STF4" s="484"/>
      <c r="STG4" s="484"/>
      <c r="STH4" s="484"/>
      <c r="STI4" s="484"/>
      <c r="STJ4" s="484"/>
      <c r="STK4" s="484"/>
      <c r="STL4" s="484"/>
      <c r="STM4" s="484"/>
      <c r="STN4" s="484"/>
      <c r="STO4" s="484"/>
      <c r="STP4" s="484"/>
      <c r="STQ4" s="484"/>
      <c r="STR4" s="484"/>
      <c r="STS4" s="484"/>
      <c r="STT4" s="484"/>
      <c r="STU4" s="484"/>
      <c r="STV4" s="484"/>
      <c r="STW4" s="484"/>
      <c r="STX4" s="484"/>
      <c r="STY4" s="484"/>
      <c r="STZ4" s="484"/>
      <c r="SUA4" s="484"/>
      <c r="SUB4" s="484"/>
      <c r="SUC4" s="484"/>
      <c r="SUD4" s="484"/>
      <c r="SUE4" s="484"/>
      <c r="SUF4" s="484"/>
      <c r="SUG4" s="484"/>
      <c r="SUH4" s="484"/>
      <c r="SUI4" s="484"/>
      <c r="SUJ4" s="484"/>
      <c r="SUK4" s="484"/>
      <c r="SUL4" s="484"/>
      <c r="SUM4" s="484"/>
      <c r="SUN4" s="484"/>
      <c r="SUO4" s="484"/>
      <c r="SUP4" s="484"/>
      <c r="SUQ4" s="484"/>
      <c r="SUR4" s="484"/>
      <c r="SUS4" s="484"/>
      <c r="SUT4" s="484"/>
      <c r="SUU4" s="484"/>
      <c r="SUV4" s="484"/>
      <c r="SUW4" s="484"/>
      <c r="SUX4" s="484"/>
      <c r="SUY4" s="484"/>
      <c r="SUZ4" s="484"/>
      <c r="SVA4" s="484"/>
      <c r="SVB4" s="484"/>
      <c r="SVC4" s="484"/>
      <c r="SVD4" s="484"/>
      <c r="SVE4" s="484"/>
      <c r="SVF4" s="484"/>
      <c r="SVG4" s="484"/>
      <c r="SVH4" s="484"/>
      <c r="SVI4" s="484"/>
      <c r="SVJ4" s="484"/>
      <c r="SVK4" s="484"/>
      <c r="SVL4" s="484"/>
      <c r="SVM4" s="484"/>
      <c r="SVN4" s="484"/>
      <c r="SVO4" s="484"/>
      <c r="SVP4" s="484"/>
      <c r="SVQ4" s="484"/>
      <c r="SVR4" s="484"/>
      <c r="SVS4" s="484"/>
      <c r="SVT4" s="484"/>
      <c r="SVU4" s="484"/>
      <c r="SVV4" s="484"/>
      <c r="SVW4" s="484"/>
      <c r="SVX4" s="484"/>
      <c r="SVY4" s="484"/>
      <c r="SVZ4" s="484"/>
      <c r="SWA4" s="484"/>
      <c r="SWB4" s="484"/>
      <c r="SWC4" s="484"/>
      <c r="SWD4" s="484"/>
      <c r="SWE4" s="484"/>
      <c r="SWF4" s="484"/>
      <c r="SWG4" s="484"/>
      <c r="SWH4" s="484"/>
      <c r="SWI4" s="484"/>
      <c r="SWJ4" s="484"/>
      <c r="SWK4" s="484"/>
      <c r="SWL4" s="484"/>
      <c r="SWM4" s="484"/>
      <c r="SWN4" s="484"/>
      <c r="SWO4" s="484"/>
      <c r="SWP4" s="484"/>
      <c r="SWQ4" s="484"/>
      <c r="SWR4" s="484"/>
      <c r="SWS4" s="484"/>
      <c r="SWT4" s="484"/>
      <c r="SWU4" s="484"/>
      <c r="SWV4" s="484"/>
      <c r="SWW4" s="484"/>
      <c r="SWX4" s="484"/>
      <c r="SWY4" s="484"/>
      <c r="SWZ4" s="484"/>
      <c r="SXA4" s="484"/>
      <c r="SXB4" s="484"/>
      <c r="SXC4" s="484"/>
      <c r="SXD4" s="484"/>
      <c r="SXE4" s="484"/>
      <c r="SXF4" s="484"/>
      <c r="SXG4" s="484"/>
      <c r="SXH4" s="484"/>
      <c r="SXI4" s="484"/>
      <c r="SXJ4" s="484"/>
      <c r="SXK4" s="484"/>
      <c r="SXL4" s="484"/>
      <c r="SXM4" s="484"/>
      <c r="SXN4" s="484"/>
      <c r="SXO4" s="484"/>
      <c r="SXP4" s="484"/>
      <c r="SXQ4" s="484"/>
      <c r="SXR4" s="484"/>
      <c r="SXS4" s="484"/>
      <c r="SXT4" s="484"/>
      <c r="SXU4" s="484"/>
      <c r="SXV4" s="484"/>
      <c r="SXW4" s="484"/>
      <c r="SXX4" s="484"/>
      <c r="SXY4" s="484"/>
      <c r="SXZ4" s="484"/>
      <c r="SYA4" s="484"/>
      <c r="SYB4" s="484"/>
      <c r="SYC4" s="484"/>
      <c r="SYD4" s="484"/>
      <c r="SYE4" s="484"/>
      <c r="SYF4" s="484"/>
      <c r="SYG4" s="484"/>
      <c r="SYH4" s="484"/>
      <c r="SYI4" s="484"/>
      <c r="SYJ4" s="484"/>
      <c r="SYK4" s="484"/>
      <c r="SYL4" s="484"/>
      <c r="SYM4" s="484"/>
      <c r="SYN4" s="484"/>
      <c r="SYO4" s="484"/>
      <c r="SYP4" s="484"/>
      <c r="SYQ4" s="484"/>
      <c r="SYR4" s="484"/>
      <c r="SYS4" s="484"/>
      <c r="SYT4" s="484"/>
      <c r="SYU4" s="484"/>
      <c r="SYV4" s="484"/>
      <c r="SYW4" s="484"/>
      <c r="SYX4" s="484"/>
      <c r="SYY4" s="484"/>
      <c r="SYZ4" s="484"/>
      <c r="SZA4" s="484"/>
      <c r="SZB4" s="484"/>
      <c r="SZC4" s="484"/>
      <c r="SZD4" s="484"/>
      <c r="SZE4" s="484"/>
      <c r="SZF4" s="484"/>
      <c r="SZG4" s="484"/>
      <c r="SZH4" s="484"/>
      <c r="SZI4" s="484"/>
      <c r="SZJ4" s="484"/>
      <c r="SZK4" s="484"/>
      <c r="SZL4" s="484"/>
      <c r="SZM4" s="484"/>
      <c r="SZN4" s="484"/>
      <c r="SZO4" s="484"/>
      <c r="SZP4" s="484"/>
      <c r="SZQ4" s="484"/>
      <c r="SZR4" s="484"/>
      <c r="SZS4" s="484"/>
      <c r="SZT4" s="484"/>
      <c r="SZU4" s="484"/>
      <c r="SZV4" s="484"/>
      <c r="SZW4" s="484"/>
      <c r="SZX4" s="484"/>
      <c r="SZY4" s="484"/>
      <c r="SZZ4" s="484"/>
      <c r="TAA4" s="484"/>
      <c r="TAB4" s="484"/>
      <c r="TAC4" s="484"/>
      <c r="TAD4" s="484"/>
      <c r="TAE4" s="484"/>
      <c r="TAF4" s="484"/>
      <c r="TAG4" s="484"/>
      <c r="TAH4" s="484"/>
      <c r="TAI4" s="484"/>
      <c r="TAJ4" s="484"/>
      <c r="TAK4" s="484"/>
      <c r="TAL4" s="484"/>
      <c r="TAM4" s="484"/>
      <c r="TAN4" s="484"/>
      <c r="TAO4" s="484"/>
      <c r="TAP4" s="484"/>
      <c r="TAQ4" s="484"/>
      <c r="TAR4" s="484"/>
      <c r="TAS4" s="484"/>
      <c r="TAT4" s="484"/>
      <c r="TAU4" s="484"/>
      <c r="TAV4" s="484"/>
      <c r="TAW4" s="484"/>
      <c r="TAX4" s="484"/>
      <c r="TAY4" s="484"/>
      <c r="TAZ4" s="484"/>
      <c r="TBA4" s="484"/>
      <c r="TBB4" s="484"/>
      <c r="TBC4" s="484"/>
      <c r="TBD4" s="484"/>
      <c r="TBE4" s="484"/>
      <c r="TBF4" s="484"/>
      <c r="TBG4" s="484"/>
      <c r="TBH4" s="484"/>
      <c r="TBI4" s="484"/>
      <c r="TBJ4" s="484"/>
      <c r="TBK4" s="484"/>
      <c r="TBL4" s="484"/>
      <c r="TBM4" s="484"/>
      <c r="TBN4" s="484"/>
      <c r="TBO4" s="484"/>
      <c r="TBP4" s="484"/>
      <c r="TBQ4" s="484"/>
      <c r="TBR4" s="484"/>
      <c r="TBS4" s="484"/>
      <c r="TBT4" s="484"/>
      <c r="TBU4" s="484"/>
      <c r="TBV4" s="484"/>
      <c r="TBW4" s="484"/>
      <c r="TBX4" s="484"/>
      <c r="TBY4" s="484"/>
      <c r="TBZ4" s="484"/>
      <c r="TCA4" s="484"/>
      <c r="TCB4" s="484"/>
      <c r="TCC4" s="484"/>
      <c r="TCD4" s="484"/>
      <c r="TCE4" s="484"/>
      <c r="TCF4" s="484"/>
      <c r="TCG4" s="484"/>
      <c r="TCH4" s="484"/>
      <c r="TCI4" s="484"/>
      <c r="TCJ4" s="484"/>
      <c r="TCK4" s="484"/>
      <c r="TCL4" s="484"/>
      <c r="TCM4" s="484"/>
      <c r="TCN4" s="484"/>
      <c r="TCO4" s="484"/>
      <c r="TCP4" s="484"/>
      <c r="TCQ4" s="484"/>
      <c r="TCR4" s="484"/>
      <c r="TCS4" s="484"/>
      <c r="TCT4" s="484"/>
      <c r="TCU4" s="484"/>
      <c r="TCV4" s="484"/>
      <c r="TCW4" s="484"/>
      <c r="TCX4" s="484"/>
      <c r="TCY4" s="484"/>
      <c r="TCZ4" s="484"/>
      <c r="TDA4" s="484"/>
      <c r="TDB4" s="484"/>
      <c r="TDC4" s="484"/>
      <c r="TDD4" s="484"/>
      <c r="TDE4" s="484"/>
      <c r="TDF4" s="484"/>
      <c r="TDG4" s="484"/>
      <c r="TDH4" s="484"/>
      <c r="TDI4" s="484"/>
      <c r="TDJ4" s="484"/>
      <c r="TDK4" s="484"/>
      <c r="TDL4" s="484"/>
      <c r="TDM4" s="484"/>
      <c r="TDN4" s="484"/>
      <c r="TDO4" s="484"/>
      <c r="TDP4" s="484"/>
      <c r="TDQ4" s="484"/>
      <c r="TDR4" s="484"/>
      <c r="TDS4" s="484"/>
      <c r="TDT4" s="484"/>
      <c r="TDU4" s="484"/>
      <c r="TDV4" s="484"/>
      <c r="TDW4" s="484"/>
      <c r="TDX4" s="484"/>
      <c r="TDY4" s="484"/>
      <c r="TDZ4" s="484"/>
      <c r="TEA4" s="484"/>
      <c r="TEB4" s="484"/>
      <c r="TEC4" s="484"/>
      <c r="TED4" s="484"/>
      <c r="TEE4" s="484"/>
      <c r="TEF4" s="484"/>
      <c r="TEG4" s="484"/>
      <c r="TEH4" s="484"/>
      <c r="TEI4" s="484"/>
      <c r="TEJ4" s="484"/>
      <c r="TEK4" s="484"/>
      <c r="TEL4" s="484"/>
      <c r="TEM4" s="484"/>
      <c r="TEN4" s="484"/>
      <c r="TEO4" s="484"/>
      <c r="TEP4" s="484"/>
      <c r="TEQ4" s="484"/>
      <c r="TER4" s="484"/>
      <c r="TES4" s="484"/>
      <c r="TET4" s="484"/>
      <c r="TEU4" s="484"/>
      <c r="TEV4" s="484"/>
      <c r="TEW4" s="484"/>
      <c r="TEX4" s="484"/>
      <c r="TEY4" s="484"/>
      <c r="TEZ4" s="484"/>
      <c r="TFA4" s="484"/>
      <c r="TFB4" s="484"/>
      <c r="TFC4" s="484"/>
      <c r="TFD4" s="484"/>
      <c r="TFE4" s="484"/>
      <c r="TFF4" s="484"/>
      <c r="TFG4" s="484"/>
      <c r="TFH4" s="484"/>
      <c r="TFI4" s="484"/>
      <c r="TFJ4" s="484"/>
      <c r="TFK4" s="484"/>
      <c r="TFL4" s="484"/>
      <c r="TFM4" s="484"/>
      <c r="TFN4" s="484"/>
      <c r="TFO4" s="484"/>
      <c r="TFP4" s="484"/>
      <c r="TFQ4" s="484"/>
      <c r="TFR4" s="484"/>
      <c r="TFS4" s="484"/>
      <c r="TFT4" s="484"/>
      <c r="TFU4" s="484"/>
      <c r="TFV4" s="484"/>
      <c r="TFW4" s="484"/>
      <c r="TFX4" s="484"/>
      <c r="TFY4" s="484"/>
      <c r="TFZ4" s="484"/>
      <c r="TGA4" s="484"/>
      <c r="TGB4" s="484"/>
      <c r="TGC4" s="484"/>
      <c r="TGD4" s="484"/>
      <c r="TGE4" s="484"/>
      <c r="TGF4" s="484"/>
      <c r="TGG4" s="484"/>
      <c r="TGH4" s="484"/>
      <c r="TGI4" s="484"/>
      <c r="TGJ4" s="484"/>
      <c r="TGK4" s="484"/>
      <c r="TGL4" s="484"/>
      <c r="TGM4" s="484"/>
      <c r="TGN4" s="484"/>
      <c r="TGO4" s="484"/>
      <c r="TGP4" s="484"/>
      <c r="TGQ4" s="484"/>
      <c r="TGR4" s="484"/>
      <c r="TGS4" s="484"/>
      <c r="TGT4" s="484"/>
      <c r="TGU4" s="484"/>
      <c r="TGV4" s="484"/>
      <c r="TGW4" s="484"/>
      <c r="TGX4" s="484"/>
      <c r="TGY4" s="484"/>
      <c r="TGZ4" s="484"/>
      <c r="THA4" s="484"/>
      <c r="THB4" s="484"/>
      <c r="THC4" s="484"/>
      <c r="THD4" s="484"/>
      <c r="THE4" s="484"/>
      <c r="THF4" s="484"/>
      <c r="THG4" s="484"/>
      <c r="THH4" s="484"/>
      <c r="THI4" s="484"/>
      <c r="THJ4" s="484"/>
      <c r="THK4" s="484"/>
      <c r="THL4" s="484"/>
      <c r="THM4" s="484"/>
      <c r="THN4" s="484"/>
      <c r="THO4" s="484"/>
      <c r="THP4" s="484"/>
      <c r="THQ4" s="484"/>
      <c r="THR4" s="484"/>
      <c r="THS4" s="484"/>
      <c r="THT4" s="484"/>
      <c r="THU4" s="484"/>
      <c r="THV4" s="484"/>
      <c r="THW4" s="484"/>
      <c r="THX4" s="484"/>
      <c r="THY4" s="484"/>
      <c r="THZ4" s="484"/>
      <c r="TIA4" s="484"/>
      <c r="TIB4" s="484"/>
      <c r="TIC4" s="484"/>
      <c r="TID4" s="484"/>
      <c r="TIE4" s="484"/>
      <c r="TIF4" s="484"/>
      <c r="TIG4" s="484"/>
      <c r="TIH4" s="484"/>
      <c r="TII4" s="484"/>
      <c r="TIJ4" s="484"/>
      <c r="TIK4" s="484"/>
      <c r="TIL4" s="484"/>
      <c r="TIM4" s="484"/>
      <c r="TIN4" s="484"/>
      <c r="TIO4" s="484"/>
      <c r="TIP4" s="484"/>
      <c r="TIQ4" s="484"/>
      <c r="TIR4" s="484"/>
      <c r="TIS4" s="484"/>
      <c r="TIT4" s="484"/>
      <c r="TIU4" s="484"/>
      <c r="TIV4" s="484"/>
      <c r="TIW4" s="484"/>
      <c r="TIX4" s="484"/>
      <c r="TIY4" s="484"/>
      <c r="TIZ4" s="484"/>
      <c r="TJA4" s="484"/>
      <c r="TJB4" s="484"/>
      <c r="TJC4" s="484"/>
      <c r="TJD4" s="484"/>
      <c r="TJE4" s="484"/>
      <c r="TJF4" s="484"/>
      <c r="TJG4" s="484"/>
      <c r="TJH4" s="484"/>
      <c r="TJI4" s="484"/>
      <c r="TJJ4" s="484"/>
      <c r="TJK4" s="484"/>
      <c r="TJL4" s="484"/>
      <c r="TJM4" s="484"/>
      <c r="TJN4" s="484"/>
      <c r="TJO4" s="484"/>
      <c r="TJP4" s="484"/>
      <c r="TJQ4" s="484"/>
      <c r="TJR4" s="484"/>
      <c r="TJS4" s="484"/>
      <c r="TJT4" s="484"/>
      <c r="TJU4" s="484"/>
      <c r="TJV4" s="484"/>
      <c r="TJW4" s="484"/>
      <c r="TJX4" s="484"/>
      <c r="TJY4" s="484"/>
      <c r="TJZ4" s="484"/>
      <c r="TKA4" s="484"/>
      <c r="TKB4" s="484"/>
      <c r="TKC4" s="484"/>
      <c r="TKD4" s="484"/>
      <c r="TKE4" s="484"/>
      <c r="TKF4" s="484"/>
      <c r="TKG4" s="484"/>
      <c r="TKH4" s="484"/>
      <c r="TKI4" s="484"/>
      <c r="TKJ4" s="484"/>
      <c r="TKK4" s="484"/>
      <c r="TKL4" s="484"/>
      <c r="TKM4" s="484"/>
      <c r="TKN4" s="484"/>
      <c r="TKO4" s="484"/>
      <c r="TKP4" s="484"/>
      <c r="TKQ4" s="484"/>
      <c r="TKR4" s="484"/>
      <c r="TKS4" s="484"/>
      <c r="TKT4" s="484"/>
      <c r="TKU4" s="484"/>
      <c r="TKV4" s="484"/>
      <c r="TKW4" s="484"/>
      <c r="TKX4" s="484"/>
      <c r="TKY4" s="484"/>
      <c r="TKZ4" s="484"/>
      <c r="TLA4" s="484"/>
      <c r="TLB4" s="484"/>
      <c r="TLC4" s="484"/>
      <c r="TLD4" s="484"/>
      <c r="TLE4" s="484"/>
      <c r="TLF4" s="484"/>
      <c r="TLG4" s="484"/>
      <c r="TLH4" s="484"/>
      <c r="TLI4" s="484"/>
      <c r="TLJ4" s="484"/>
      <c r="TLK4" s="484"/>
      <c r="TLL4" s="484"/>
      <c r="TLM4" s="484"/>
      <c r="TLN4" s="484"/>
      <c r="TLO4" s="484"/>
      <c r="TLP4" s="484"/>
      <c r="TLQ4" s="484"/>
      <c r="TLR4" s="484"/>
      <c r="TLS4" s="484"/>
      <c r="TLT4" s="484"/>
      <c r="TLU4" s="484"/>
      <c r="TLV4" s="484"/>
      <c r="TLW4" s="484"/>
      <c r="TLX4" s="484"/>
      <c r="TLY4" s="484"/>
      <c r="TLZ4" s="484"/>
      <c r="TMA4" s="484"/>
      <c r="TMB4" s="484"/>
      <c r="TMC4" s="484"/>
      <c r="TMD4" s="484"/>
      <c r="TME4" s="484"/>
      <c r="TMF4" s="484"/>
      <c r="TMG4" s="484"/>
      <c r="TMH4" s="484"/>
      <c r="TMI4" s="484"/>
      <c r="TMJ4" s="484"/>
      <c r="TMK4" s="484"/>
      <c r="TML4" s="484"/>
      <c r="TMM4" s="484"/>
      <c r="TMN4" s="484"/>
      <c r="TMO4" s="484"/>
      <c r="TMP4" s="484"/>
      <c r="TMQ4" s="484"/>
      <c r="TMR4" s="484"/>
      <c r="TMS4" s="484"/>
      <c r="TMT4" s="484"/>
      <c r="TMU4" s="484"/>
      <c r="TMV4" s="484"/>
      <c r="TMW4" s="484"/>
      <c r="TMX4" s="484"/>
      <c r="TMY4" s="484"/>
      <c r="TMZ4" s="484"/>
      <c r="TNA4" s="484"/>
      <c r="TNB4" s="484"/>
      <c r="TNC4" s="484"/>
      <c r="TND4" s="484"/>
      <c r="TNE4" s="484"/>
      <c r="TNF4" s="484"/>
      <c r="TNG4" s="484"/>
      <c r="TNH4" s="484"/>
      <c r="TNI4" s="484"/>
      <c r="TNJ4" s="484"/>
      <c r="TNK4" s="484"/>
      <c r="TNL4" s="484"/>
      <c r="TNM4" s="484"/>
      <c r="TNN4" s="484"/>
      <c r="TNO4" s="484"/>
      <c r="TNP4" s="484"/>
      <c r="TNQ4" s="484"/>
      <c r="TNR4" s="484"/>
      <c r="TNS4" s="484"/>
      <c r="TNT4" s="484"/>
      <c r="TNU4" s="484"/>
      <c r="TNV4" s="484"/>
      <c r="TNW4" s="484"/>
      <c r="TNX4" s="484"/>
      <c r="TNY4" s="484"/>
      <c r="TNZ4" s="484"/>
      <c r="TOA4" s="484"/>
      <c r="TOB4" s="484"/>
      <c r="TOC4" s="484"/>
      <c r="TOD4" s="484"/>
      <c r="TOE4" s="484"/>
      <c r="TOF4" s="484"/>
      <c r="TOG4" s="484"/>
      <c r="TOH4" s="484"/>
      <c r="TOI4" s="484"/>
      <c r="TOJ4" s="484"/>
      <c r="TOK4" s="484"/>
      <c r="TOL4" s="484"/>
      <c r="TOM4" s="484"/>
      <c r="TON4" s="484"/>
      <c r="TOO4" s="484"/>
      <c r="TOP4" s="484"/>
      <c r="TOQ4" s="484"/>
      <c r="TOR4" s="484"/>
      <c r="TOS4" s="484"/>
      <c r="TOT4" s="484"/>
      <c r="TOU4" s="484"/>
      <c r="TOV4" s="484"/>
      <c r="TOW4" s="484"/>
      <c r="TOX4" s="484"/>
      <c r="TOY4" s="484"/>
      <c r="TOZ4" s="484"/>
      <c r="TPA4" s="484"/>
      <c r="TPB4" s="484"/>
      <c r="TPC4" s="484"/>
      <c r="TPD4" s="484"/>
      <c r="TPE4" s="484"/>
      <c r="TPF4" s="484"/>
      <c r="TPG4" s="484"/>
      <c r="TPH4" s="484"/>
      <c r="TPI4" s="484"/>
      <c r="TPJ4" s="484"/>
      <c r="TPK4" s="484"/>
      <c r="TPL4" s="484"/>
      <c r="TPM4" s="484"/>
      <c r="TPN4" s="484"/>
      <c r="TPO4" s="484"/>
      <c r="TPP4" s="484"/>
      <c r="TPQ4" s="484"/>
      <c r="TPR4" s="484"/>
      <c r="TPS4" s="484"/>
      <c r="TPT4" s="484"/>
      <c r="TPU4" s="484"/>
      <c r="TPV4" s="484"/>
      <c r="TPW4" s="484"/>
      <c r="TPX4" s="484"/>
      <c r="TPY4" s="484"/>
      <c r="TPZ4" s="484"/>
      <c r="TQA4" s="484"/>
      <c r="TQB4" s="484"/>
      <c r="TQC4" s="484"/>
      <c r="TQD4" s="484"/>
      <c r="TQE4" s="484"/>
      <c r="TQF4" s="484"/>
      <c r="TQG4" s="484"/>
      <c r="TQH4" s="484"/>
      <c r="TQI4" s="484"/>
      <c r="TQJ4" s="484"/>
      <c r="TQK4" s="484"/>
      <c r="TQL4" s="484"/>
      <c r="TQM4" s="484"/>
      <c r="TQN4" s="484"/>
      <c r="TQO4" s="484"/>
      <c r="TQP4" s="484"/>
      <c r="TQQ4" s="484"/>
      <c r="TQR4" s="484"/>
      <c r="TQS4" s="484"/>
      <c r="TQT4" s="484"/>
      <c r="TQU4" s="484"/>
      <c r="TQV4" s="484"/>
      <c r="TQW4" s="484"/>
      <c r="TQX4" s="484"/>
      <c r="TQY4" s="484"/>
      <c r="TQZ4" s="484"/>
      <c r="TRA4" s="484"/>
      <c r="TRB4" s="484"/>
      <c r="TRC4" s="484"/>
      <c r="TRD4" s="484"/>
      <c r="TRE4" s="484"/>
      <c r="TRF4" s="484"/>
      <c r="TRG4" s="484"/>
      <c r="TRH4" s="484"/>
      <c r="TRI4" s="484"/>
      <c r="TRJ4" s="484"/>
      <c r="TRK4" s="484"/>
      <c r="TRL4" s="484"/>
      <c r="TRM4" s="484"/>
      <c r="TRN4" s="484"/>
      <c r="TRO4" s="484"/>
      <c r="TRP4" s="484"/>
      <c r="TRQ4" s="484"/>
      <c r="TRR4" s="484"/>
      <c r="TRS4" s="484"/>
      <c r="TRT4" s="484"/>
      <c r="TRU4" s="484"/>
      <c r="TRV4" s="484"/>
      <c r="TRW4" s="484"/>
      <c r="TRX4" s="484"/>
      <c r="TRY4" s="484"/>
      <c r="TRZ4" s="484"/>
      <c r="TSA4" s="484"/>
      <c r="TSB4" s="484"/>
      <c r="TSC4" s="484"/>
      <c r="TSD4" s="484"/>
      <c r="TSE4" s="484"/>
      <c r="TSF4" s="484"/>
      <c r="TSG4" s="484"/>
      <c r="TSH4" s="484"/>
      <c r="TSI4" s="484"/>
      <c r="TSJ4" s="484"/>
      <c r="TSK4" s="484"/>
      <c r="TSL4" s="484"/>
      <c r="TSM4" s="484"/>
      <c r="TSN4" s="484"/>
      <c r="TSO4" s="484"/>
      <c r="TSP4" s="484"/>
      <c r="TSQ4" s="484"/>
      <c r="TSR4" s="484"/>
      <c r="TSS4" s="484"/>
      <c r="TST4" s="484"/>
      <c r="TSU4" s="484"/>
      <c r="TSV4" s="484"/>
      <c r="TSW4" s="484"/>
      <c r="TSX4" s="484"/>
      <c r="TSY4" s="484"/>
      <c r="TSZ4" s="484"/>
      <c r="TTA4" s="484"/>
      <c r="TTB4" s="484"/>
      <c r="TTC4" s="484"/>
      <c r="TTD4" s="484"/>
      <c r="TTE4" s="484"/>
      <c r="TTF4" s="484"/>
      <c r="TTG4" s="484"/>
      <c r="TTH4" s="484"/>
      <c r="TTI4" s="484"/>
      <c r="TTJ4" s="484"/>
      <c r="TTK4" s="484"/>
      <c r="TTL4" s="484"/>
      <c r="TTM4" s="484"/>
      <c r="TTN4" s="484"/>
      <c r="TTO4" s="484"/>
      <c r="TTP4" s="484"/>
      <c r="TTQ4" s="484"/>
      <c r="TTR4" s="484"/>
      <c r="TTS4" s="484"/>
      <c r="TTT4" s="484"/>
      <c r="TTU4" s="484"/>
      <c r="TTV4" s="484"/>
      <c r="TTW4" s="484"/>
      <c r="TTX4" s="484"/>
      <c r="TTY4" s="484"/>
      <c r="TTZ4" s="484"/>
      <c r="TUA4" s="484"/>
      <c r="TUB4" s="484"/>
      <c r="TUC4" s="484"/>
      <c r="TUD4" s="484"/>
      <c r="TUE4" s="484"/>
      <c r="TUF4" s="484"/>
      <c r="TUG4" s="484"/>
      <c r="TUH4" s="484"/>
      <c r="TUI4" s="484"/>
      <c r="TUJ4" s="484"/>
      <c r="TUK4" s="484"/>
      <c r="TUL4" s="484"/>
      <c r="TUM4" s="484"/>
      <c r="TUN4" s="484"/>
      <c r="TUO4" s="484"/>
      <c r="TUP4" s="484"/>
      <c r="TUQ4" s="484"/>
      <c r="TUR4" s="484"/>
      <c r="TUS4" s="484"/>
      <c r="TUT4" s="484"/>
      <c r="TUU4" s="484"/>
      <c r="TUV4" s="484"/>
      <c r="TUW4" s="484"/>
      <c r="TUX4" s="484"/>
      <c r="TUY4" s="484"/>
      <c r="TUZ4" s="484"/>
      <c r="TVA4" s="484"/>
      <c r="TVB4" s="484"/>
      <c r="TVC4" s="484"/>
      <c r="TVD4" s="484"/>
      <c r="TVE4" s="484"/>
      <c r="TVF4" s="484"/>
      <c r="TVG4" s="484"/>
      <c r="TVH4" s="484"/>
      <c r="TVI4" s="484"/>
      <c r="TVJ4" s="484"/>
      <c r="TVK4" s="484"/>
      <c r="TVL4" s="484"/>
      <c r="TVM4" s="484"/>
      <c r="TVN4" s="484"/>
      <c r="TVO4" s="484"/>
      <c r="TVP4" s="484"/>
      <c r="TVQ4" s="484"/>
      <c r="TVR4" s="484"/>
      <c r="TVS4" s="484"/>
      <c r="TVT4" s="484"/>
      <c r="TVU4" s="484"/>
      <c r="TVV4" s="484"/>
      <c r="TVW4" s="484"/>
      <c r="TVX4" s="484"/>
      <c r="TVY4" s="484"/>
      <c r="TVZ4" s="484"/>
      <c r="TWA4" s="484"/>
      <c r="TWB4" s="484"/>
      <c r="TWC4" s="484"/>
      <c r="TWD4" s="484"/>
      <c r="TWE4" s="484"/>
      <c r="TWF4" s="484"/>
      <c r="TWG4" s="484"/>
      <c r="TWH4" s="484"/>
      <c r="TWI4" s="484"/>
      <c r="TWJ4" s="484"/>
      <c r="TWK4" s="484"/>
      <c r="TWL4" s="484"/>
      <c r="TWM4" s="484"/>
      <c r="TWN4" s="484"/>
      <c r="TWO4" s="484"/>
      <c r="TWP4" s="484"/>
      <c r="TWQ4" s="484"/>
      <c r="TWR4" s="484"/>
      <c r="TWS4" s="484"/>
      <c r="TWT4" s="484"/>
      <c r="TWU4" s="484"/>
      <c r="TWV4" s="484"/>
      <c r="TWW4" s="484"/>
      <c r="TWX4" s="484"/>
      <c r="TWY4" s="484"/>
      <c r="TWZ4" s="484"/>
      <c r="TXA4" s="484"/>
      <c r="TXB4" s="484"/>
      <c r="TXC4" s="484"/>
      <c r="TXD4" s="484"/>
      <c r="TXE4" s="484"/>
      <c r="TXF4" s="484"/>
      <c r="TXG4" s="484"/>
      <c r="TXH4" s="484"/>
      <c r="TXI4" s="484"/>
      <c r="TXJ4" s="484"/>
      <c r="TXK4" s="484"/>
      <c r="TXL4" s="484"/>
      <c r="TXM4" s="484"/>
      <c r="TXN4" s="484"/>
      <c r="TXO4" s="484"/>
      <c r="TXP4" s="484"/>
      <c r="TXQ4" s="484"/>
      <c r="TXR4" s="484"/>
      <c r="TXS4" s="484"/>
      <c r="TXT4" s="484"/>
      <c r="TXU4" s="484"/>
      <c r="TXV4" s="484"/>
      <c r="TXW4" s="484"/>
      <c r="TXX4" s="484"/>
      <c r="TXY4" s="484"/>
      <c r="TXZ4" s="484"/>
      <c r="TYA4" s="484"/>
      <c r="TYB4" s="484"/>
      <c r="TYC4" s="484"/>
      <c r="TYD4" s="484"/>
      <c r="TYE4" s="484"/>
      <c r="TYF4" s="484"/>
      <c r="TYG4" s="484"/>
      <c r="TYH4" s="484"/>
      <c r="TYI4" s="484"/>
      <c r="TYJ4" s="484"/>
      <c r="TYK4" s="484"/>
      <c r="TYL4" s="484"/>
      <c r="TYM4" s="484"/>
      <c r="TYN4" s="484"/>
      <c r="TYO4" s="484"/>
      <c r="TYP4" s="484"/>
      <c r="TYQ4" s="484"/>
      <c r="TYR4" s="484"/>
      <c r="TYS4" s="484"/>
      <c r="TYT4" s="484"/>
      <c r="TYU4" s="484"/>
      <c r="TYV4" s="484"/>
      <c r="TYW4" s="484"/>
      <c r="TYX4" s="484"/>
      <c r="TYY4" s="484"/>
      <c r="TYZ4" s="484"/>
      <c r="TZA4" s="484"/>
      <c r="TZB4" s="484"/>
      <c r="TZC4" s="484"/>
      <c r="TZD4" s="484"/>
      <c r="TZE4" s="484"/>
      <c r="TZF4" s="484"/>
      <c r="TZG4" s="484"/>
      <c r="TZH4" s="484"/>
      <c r="TZI4" s="484"/>
      <c r="TZJ4" s="484"/>
      <c r="TZK4" s="484"/>
      <c r="TZL4" s="484"/>
      <c r="TZM4" s="484"/>
      <c r="TZN4" s="484"/>
      <c r="TZO4" s="484"/>
      <c r="TZP4" s="484"/>
      <c r="TZQ4" s="484"/>
      <c r="TZR4" s="484"/>
      <c r="TZS4" s="484"/>
      <c r="TZT4" s="484"/>
      <c r="TZU4" s="484"/>
      <c r="TZV4" s="484"/>
      <c r="TZW4" s="484"/>
      <c r="TZX4" s="484"/>
      <c r="TZY4" s="484"/>
      <c r="TZZ4" s="484"/>
      <c r="UAA4" s="484"/>
      <c r="UAB4" s="484"/>
      <c r="UAC4" s="484"/>
      <c r="UAD4" s="484"/>
      <c r="UAE4" s="484"/>
      <c r="UAF4" s="484"/>
      <c r="UAG4" s="484"/>
      <c r="UAH4" s="484"/>
      <c r="UAI4" s="484"/>
      <c r="UAJ4" s="484"/>
      <c r="UAK4" s="484"/>
      <c r="UAL4" s="484"/>
      <c r="UAM4" s="484"/>
      <c r="UAN4" s="484"/>
      <c r="UAO4" s="484"/>
      <c r="UAP4" s="484"/>
      <c r="UAQ4" s="484"/>
      <c r="UAR4" s="484"/>
      <c r="UAS4" s="484"/>
      <c r="UAT4" s="484"/>
      <c r="UAU4" s="484"/>
      <c r="UAV4" s="484"/>
      <c r="UAW4" s="484"/>
      <c r="UAX4" s="484"/>
      <c r="UAY4" s="484"/>
      <c r="UAZ4" s="484"/>
      <c r="UBA4" s="484"/>
      <c r="UBB4" s="484"/>
      <c r="UBC4" s="484"/>
      <c r="UBD4" s="484"/>
      <c r="UBE4" s="484"/>
      <c r="UBF4" s="484"/>
      <c r="UBG4" s="484"/>
      <c r="UBH4" s="484"/>
      <c r="UBI4" s="484"/>
      <c r="UBJ4" s="484"/>
      <c r="UBK4" s="484"/>
      <c r="UBL4" s="484"/>
      <c r="UBM4" s="484"/>
      <c r="UBN4" s="484"/>
      <c r="UBO4" s="484"/>
      <c r="UBP4" s="484"/>
      <c r="UBQ4" s="484"/>
      <c r="UBR4" s="484"/>
      <c r="UBS4" s="484"/>
      <c r="UBT4" s="484"/>
      <c r="UBU4" s="484"/>
      <c r="UBV4" s="484"/>
      <c r="UBW4" s="484"/>
      <c r="UBX4" s="484"/>
      <c r="UBY4" s="484"/>
      <c r="UBZ4" s="484"/>
      <c r="UCA4" s="484"/>
      <c r="UCB4" s="484"/>
      <c r="UCC4" s="484"/>
      <c r="UCD4" s="484"/>
      <c r="UCE4" s="484"/>
      <c r="UCF4" s="484"/>
      <c r="UCG4" s="484"/>
      <c r="UCH4" s="484"/>
      <c r="UCI4" s="484"/>
      <c r="UCJ4" s="484"/>
      <c r="UCK4" s="484"/>
      <c r="UCL4" s="484"/>
      <c r="UCM4" s="484"/>
      <c r="UCN4" s="484"/>
      <c r="UCO4" s="484"/>
      <c r="UCP4" s="484"/>
      <c r="UCQ4" s="484"/>
      <c r="UCR4" s="484"/>
      <c r="UCS4" s="484"/>
      <c r="UCT4" s="484"/>
      <c r="UCU4" s="484"/>
      <c r="UCV4" s="484"/>
      <c r="UCW4" s="484"/>
      <c r="UCX4" s="484"/>
      <c r="UCY4" s="484"/>
      <c r="UCZ4" s="484"/>
      <c r="UDA4" s="484"/>
      <c r="UDB4" s="484"/>
      <c r="UDC4" s="484"/>
      <c r="UDD4" s="484"/>
      <c r="UDE4" s="484"/>
      <c r="UDF4" s="484"/>
      <c r="UDG4" s="484"/>
      <c r="UDH4" s="484"/>
      <c r="UDI4" s="484"/>
      <c r="UDJ4" s="484"/>
      <c r="UDK4" s="484"/>
      <c r="UDL4" s="484"/>
      <c r="UDM4" s="484"/>
      <c r="UDN4" s="484"/>
      <c r="UDO4" s="484"/>
      <c r="UDP4" s="484"/>
      <c r="UDQ4" s="484"/>
      <c r="UDR4" s="484"/>
      <c r="UDS4" s="484"/>
      <c r="UDT4" s="484"/>
      <c r="UDU4" s="484"/>
      <c r="UDV4" s="484"/>
      <c r="UDW4" s="484"/>
      <c r="UDX4" s="484"/>
      <c r="UDY4" s="484"/>
      <c r="UDZ4" s="484"/>
      <c r="UEA4" s="484"/>
      <c r="UEB4" s="484"/>
      <c r="UEC4" s="484"/>
      <c r="UED4" s="484"/>
      <c r="UEE4" s="484"/>
      <c r="UEF4" s="484"/>
      <c r="UEG4" s="484"/>
      <c r="UEH4" s="484"/>
      <c r="UEI4" s="484"/>
      <c r="UEJ4" s="484"/>
      <c r="UEK4" s="484"/>
      <c r="UEL4" s="484"/>
      <c r="UEM4" s="484"/>
      <c r="UEN4" s="484"/>
      <c r="UEO4" s="484"/>
      <c r="UEP4" s="484"/>
      <c r="UEQ4" s="484"/>
      <c r="UER4" s="484"/>
      <c r="UES4" s="484"/>
      <c r="UET4" s="484"/>
      <c r="UEU4" s="484"/>
      <c r="UEV4" s="484"/>
      <c r="UEW4" s="484"/>
      <c r="UEX4" s="484"/>
      <c r="UEY4" s="484"/>
      <c r="UEZ4" s="484"/>
      <c r="UFA4" s="484"/>
      <c r="UFB4" s="484"/>
      <c r="UFC4" s="484"/>
      <c r="UFD4" s="484"/>
      <c r="UFE4" s="484"/>
      <c r="UFF4" s="484"/>
      <c r="UFG4" s="484"/>
      <c r="UFH4" s="484"/>
      <c r="UFI4" s="484"/>
      <c r="UFJ4" s="484"/>
      <c r="UFK4" s="484"/>
      <c r="UFL4" s="484"/>
      <c r="UFM4" s="484"/>
      <c r="UFN4" s="484"/>
      <c r="UFO4" s="484"/>
      <c r="UFP4" s="484"/>
      <c r="UFQ4" s="484"/>
      <c r="UFR4" s="484"/>
      <c r="UFS4" s="484"/>
      <c r="UFT4" s="484"/>
      <c r="UFU4" s="484"/>
      <c r="UFV4" s="484"/>
      <c r="UFW4" s="484"/>
      <c r="UFX4" s="484"/>
      <c r="UFY4" s="484"/>
      <c r="UFZ4" s="484"/>
      <c r="UGA4" s="484"/>
      <c r="UGB4" s="484"/>
      <c r="UGC4" s="484"/>
      <c r="UGD4" s="484"/>
      <c r="UGE4" s="484"/>
      <c r="UGF4" s="484"/>
      <c r="UGG4" s="484"/>
      <c r="UGH4" s="484"/>
      <c r="UGI4" s="484"/>
      <c r="UGJ4" s="484"/>
      <c r="UGK4" s="484"/>
      <c r="UGL4" s="484"/>
      <c r="UGM4" s="484"/>
      <c r="UGN4" s="484"/>
      <c r="UGO4" s="484"/>
      <c r="UGP4" s="484"/>
      <c r="UGQ4" s="484"/>
      <c r="UGR4" s="484"/>
      <c r="UGS4" s="484"/>
      <c r="UGT4" s="484"/>
      <c r="UGU4" s="484"/>
      <c r="UGV4" s="484"/>
      <c r="UGW4" s="484"/>
      <c r="UGX4" s="484"/>
      <c r="UGY4" s="484"/>
      <c r="UGZ4" s="484"/>
      <c r="UHA4" s="484"/>
      <c r="UHB4" s="484"/>
      <c r="UHC4" s="484"/>
      <c r="UHD4" s="484"/>
      <c r="UHE4" s="484"/>
      <c r="UHF4" s="484"/>
      <c r="UHG4" s="484"/>
      <c r="UHH4" s="484"/>
      <c r="UHI4" s="484"/>
      <c r="UHJ4" s="484"/>
      <c r="UHK4" s="484"/>
      <c r="UHL4" s="484"/>
      <c r="UHM4" s="484"/>
      <c r="UHN4" s="484"/>
      <c r="UHO4" s="484"/>
      <c r="UHP4" s="484"/>
      <c r="UHQ4" s="484"/>
      <c r="UHR4" s="484"/>
      <c r="UHS4" s="484"/>
      <c r="UHT4" s="484"/>
      <c r="UHU4" s="484"/>
      <c r="UHV4" s="484"/>
      <c r="UHW4" s="484"/>
      <c r="UHX4" s="484"/>
      <c r="UHY4" s="484"/>
      <c r="UHZ4" s="484"/>
      <c r="UIA4" s="484"/>
      <c r="UIB4" s="484"/>
      <c r="UIC4" s="484"/>
      <c r="UID4" s="484"/>
      <c r="UIE4" s="484"/>
      <c r="UIF4" s="484"/>
      <c r="UIG4" s="484"/>
      <c r="UIH4" s="484"/>
      <c r="UII4" s="484"/>
      <c r="UIJ4" s="484"/>
      <c r="UIK4" s="484"/>
      <c r="UIL4" s="484"/>
      <c r="UIM4" s="484"/>
      <c r="UIN4" s="484"/>
      <c r="UIO4" s="484"/>
      <c r="UIP4" s="484"/>
      <c r="UIQ4" s="484"/>
      <c r="UIR4" s="484"/>
      <c r="UIS4" s="484"/>
      <c r="UIT4" s="484"/>
      <c r="UIU4" s="484"/>
      <c r="UIV4" s="484"/>
      <c r="UIW4" s="484"/>
      <c r="UIX4" s="484"/>
      <c r="UIY4" s="484"/>
      <c r="UIZ4" s="484"/>
      <c r="UJA4" s="484"/>
      <c r="UJB4" s="484"/>
      <c r="UJC4" s="484"/>
      <c r="UJD4" s="484"/>
      <c r="UJE4" s="484"/>
      <c r="UJF4" s="484"/>
      <c r="UJG4" s="484"/>
      <c r="UJH4" s="484"/>
      <c r="UJI4" s="484"/>
      <c r="UJJ4" s="484"/>
      <c r="UJK4" s="484"/>
      <c r="UJL4" s="484"/>
      <c r="UJM4" s="484"/>
      <c r="UJN4" s="484"/>
      <c r="UJO4" s="484"/>
      <c r="UJP4" s="484"/>
      <c r="UJQ4" s="484"/>
      <c r="UJR4" s="484"/>
      <c r="UJS4" s="484"/>
      <c r="UJT4" s="484"/>
      <c r="UJU4" s="484"/>
      <c r="UJV4" s="484"/>
      <c r="UJW4" s="484"/>
      <c r="UJX4" s="484"/>
      <c r="UJY4" s="484"/>
      <c r="UJZ4" s="484"/>
      <c r="UKA4" s="484"/>
      <c r="UKB4" s="484"/>
      <c r="UKC4" s="484"/>
      <c r="UKD4" s="484"/>
      <c r="UKE4" s="484"/>
      <c r="UKF4" s="484"/>
      <c r="UKG4" s="484"/>
      <c r="UKH4" s="484"/>
      <c r="UKI4" s="484"/>
      <c r="UKJ4" s="484"/>
      <c r="UKK4" s="484"/>
      <c r="UKL4" s="484"/>
      <c r="UKM4" s="484"/>
      <c r="UKN4" s="484"/>
      <c r="UKO4" s="484"/>
      <c r="UKP4" s="484"/>
      <c r="UKQ4" s="484"/>
      <c r="UKR4" s="484"/>
      <c r="UKS4" s="484"/>
      <c r="UKT4" s="484"/>
      <c r="UKU4" s="484"/>
      <c r="UKV4" s="484"/>
      <c r="UKW4" s="484"/>
      <c r="UKX4" s="484"/>
      <c r="UKY4" s="484"/>
      <c r="UKZ4" s="484"/>
      <c r="ULA4" s="484"/>
      <c r="ULB4" s="484"/>
      <c r="ULC4" s="484"/>
      <c r="ULD4" s="484"/>
      <c r="ULE4" s="484"/>
      <c r="ULF4" s="484"/>
      <c r="ULG4" s="484"/>
      <c r="ULH4" s="484"/>
      <c r="ULI4" s="484"/>
      <c r="ULJ4" s="484"/>
      <c r="ULK4" s="484"/>
      <c r="ULL4" s="484"/>
      <c r="ULM4" s="484"/>
      <c r="ULN4" s="484"/>
      <c r="ULO4" s="484"/>
      <c r="ULP4" s="484"/>
      <c r="ULQ4" s="484"/>
      <c r="ULR4" s="484"/>
      <c r="ULS4" s="484"/>
      <c r="ULT4" s="484"/>
      <c r="ULU4" s="484"/>
      <c r="ULV4" s="484"/>
      <c r="ULW4" s="484"/>
      <c r="ULX4" s="484"/>
      <c r="ULY4" s="484"/>
      <c r="ULZ4" s="484"/>
      <c r="UMA4" s="484"/>
      <c r="UMB4" s="484"/>
      <c r="UMC4" s="484"/>
      <c r="UMD4" s="484"/>
      <c r="UME4" s="484"/>
      <c r="UMF4" s="484"/>
      <c r="UMG4" s="484"/>
      <c r="UMH4" s="484"/>
      <c r="UMI4" s="484"/>
      <c r="UMJ4" s="484"/>
      <c r="UMK4" s="484"/>
      <c r="UML4" s="484"/>
      <c r="UMM4" s="484"/>
      <c r="UMN4" s="484"/>
      <c r="UMO4" s="484"/>
      <c r="UMP4" s="484"/>
      <c r="UMQ4" s="484"/>
      <c r="UMR4" s="484"/>
      <c r="UMS4" s="484"/>
      <c r="UMT4" s="484"/>
      <c r="UMU4" s="484"/>
      <c r="UMV4" s="484"/>
      <c r="UMW4" s="484"/>
      <c r="UMX4" s="484"/>
      <c r="UMY4" s="484"/>
      <c r="UMZ4" s="484"/>
      <c r="UNA4" s="484"/>
      <c r="UNB4" s="484"/>
      <c r="UNC4" s="484"/>
      <c r="UND4" s="484"/>
      <c r="UNE4" s="484"/>
      <c r="UNF4" s="484"/>
      <c r="UNG4" s="484"/>
      <c r="UNH4" s="484"/>
      <c r="UNI4" s="484"/>
      <c r="UNJ4" s="484"/>
      <c r="UNK4" s="484"/>
      <c r="UNL4" s="484"/>
      <c r="UNM4" s="484"/>
      <c r="UNN4" s="484"/>
      <c r="UNO4" s="484"/>
      <c r="UNP4" s="484"/>
      <c r="UNQ4" s="484"/>
      <c r="UNR4" s="484"/>
      <c r="UNS4" s="484"/>
      <c r="UNT4" s="484"/>
      <c r="UNU4" s="484"/>
      <c r="UNV4" s="484"/>
      <c r="UNW4" s="484"/>
      <c r="UNX4" s="484"/>
      <c r="UNY4" s="484"/>
      <c r="UNZ4" s="484"/>
      <c r="UOA4" s="484"/>
      <c r="UOB4" s="484"/>
      <c r="UOC4" s="484"/>
      <c r="UOD4" s="484"/>
      <c r="UOE4" s="484"/>
      <c r="UOF4" s="484"/>
      <c r="UOG4" s="484"/>
      <c r="UOH4" s="484"/>
      <c r="UOI4" s="484"/>
      <c r="UOJ4" s="484"/>
      <c r="UOK4" s="484"/>
      <c r="UOL4" s="484"/>
      <c r="UOM4" s="484"/>
      <c r="UON4" s="484"/>
      <c r="UOO4" s="484"/>
      <c r="UOP4" s="484"/>
      <c r="UOQ4" s="484"/>
      <c r="UOR4" s="484"/>
      <c r="UOS4" s="484"/>
      <c r="UOT4" s="484"/>
      <c r="UOU4" s="484"/>
      <c r="UOV4" s="484"/>
      <c r="UOW4" s="484"/>
      <c r="UOX4" s="484"/>
      <c r="UOY4" s="484"/>
      <c r="UOZ4" s="484"/>
      <c r="UPA4" s="484"/>
      <c r="UPB4" s="484"/>
      <c r="UPC4" s="484"/>
      <c r="UPD4" s="484"/>
      <c r="UPE4" s="484"/>
      <c r="UPF4" s="484"/>
      <c r="UPG4" s="484"/>
      <c r="UPH4" s="484"/>
      <c r="UPI4" s="484"/>
      <c r="UPJ4" s="484"/>
      <c r="UPK4" s="484"/>
      <c r="UPL4" s="484"/>
      <c r="UPM4" s="484"/>
      <c r="UPN4" s="484"/>
      <c r="UPO4" s="484"/>
      <c r="UPP4" s="484"/>
      <c r="UPQ4" s="484"/>
      <c r="UPR4" s="484"/>
      <c r="UPS4" s="484"/>
      <c r="UPT4" s="484"/>
      <c r="UPU4" s="484"/>
      <c r="UPV4" s="484"/>
      <c r="UPW4" s="484"/>
      <c r="UPX4" s="484"/>
      <c r="UPY4" s="484"/>
      <c r="UPZ4" s="484"/>
      <c r="UQA4" s="484"/>
      <c r="UQB4" s="484"/>
      <c r="UQC4" s="484"/>
      <c r="UQD4" s="484"/>
      <c r="UQE4" s="484"/>
      <c r="UQF4" s="484"/>
      <c r="UQG4" s="484"/>
      <c r="UQH4" s="484"/>
      <c r="UQI4" s="484"/>
      <c r="UQJ4" s="484"/>
      <c r="UQK4" s="484"/>
      <c r="UQL4" s="484"/>
      <c r="UQM4" s="484"/>
      <c r="UQN4" s="484"/>
      <c r="UQO4" s="484"/>
      <c r="UQP4" s="484"/>
      <c r="UQQ4" s="484"/>
      <c r="UQR4" s="484"/>
      <c r="UQS4" s="484"/>
      <c r="UQT4" s="484"/>
      <c r="UQU4" s="484"/>
      <c r="UQV4" s="484"/>
      <c r="UQW4" s="484"/>
      <c r="UQX4" s="484"/>
      <c r="UQY4" s="484"/>
      <c r="UQZ4" s="484"/>
      <c r="URA4" s="484"/>
      <c r="URB4" s="484"/>
      <c r="URC4" s="484"/>
      <c r="URD4" s="484"/>
      <c r="URE4" s="484"/>
      <c r="URF4" s="484"/>
      <c r="URG4" s="484"/>
      <c r="URH4" s="484"/>
      <c r="URI4" s="484"/>
      <c r="URJ4" s="484"/>
      <c r="URK4" s="484"/>
      <c r="URL4" s="484"/>
      <c r="URM4" s="484"/>
      <c r="URN4" s="484"/>
      <c r="URO4" s="484"/>
      <c r="URP4" s="484"/>
      <c r="URQ4" s="484"/>
      <c r="URR4" s="484"/>
      <c r="URS4" s="484"/>
      <c r="URT4" s="484"/>
      <c r="URU4" s="484"/>
      <c r="URV4" s="484"/>
      <c r="URW4" s="484"/>
      <c r="URX4" s="484"/>
      <c r="URY4" s="484"/>
      <c r="URZ4" s="484"/>
      <c r="USA4" s="484"/>
      <c r="USB4" s="484"/>
      <c r="USC4" s="484"/>
      <c r="USD4" s="484"/>
      <c r="USE4" s="484"/>
      <c r="USF4" s="484"/>
      <c r="USG4" s="484"/>
      <c r="USH4" s="484"/>
      <c r="USI4" s="484"/>
      <c r="USJ4" s="484"/>
      <c r="USK4" s="484"/>
      <c r="USL4" s="484"/>
      <c r="USM4" s="484"/>
      <c r="USN4" s="484"/>
      <c r="USO4" s="484"/>
      <c r="USP4" s="484"/>
      <c r="USQ4" s="484"/>
      <c r="USR4" s="484"/>
      <c r="USS4" s="484"/>
      <c r="UST4" s="484"/>
      <c r="USU4" s="484"/>
      <c r="USV4" s="484"/>
      <c r="USW4" s="484"/>
      <c r="USX4" s="484"/>
      <c r="USY4" s="484"/>
      <c r="USZ4" s="484"/>
      <c r="UTA4" s="484"/>
      <c r="UTB4" s="484"/>
      <c r="UTC4" s="484"/>
      <c r="UTD4" s="484"/>
      <c r="UTE4" s="484"/>
      <c r="UTF4" s="484"/>
      <c r="UTG4" s="484"/>
      <c r="UTH4" s="484"/>
      <c r="UTI4" s="484"/>
      <c r="UTJ4" s="484"/>
      <c r="UTK4" s="484"/>
      <c r="UTL4" s="484"/>
      <c r="UTM4" s="484"/>
      <c r="UTN4" s="484"/>
      <c r="UTO4" s="484"/>
      <c r="UTP4" s="484"/>
      <c r="UTQ4" s="484"/>
      <c r="UTR4" s="484"/>
      <c r="UTS4" s="484"/>
      <c r="UTT4" s="484"/>
      <c r="UTU4" s="484"/>
      <c r="UTV4" s="484"/>
      <c r="UTW4" s="484"/>
      <c r="UTX4" s="484"/>
      <c r="UTY4" s="484"/>
      <c r="UTZ4" s="484"/>
      <c r="UUA4" s="484"/>
      <c r="UUB4" s="484"/>
      <c r="UUC4" s="484"/>
      <c r="UUD4" s="484"/>
      <c r="UUE4" s="484"/>
      <c r="UUF4" s="484"/>
      <c r="UUG4" s="484"/>
      <c r="UUH4" s="484"/>
      <c r="UUI4" s="484"/>
      <c r="UUJ4" s="484"/>
      <c r="UUK4" s="484"/>
      <c r="UUL4" s="484"/>
      <c r="UUM4" s="484"/>
      <c r="UUN4" s="484"/>
      <c r="UUO4" s="484"/>
      <c r="UUP4" s="484"/>
      <c r="UUQ4" s="484"/>
      <c r="UUR4" s="484"/>
      <c r="UUS4" s="484"/>
      <c r="UUT4" s="484"/>
      <c r="UUU4" s="484"/>
      <c r="UUV4" s="484"/>
      <c r="UUW4" s="484"/>
      <c r="UUX4" s="484"/>
      <c r="UUY4" s="484"/>
      <c r="UUZ4" s="484"/>
      <c r="UVA4" s="484"/>
      <c r="UVB4" s="484"/>
      <c r="UVC4" s="484"/>
      <c r="UVD4" s="484"/>
      <c r="UVE4" s="484"/>
      <c r="UVF4" s="484"/>
      <c r="UVG4" s="484"/>
      <c r="UVH4" s="484"/>
      <c r="UVI4" s="484"/>
      <c r="UVJ4" s="484"/>
      <c r="UVK4" s="484"/>
      <c r="UVL4" s="484"/>
      <c r="UVM4" s="484"/>
      <c r="UVN4" s="484"/>
      <c r="UVO4" s="484"/>
      <c r="UVP4" s="484"/>
      <c r="UVQ4" s="484"/>
      <c r="UVR4" s="484"/>
      <c r="UVS4" s="484"/>
      <c r="UVT4" s="484"/>
      <c r="UVU4" s="484"/>
      <c r="UVV4" s="484"/>
      <c r="UVW4" s="484"/>
      <c r="UVX4" s="484"/>
      <c r="UVY4" s="484"/>
      <c r="UVZ4" s="484"/>
      <c r="UWA4" s="484"/>
      <c r="UWB4" s="484"/>
      <c r="UWC4" s="484"/>
      <c r="UWD4" s="484"/>
      <c r="UWE4" s="484"/>
      <c r="UWF4" s="484"/>
      <c r="UWG4" s="484"/>
      <c r="UWH4" s="484"/>
      <c r="UWI4" s="484"/>
      <c r="UWJ4" s="484"/>
      <c r="UWK4" s="484"/>
      <c r="UWL4" s="484"/>
      <c r="UWM4" s="484"/>
      <c r="UWN4" s="484"/>
      <c r="UWO4" s="484"/>
      <c r="UWP4" s="484"/>
      <c r="UWQ4" s="484"/>
      <c r="UWR4" s="484"/>
      <c r="UWS4" s="484"/>
      <c r="UWT4" s="484"/>
      <c r="UWU4" s="484"/>
      <c r="UWV4" s="484"/>
      <c r="UWW4" s="484"/>
      <c r="UWX4" s="484"/>
      <c r="UWY4" s="484"/>
      <c r="UWZ4" s="484"/>
      <c r="UXA4" s="484"/>
      <c r="UXB4" s="484"/>
      <c r="UXC4" s="484"/>
      <c r="UXD4" s="484"/>
      <c r="UXE4" s="484"/>
      <c r="UXF4" s="484"/>
      <c r="UXG4" s="484"/>
      <c r="UXH4" s="484"/>
      <c r="UXI4" s="484"/>
      <c r="UXJ4" s="484"/>
      <c r="UXK4" s="484"/>
      <c r="UXL4" s="484"/>
      <c r="UXM4" s="484"/>
      <c r="UXN4" s="484"/>
      <c r="UXO4" s="484"/>
      <c r="UXP4" s="484"/>
      <c r="UXQ4" s="484"/>
      <c r="UXR4" s="484"/>
      <c r="UXS4" s="484"/>
      <c r="UXT4" s="484"/>
      <c r="UXU4" s="484"/>
      <c r="UXV4" s="484"/>
      <c r="UXW4" s="484"/>
      <c r="UXX4" s="484"/>
      <c r="UXY4" s="484"/>
      <c r="UXZ4" s="484"/>
      <c r="UYA4" s="484"/>
      <c r="UYB4" s="484"/>
      <c r="UYC4" s="484"/>
      <c r="UYD4" s="484"/>
      <c r="UYE4" s="484"/>
      <c r="UYF4" s="484"/>
      <c r="UYG4" s="484"/>
      <c r="UYH4" s="484"/>
      <c r="UYI4" s="484"/>
      <c r="UYJ4" s="484"/>
      <c r="UYK4" s="484"/>
      <c r="UYL4" s="484"/>
      <c r="UYM4" s="484"/>
      <c r="UYN4" s="484"/>
      <c r="UYO4" s="484"/>
      <c r="UYP4" s="484"/>
      <c r="UYQ4" s="484"/>
      <c r="UYR4" s="484"/>
      <c r="UYS4" s="484"/>
      <c r="UYT4" s="484"/>
      <c r="UYU4" s="484"/>
      <c r="UYV4" s="484"/>
      <c r="UYW4" s="484"/>
      <c r="UYX4" s="484"/>
      <c r="UYY4" s="484"/>
      <c r="UYZ4" s="484"/>
      <c r="UZA4" s="484"/>
      <c r="UZB4" s="484"/>
      <c r="UZC4" s="484"/>
      <c r="UZD4" s="484"/>
      <c r="UZE4" s="484"/>
      <c r="UZF4" s="484"/>
      <c r="UZG4" s="484"/>
      <c r="UZH4" s="484"/>
      <c r="UZI4" s="484"/>
      <c r="UZJ4" s="484"/>
      <c r="UZK4" s="484"/>
      <c r="UZL4" s="484"/>
      <c r="UZM4" s="484"/>
      <c r="UZN4" s="484"/>
      <c r="UZO4" s="484"/>
      <c r="UZP4" s="484"/>
      <c r="UZQ4" s="484"/>
      <c r="UZR4" s="484"/>
      <c r="UZS4" s="484"/>
      <c r="UZT4" s="484"/>
      <c r="UZU4" s="484"/>
      <c r="UZV4" s="484"/>
      <c r="UZW4" s="484"/>
      <c r="UZX4" s="484"/>
      <c r="UZY4" s="484"/>
      <c r="UZZ4" s="484"/>
      <c r="VAA4" s="484"/>
      <c r="VAB4" s="484"/>
      <c r="VAC4" s="484"/>
      <c r="VAD4" s="484"/>
      <c r="VAE4" s="484"/>
      <c r="VAF4" s="484"/>
      <c r="VAG4" s="484"/>
      <c r="VAH4" s="484"/>
      <c r="VAI4" s="484"/>
      <c r="VAJ4" s="484"/>
      <c r="VAK4" s="484"/>
      <c r="VAL4" s="484"/>
      <c r="VAM4" s="484"/>
      <c r="VAN4" s="484"/>
      <c r="VAO4" s="484"/>
      <c r="VAP4" s="484"/>
      <c r="VAQ4" s="484"/>
      <c r="VAR4" s="484"/>
      <c r="VAS4" s="484"/>
      <c r="VAT4" s="484"/>
      <c r="VAU4" s="484"/>
      <c r="VAV4" s="484"/>
      <c r="VAW4" s="484"/>
      <c r="VAX4" s="484"/>
      <c r="VAY4" s="484"/>
      <c r="VAZ4" s="484"/>
      <c r="VBA4" s="484"/>
      <c r="VBB4" s="484"/>
      <c r="VBC4" s="484"/>
      <c r="VBD4" s="484"/>
      <c r="VBE4" s="484"/>
      <c r="VBF4" s="484"/>
      <c r="VBG4" s="484"/>
      <c r="VBH4" s="484"/>
      <c r="VBI4" s="484"/>
      <c r="VBJ4" s="484"/>
      <c r="VBK4" s="484"/>
      <c r="VBL4" s="484"/>
      <c r="VBM4" s="484"/>
      <c r="VBN4" s="484"/>
      <c r="VBO4" s="484"/>
      <c r="VBP4" s="484"/>
      <c r="VBQ4" s="484"/>
      <c r="VBR4" s="484"/>
      <c r="VBS4" s="484"/>
      <c r="VBT4" s="484"/>
      <c r="VBU4" s="484"/>
      <c r="VBV4" s="484"/>
      <c r="VBW4" s="484"/>
      <c r="VBX4" s="484"/>
      <c r="VBY4" s="484"/>
      <c r="VBZ4" s="484"/>
      <c r="VCA4" s="484"/>
      <c r="VCB4" s="484"/>
      <c r="VCC4" s="484"/>
      <c r="VCD4" s="484"/>
      <c r="VCE4" s="484"/>
      <c r="VCF4" s="484"/>
      <c r="VCG4" s="484"/>
      <c r="VCH4" s="484"/>
      <c r="VCI4" s="484"/>
      <c r="VCJ4" s="484"/>
      <c r="VCK4" s="484"/>
      <c r="VCL4" s="484"/>
      <c r="VCM4" s="484"/>
      <c r="VCN4" s="484"/>
      <c r="VCO4" s="484"/>
      <c r="VCP4" s="484"/>
      <c r="VCQ4" s="484"/>
      <c r="VCR4" s="484"/>
      <c r="VCS4" s="484"/>
      <c r="VCT4" s="484"/>
      <c r="VCU4" s="484"/>
      <c r="VCV4" s="484"/>
      <c r="VCW4" s="484"/>
      <c r="VCX4" s="484"/>
      <c r="VCY4" s="484"/>
      <c r="VCZ4" s="484"/>
      <c r="VDA4" s="484"/>
      <c r="VDB4" s="484"/>
      <c r="VDC4" s="484"/>
      <c r="VDD4" s="484"/>
      <c r="VDE4" s="484"/>
      <c r="VDF4" s="484"/>
      <c r="VDG4" s="484"/>
      <c r="VDH4" s="484"/>
      <c r="VDI4" s="484"/>
      <c r="VDJ4" s="484"/>
      <c r="VDK4" s="484"/>
      <c r="VDL4" s="484"/>
      <c r="VDM4" s="484"/>
      <c r="VDN4" s="484"/>
      <c r="VDO4" s="484"/>
      <c r="VDP4" s="484"/>
      <c r="VDQ4" s="484"/>
      <c r="VDR4" s="484"/>
      <c r="VDS4" s="484"/>
      <c r="VDT4" s="484"/>
      <c r="VDU4" s="484"/>
      <c r="VDV4" s="484"/>
      <c r="VDW4" s="484"/>
      <c r="VDX4" s="484"/>
      <c r="VDY4" s="484"/>
      <c r="VDZ4" s="484"/>
      <c r="VEA4" s="484"/>
      <c r="VEB4" s="484"/>
      <c r="VEC4" s="484"/>
      <c r="VED4" s="484"/>
      <c r="VEE4" s="484"/>
      <c r="VEF4" s="484"/>
      <c r="VEG4" s="484"/>
      <c r="VEH4" s="484"/>
      <c r="VEI4" s="484"/>
      <c r="VEJ4" s="484"/>
      <c r="VEK4" s="484"/>
      <c r="VEL4" s="484"/>
      <c r="VEM4" s="484"/>
      <c r="VEN4" s="484"/>
      <c r="VEO4" s="484"/>
      <c r="VEP4" s="484"/>
      <c r="VEQ4" s="484"/>
      <c r="VER4" s="484"/>
      <c r="VES4" s="484"/>
      <c r="VET4" s="484"/>
      <c r="VEU4" s="484"/>
      <c r="VEV4" s="484"/>
      <c r="VEW4" s="484"/>
      <c r="VEX4" s="484"/>
      <c r="VEY4" s="484"/>
      <c r="VEZ4" s="484"/>
      <c r="VFA4" s="484"/>
      <c r="VFB4" s="484"/>
      <c r="VFC4" s="484"/>
      <c r="VFD4" s="484"/>
      <c r="VFE4" s="484"/>
      <c r="VFF4" s="484"/>
      <c r="VFG4" s="484"/>
      <c r="VFH4" s="484"/>
      <c r="VFI4" s="484"/>
      <c r="VFJ4" s="484"/>
      <c r="VFK4" s="484"/>
      <c r="VFL4" s="484"/>
      <c r="VFM4" s="484"/>
      <c r="VFN4" s="484"/>
      <c r="VFO4" s="484"/>
      <c r="VFP4" s="484"/>
      <c r="VFQ4" s="484"/>
      <c r="VFR4" s="484"/>
      <c r="VFS4" s="484"/>
      <c r="VFT4" s="484"/>
      <c r="VFU4" s="484"/>
      <c r="VFV4" s="484"/>
      <c r="VFW4" s="484"/>
      <c r="VFX4" s="484"/>
      <c r="VFY4" s="484"/>
      <c r="VFZ4" s="484"/>
      <c r="VGA4" s="484"/>
      <c r="VGB4" s="484"/>
      <c r="VGC4" s="484"/>
      <c r="VGD4" s="484"/>
      <c r="VGE4" s="484"/>
      <c r="VGF4" s="484"/>
      <c r="VGG4" s="484"/>
      <c r="VGH4" s="484"/>
      <c r="VGI4" s="484"/>
      <c r="VGJ4" s="484"/>
      <c r="VGK4" s="484"/>
      <c r="VGL4" s="484"/>
      <c r="VGM4" s="484"/>
      <c r="VGN4" s="484"/>
      <c r="VGO4" s="484"/>
      <c r="VGP4" s="484"/>
      <c r="VGQ4" s="484"/>
      <c r="VGR4" s="484"/>
      <c r="VGS4" s="484"/>
      <c r="VGT4" s="484"/>
      <c r="VGU4" s="484"/>
      <c r="VGV4" s="484"/>
      <c r="VGW4" s="484"/>
      <c r="VGX4" s="484"/>
      <c r="VGY4" s="484"/>
      <c r="VGZ4" s="484"/>
      <c r="VHA4" s="484"/>
      <c r="VHB4" s="484"/>
      <c r="VHC4" s="484"/>
      <c r="VHD4" s="484"/>
      <c r="VHE4" s="484"/>
      <c r="VHF4" s="484"/>
      <c r="VHG4" s="484"/>
      <c r="VHH4" s="484"/>
      <c r="VHI4" s="484"/>
      <c r="VHJ4" s="484"/>
      <c r="VHK4" s="484"/>
      <c r="VHL4" s="484"/>
      <c r="VHM4" s="484"/>
      <c r="VHN4" s="484"/>
      <c r="VHO4" s="484"/>
      <c r="VHP4" s="484"/>
      <c r="VHQ4" s="484"/>
      <c r="VHR4" s="484"/>
      <c r="VHS4" s="484"/>
      <c r="VHT4" s="484"/>
      <c r="VHU4" s="484"/>
      <c r="VHV4" s="484"/>
      <c r="VHW4" s="484"/>
      <c r="VHX4" s="484"/>
      <c r="VHY4" s="484"/>
      <c r="VHZ4" s="484"/>
      <c r="VIA4" s="484"/>
      <c r="VIB4" s="484"/>
      <c r="VIC4" s="484"/>
      <c r="VID4" s="484"/>
      <c r="VIE4" s="484"/>
      <c r="VIF4" s="484"/>
      <c r="VIG4" s="484"/>
      <c r="VIH4" s="484"/>
      <c r="VII4" s="484"/>
      <c r="VIJ4" s="484"/>
      <c r="VIK4" s="484"/>
      <c r="VIL4" s="484"/>
      <c r="VIM4" s="484"/>
      <c r="VIN4" s="484"/>
      <c r="VIO4" s="484"/>
      <c r="VIP4" s="484"/>
      <c r="VIQ4" s="484"/>
      <c r="VIR4" s="484"/>
      <c r="VIS4" s="484"/>
      <c r="VIT4" s="484"/>
      <c r="VIU4" s="484"/>
      <c r="VIV4" s="484"/>
      <c r="VIW4" s="484"/>
      <c r="VIX4" s="484"/>
      <c r="VIY4" s="484"/>
      <c r="VIZ4" s="484"/>
      <c r="VJA4" s="484"/>
      <c r="VJB4" s="484"/>
      <c r="VJC4" s="484"/>
      <c r="VJD4" s="484"/>
      <c r="VJE4" s="484"/>
      <c r="VJF4" s="484"/>
      <c r="VJG4" s="484"/>
      <c r="VJH4" s="484"/>
      <c r="VJI4" s="484"/>
      <c r="VJJ4" s="484"/>
      <c r="VJK4" s="484"/>
      <c r="VJL4" s="484"/>
      <c r="VJM4" s="484"/>
      <c r="VJN4" s="484"/>
      <c r="VJO4" s="484"/>
      <c r="VJP4" s="484"/>
      <c r="VJQ4" s="484"/>
      <c r="VJR4" s="484"/>
      <c r="VJS4" s="484"/>
      <c r="VJT4" s="484"/>
      <c r="VJU4" s="484"/>
      <c r="VJV4" s="484"/>
      <c r="VJW4" s="484"/>
      <c r="VJX4" s="484"/>
      <c r="VJY4" s="484"/>
      <c r="VJZ4" s="484"/>
      <c r="VKA4" s="484"/>
      <c r="VKB4" s="484"/>
      <c r="VKC4" s="484"/>
      <c r="VKD4" s="484"/>
      <c r="VKE4" s="484"/>
      <c r="VKF4" s="484"/>
      <c r="VKG4" s="484"/>
      <c r="VKH4" s="484"/>
      <c r="VKI4" s="484"/>
      <c r="VKJ4" s="484"/>
      <c r="VKK4" s="484"/>
      <c r="VKL4" s="484"/>
      <c r="VKM4" s="484"/>
      <c r="VKN4" s="484"/>
      <c r="VKO4" s="484"/>
      <c r="VKP4" s="484"/>
      <c r="VKQ4" s="484"/>
      <c r="VKR4" s="484"/>
      <c r="VKS4" s="484"/>
      <c r="VKT4" s="484"/>
      <c r="VKU4" s="484"/>
      <c r="VKV4" s="484"/>
      <c r="VKW4" s="484"/>
      <c r="VKX4" s="484"/>
      <c r="VKY4" s="484"/>
      <c r="VKZ4" s="484"/>
      <c r="VLA4" s="484"/>
      <c r="VLB4" s="484"/>
      <c r="VLC4" s="484"/>
      <c r="VLD4" s="484"/>
      <c r="VLE4" s="484"/>
      <c r="VLF4" s="484"/>
      <c r="VLG4" s="484"/>
      <c r="VLH4" s="484"/>
      <c r="VLI4" s="484"/>
      <c r="VLJ4" s="484"/>
      <c r="VLK4" s="484"/>
      <c r="VLL4" s="484"/>
      <c r="VLM4" s="484"/>
      <c r="VLN4" s="484"/>
      <c r="VLO4" s="484"/>
      <c r="VLP4" s="484"/>
      <c r="VLQ4" s="484"/>
      <c r="VLR4" s="484"/>
      <c r="VLS4" s="484"/>
      <c r="VLT4" s="484"/>
      <c r="VLU4" s="484"/>
      <c r="VLV4" s="484"/>
      <c r="VLW4" s="484"/>
      <c r="VLX4" s="484"/>
      <c r="VLY4" s="484"/>
      <c r="VLZ4" s="484"/>
      <c r="VMA4" s="484"/>
      <c r="VMB4" s="484"/>
      <c r="VMC4" s="484"/>
      <c r="VMD4" s="484"/>
      <c r="VME4" s="484"/>
      <c r="VMF4" s="484"/>
      <c r="VMG4" s="484"/>
      <c r="VMH4" s="484"/>
      <c r="VMI4" s="484"/>
      <c r="VMJ4" s="484"/>
      <c r="VMK4" s="484"/>
      <c r="VML4" s="484"/>
      <c r="VMM4" s="484"/>
      <c r="VMN4" s="484"/>
      <c r="VMO4" s="484"/>
      <c r="VMP4" s="484"/>
      <c r="VMQ4" s="484"/>
      <c r="VMR4" s="484"/>
      <c r="VMS4" s="484"/>
      <c r="VMT4" s="484"/>
      <c r="VMU4" s="484"/>
      <c r="VMV4" s="484"/>
      <c r="VMW4" s="484"/>
      <c r="VMX4" s="484"/>
      <c r="VMY4" s="484"/>
      <c r="VMZ4" s="484"/>
      <c r="VNA4" s="484"/>
      <c r="VNB4" s="484"/>
      <c r="VNC4" s="484"/>
      <c r="VND4" s="484"/>
      <c r="VNE4" s="484"/>
      <c r="VNF4" s="484"/>
      <c r="VNG4" s="484"/>
      <c r="VNH4" s="484"/>
      <c r="VNI4" s="484"/>
      <c r="VNJ4" s="484"/>
      <c r="VNK4" s="484"/>
      <c r="VNL4" s="484"/>
      <c r="VNM4" s="484"/>
      <c r="VNN4" s="484"/>
      <c r="VNO4" s="484"/>
      <c r="VNP4" s="484"/>
      <c r="VNQ4" s="484"/>
      <c r="VNR4" s="484"/>
      <c r="VNS4" s="484"/>
      <c r="VNT4" s="484"/>
      <c r="VNU4" s="484"/>
      <c r="VNV4" s="484"/>
      <c r="VNW4" s="484"/>
      <c r="VNX4" s="484"/>
      <c r="VNY4" s="484"/>
      <c r="VNZ4" s="484"/>
      <c r="VOA4" s="484"/>
      <c r="VOB4" s="484"/>
      <c r="VOC4" s="484"/>
      <c r="VOD4" s="484"/>
      <c r="VOE4" s="484"/>
      <c r="VOF4" s="484"/>
      <c r="VOG4" s="484"/>
      <c r="VOH4" s="484"/>
      <c r="VOI4" s="484"/>
      <c r="VOJ4" s="484"/>
      <c r="VOK4" s="484"/>
      <c r="VOL4" s="484"/>
      <c r="VOM4" s="484"/>
      <c r="VON4" s="484"/>
      <c r="VOO4" s="484"/>
      <c r="VOP4" s="484"/>
      <c r="VOQ4" s="484"/>
      <c r="VOR4" s="484"/>
      <c r="VOS4" s="484"/>
      <c r="VOT4" s="484"/>
      <c r="VOU4" s="484"/>
      <c r="VOV4" s="484"/>
      <c r="VOW4" s="484"/>
      <c r="VOX4" s="484"/>
      <c r="VOY4" s="484"/>
      <c r="VOZ4" s="484"/>
      <c r="VPA4" s="484"/>
      <c r="VPB4" s="484"/>
      <c r="VPC4" s="484"/>
      <c r="VPD4" s="484"/>
      <c r="VPE4" s="484"/>
      <c r="VPF4" s="484"/>
      <c r="VPG4" s="484"/>
      <c r="VPH4" s="484"/>
      <c r="VPI4" s="484"/>
      <c r="VPJ4" s="484"/>
      <c r="VPK4" s="484"/>
      <c r="VPL4" s="484"/>
      <c r="VPM4" s="484"/>
      <c r="VPN4" s="484"/>
      <c r="VPO4" s="484"/>
      <c r="VPP4" s="484"/>
      <c r="VPQ4" s="484"/>
      <c r="VPR4" s="484"/>
      <c r="VPS4" s="484"/>
      <c r="VPT4" s="484"/>
      <c r="VPU4" s="484"/>
      <c r="VPV4" s="484"/>
      <c r="VPW4" s="484"/>
      <c r="VPX4" s="484"/>
      <c r="VPY4" s="484"/>
      <c r="VPZ4" s="484"/>
      <c r="VQA4" s="484"/>
      <c r="VQB4" s="484"/>
      <c r="VQC4" s="484"/>
      <c r="VQD4" s="484"/>
      <c r="VQE4" s="484"/>
      <c r="VQF4" s="484"/>
      <c r="VQG4" s="484"/>
      <c r="VQH4" s="484"/>
      <c r="VQI4" s="484"/>
      <c r="VQJ4" s="484"/>
      <c r="VQK4" s="484"/>
      <c r="VQL4" s="484"/>
      <c r="VQM4" s="484"/>
      <c r="VQN4" s="484"/>
      <c r="VQO4" s="484"/>
      <c r="VQP4" s="484"/>
      <c r="VQQ4" s="484"/>
      <c r="VQR4" s="484"/>
      <c r="VQS4" s="484"/>
      <c r="VQT4" s="484"/>
      <c r="VQU4" s="484"/>
      <c r="VQV4" s="484"/>
      <c r="VQW4" s="484"/>
      <c r="VQX4" s="484"/>
      <c r="VQY4" s="484"/>
      <c r="VQZ4" s="484"/>
      <c r="VRA4" s="484"/>
      <c r="VRB4" s="484"/>
      <c r="VRC4" s="484"/>
      <c r="VRD4" s="484"/>
      <c r="VRE4" s="484"/>
      <c r="VRF4" s="484"/>
      <c r="VRG4" s="484"/>
      <c r="VRH4" s="484"/>
      <c r="VRI4" s="484"/>
      <c r="VRJ4" s="484"/>
      <c r="VRK4" s="484"/>
      <c r="VRL4" s="484"/>
      <c r="VRM4" s="484"/>
      <c r="VRN4" s="484"/>
      <c r="VRO4" s="484"/>
      <c r="VRP4" s="484"/>
      <c r="VRQ4" s="484"/>
      <c r="VRR4" s="484"/>
      <c r="VRS4" s="484"/>
      <c r="VRT4" s="484"/>
      <c r="VRU4" s="484"/>
      <c r="VRV4" s="484"/>
      <c r="VRW4" s="484"/>
      <c r="VRX4" s="484"/>
      <c r="VRY4" s="484"/>
      <c r="VRZ4" s="484"/>
      <c r="VSA4" s="484"/>
      <c r="VSB4" s="484"/>
      <c r="VSC4" s="484"/>
      <c r="VSD4" s="484"/>
      <c r="VSE4" s="484"/>
      <c r="VSF4" s="484"/>
      <c r="VSG4" s="484"/>
      <c r="VSH4" s="484"/>
      <c r="VSI4" s="484"/>
      <c r="VSJ4" s="484"/>
      <c r="VSK4" s="484"/>
      <c r="VSL4" s="484"/>
      <c r="VSM4" s="484"/>
      <c r="VSN4" s="484"/>
      <c r="VSO4" s="484"/>
      <c r="VSP4" s="484"/>
      <c r="VSQ4" s="484"/>
      <c r="VSR4" s="484"/>
      <c r="VSS4" s="484"/>
      <c r="VST4" s="484"/>
      <c r="VSU4" s="484"/>
      <c r="VSV4" s="484"/>
      <c r="VSW4" s="484"/>
      <c r="VSX4" s="484"/>
      <c r="VSY4" s="484"/>
      <c r="VSZ4" s="484"/>
      <c r="VTA4" s="484"/>
      <c r="VTB4" s="484"/>
      <c r="VTC4" s="484"/>
      <c r="VTD4" s="484"/>
      <c r="VTE4" s="484"/>
      <c r="VTF4" s="484"/>
      <c r="VTG4" s="484"/>
      <c r="VTH4" s="484"/>
      <c r="VTI4" s="484"/>
      <c r="VTJ4" s="484"/>
      <c r="VTK4" s="484"/>
      <c r="VTL4" s="484"/>
      <c r="VTM4" s="484"/>
      <c r="VTN4" s="484"/>
      <c r="VTO4" s="484"/>
      <c r="VTP4" s="484"/>
      <c r="VTQ4" s="484"/>
      <c r="VTR4" s="484"/>
      <c r="VTS4" s="484"/>
      <c r="VTT4" s="484"/>
      <c r="VTU4" s="484"/>
      <c r="VTV4" s="484"/>
      <c r="VTW4" s="484"/>
      <c r="VTX4" s="484"/>
      <c r="VTY4" s="484"/>
      <c r="VTZ4" s="484"/>
      <c r="VUA4" s="484"/>
      <c r="VUB4" s="484"/>
      <c r="VUC4" s="484"/>
      <c r="VUD4" s="484"/>
      <c r="VUE4" s="484"/>
      <c r="VUF4" s="484"/>
      <c r="VUG4" s="484"/>
      <c r="VUH4" s="484"/>
      <c r="VUI4" s="484"/>
      <c r="VUJ4" s="484"/>
      <c r="VUK4" s="484"/>
      <c r="VUL4" s="484"/>
      <c r="VUM4" s="484"/>
      <c r="VUN4" s="484"/>
      <c r="VUO4" s="484"/>
      <c r="VUP4" s="484"/>
      <c r="VUQ4" s="484"/>
      <c r="VUR4" s="484"/>
      <c r="VUS4" s="484"/>
      <c r="VUT4" s="484"/>
      <c r="VUU4" s="484"/>
      <c r="VUV4" s="484"/>
      <c r="VUW4" s="484"/>
      <c r="VUX4" s="484"/>
      <c r="VUY4" s="484"/>
      <c r="VUZ4" s="484"/>
      <c r="VVA4" s="484"/>
      <c r="VVB4" s="484"/>
      <c r="VVC4" s="484"/>
      <c r="VVD4" s="484"/>
      <c r="VVE4" s="484"/>
      <c r="VVF4" s="484"/>
      <c r="VVG4" s="484"/>
      <c r="VVH4" s="484"/>
      <c r="VVI4" s="484"/>
      <c r="VVJ4" s="484"/>
      <c r="VVK4" s="484"/>
      <c r="VVL4" s="484"/>
      <c r="VVM4" s="484"/>
      <c r="VVN4" s="484"/>
      <c r="VVO4" s="484"/>
      <c r="VVP4" s="484"/>
      <c r="VVQ4" s="484"/>
      <c r="VVR4" s="484"/>
      <c r="VVS4" s="484"/>
      <c r="VVT4" s="484"/>
      <c r="VVU4" s="484"/>
      <c r="VVV4" s="484"/>
      <c r="VVW4" s="484"/>
      <c r="VVX4" s="484"/>
      <c r="VVY4" s="484"/>
      <c r="VVZ4" s="484"/>
      <c r="VWA4" s="484"/>
      <c r="VWB4" s="484"/>
      <c r="VWC4" s="484"/>
      <c r="VWD4" s="484"/>
      <c r="VWE4" s="484"/>
      <c r="VWF4" s="484"/>
      <c r="VWG4" s="484"/>
      <c r="VWH4" s="484"/>
      <c r="VWI4" s="484"/>
      <c r="VWJ4" s="484"/>
      <c r="VWK4" s="484"/>
      <c r="VWL4" s="484"/>
      <c r="VWM4" s="484"/>
      <c r="VWN4" s="484"/>
      <c r="VWO4" s="484"/>
      <c r="VWP4" s="484"/>
      <c r="VWQ4" s="484"/>
      <c r="VWR4" s="484"/>
      <c r="VWS4" s="484"/>
      <c r="VWT4" s="484"/>
      <c r="VWU4" s="484"/>
      <c r="VWV4" s="484"/>
      <c r="VWW4" s="484"/>
      <c r="VWX4" s="484"/>
      <c r="VWY4" s="484"/>
      <c r="VWZ4" s="484"/>
      <c r="VXA4" s="484"/>
      <c r="VXB4" s="484"/>
      <c r="VXC4" s="484"/>
      <c r="VXD4" s="484"/>
      <c r="VXE4" s="484"/>
      <c r="VXF4" s="484"/>
      <c r="VXG4" s="484"/>
      <c r="VXH4" s="484"/>
      <c r="VXI4" s="484"/>
      <c r="VXJ4" s="484"/>
      <c r="VXK4" s="484"/>
      <c r="VXL4" s="484"/>
      <c r="VXM4" s="484"/>
      <c r="VXN4" s="484"/>
      <c r="VXO4" s="484"/>
      <c r="VXP4" s="484"/>
      <c r="VXQ4" s="484"/>
      <c r="VXR4" s="484"/>
      <c r="VXS4" s="484"/>
      <c r="VXT4" s="484"/>
      <c r="VXU4" s="484"/>
      <c r="VXV4" s="484"/>
      <c r="VXW4" s="484"/>
      <c r="VXX4" s="484"/>
      <c r="VXY4" s="484"/>
      <c r="VXZ4" s="484"/>
      <c r="VYA4" s="484"/>
      <c r="VYB4" s="484"/>
      <c r="VYC4" s="484"/>
      <c r="VYD4" s="484"/>
      <c r="VYE4" s="484"/>
      <c r="VYF4" s="484"/>
      <c r="VYG4" s="484"/>
      <c r="VYH4" s="484"/>
      <c r="VYI4" s="484"/>
      <c r="VYJ4" s="484"/>
      <c r="VYK4" s="484"/>
      <c r="VYL4" s="484"/>
      <c r="VYM4" s="484"/>
      <c r="VYN4" s="484"/>
      <c r="VYO4" s="484"/>
      <c r="VYP4" s="484"/>
      <c r="VYQ4" s="484"/>
      <c r="VYR4" s="484"/>
      <c r="VYS4" s="484"/>
      <c r="VYT4" s="484"/>
      <c r="VYU4" s="484"/>
      <c r="VYV4" s="484"/>
      <c r="VYW4" s="484"/>
      <c r="VYX4" s="484"/>
      <c r="VYY4" s="484"/>
      <c r="VYZ4" s="484"/>
      <c r="VZA4" s="484"/>
      <c r="VZB4" s="484"/>
      <c r="VZC4" s="484"/>
      <c r="VZD4" s="484"/>
      <c r="VZE4" s="484"/>
      <c r="VZF4" s="484"/>
      <c r="VZG4" s="484"/>
      <c r="VZH4" s="484"/>
      <c r="VZI4" s="484"/>
      <c r="VZJ4" s="484"/>
      <c r="VZK4" s="484"/>
      <c r="VZL4" s="484"/>
      <c r="VZM4" s="484"/>
      <c r="VZN4" s="484"/>
      <c r="VZO4" s="484"/>
      <c r="VZP4" s="484"/>
      <c r="VZQ4" s="484"/>
      <c r="VZR4" s="484"/>
      <c r="VZS4" s="484"/>
      <c r="VZT4" s="484"/>
      <c r="VZU4" s="484"/>
      <c r="VZV4" s="484"/>
      <c r="VZW4" s="484"/>
      <c r="VZX4" s="484"/>
      <c r="VZY4" s="484"/>
      <c r="VZZ4" s="484"/>
      <c r="WAA4" s="484"/>
      <c r="WAB4" s="484"/>
      <c r="WAC4" s="484"/>
      <c r="WAD4" s="484"/>
      <c r="WAE4" s="484"/>
      <c r="WAF4" s="484"/>
      <c r="WAG4" s="484"/>
      <c r="WAH4" s="484"/>
      <c r="WAI4" s="484"/>
      <c r="WAJ4" s="484"/>
      <c r="WAK4" s="484"/>
      <c r="WAL4" s="484"/>
      <c r="WAM4" s="484"/>
      <c r="WAN4" s="484"/>
      <c r="WAO4" s="484"/>
      <c r="WAP4" s="484"/>
      <c r="WAQ4" s="484"/>
      <c r="WAR4" s="484"/>
      <c r="WAS4" s="484"/>
      <c r="WAT4" s="484"/>
      <c r="WAU4" s="484"/>
      <c r="WAV4" s="484"/>
      <c r="WAW4" s="484"/>
      <c r="WAX4" s="484"/>
      <c r="WAY4" s="484"/>
      <c r="WAZ4" s="484"/>
      <c r="WBA4" s="484"/>
      <c r="WBB4" s="484"/>
      <c r="WBC4" s="484"/>
      <c r="WBD4" s="484"/>
      <c r="WBE4" s="484"/>
      <c r="WBF4" s="484"/>
      <c r="WBG4" s="484"/>
      <c r="WBH4" s="484"/>
      <c r="WBI4" s="484"/>
      <c r="WBJ4" s="484"/>
      <c r="WBK4" s="484"/>
      <c r="WBL4" s="484"/>
      <c r="WBM4" s="484"/>
      <c r="WBN4" s="484"/>
      <c r="WBO4" s="484"/>
      <c r="WBP4" s="484"/>
      <c r="WBQ4" s="484"/>
      <c r="WBR4" s="484"/>
      <c r="WBS4" s="484"/>
      <c r="WBT4" s="484"/>
      <c r="WBU4" s="484"/>
      <c r="WBV4" s="484"/>
      <c r="WBW4" s="484"/>
      <c r="WBX4" s="484"/>
      <c r="WBY4" s="484"/>
      <c r="WBZ4" s="484"/>
      <c r="WCA4" s="484"/>
      <c r="WCB4" s="484"/>
      <c r="WCC4" s="484"/>
      <c r="WCD4" s="484"/>
      <c r="WCE4" s="484"/>
      <c r="WCF4" s="484"/>
      <c r="WCG4" s="484"/>
      <c r="WCH4" s="484"/>
      <c r="WCI4" s="484"/>
      <c r="WCJ4" s="484"/>
      <c r="WCK4" s="484"/>
      <c r="WCL4" s="484"/>
      <c r="WCM4" s="484"/>
      <c r="WCN4" s="484"/>
      <c r="WCO4" s="484"/>
      <c r="WCP4" s="484"/>
      <c r="WCQ4" s="484"/>
      <c r="WCR4" s="484"/>
      <c r="WCS4" s="484"/>
      <c r="WCT4" s="484"/>
      <c r="WCU4" s="484"/>
      <c r="WCV4" s="484"/>
      <c r="WCW4" s="484"/>
      <c r="WCX4" s="484"/>
      <c r="WCY4" s="484"/>
      <c r="WCZ4" s="484"/>
      <c r="WDA4" s="484"/>
      <c r="WDB4" s="484"/>
      <c r="WDC4" s="484"/>
      <c r="WDD4" s="484"/>
      <c r="WDE4" s="484"/>
      <c r="WDF4" s="484"/>
      <c r="WDG4" s="484"/>
      <c r="WDH4" s="484"/>
      <c r="WDI4" s="484"/>
      <c r="WDJ4" s="484"/>
      <c r="WDK4" s="484"/>
      <c r="WDL4" s="484"/>
      <c r="WDM4" s="484"/>
      <c r="WDN4" s="484"/>
      <c r="WDO4" s="484"/>
      <c r="WDP4" s="484"/>
      <c r="WDQ4" s="484"/>
      <c r="WDR4" s="484"/>
      <c r="WDS4" s="484"/>
      <c r="WDT4" s="484"/>
      <c r="WDU4" s="484"/>
      <c r="WDV4" s="484"/>
      <c r="WDW4" s="484"/>
      <c r="WDX4" s="484"/>
      <c r="WDY4" s="484"/>
      <c r="WDZ4" s="484"/>
      <c r="WEA4" s="484"/>
      <c r="WEB4" s="484"/>
      <c r="WEC4" s="484"/>
      <c r="WED4" s="484"/>
      <c r="WEE4" s="484"/>
      <c r="WEF4" s="484"/>
      <c r="WEG4" s="484"/>
      <c r="WEH4" s="484"/>
      <c r="WEI4" s="484"/>
      <c r="WEJ4" s="484"/>
      <c r="WEK4" s="484"/>
      <c r="WEL4" s="484"/>
      <c r="WEM4" s="484"/>
      <c r="WEN4" s="484"/>
      <c r="WEO4" s="484"/>
      <c r="WEP4" s="484"/>
      <c r="WEQ4" s="484"/>
      <c r="WER4" s="484"/>
      <c r="WES4" s="484"/>
      <c r="WET4" s="484"/>
      <c r="WEU4" s="484"/>
      <c r="WEV4" s="484"/>
      <c r="WEW4" s="484"/>
      <c r="WEX4" s="484"/>
      <c r="WEY4" s="484"/>
      <c r="WEZ4" s="484"/>
      <c r="WFA4" s="484"/>
      <c r="WFB4" s="484"/>
      <c r="WFC4" s="484"/>
      <c r="WFD4" s="484"/>
      <c r="WFE4" s="484"/>
      <c r="WFF4" s="484"/>
      <c r="WFG4" s="484"/>
      <c r="WFH4" s="484"/>
      <c r="WFI4" s="484"/>
      <c r="WFJ4" s="484"/>
      <c r="WFK4" s="484"/>
      <c r="WFL4" s="484"/>
      <c r="WFM4" s="484"/>
      <c r="WFN4" s="484"/>
      <c r="WFO4" s="484"/>
      <c r="WFP4" s="484"/>
      <c r="WFQ4" s="484"/>
      <c r="WFR4" s="484"/>
      <c r="WFS4" s="484"/>
      <c r="WFT4" s="484"/>
      <c r="WFU4" s="484"/>
      <c r="WFV4" s="484"/>
      <c r="WFW4" s="484"/>
      <c r="WFX4" s="484"/>
      <c r="WFY4" s="484"/>
      <c r="WFZ4" s="484"/>
      <c r="WGA4" s="484"/>
      <c r="WGB4" s="484"/>
      <c r="WGC4" s="484"/>
      <c r="WGD4" s="484"/>
      <c r="WGE4" s="484"/>
      <c r="WGF4" s="484"/>
      <c r="WGG4" s="484"/>
      <c r="WGH4" s="484"/>
      <c r="WGI4" s="484"/>
      <c r="WGJ4" s="484"/>
      <c r="WGK4" s="484"/>
      <c r="WGL4" s="484"/>
      <c r="WGM4" s="484"/>
      <c r="WGN4" s="484"/>
      <c r="WGO4" s="484"/>
      <c r="WGP4" s="484"/>
      <c r="WGQ4" s="484"/>
      <c r="WGR4" s="484"/>
      <c r="WGS4" s="484"/>
      <c r="WGT4" s="484"/>
      <c r="WGU4" s="484"/>
      <c r="WGV4" s="484"/>
      <c r="WGW4" s="484"/>
      <c r="WGX4" s="484"/>
      <c r="WGY4" s="484"/>
      <c r="WGZ4" s="484"/>
      <c r="WHA4" s="484"/>
      <c r="WHB4" s="484"/>
      <c r="WHC4" s="484"/>
      <c r="WHD4" s="484"/>
      <c r="WHE4" s="484"/>
      <c r="WHF4" s="484"/>
      <c r="WHG4" s="484"/>
      <c r="WHH4" s="484"/>
      <c r="WHI4" s="484"/>
      <c r="WHJ4" s="484"/>
      <c r="WHK4" s="484"/>
      <c r="WHL4" s="484"/>
      <c r="WHM4" s="484"/>
      <c r="WHN4" s="484"/>
      <c r="WHO4" s="484"/>
      <c r="WHP4" s="484"/>
      <c r="WHQ4" s="484"/>
      <c r="WHR4" s="484"/>
      <c r="WHS4" s="484"/>
      <c r="WHT4" s="484"/>
      <c r="WHU4" s="484"/>
      <c r="WHV4" s="484"/>
      <c r="WHW4" s="484"/>
      <c r="WHX4" s="484"/>
      <c r="WHY4" s="484"/>
      <c r="WHZ4" s="484"/>
      <c r="WIA4" s="484"/>
      <c r="WIB4" s="484"/>
      <c r="WIC4" s="484"/>
      <c r="WID4" s="484"/>
      <c r="WIE4" s="484"/>
      <c r="WIF4" s="484"/>
      <c r="WIG4" s="484"/>
      <c r="WIH4" s="484"/>
      <c r="WII4" s="484"/>
      <c r="WIJ4" s="484"/>
      <c r="WIK4" s="484"/>
      <c r="WIL4" s="484"/>
      <c r="WIM4" s="484"/>
      <c r="WIN4" s="484"/>
      <c r="WIO4" s="484"/>
      <c r="WIP4" s="484"/>
      <c r="WIQ4" s="484"/>
      <c r="WIR4" s="484"/>
      <c r="WIS4" s="484"/>
      <c r="WIT4" s="484"/>
      <c r="WIU4" s="484"/>
      <c r="WIV4" s="484"/>
      <c r="WIW4" s="484"/>
      <c r="WIX4" s="484"/>
      <c r="WIY4" s="484"/>
      <c r="WIZ4" s="484"/>
      <c r="WJA4" s="484"/>
      <c r="WJB4" s="484"/>
      <c r="WJC4" s="484"/>
      <c r="WJD4" s="484"/>
      <c r="WJE4" s="484"/>
      <c r="WJF4" s="484"/>
      <c r="WJG4" s="484"/>
      <c r="WJH4" s="484"/>
      <c r="WJI4" s="484"/>
      <c r="WJJ4" s="484"/>
      <c r="WJK4" s="484"/>
      <c r="WJL4" s="484"/>
      <c r="WJM4" s="484"/>
      <c r="WJN4" s="484"/>
      <c r="WJO4" s="484"/>
      <c r="WJP4" s="484"/>
      <c r="WJQ4" s="484"/>
      <c r="WJR4" s="484"/>
      <c r="WJS4" s="484"/>
      <c r="WJT4" s="484"/>
      <c r="WJU4" s="484"/>
      <c r="WJV4" s="484"/>
      <c r="WJW4" s="484"/>
      <c r="WJX4" s="484"/>
      <c r="WJY4" s="484"/>
      <c r="WJZ4" s="484"/>
      <c r="WKA4" s="484"/>
      <c r="WKB4" s="484"/>
      <c r="WKC4" s="484"/>
      <c r="WKD4" s="484"/>
      <c r="WKE4" s="484"/>
      <c r="WKF4" s="484"/>
      <c r="WKG4" s="484"/>
      <c r="WKH4" s="484"/>
      <c r="WKI4" s="484"/>
      <c r="WKJ4" s="484"/>
      <c r="WKK4" s="484"/>
      <c r="WKL4" s="484"/>
      <c r="WKM4" s="484"/>
      <c r="WKN4" s="484"/>
      <c r="WKO4" s="484"/>
      <c r="WKP4" s="484"/>
      <c r="WKQ4" s="484"/>
      <c r="WKR4" s="484"/>
      <c r="WKS4" s="484"/>
      <c r="WKT4" s="484"/>
      <c r="WKU4" s="484"/>
      <c r="WKV4" s="484"/>
      <c r="WKW4" s="484"/>
      <c r="WKX4" s="484"/>
      <c r="WKY4" s="484"/>
      <c r="WKZ4" s="484"/>
      <c r="WLA4" s="484"/>
      <c r="WLB4" s="484"/>
      <c r="WLC4" s="484"/>
      <c r="WLD4" s="484"/>
      <c r="WLE4" s="484"/>
      <c r="WLF4" s="484"/>
      <c r="WLG4" s="484"/>
      <c r="WLH4" s="484"/>
      <c r="WLI4" s="484"/>
      <c r="WLJ4" s="484"/>
      <c r="WLK4" s="484"/>
      <c r="WLL4" s="484"/>
      <c r="WLM4" s="484"/>
      <c r="WLN4" s="484"/>
      <c r="WLO4" s="484"/>
      <c r="WLP4" s="484"/>
      <c r="WLQ4" s="484"/>
      <c r="WLR4" s="484"/>
      <c r="WLS4" s="484"/>
      <c r="WLT4" s="484"/>
      <c r="WLU4" s="484"/>
      <c r="WLV4" s="484"/>
      <c r="WLW4" s="484"/>
      <c r="WLX4" s="484"/>
      <c r="WLY4" s="484"/>
      <c r="WLZ4" s="484"/>
      <c r="WMA4" s="484"/>
      <c r="WMB4" s="484"/>
      <c r="WMC4" s="484"/>
      <c r="WMD4" s="484"/>
      <c r="WME4" s="484"/>
      <c r="WMF4" s="484"/>
      <c r="WMG4" s="484"/>
      <c r="WMH4" s="484"/>
      <c r="WMI4" s="484"/>
      <c r="WMJ4" s="484"/>
      <c r="WMK4" s="484"/>
      <c r="WML4" s="484"/>
      <c r="WMM4" s="484"/>
      <c r="WMN4" s="484"/>
      <c r="WMO4" s="484"/>
      <c r="WMP4" s="484"/>
      <c r="WMQ4" s="484"/>
      <c r="WMR4" s="484"/>
      <c r="WMS4" s="484"/>
      <c r="WMT4" s="484"/>
      <c r="WMU4" s="484"/>
      <c r="WMV4" s="484"/>
      <c r="WMW4" s="484"/>
      <c r="WMX4" s="484"/>
      <c r="WMY4" s="484"/>
      <c r="WMZ4" s="484"/>
      <c r="WNA4" s="484"/>
      <c r="WNB4" s="484"/>
      <c r="WNC4" s="484"/>
      <c r="WND4" s="484"/>
      <c r="WNE4" s="484"/>
      <c r="WNF4" s="484"/>
      <c r="WNG4" s="484"/>
      <c r="WNH4" s="484"/>
      <c r="WNI4" s="484"/>
      <c r="WNJ4" s="484"/>
      <c r="WNK4" s="484"/>
      <c r="WNL4" s="484"/>
      <c r="WNM4" s="484"/>
      <c r="WNN4" s="484"/>
      <c r="WNO4" s="484"/>
      <c r="WNP4" s="484"/>
      <c r="WNQ4" s="484"/>
      <c r="WNR4" s="484"/>
      <c r="WNS4" s="484"/>
      <c r="WNT4" s="484"/>
      <c r="WNU4" s="484"/>
      <c r="WNV4" s="484"/>
      <c r="WNW4" s="484"/>
      <c r="WNX4" s="484"/>
      <c r="WNY4" s="484"/>
      <c r="WNZ4" s="484"/>
      <c r="WOA4" s="484"/>
      <c r="WOB4" s="484"/>
      <c r="WOC4" s="484"/>
      <c r="WOD4" s="484"/>
      <c r="WOE4" s="484"/>
      <c r="WOF4" s="484"/>
      <c r="WOG4" s="484"/>
      <c r="WOH4" s="484"/>
      <c r="WOI4" s="484"/>
      <c r="WOJ4" s="484"/>
      <c r="WOK4" s="484"/>
      <c r="WOL4" s="484"/>
      <c r="WOM4" s="484"/>
      <c r="WON4" s="484"/>
      <c r="WOO4" s="484"/>
      <c r="WOP4" s="484"/>
      <c r="WOQ4" s="484"/>
      <c r="WOR4" s="484"/>
      <c r="WOS4" s="484"/>
      <c r="WOT4" s="484"/>
      <c r="WOU4" s="484"/>
      <c r="WOV4" s="484"/>
      <c r="WOW4" s="484"/>
      <c r="WOX4" s="484"/>
      <c r="WOY4" s="484"/>
      <c r="WOZ4" s="484"/>
      <c r="WPA4" s="484"/>
      <c r="WPB4" s="484"/>
      <c r="WPC4" s="484"/>
      <c r="WPD4" s="484"/>
      <c r="WPE4" s="484"/>
      <c r="WPF4" s="484"/>
      <c r="WPG4" s="484"/>
      <c r="WPH4" s="484"/>
      <c r="WPI4" s="484"/>
      <c r="WPJ4" s="484"/>
      <c r="WPK4" s="484"/>
      <c r="WPL4" s="484"/>
      <c r="WPM4" s="484"/>
      <c r="WPN4" s="484"/>
      <c r="WPO4" s="484"/>
      <c r="WPP4" s="484"/>
      <c r="WPQ4" s="484"/>
      <c r="WPR4" s="484"/>
      <c r="WPS4" s="484"/>
      <c r="WPT4" s="484"/>
      <c r="WPU4" s="484"/>
      <c r="WPV4" s="484"/>
      <c r="WPW4" s="484"/>
      <c r="WPX4" s="484"/>
      <c r="WPY4" s="484"/>
      <c r="WPZ4" s="484"/>
      <c r="WQA4" s="484"/>
      <c r="WQB4" s="484"/>
      <c r="WQC4" s="484"/>
      <c r="WQD4" s="484"/>
      <c r="WQE4" s="484"/>
      <c r="WQF4" s="484"/>
      <c r="WQG4" s="484"/>
      <c r="WQH4" s="484"/>
      <c r="WQI4" s="484"/>
      <c r="WQJ4" s="484"/>
      <c r="WQK4" s="484"/>
      <c r="WQL4" s="484"/>
      <c r="WQM4" s="484"/>
      <c r="WQN4" s="484"/>
      <c r="WQO4" s="484"/>
      <c r="WQP4" s="484"/>
      <c r="WQQ4" s="484"/>
      <c r="WQR4" s="484"/>
      <c r="WQS4" s="484"/>
      <c r="WQT4" s="484"/>
      <c r="WQU4" s="484"/>
      <c r="WQV4" s="484"/>
      <c r="WQW4" s="484"/>
      <c r="WQX4" s="484"/>
      <c r="WQY4" s="484"/>
      <c r="WQZ4" s="484"/>
      <c r="WRA4" s="484"/>
      <c r="WRB4" s="484"/>
      <c r="WRC4" s="484"/>
      <c r="WRD4" s="484"/>
      <c r="WRE4" s="484"/>
      <c r="WRF4" s="484"/>
      <c r="WRG4" s="484"/>
      <c r="WRH4" s="484"/>
      <c r="WRI4" s="484"/>
      <c r="WRJ4" s="484"/>
      <c r="WRK4" s="484"/>
      <c r="WRL4" s="484"/>
      <c r="WRM4" s="484"/>
      <c r="WRN4" s="484"/>
      <c r="WRO4" s="484"/>
      <c r="WRP4" s="484"/>
      <c r="WRQ4" s="484"/>
      <c r="WRR4" s="484"/>
      <c r="WRS4" s="484"/>
      <c r="WRT4" s="484"/>
      <c r="WRU4" s="484"/>
      <c r="WRV4" s="484"/>
      <c r="WRW4" s="484"/>
      <c r="WRX4" s="484"/>
      <c r="WRY4" s="484"/>
      <c r="WRZ4" s="484"/>
      <c r="WSA4" s="484"/>
      <c r="WSB4" s="484"/>
      <c r="WSC4" s="484"/>
      <c r="WSD4" s="484"/>
      <c r="WSE4" s="484"/>
      <c r="WSF4" s="484"/>
      <c r="WSG4" s="484"/>
      <c r="WSH4" s="484"/>
      <c r="WSI4" s="484"/>
      <c r="WSJ4" s="484"/>
      <c r="WSK4" s="484"/>
      <c r="WSL4" s="484"/>
      <c r="WSM4" s="484"/>
      <c r="WSN4" s="484"/>
      <c r="WSO4" s="484"/>
      <c r="WSP4" s="484"/>
      <c r="WSQ4" s="484"/>
      <c r="WSR4" s="484"/>
      <c r="WSS4" s="484"/>
      <c r="WST4" s="484"/>
      <c r="WSU4" s="484"/>
      <c r="WSV4" s="484"/>
      <c r="WSW4" s="484"/>
      <c r="WSX4" s="484"/>
      <c r="WSY4" s="484"/>
      <c r="WSZ4" s="484"/>
      <c r="WTA4" s="484"/>
      <c r="WTB4" s="484"/>
      <c r="WTC4" s="484"/>
      <c r="WTD4" s="484"/>
      <c r="WTE4" s="484"/>
      <c r="WTF4" s="484"/>
      <c r="WTG4" s="484"/>
      <c r="WTH4" s="484"/>
      <c r="WTI4" s="484"/>
      <c r="WTJ4" s="484"/>
      <c r="WTK4" s="484"/>
      <c r="WTL4" s="484"/>
      <c r="WTM4" s="484"/>
      <c r="WTN4" s="484"/>
      <c r="WTO4" s="484"/>
      <c r="WTP4" s="484"/>
      <c r="WTQ4" s="484"/>
      <c r="WTR4" s="484"/>
      <c r="WTS4" s="484"/>
      <c r="WTT4" s="484"/>
      <c r="WTU4" s="484"/>
      <c r="WTV4" s="484"/>
      <c r="WTW4" s="484"/>
      <c r="WTX4" s="484"/>
      <c r="WTY4" s="484"/>
      <c r="WTZ4" s="484"/>
      <c r="WUA4" s="484"/>
      <c r="WUB4" s="484"/>
      <c r="WUC4" s="484"/>
      <c r="WUD4" s="484"/>
      <c r="WUE4" s="484"/>
      <c r="WUF4" s="484"/>
      <c r="WUG4" s="484"/>
      <c r="WUH4" s="484"/>
      <c r="WUI4" s="484"/>
      <c r="WUJ4" s="484"/>
      <c r="WUK4" s="484"/>
      <c r="WUL4" s="484"/>
      <c r="WUM4" s="484"/>
      <c r="WUN4" s="484"/>
      <c r="WUO4" s="484"/>
      <c r="WUP4" s="484"/>
      <c r="WUQ4" s="484"/>
      <c r="WUR4" s="484"/>
      <c r="WUS4" s="484"/>
      <c r="WUT4" s="484"/>
      <c r="WUU4" s="484"/>
      <c r="WUV4" s="484"/>
      <c r="WUW4" s="484"/>
      <c r="WUX4" s="484"/>
      <c r="WUY4" s="484"/>
      <c r="WUZ4" s="484"/>
      <c r="WVA4" s="484"/>
      <c r="WVB4" s="484"/>
      <c r="WVC4" s="484"/>
      <c r="WVD4" s="484"/>
      <c r="WVE4" s="484"/>
      <c r="WVF4" s="484"/>
      <c r="WVG4" s="484"/>
      <c r="WVH4" s="484"/>
      <c r="WVI4" s="484"/>
      <c r="WVJ4" s="484"/>
      <c r="WVK4" s="484"/>
      <c r="WVL4" s="484"/>
      <c r="WVM4" s="484"/>
      <c r="WVN4" s="484"/>
      <c r="WVO4" s="484"/>
      <c r="WVP4" s="484"/>
      <c r="WVQ4" s="484"/>
      <c r="WVR4" s="484"/>
      <c r="WVS4" s="484"/>
      <c r="WVT4" s="484"/>
      <c r="WVU4" s="484"/>
      <c r="WVV4" s="484"/>
      <c r="WVW4" s="484"/>
      <c r="WVX4" s="484"/>
      <c r="WVY4" s="484"/>
      <c r="WVZ4" s="484"/>
      <c r="WWA4" s="484"/>
      <c r="WWB4" s="484"/>
      <c r="WWC4" s="484"/>
      <c r="WWD4" s="484"/>
      <c r="WWE4" s="484"/>
      <c r="WWF4" s="484"/>
      <c r="WWG4" s="484"/>
      <c r="WWH4" s="484"/>
      <c r="WWI4" s="484"/>
      <c r="WWJ4" s="484"/>
      <c r="WWK4" s="484"/>
      <c r="WWL4" s="484"/>
      <c r="WWM4" s="484"/>
      <c r="WWN4" s="484"/>
      <c r="WWO4" s="484"/>
      <c r="WWP4" s="484"/>
      <c r="WWQ4" s="484"/>
      <c r="WWR4" s="484"/>
      <c r="WWS4" s="484"/>
      <c r="WWT4" s="484"/>
      <c r="WWU4" s="484"/>
      <c r="WWV4" s="484"/>
      <c r="WWW4" s="484"/>
      <c r="WWX4" s="484"/>
      <c r="WWY4" s="484"/>
      <c r="WWZ4" s="484"/>
      <c r="WXA4" s="484"/>
      <c r="WXB4" s="484"/>
      <c r="WXC4" s="484"/>
      <c r="WXD4" s="484"/>
      <c r="WXE4" s="484"/>
      <c r="WXF4" s="484"/>
      <c r="WXG4" s="484"/>
      <c r="WXH4" s="484"/>
      <c r="WXI4" s="484"/>
      <c r="WXJ4" s="484"/>
      <c r="WXK4" s="484"/>
      <c r="WXL4" s="484"/>
      <c r="WXM4" s="484"/>
      <c r="WXN4" s="484"/>
      <c r="WXO4" s="484"/>
      <c r="WXP4" s="484"/>
      <c r="WXQ4" s="484"/>
      <c r="WXR4" s="484"/>
      <c r="WXS4" s="484"/>
      <c r="WXT4" s="484"/>
      <c r="WXU4" s="484"/>
      <c r="WXV4" s="484"/>
      <c r="WXW4" s="484"/>
      <c r="WXX4" s="484"/>
      <c r="WXY4" s="484"/>
      <c r="WXZ4" s="484"/>
      <c r="WYA4" s="484"/>
      <c r="WYB4" s="484"/>
      <c r="WYC4" s="484"/>
      <c r="WYD4" s="484"/>
      <c r="WYE4" s="484"/>
      <c r="WYF4" s="484"/>
      <c r="WYG4" s="484"/>
      <c r="WYH4" s="484"/>
      <c r="WYI4" s="484"/>
      <c r="WYJ4" s="484"/>
      <c r="WYK4" s="484"/>
      <c r="WYL4" s="484"/>
      <c r="WYM4" s="484"/>
      <c r="WYN4" s="484"/>
      <c r="WYO4" s="484"/>
      <c r="WYP4" s="484"/>
      <c r="WYQ4" s="484"/>
      <c r="WYR4" s="484"/>
      <c r="WYS4" s="484"/>
      <c r="WYT4" s="484"/>
      <c r="WYU4" s="484"/>
      <c r="WYV4" s="484"/>
      <c r="WYW4" s="484"/>
      <c r="WYX4" s="484"/>
      <c r="WYY4" s="484"/>
      <c r="WYZ4" s="484"/>
      <c r="WZA4" s="484"/>
      <c r="WZB4" s="484"/>
      <c r="WZC4" s="484"/>
      <c r="WZD4" s="484"/>
      <c r="WZE4" s="484"/>
      <c r="WZF4" s="484"/>
      <c r="WZG4" s="484"/>
      <c r="WZH4" s="484"/>
      <c r="WZI4" s="484"/>
      <c r="WZJ4" s="484"/>
      <c r="WZK4" s="484"/>
      <c r="WZL4" s="484"/>
      <c r="WZM4" s="484"/>
      <c r="WZN4" s="484"/>
      <c r="WZO4" s="484"/>
      <c r="WZP4" s="484"/>
      <c r="WZQ4" s="484"/>
      <c r="WZR4" s="484"/>
      <c r="WZS4" s="484"/>
      <c r="WZT4" s="484"/>
      <c r="WZU4" s="484"/>
      <c r="WZV4" s="484"/>
      <c r="WZW4" s="484"/>
      <c r="WZX4" s="484"/>
      <c r="WZY4" s="484"/>
      <c r="WZZ4" s="484"/>
      <c r="XAA4" s="484"/>
      <c r="XAB4" s="484"/>
      <c r="XAC4" s="484"/>
      <c r="XAD4" s="484"/>
      <c r="XAE4" s="484"/>
      <c r="XAF4" s="484"/>
      <c r="XAG4" s="484"/>
      <c r="XAH4" s="484"/>
      <c r="XAI4" s="484"/>
      <c r="XAJ4" s="484"/>
      <c r="XAK4" s="484"/>
      <c r="XAL4" s="484"/>
      <c r="XAM4" s="484"/>
      <c r="XAN4" s="484"/>
      <c r="XAO4" s="484"/>
      <c r="XAP4" s="484"/>
      <c r="XAQ4" s="484"/>
      <c r="XAR4" s="484"/>
      <c r="XAS4" s="484"/>
      <c r="XAT4" s="484"/>
      <c r="XAU4" s="484"/>
      <c r="XAV4" s="484"/>
      <c r="XAW4" s="484"/>
      <c r="XAX4" s="484"/>
      <c r="XAY4" s="484"/>
      <c r="XAZ4" s="484"/>
      <c r="XBA4" s="484"/>
      <c r="XBB4" s="484"/>
      <c r="XBC4" s="484"/>
      <c r="XBD4" s="484"/>
      <c r="XBE4" s="484"/>
      <c r="XBF4" s="484"/>
      <c r="XBG4" s="484"/>
      <c r="XBH4" s="484"/>
      <c r="XBI4" s="484"/>
      <c r="XBJ4" s="484"/>
      <c r="XBK4" s="484"/>
      <c r="XBL4" s="484"/>
      <c r="XBM4" s="484"/>
      <c r="XBN4" s="484"/>
      <c r="XBO4" s="484"/>
      <c r="XBP4" s="484"/>
      <c r="XBQ4" s="484"/>
      <c r="XBR4" s="484"/>
      <c r="XBS4" s="484"/>
      <c r="XBT4" s="484"/>
      <c r="XBU4" s="484"/>
      <c r="XBV4" s="484"/>
      <c r="XBW4" s="484"/>
      <c r="XBX4" s="484"/>
      <c r="XBY4" s="484"/>
      <c r="XBZ4" s="484"/>
      <c r="XCA4" s="484"/>
      <c r="XCB4" s="484"/>
      <c r="XCC4" s="484"/>
      <c r="XCD4" s="484"/>
      <c r="XCE4" s="484"/>
      <c r="XCF4" s="484"/>
      <c r="XCG4" s="484"/>
      <c r="XCH4" s="484"/>
      <c r="XCI4" s="484"/>
      <c r="XCJ4" s="484"/>
      <c r="XCK4" s="484"/>
      <c r="XCL4" s="484"/>
      <c r="XCM4" s="484"/>
      <c r="XCN4" s="484"/>
      <c r="XCO4" s="484"/>
      <c r="XCP4" s="484"/>
      <c r="XCQ4" s="484"/>
      <c r="XCR4" s="484"/>
      <c r="XCS4" s="484"/>
      <c r="XCT4" s="484"/>
      <c r="XCU4" s="484"/>
      <c r="XCV4" s="484"/>
      <c r="XCW4" s="484"/>
      <c r="XCX4" s="484"/>
      <c r="XCY4" s="484"/>
      <c r="XCZ4" s="484"/>
      <c r="XDA4" s="484"/>
      <c r="XDB4" s="484"/>
      <c r="XDC4" s="484"/>
      <c r="XDD4" s="484"/>
      <c r="XDE4" s="484"/>
      <c r="XDF4" s="484"/>
      <c r="XDG4" s="484"/>
      <c r="XDH4" s="484"/>
      <c r="XDI4" s="484"/>
      <c r="XDJ4" s="484"/>
      <c r="XDK4" s="484"/>
      <c r="XDL4" s="484"/>
      <c r="XDM4" s="484"/>
      <c r="XDN4" s="484"/>
      <c r="XDO4" s="484"/>
      <c r="XDP4" s="484"/>
      <c r="XDQ4" s="484"/>
      <c r="XDR4" s="484"/>
      <c r="XDS4" s="484"/>
      <c r="XDT4" s="484"/>
      <c r="XDU4" s="484"/>
      <c r="XDV4" s="484"/>
      <c r="XDW4" s="484"/>
      <c r="XDX4" s="484"/>
      <c r="XDY4" s="484"/>
      <c r="XDZ4" s="484"/>
      <c r="XEA4" s="484"/>
      <c r="XEB4" s="484"/>
      <c r="XEC4" s="484"/>
      <c r="XED4" s="484"/>
      <c r="XEE4" s="484"/>
      <c r="XEF4" s="484"/>
      <c r="XEG4" s="484"/>
      <c r="XEH4" s="484"/>
      <c r="XEI4" s="484"/>
      <c r="XEJ4" s="484"/>
      <c r="XEK4" s="484"/>
      <c r="XEL4" s="484"/>
      <c r="XEM4" s="484"/>
      <c r="XEN4" s="484"/>
      <c r="XEO4" s="484"/>
      <c r="XEP4" s="484"/>
      <c r="XEQ4" s="484"/>
      <c r="XER4" s="484"/>
      <c r="XES4" s="484"/>
      <c r="XET4" s="484"/>
      <c r="XEU4" s="484"/>
      <c r="XEV4" s="484"/>
      <c r="XEW4" s="484"/>
      <c r="XEX4" s="484"/>
      <c r="XEY4" s="484"/>
      <c r="XEZ4" s="484"/>
      <c r="XFA4" s="484"/>
      <c r="XFB4" s="484"/>
      <c r="XFC4" s="484"/>
      <c r="XFD4" s="4"/>
    </row>
    <row r="5" spans="1:16384" x14ac:dyDescent="0.25">
      <c r="A5" s="485"/>
      <c r="B5" s="485"/>
      <c r="C5" s="485"/>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C5" s="484"/>
      <c r="AD5" s="484"/>
      <c r="AE5" s="484"/>
      <c r="AF5" s="484"/>
      <c r="AG5" s="484"/>
      <c r="AH5" s="484"/>
      <c r="AI5" s="484"/>
      <c r="AJ5" s="484"/>
      <c r="AK5" s="484"/>
      <c r="AL5" s="484"/>
      <c r="AM5" s="484"/>
      <c r="AN5" s="484"/>
      <c r="AO5" s="484"/>
      <c r="AP5" s="484"/>
      <c r="AQ5" s="484"/>
      <c r="AR5" s="484"/>
      <c r="AS5" s="484"/>
      <c r="AT5" s="484"/>
      <c r="AU5" s="484"/>
      <c r="AV5" s="484"/>
      <c r="AW5" s="484"/>
      <c r="AX5" s="484"/>
      <c r="AY5" s="484"/>
      <c r="AZ5" s="484"/>
      <c r="BA5" s="484"/>
      <c r="BB5" s="484"/>
      <c r="BC5" s="484"/>
      <c r="BD5" s="484"/>
      <c r="BE5" s="484"/>
      <c r="BF5" s="484"/>
      <c r="BG5" s="484"/>
      <c r="BH5" s="484"/>
      <c r="BI5" s="484"/>
      <c r="BJ5" s="484"/>
      <c r="BK5" s="484"/>
      <c r="BL5" s="484"/>
      <c r="BM5" s="484"/>
      <c r="BN5" s="484"/>
      <c r="BO5" s="484"/>
      <c r="BP5" s="484"/>
      <c r="BQ5" s="484"/>
      <c r="BR5" s="484"/>
      <c r="BS5" s="484"/>
      <c r="BT5" s="484"/>
      <c r="BU5" s="484"/>
      <c r="BV5" s="484"/>
      <c r="BW5" s="484"/>
      <c r="BX5" s="484"/>
      <c r="BY5" s="484"/>
      <c r="BZ5" s="484"/>
      <c r="CA5" s="484"/>
      <c r="CB5" s="484"/>
      <c r="CC5" s="484"/>
      <c r="CD5" s="484"/>
      <c r="CE5" s="484"/>
      <c r="CF5" s="484"/>
      <c r="CG5" s="484"/>
      <c r="CH5" s="484"/>
      <c r="CI5" s="484"/>
      <c r="CJ5" s="484"/>
      <c r="CK5" s="484"/>
      <c r="CL5" s="484"/>
      <c r="CM5" s="484"/>
      <c r="CN5" s="484"/>
      <c r="CO5" s="484"/>
      <c r="CP5" s="484"/>
      <c r="CQ5" s="484"/>
      <c r="CR5" s="484"/>
      <c r="CS5" s="484"/>
      <c r="CT5" s="484"/>
      <c r="CU5" s="484"/>
      <c r="CV5" s="484"/>
      <c r="CW5" s="484"/>
      <c r="CX5" s="484"/>
      <c r="CY5" s="484"/>
      <c r="CZ5" s="484"/>
      <c r="DA5" s="484"/>
      <c r="DB5" s="484"/>
      <c r="DC5" s="484"/>
      <c r="DD5" s="484"/>
      <c r="DE5" s="484"/>
      <c r="DF5" s="484"/>
      <c r="DG5" s="484"/>
      <c r="DH5" s="484"/>
      <c r="DI5" s="484"/>
      <c r="DJ5" s="484"/>
      <c r="DK5" s="484"/>
      <c r="DL5" s="484"/>
      <c r="DM5" s="484"/>
      <c r="DN5" s="484"/>
      <c r="DO5" s="484"/>
      <c r="DP5" s="484"/>
      <c r="DQ5" s="484"/>
      <c r="DR5" s="484"/>
      <c r="DS5" s="484"/>
      <c r="DT5" s="484"/>
      <c r="DU5" s="484"/>
      <c r="DV5" s="484"/>
      <c r="DW5" s="484"/>
      <c r="DX5" s="484"/>
      <c r="DY5" s="484"/>
      <c r="DZ5" s="484"/>
      <c r="EA5" s="484"/>
      <c r="EB5" s="484"/>
      <c r="EC5" s="484"/>
      <c r="ED5" s="484"/>
      <c r="EE5" s="484"/>
      <c r="EF5" s="484"/>
      <c r="EG5" s="484"/>
      <c r="EH5" s="484"/>
      <c r="EI5" s="484"/>
      <c r="EJ5" s="484"/>
      <c r="EK5" s="484"/>
      <c r="EL5" s="484"/>
      <c r="EM5" s="484"/>
      <c r="EN5" s="484"/>
      <c r="EO5" s="484"/>
      <c r="EP5" s="484"/>
      <c r="EQ5" s="484"/>
      <c r="ER5" s="484"/>
      <c r="ES5" s="484"/>
      <c r="ET5" s="484"/>
      <c r="EU5" s="484"/>
      <c r="EV5" s="484"/>
      <c r="EW5" s="484"/>
      <c r="EX5" s="484"/>
      <c r="EY5" s="484"/>
      <c r="EZ5" s="484"/>
      <c r="FA5" s="484"/>
      <c r="FB5" s="484"/>
      <c r="FC5" s="484"/>
      <c r="FD5" s="484"/>
      <c r="FE5" s="484"/>
      <c r="FF5" s="484"/>
      <c r="FG5" s="484"/>
      <c r="FH5" s="484"/>
      <c r="FI5" s="484"/>
      <c r="FJ5" s="484"/>
      <c r="FK5" s="484"/>
      <c r="FL5" s="484"/>
      <c r="FM5" s="484"/>
      <c r="FN5" s="484"/>
      <c r="FO5" s="484"/>
      <c r="FP5" s="484"/>
      <c r="FQ5" s="484"/>
      <c r="FR5" s="484"/>
      <c r="FS5" s="484"/>
      <c r="FT5" s="484"/>
      <c r="FU5" s="484"/>
      <c r="FV5" s="484"/>
      <c r="FW5" s="484"/>
      <c r="FX5" s="484"/>
      <c r="FY5" s="484"/>
      <c r="FZ5" s="484"/>
      <c r="GA5" s="484"/>
      <c r="GB5" s="484"/>
      <c r="GC5" s="484"/>
      <c r="GD5" s="484"/>
      <c r="GE5" s="484"/>
      <c r="GF5" s="484"/>
      <c r="GG5" s="484"/>
      <c r="GH5" s="484"/>
      <c r="GI5" s="484"/>
      <c r="GJ5" s="484"/>
      <c r="GK5" s="484"/>
      <c r="GL5" s="484"/>
      <c r="GM5" s="484"/>
      <c r="GN5" s="484"/>
      <c r="GO5" s="484"/>
      <c r="GP5" s="484"/>
      <c r="GQ5" s="484"/>
      <c r="GR5" s="484"/>
      <c r="GS5" s="484"/>
      <c r="GT5" s="484"/>
      <c r="GU5" s="484"/>
      <c r="GV5" s="484"/>
      <c r="GW5" s="484"/>
      <c r="GX5" s="484"/>
      <c r="GY5" s="484"/>
      <c r="GZ5" s="484"/>
      <c r="HA5" s="484"/>
      <c r="HB5" s="484"/>
      <c r="HC5" s="484"/>
      <c r="HD5" s="484"/>
      <c r="HE5" s="484"/>
      <c r="HF5" s="484"/>
      <c r="HG5" s="484"/>
      <c r="HH5" s="484"/>
      <c r="HI5" s="484"/>
      <c r="HJ5" s="484"/>
      <c r="HK5" s="484"/>
      <c r="HL5" s="484"/>
      <c r="HM5" s="484"/>
      <c r="HN5" s="484"/>
      <c r="HO5" s="484"/>
      <c r="HP5" s="484"/>
      <c r="HQ5" s="484"/>
      <c r="HR5" s="484"/>
      <c r="HS5" s="484"/>
      <c r="HT5" s="484"/>
      <c r="HU5" s="484"/>
      <c r="HV5" s="484"/>
      <c r="HW5" s="484"/>
      <c r="HX5" s="484"/>
      <c r="HY5" s="484"/>
      <c r="HZ5" s="484"/>
      <c r="IA5" s="484"/>
      <c r="IB5" s="484"/>
      <c r="IC5" s="484"/>
      <c r="ID5" s="484"/>
      <c r="IE5" s="484"/>
      <c r="IF5" s="484"/>
      <c r="IG5" s="484"/>
      <c r="IH5" s="484"/>
      <c r="II5" s="484"/>
      <c r="IJ5" s="484"/>
      <c r="IK5" s="484"/>
      <c r="IL5" s="484"/>
      <c r="IM5" s="484"/>
      <c r="IN5" s="484"/>
      <c r="IO5" s="484"/>
      <c r="IP5" s="484"/>
      <c r="IQ5" s="484"/>
      <c r="IR5" s="484"/>
      <c r="IS5" s="484"/>
      <c r="IT5" s="484"/>
      <c r="IU5" s="484"/>
      <c r="IV5" s="484"/>
      <c r="IW5" s="484"/>
      <c r="IX5" s="484"/>
      <c r="IY5" s="484"/>
      <c r="IZ5" s="484"/>
      <c r="JA5" s="484"/>
      <c r="JB5" s="484"/>
      <c r="JC5" s="484"/>
      <c r="JD5" s="484"/>
      <c r="JE5" s="484"/>
      <c r="JF5" s="484"/>
      <c r="JG5" s="484"/>
      <c r="JH5" s="484"/>
      <c r="JI5" s="484"/>
      <c r="JJ5" s="484"/>
      <c r="JK5" s="484"/>
      <c r="JL5" s="484"/>
      <c r="JM5" s="484"/>
      <c r="JN5" s="484"/>
      <c r="JO5" s="484"/>
      <c r="JP5" s="484"/>
      <c r="JQ5" s="484"/>
      <c r="JR5" s="484"/>
      <c r="JS5" s="484"/>
      <c r="JT5" s="484"/>
      <c r="JU5" s="484"/>
      <c r="JV5" s="484"/>
      <c r="JW5" s="484"/>
      <c r="JX5" s="484"/>
      <c r="JY5" s="484"/>
      <c r="JZ5" s="484"/>
      <c r="KA5" s="484"/>
      <c r="KB5" s="484"/>
      <c r="KC5" s="484"/>
      <c r="KD5" s="484"/>
      <c r="KE5" s="484"/>
      <c r="KF5" s="484"/>
      <c r="KG5" s="484"/>
      <c r="KH5" s="484"/>
      <c r="KI5" s="484"/>
      <c r="KJ5" s="484"/>
      <c r="KK5" s="484"/>
      <c r="KL5" s="484"/>
      <c r="KM5" s="484"/>
      <c r="KN5" s="484"/>
      <c r="KO5" s="484"/>
      <c r="KP5" s="484"/>
      <c r="KQ5" s="484"/>
      <c r="KR5" s="484"/>
      <c r="KS5" s="484"/>
      <c r="KT5" s="484"/>
      <c r="KU5" s="484"/>
      <c r="KV5" s="484"/>
      <c r="KW5" s="484"/>
      <c r="KX5" s="484"/>
      <c r="KY5" s="484"/>
      <c r="KZ5" s="484"/>
      <c r="LA5" s="484"/>
      <c r="LB5" s="484"/>
      <c r="LC5" s="484"/>
      <c r="LD5" s="484"/>
      <c r="LE5" s="484"/>
      <c r="LF5" s="484"/>
      <c r="LG5" s="484"/>
      <c r="LH5" s="484"/>
      <c r="LI5" s="484"/>
      <c r="LJ5" s="484"/>
      <c r="LK5" s="484"/>
      <c r="LL5" s="484"/>
      <c r="LM5" s="484"/>
      <c r="LN5" s="484"/>
      <c r="LO5" s="484"/>
      <c r="LP5" s="484"/>
      <c r="LQ5" s="484"/>
      <c r="LR5" s="484"/>
      <c r="LS5" s="484"/>
      <c r="LT5" s="484"/>
      <c r="LU5" s="484"/>
      <c r="LV5" s="484"/>
      <c r="LW5" s="484"/>
      <c r="LX5" s="484"/>
      <c r="LY5" s="484"/>
      <c r="LZ5" s="484"/>
      <c r="MA5" s="484"/>
      <c r="MB5" s="484"/>
      <c r="MC5" s="484"/>
      <c r="MD5" s="484"/>
      <c r="ME5" s="484"/>
      <c r="MF5" s="484"/>
      <c r="MG5" s="484"/>
      <c r="MH5" s="484"/>
      <c r="MI5" s="484"/>
      <c r="MJ5" s="484"/>
      <c r="MK5" s="484"/>
      <c r="ML5" s="484"/>
      <c r="MM5" s="484"/>
      <c r="MN5" s="484"/>
      <c r="MO5" s="484"/>
      <c r="MP5" s="484"/>
      <c r="MQ5" s="484"/>
      <c r="MR5" s="484"/>
      <c r="MS5" s="484"/>
      <c r="MT5" s="484"/>
      <c r="MU5" s="484"/>
      <c r="MV5" s="484"/>
      <c r="MW5" s="484"/>
      <c r="MX5" s="484"/>
      <c r="MY5" s="484"/>
      <c r="MZ5" s="484"/>
      <c r="NA5" s="484"/>
      <c r="NB5" s="484"/>
      <c r="NC5" s="484"/>
      <c r="ND5" s="484"/>
      <c r="NE5" s="484"/>
      <c r="NF5" s="484"/>
      <c r="NG5" s="484"/>
      <c r="NH5" s="484"/>
      <c r="NI5" s="484"/>
      <c r="NJ5" s="484"/>
      <c r="NK5" s="484"/>
      <c r="NL5" s="484"/>
      <c r="NM5" s="484"/>
      <c r="NN5" s="484"/>
      <c r="NO5" s="484"/>
      <c r="NP5" s="484"/>
      <c r="NQ5" s="484"/>
      <c r="NR5" s="484"/>
      <c r="NS5" s="484"/>
      <c r="NT5" s="484"/>
      <c r="NU5" s="484"/>
      <c r="NV5" s="484"/>
      <c r="NW5" s="484"/>
      <c r="NX5" s="484"/>
      <c r="NY5" s="484"/>
      <c r="NZ5" s="484"/>
      <c r="OA5" s="484"/>
      <c r="OB5" s="484"/>
      <c r="OC5" s="484"/>
      <c r="OD5" s="484"/>
      <c r="OE5" s="484"/>
      <c r="OF5" s="484"/>
      <c r="OG5" s="484"/>
      <c r="OH5" s="484"/>
      <c r="OI5" s="484"/>
      <c r="OJ5" s="484"/>
      <c r="OK5" s="484"/>
      <c r="OL5" s="484"/>
      <c r="OM5" s="484"/>
      <c r="ON5" s="484"/>
      <c r="OO5" s="484"/>
      <c r="OP5" s="484"/>
      <c r="OQ5" s="484"/>
      <c r="OR5" s="484"/>
      <c r="OS5" s="484"/>
      <c r="OT5" s="484"/>
      <c r="OU5" s="484"/>
      <c r="OV5" s="484"/>
      <c r="OW5" s="484"/>
      <c r="OX5" s="484"/>
      <c r="OY5" s="484"/>
      <c r="OZ5" s="484"/>
      <c r="PA5" s="484"/>
      <c r="PB5" s="484"/>
      <c r="PC5" s="484"/>
      <c r="PD5" s="484"/>
      <c r="PE5" s="484"/>
      <c r="PF5" s="484"/>
      <c r="PG5" s="484"/>
      <c r="PH5" s="484"/>
      <c r="PI5" s="484"/>
      <c r="PJ5" s="484"/>
      <c r="PK5" s="484"/>
      <c r="PL5" s="484"/>
      <c r="PM5" s="484"/>
      <c r="PN5" s="484"/>
      <c r="PO5" s="484"/>
      <c r="PP5" s="484"/>
      <c r="PQ5" s="484"/>
      <c r="PR5" s="484"/>
      <c r="PS5" s="484"/>
      <c r="PT5" s="484"/>
      <c r="PU5" s="484"/>
      <c r="PV5" s="484"/>
      <c r="PW5" s="484"/>
      <c r="PX5" s="484"/>
      <c r="PY5" s="484"/>
      <c r="PZ5" s="484"/>
      <c r="QA5" s="484"/>
      <c r="QB5" s="484"/>
      <c r="QC5" s="484"/>
      <c r="QD5" s="484"/>
      <c r="QE5" s="484"/>
      <c r="QF5" s="484"/>
      <c r="QG5" s="484"/>
      <c r="QH5" s="484"/>
      <c r="QI5" s="484"/>
      <c r="QJ5" s="484"/>
      <c r="QK5" s="484"/>
      <c r="QL5" s="484"/>
      <c r="QM5" s="484"/>
      <c r="QN5" s="484"/>
      <c r="QO5" s="484"/>
      <c r="QP5" s="484"/>
      <c r="QQ5" s="484"/>
      <c r="QR5" s="484"/>
      <c r="QS5" s="484"/>
      <c r="QT5" s="484"/>
      <c r="QU5" s="484"/>
      <c r="QV5" s="484"/>
      <c r="QW5" s="484"/>
      <c r="QX5" s="484"/>
      <c r="QY5" s="484"/>
      <c r="QZ5" s="484"/>
      <c r="RA5" s="484"/>
      <c r="RB5" s="484"/>
      <c r="RC5" s="484"/>
      <c r="RD5" s="484"/>
      <c r="RE5" s="484"/>
      <c r="RF5" s="484"/>
      <c r="RG5" s="484"/>
      <c r="RH5" s="484"/>
      <c r="RI5" s="484"/>
      <c r="RJ5" s="484"/>
      <c r="RK5" s="484"/>
      <c r="RL5" s="484"/>
      <c r="RM5" s="484"/>
      <c r="RN5" s="484"/>
      <c r="RO5" s="484"/>
      <c r="RP5" s="484"/>
      <c r="RQ5" s="484"/>
      <c r="RR5" s="484"/>
      <c r="RS5" s="484"/>
      <c r="RT5" s="484"/>
      <c r="RU5" s="484"/>
      <c r="RV5" s="484"/>
      <c r="RW5" s="484"/>
      <c r="RX5" s="484"/>
      <c r="RY5" s="484"/>
      <c r="RZ5" s="484"/>
      <c r="SA5" s="484"/>
      <c r="SB5" s="484"/>
      <c r="SC5" s="484"/>
      <c r="SD5" s="484"/>
      <c r="SE5" s="484"/>
      <c r="SF5" s="484"/>
      <c r="SG5" s="484"/>
      <c r="SH5" s="484"/>
      <c r="SI5" s="484"/>
      <c r="SJ5" s="484"/>
      <c r="SK5" s="484"/>
      <c r="SL5" s="484"/>
      <c r="SM5" s="484"/>
      <c r="SN5" s="484"/>
      <c r="SO5" s="484"/>
      <c r="SP5" s="484"/>
      <c r="SQ5" s="484"/>
      <c r="SR5" s="484"/>
      <c r="SS5" s="484"/>
      <c r="ST5" s="484"/>
      <c r="SU5" s="484"/>
      <c r="SV5" s="484"/>
      <c r="SW5" s="484"/>
      <c r="SX5" s="484"/>
      <c r="SY5" s="484"/>
      <c r="SZ5" s="484"/>
      <c r="TA5" s="484"/>
      <c r="TB5" s="484"/>
      <c r="TC5" s="484"/>
      <c r="TD5" s="484"/>
      <c r="TE5" s="484"/>
      <c r="TF5" s="484"/>
      <c r="TG5" s="484"/>
      <c r="TH5" s="484"/>
      <c r="TI5" s="484"/>
      <c r="TJ5" s="484"/>
      <c r="TK5" s="484"/>
      <c r="TL5" s="484"/>
      <c r="TM5" s="484"/>
      <c r="TN5" s="484"/>
      <c r="TO5" s="484"/>
      <c r="TP5" s="484"/>
      <c r="TQ5" s="484"/>
      <c r="TR5" s="484"/>
      <c r="TS5" s="484"/>
      <c r="TT5" s="484"/>
      <c r="TU5" s="484"/>
      <c r="TV5" s="484"/>
      <c r="TW5" s="484"/>
      <c r="TX5" s="484"/>
      <c r="TY5" s="484"/>
      <c r="TZ5" s="484"/>
      <c r="UA5" s="484"/>
      <c r="UB5" s="484"/>
      <c r="UC5" s="484"/>
      <c r="UD5" s="484"/>
      <c r="UE5" s="484"/>
      <c r="UF5" s="484"/>
      <c r="UG5" s="484"/>
      <c r="UH5" s="484"/>
      <c r="UI5" s="484"/>
      <c r="UJ5" s="484"/>
      <c r="UK5" s="484"/>
      <c r="UL5" s="484"/>
      <c r="UM5" s="484"/>
      <c r="UN5" s="484"/>
      <c r="UO5" s="484"/>
      <c r="UP5" s="484"/>
      <c r="UQ5" s="484"/>
      <c r="UR5" s="484"/>
      <c r="US5" s="484"/>
      <c r="UT5" s="484"/>
      <c r="UU5" s="484"/>
      <c r="UV5" s="484"/>
      <c r="UW5" s="484"/>
      <c r="UX5" s="484"/>
      <c r="UY5" s="484"/>
      <c r="UZ5" s="484"/>
      <c r="VA5" s="484"/>
      <c r="VB5" s="484"/>
      <c r="VC5" s="484"/>
      <c r="VD5" s="484"/>
      <c r="VE5" s="484"/>
      <c r="VF5" s="484"/>
      <c r="VG5" s="484"/>
      <c r="VH5" s="484"/>
      <c r="VI5" s="484"/>
      <c r="VJ5" s="484"/>
      <c r="VK5" s="484"/>
      <c r="VL5" s="484"/>
      <c r="VM5" s="484"/>
      <c r="VN5" s="484"/>
      <c r="VO5" s="484"/>
      <c r="VP5" s="484"/>
      <c r="VQ5" s="484"/>
      <c r="VR5" s="484"/>
      <c r="VS5" s="484"/>
      <c r="VT5" s="484"/>
      <c r="VU5" s="484"/>
      <c r="VV5" s="484"/>
      <c r="VW5" s="484"/>
      <c r="VX5" s="484"/>
      <c r="VY5" s="484"/>
      <c r="VZ5" s="484"/>
      <c r="WA5" s="484"/>
      <c r="WB5" s="484"/>
      <c r="WC5" s="484"/>
      <c r="WD5" s="484"/>
      <c r="WE5" s="484"/>
      <c r="WF5" s="484"/>
      <c r="WG5" s="484"/>
      <c r="WH5" s="484"/>
      <c r="WI5" s="484"/>
      <c r="WJ5" s="484"/>
      <c r="WK5" s="484"/>
      <c r="WL5" s="484"/>
      <c r="WM5" s="484"/>
      <c r="WN5" s="484"/>
      <c r="WO5" s="484"/>
      <c r="WP5" s="484"/>
      <c r="WQ5" s="484"/>
      <c r="WR5" s="484"/>
      <c r="WS5" s="484"/>
      <c r="WT5" s="484"/>
      <c r="WU5" s="484"/>
      <c r="WV5" s="484"/>
      <c r="WW5" s="484"/>
      <c r="WX5" s="484"/>
      <c r="WY5" s="484"/>
      <c r="WZ5" s="484"/>
      <c r="XA5" s="484"/>
      <c r="XB5" s="484"/>
      <c r="XC5" s="484"/>
      <c r="XD5" s="484"/>
      <c r="XE5" s="484"/>
      <c r="XF5" s="484"/>
      <c r="XG5" s="484"/>
      <c r="XH5" s="484"/>
      <c r="XI5" s="484"/>
      <c r="XJ5" s="484"/>
      <c r="XK5" s="484"/>
      <c r="XL5" s="484"/>
      <c r="XM5" s="484"/>
      <c r="XN5" s="484"/>
      <c r="XO5" s="484"/>
      <c r="XP5" s="484"/>
      <c r="XQ5" s="484"/>
      <c r="XR5" s="484"/>
      <c r="XS5" s="484"/>
      <c r="XT5" s="484"/>
      <c r="XU5" s="484"/>
      <c r="XV5" s="484"/>
      <c r="XW5" s="484"/>
      <c r="XX5" s="484"/>
      <c r="XY5" s="484"/>
      <c r="XZ5" s="484"/>
      <c r="YA5" s="484"/>
      <c r="YB5" s="484"/>
      <c r="YC5" s="484"/>
      <c r="YD5" s="484"/>
      <c r="YE5" s="484"/>
      <c r="YF5" s="484"/>
      <c r="YG5" s="484"/>
      <c r="YH5" s="484"/>
      <c r="YI5" s="484"/>
      <c r="YJ5" s="484"/>
      <c r="YK5" s="484"/>
      <c r="YL5" s="484"/>
      <c r="YM5" s="484"/>
      <c r="YN5" s="484"/>
      <c r="YO5" s="484"/>
      <c r="YP5" s="484"/>
      <c r="YQ5" s="484"/>
      <c r="YR5" s="484"/>
      <c r="YS5" s="484"/>
      <c r="YT5" s="484"/>
      <c r="YU5" s="484"/>
      <c r="YV5" s="484"/>
      <c r="YW5" s="484"/>
      <c r="YX5" s="484"/>
      <c r="YY5" s="484"/>
      <c r="YZ5" s="484"/>
      <c r="ZA5" s="484"/>
      <c r="ZB5" s="484"/>
      <c r="ZC5" s="484"/>
      <c r="ZD5" s="484"/>
      <c r="ZE5" s="484"/>
      <c r="ZF5" s="484"/>
      <c r="ZG5" s="484"/>
      <c r="ZH5" s="484"/>
      <c r="ZI5" s="484"/>
      <c r="ZJ5" s="484"/>
      <c r="ZK5" s="484"/>
      <c r="ZL5" s="484"/>
      <c r="ZM5" s="484"/>
      <c r="ZN5" s="484"/>
      <c r="ZO5" s="484"/>
      <c r="ZP5" s="484"/>
      <c r="ZQ5" s="484"/>
      <c r="ZR5" s="484"/>
      <c r="ZS5" s="484"/>
      <c r="ZT5" s="484"/>
      <c r="ZU5" s="484"/>
      <c r="ZV5" s="484"/>
      <c r="ZW5" s="484"/>
      <c r="ZX5" s="484"/>
      <c r="ZY5" s="484"/>
      <c r="ZZ5" s="484"/>
      <c r="AAA5" s="484"/>
      <c r="AAB5" s="484"/>
      <c r="AAC5" s="484"/>
      <c r="AAD5" s="484"/>
      <c r="AAE5" s="484"/>
      <c r="AAF5" s="484"/>
      <c r="AAG5" s="484"/>
      <c r="AAH5" s="484"/>
      <c r="AAI5" s="484"/>
      <c r="AAJ5" s="484"/>
      <c r="AAK5" s="484"/>
      <c r="AAL5" s="484"/>
      <c r="AAM5" s="484"/>
      <c r="AAN5" s="484"/>
      <c r="AAO5" s="484"/>
      <c r="AAP5" s="484"/>
      <c r="AAQ5" s="484"/>
      <c r="AAR5" s="484"/>
      <c r="AAS5" s="484"/>
      <c r="AAT5" s="484"/>
      <c r="AAU5" s="484"/>
      <c r="AAV5" s="484"/>
      <c r="AAW5" s="484"/>
      <c r="AAX5" s="484"/>
      <c r="AAY5" s="484"/>
      <c r="AAZ5" s="484"/>
      <c r="ABA5" s="484"/>
      <c r="ABB5" s="484"/>
      <c r="ABC5" s="484"/>
      <c r="ABD5" s="484"/>
      <c r="ABE5" s="484"/>
      <c r="ABF5" s="484"/>
      <c r="ABG5" s="484"/>
      <c r="ABH5" s="484"/>
      <c r="ABI5" s="484"/>
      <c r="ABJ5" s="484"/>
      <c r="ABK5" s="484"/>
      <c r="ABL5" s="484"/>
      <c r="ABM5" s="484"/>
      <c r="ABN5" s="484"/>
      <c r="ABO5" s="484"/>
      <c r="ABP5" s="484"/>
      <c r="ABQ5" s="484"/>
      <c r="ABR5" s="484"/>
      <c r="ABS5" s="484"/>
      <c r="ABT5" s="484"/>
      <c r="ABU5" s="484"/>
      <c r="ABV5" s="484"/>
      <c r="ABW5" s="484"/>
      <c r="ABX5" s="484"/>
      <c r="ABY5" s="484"/>
      <c r="ABZ5" s="484"/>
      <c r="ACA5" s="484"/>
      <c r="ACB5" s="484"/>
      <c r="ACC5" s="484"/>
      <c r="ACD5" s="484"/>
      <c r="ACE5" s="484"/>
      <c r="ACF5" s="484"/>
      <c r="ACG5" s="484"/>
      <c r="ACH5" s="484"/>
      <c r="ACI5" s="484"/>
      <c r="ACJ5" s="484"/>
      <c r="ACK5" s="484"/>
      <c r="ACL5" s="484"/>
      <c r="ACM5" s="484"/>
      <c r="ACN5" s="484"/>
      <c r="ACO5" s="484"/>
      <c r="ACP5" s="484"/>
      <c r="ACQ5" s="484"/>
      <c r="ACR5" s="484"/>
      <c r="ACS5" s="484"/>
      <c r="ACT5" s="484"/>
      <c r="ACU5" s="484"/>
      <c r="ACV5" s="484"/>
      <c r="ACW5" s="484"/>
      <c r="ACX5" s="484"/>
      <c r="ACY5" s="484"/>
      <c r="ACZ5" s="484"/>
      <c r="ADA5" s="484"/>
      <c r="ADB5" s="484"/>
      <c r="ADC5" s="484"/>
      <c r="ADD5" s="484"/>
      <c r="ADE5" s="484"/>
      <c r="ADF5" s="484"/>
      <c r="ADG5" s="484"/>
      <c r="ADH5" s="484"/>
      <c r="ADI5" s="484"/>
      <c r="ADJ5" s="484"/>
      <c r="ADK5" s="484"/>
      <c r="ADL5" s="484"/>
      <c r="ADM5" s="484"/>
      <c r="ADN5" s="484"/>
      <c r="ADO5" s="484"/>
      <c r="ADP5" s="484"/>
      <c r="ADQ5" s="484"/>
      <c r="ADR5" s="484"/>
      <c r="ADS5" s="484"/>
      <c r="ADT5" s="484"/>
      <c r="ADU5" s="484"/>
      <c r="ADV5" s="484"/>
      <c r="ADW5" s="484"/>
      <c r="ADX5" s="484"/>
      <c r="ADY5" s="484"/>
      <c r="ADZ5" s="484"/>
      <c r="AEA5" s="484"/>
      <c r="AEB5" s="484"/>
      <c r="AEC5" s="484"/>
      <c r="AED5" s="484"/>
      <c r="AEE5" s="484"/>
      <c r="AEF5" s="484"/>
      <c r="AEG5" s="484"/>
      <c r="AEH5" s="484"/>
      <c r="AEI5" s="484"/>
      <c r="AEJ5" s="484"/>
      <c r="AEK5" s="484"/>
      <c r="AEL5" s="484"/>
      <c r="AEM5" s="484"/>
      <c r="AEN5" s="484"/>
      <c r="AEO5" s="484"/>
      <c r="AEP5" s="484"/>
      <c r="AEQ5" s="484"/>
      <c r="AER5" s="484"/>
      <c r="AES5" s="484"/>
      <c r="AET5" s="484"/>
      <c r="AEU5" s="484"/>
      <c r="AEV5" s="484"/>
      <c r="AEW5" s="484"/>
      <c r="AEX5" s="484"/>
      <c r="AEY5" s="484"/>
      <c r="AEZ5" s="484"/>
      <c r="AFA5" s="484"/>
      <c r="AFB5" s="484"/>
      <c r="AFC5" s="484"/>
      <c r="AFD5" s="484"/>
      <c r="AFE5" s="484"/>
      <c r="AFF5" s="484"/>
      <c r="AFG5" s="484"/>
      <c r="AFH5" s="484"/>
      <c r="AFI5" s="484"/>
      <c r="AFJ5" s="484"/>
      <c r="AFK5" s="484"/>
      <c r="AFL5" s="484"/>
      <c r="AFM5" s="484"/>
      <c r="AFN5" s="484"/>
      <c r="AFO5" s="484"/>
      <c r="AFP5" s="484"/>
      <c r="AFQ5" s="484"/>
      <c r="AFR5" s="484"/>
      <c r="AFS5" s="484"/>
      <c r="AFT5" s="484"/>
      <c r="AFU5" s="484"/>
      <c r="AFV5" s="484"/>
      <c r="AFW5" s="484"/>
      <c r="AFX5" s="484"/>
      <c r="AFY5" s="484"/>
      <c r="AFZ5" s="484"/>
      <c r="AGA5" s="484"/>
      <c r="AGB5" s="484"/>
      <c r="AGC5" s="484"/>
      <c r="AGD5" s="484"/>
      <c r="AGE5" s="484"/>
      <c r="AGF5" s="484"/>
      <c r="AGG5" s="484"/>
      <c r="AGH5" s="484"/>
      <c r="AGI5" s="484"/>
      <c r="AGJ5" s="484"/>
      <c r="AGK5" s="484"/>
      <c r="AGL5" s="484"/>
      <c r="AGM5" s="484"/>
      <c r="AGN5" s="484"/>
      <c r="AGO5" s="484"/>
      <c r="AGP5" s="484"/>
      <c r="AGQ5" s="484"/>
      <c r="AGR5" s="484"/>
      <c r="AGS5" s="484"/>
      <c r="AGT5" s="484"/>
      <c r="AGU5" s="484"/>
      <c r="AGV5" s="484"/>
      <c r="AGW5" s="484"/>
      <c r="AGX5" s="484"/>
      <c r="AGY5" s="484"/>
      <c r="AGZ5" s="484"/>
      <c r="AHA5" s="484"/>
      <c r="AHB5" s="484"/>
      <c r="AHC5" s="484"/>
      <c r="AHD5" s="484"/>
      <c r="AHE5" s="484"/>
      <c r="AHF5" s="484"/>
      <c r="AHG5" s="484"/>
      <c r="AHH5" s="484"/>
      <c r="AHI5" s="484"/>
      <c r="AHJ5" s="484"/>
      <c r="AHK5" s="484"/>
      <c r="AHL5" s="484"/>
      <c r="AHM5" s="484"/>
      <c r="AHN5" s="484"/>
      <c r="AHO5" s="484"/>
      <c r="AHP5" s="484"/>
      <c r="AHQ5" s="484"/>
      <c r="AHR5" s="484"/>
      <c r="AHS5" s="484"/>
      <c r="AHT5" s="484"/>
      <c r="AHU5" s="484"/>
      <c r="AHV5" s="484"/>
      <c r="AHW5" s="484"/>
      <c r="AHX5" s="484"/>
      <c r="AHY5" s="484"/>
      <c r="AHZ5" s="484"/>
      <c r="AIA5" s="484"/>
      <c r="AIB5" s="484"/>
      <c r="AIC5" s="484"/>
      <c r="AID5" s="484"/>
      <c r="AIE5" s="484"/>
      <c r="AIF5" s="484"/>
      <c r="AIG5" s="484"/>
      <c r="AIH5" s="484"/>
      <c r="AII5" s="484"/>
      <c r="AIJ5" s="484"/>
      <c r="AIK5" s="484"/>
      <c r="AIL5" s="484"/>
      <c r="AIM5" s="484"/>
      <c r="AIN5" s="484"/>
      <c r="AIO5" s="484"/>
      <c r="AIP5" s="484"/>
      <c r="AIQ5" s="484"/>
      <c r="AIR5" s="484"/>
      <c r="AIS5" s="484"/>
      <c r="AIT5" s="484"/>
      <c r="AIU5" s="484"/>
      <c r="AIV5" s="484"/>
      <c r="AIW5" s="484"/>
      <c r="AIX5" s="484"/>
      <c r="AIY5" s="484"/>
      <c r="AIZ5" s="484"/>
      <c r="AJA5" s="484"/>
      <c r="AJB5" s="484"/>
      <c r="AJC5" s="484"/>
      <c r="AJD5" s="484"/>
      <c r="AJE5" s="484"/>
      <c r="AJF5" s="484"/>
      <c r="AJG5" s="484"/>
      <c r="AJH5" s="484"/>
      <c r="AJI5" s="484"/>
      <c r="AJJ5" s="484"/>
      <c r="AJK5" s="484"/>
      <c r="AJL5" s="484"/>
      <c r="AJM5" s="484"/>
      <c r="AJN5" s="484"/>
      <c r="AJO5" s="484"/>
      <c r="AJP5" s="484"/>
      <c r="AJQ5" s="484"/>
      <c r="AJR5" s="484"/>
      <c r="AJS5" s="484"/>
      <c r="AJT5" s="484"/>
      <c r="AJU5" s="484"/>
      <c r="AJV5" s="484"/>
      <c r="AJW5" s="484"/>
      <c r="AJX5" s="484"/>
      <c r="AJY5" s="484"/>
      <c r="AJZ5" s="484"/>
      <c r="AKA5" s="484"/>
      <c r="AKB5" s="484"/>
      <c r="AKC5" s="484"/>
      <c r="AKD5" s="484"/>
      <c r="AKE5" s="484"/>
      <c r="AKF5" s="484"/>
      <c r="AKG5" s="484"/>
      <c r="AKH5" s="484"/>
      <c r="AKI5" s="484"/>
      <c r="AKJ5" s="484"/>
      <c r="AKK5" s="484"/>
      <c r="AKL5" s="484"/>
      <c r="AKM5" s="484"/>
      <c r="AKN5" s="484"/>
      <c r="AKO5" s="484"/>
      <c r="AKP5" s="484"/>
      <c r="AKQ5" s="484"/>
      <c r="AKR5" s="484"/>
      <c r="AKS5" s="484"/>
      <c r="AKT5" s="484"/>
      <c r="AKU5" s="484"/>
      <c r="AKV5" s="484"/>
      <c r="AKW5" s="484"/>
      <c r="AKX5" s="484"/>
      <c r="AKY5" s="484"/>
      <c r="AKZ5" s="484"/>
      <c r="ALA5" s="484"/>
      <c r="ALB5" s="484"/>
      <c r="ALC5" s="484"/>
      <c r="ALD5" s="484"/>
      <c r="ALE5" s="484"/>
      <c r="ALF5" s="484"/>
      <c r="ALG5" s="484"/>
      <c r="ALH5" s="484"/>
      <c r="ALI5" s="484"/>
      <c r="ALJ5" s="484"/>
      <c r="ALK5" s="484"/>
      <c r="ALL5" s="484"/>
      <c r="ALM5" s="484"/>
      <c r="ALN5" s="484"/>
      <c r="ALO5" s="484"/>
      <c r="ALP5" s="484"/>
      <c r="ALQ5" s="484"/>
      <c r="ALR5" s="484"/>
      <c r="ALS5" s="484"/>
      <c r="ALT5" s="484"/>
      <c r="ALU5" s="484"/>
      <c r="ALV5" s="484"/>
      <c r="ALW5" s="484"/>
      <c r="ALX5" s="484"/>
      <c r="ALY5" s="484"/>
      <c r="ALZ5" s="484"/>
      <c r="AMA5" s="484"/>
      <c r="AMB5" s="484"/>
      <c r="AMC5" s="484"/>
      <c r="AMD5" s="484"/>
      <c r="AME5" s="484"/>
      <c r="AMF5" s="484"/>
      <c r="AMG5" s="484"/>
      <c r="AMH5" s="484"/>
      <c r="AMI5" s="484"/>
      <c r="AMJ5" s="484"/>
      <c r="AMK5" s="484"/>
      <c r="AML5" s="484"/>
      <c r="AMM5" s="484"/>
      <c r="AMN5" s="484"/>
      <c r="AMO5" s="484"/>
      <c r="AMP5" s="484"/>
      <c r="AMQ5" s="484"/>
      <c r="AMR5" s="484"/>
      <c r="AMS5" s="484"/>
      <c r="AMT5" s="484"/>
      <c r="AMU5" s="484"/>
      <c r="AMV5" s="484"/>
      <c r="AMW5" s="484"/>
      <c r="AMX5" s="484"/>
      <c r="AMY5" s="484"/>
      <c r="AMZ5" s="484"/>
      <c r="ANA5" s="484"/>
      <c r="ANB5" s="484"/>
      <c r="ANC5" s="484"/>
      <c r="AND5" s="484"/>
      <c r="ANE5" s="484"/>
      <c r="ANF5" s="484"/>
      <c r="ANG5" s="484"/>
      <c r="ANH5" s="484"/>
      <c r="ANI5" s="484"/>
      <c r="ANJ5" s="484"/>
      <c r="ANK5" s="484"/>
      <c r="ANL5" s="484"/>
      <c r="ANM5" s="484"/>
      <c r="ANN5" s="484"/>
      <c r="ANO5" s="484"/>
      <c r="ANP5" s="484"/>
      <c r="ANQ5" s="484"/>
      <c r="ANR5" s="484"/>
      <c r="ANS5" s="484"/>
      <c r="ANT5" s="484"/>
      <c r="ANU5" s="484"/>
      <c r="ANV5" s="484"/>
      <c r="ANW5" s="484"/>
      <c r="ANX5" s="484"/>
      <c r="ANY5" s="484"/>
      <c r="ANZ5" s="484"/>
      <c r="AOA5" s="484"/>
      <c r="AOB5" s="484"/>
      <c r="AOC5" s="484"/>
      <c r="AOD5" s="484"/>
      <c r="AOE5" s="484"/>
      <c r="AOF5" s="484"/>
      <c r="AOG5" s="484"/>
      <c r="AOH5" s="484"/>
      <c r="AOI5" s="484"/>
      <c r="AOJ5" s="484"/>
      <c r="AOK5" s="484"/>
      <c r="AOL5" s="484"/>
      <c r="AOM5" s="484"/>
      <c r="AON5" s="484"/>
      <c r="AOO5" s="484"/>
      <c r="AOP5" s="484"/>
      <c r="AOQ5" s="484"/>
      <c r="AOR5" s="484"/>
      <c r="AOS5" s="484"/>
      <c r="AOT5" s="484"/>
      <c r="AOU5" s="484"/>
      <c r="AOV5" s="484"/>
      <c r="AOW5" s="484"/>
      <c r="AOX5" s="484"/>
      <c r="AOY5" s="484"/>
      <c r="AOZ5" s="484"/>
      <c r="APA5" s="484"/>
      <c r="APB5" s="484"/>
      <c r="APC5" s="484"/>
      <c r="APD5" s="484"/>
      <c r="APE5" s="484"/>
      <c r="APF5" s="484"/>
      <c r="APG5" s="484"/>
      <c r="APH5" s="484"/>
      <c r="API5" s="484"/>
      <c r="APJ5" s="484"/>
      <c r="APK5" s="484"/>
      <c r="APL5" s="484"/>
      <c r="APM5" s="484"/>
      <c r="APN5" s="484"/>
      <c r="APO5" s="484"/>
      <c r="APP5" s="484"/>
      <c r="APQ5" s="484"/>
      <c r="APR5" s="484"/>
      <c r="APS5" s="484"/>
      <c r="APT5" s="484"/>
      <c r="APU5" s="484"/>
      <c r="APV5" s="484"/>
      <c r="APW5" s="484"/>
      <c r="APX5" s="484"/>
      <c r="APY5" s="484"/>
      <c r="APZ5" s="484"/>
      <c r="AQA5" s="484"/>
      <c r="AQB5" s="484"/>
      <c r="AQC5" s="484"/>
      <c r="AQD5" s="484"/>
      <c r="AQE5" s="484"/>
      <c r="AQF5" s="484"/>
      <c r="AQG5" s="484"/>
      <c r="AQH5" s="484"/>
      <c r="AQI5" s="484"/>
      <c r="AQJ5" s="484"/>
      <c r="AQK5" s="484"/>
      <c r="AQL5" s="484"/>
      <c r="AQM5" s="484"/>
      <c r="AQN5" s="484"/>
      <c r="AQO5" s="484"/>
      <c r="AQP5" s="484"/>
      <c r="AQQ5" s="484"/>
      <c r="AQR5" s="484"/>
      <c r="AQS5" s="484"/>
      <c r="AQT5" s="484"/>
      <c r="AQU5" s="484"/>
      <c r="AQV5" s="484"/>
      <c r="AQW5" s="484"/>
      <c r="AQX5" s="484"/>
      <c r="AQY5" s="484"/>
      <c r="AQZ5" s="484"/>
      <c r="ARA5" s="484"/>
      <c r="ARB5" s="484"/>
      <c r="ARC5" s="484"/>
      <c r="ARD5" s="484"/>
      <c r="ARE5" s="484"/>
      <c r="ARF5" s="484"/>
      <c r="ARG5" s="484"/>
      <c r="ARH5" s="484"/>
      <c r="ARI5" s="484"/>
      <c r="ARJ5" s="484"/>
      <c r="ARK5" s="484"/>
      <c r="ARL5" s="484"/>
      <c r="ARM5" s="484"/>
      <c r="ARN5" s="484"/>
      <c r="ARO5" s="484"/>
      <c r="ARP5" s="484"/>
      <c r="ARQ5" s="484"/>
      <c r="ARR5" s="484"/>
      <c r="ARS5" s="484"/>
      <c r="ART5" s="484"/>
      <c r="ARU5" s="484"/>
      <c r="ARV5" s="484"/>
      <c r="ARW5" s="484"/>
      <c r="ARX5" s="484"/>
      <c r="ARY5" s="484"/>
      <c r="ARZ5" s="484"/>
      <c r="ASA5" s="484"/>
      <c r="ASB5" s="484"/>
      <c r="ASC5" s="484"/>
      <c r="ASD5" s="484"/>
      <c r="ASE5" s="484"/>
      <c r="ASF5" s="484"/>
      <c r="ASG5" s="484"/>
      <c r="ASH5" s="484"/>
      <c r="ASI5" s="484"/>
      <c r="ASJ5" s="484"/>
      <c r="ASK5" s="484"/>
      <c r="ASL5" s="484"/>
      <c r="ASM5" s="484"/>
      <c r="ASN5" s="484"/>
      <c r="ASO5" s="484"/>
      <c r="ASP5" s="484"/>
      <c r="ASQ5" s="484"/>
      <c r="ASR5" s="484"/>
      <c r="ASS5" s="484"/>
      <c r="AST5" s="484"/>
      <c r="ASU5" s="484"/>
      <c r="ASV5" s="484"/>
      <c r="ASW5" s="484"/>
      <c r="ASX5" s="484"/>
      <c r="ASY5" s="484"/>
      <c r="ASZ5" s="484"/>
      <c r="ATA5" s="484"/>
      <c r="ATB5" s="484"/>
      <c r="ATC5" s="484"/>
      <c r="ATD5" s="484"/>
      <c r="ATE5" s="484"/>
      <c r="ATF5" s="484"/>
      <c r="ATG5" s="484"/>
      <c r="ATH5" s="484"/>
      <c r="ATI5" s="484"/>
      <c r="ATJ5" s="484"/>
      <c r="ATK5" s="484"/>
      <c r="ATL5" s="484"/>
      <c r="ATM5" s="484"/>
      <c r="ATN5" s="484"/>
      <c r="ATO5" s="484"/>
      <c r="ATP5" s="484"/>
      <c r="ATQ5" s="484"/>
      <c r="ATR5" s="484"/>
      <c r="ATS5" s="484"/>
      <c r="ATT5" s="484"/>
      <c r="ATU5" s="484"/>
      <c r="ATV5" s="484"/>
      <c r="ATW5" s="484"/>
      <c r="ATX5" s="484"/>
      <c r="ATY5" s="484"/>
      <c r="ATZ5" s="484"/>
      <c r="AUA5" s="484"/>
      <c r="AUB5" s="484"/>
      <c r="AUC5" s="484"/>
      <c r="AUD5" s="484"/>
      <c r="AUE5" s="484"/>
      <c r="AUF5" s="484"/>
      <c r="AUG5" s="484"/>
      <c r="AUH5" s="484"/>
      <c r="AUI5" s="484"/>
      <c r="AUJ5" s="484"/>
      <c r="AUK5" s="484"/>
      <c r="AUL5" s="484"/>
      <c r="AUM5" s="484"/>
      <c r="AUN5" s="484"/>
      <c r="AUO5" s="484"/>
      <c r="AUP5" s="484"/>
      <c r="AUQ5" s="484"/>
      <c r="AUR5" s="484"/>
      <c r="AUS5" s="484"/>
      <c r="AUT5" s="484"/>
      <c r="AUU5" s="484"/>
      <c r="AUV5" s="484"/>
      <c r="AUW5" s="484"/>
      <c r="AUX5" s="484"/>
      <c r="AUY5" s="484"/>
      <c r="AUZ5" s="484"/>
      <c r="AVA5" s="484"/>
      <c r="AVB5" s="484"/>
      <c r="AVC5" s="484"/>
      <c r="AVD5" s="484"/>
      <c r="AVE5" s="484"/>
      <c r="AVF5" s="484"/>
      <c r="AVG5" s="484"/>
      <c r="AVH5" s="484"/>
      <c r="AVI5" s="484"/>
      <c r="AVJ5" s="484"/>
      <c r="AVK5" s="484"/>
      <c r="AVL5" s="484"/>
      <c r="AVM5" s="484"/>
      <c r="AVN5" s="484"/>
      <c r="AVO5" s="484"/>
      <c r="AVP5" s="484"/>
      <c r="AVQ5" s="484"/>
      <c r="AVR5" s="484"/>
      <c r="AVS5" s="484"/>
      <c r="AVT5" s="484"/>
      <c r="AVU5" s="484"/>
      <c r="AVV5" s="484"/>
      <c r="AVW5" s="484"/>
      <c r="AVX5" s="484"/>
      <c r="AVY5" s="484"/>
      <c r="AVZ5" s="484"/>
      <c r="AWA5" s="484"/>
      <c r="AWB5" s="484"/>
      <c r="AWC5" s="484"/>
      <c r="AWD5" s="484"/>
      <c r="AWE5" s="484"/>
      <c r="AWF5" s="484"/>
      <c r="AWG5" s="484"/>
      <c r="AWH5" s="484"/>
      <c r="AWI5" s="484"/>
      <c r="AWJ5" s="484"/>
      <c r="AWK5" s="484"/>
      <c r="AWL5" s="484"/>
      <c r="AWM5" s="484"/>
      <c r="AWN5" s="484"/>
      <c r="AWO5" s="484"/>
      <c r="AWP5" s="484"/>
      <c r="AWQ5" s="484"/>
      <c r="AWR5" s="484"/>
      <c r="AWS5" s="484"/>
      <c r="AWT5" s="484"/>
      <c r="AWU5" s="484"/>
      <c r="AWV5" s="484"/>
      <c r="AWW5" s="484"/>
      <c r="AWX5" s="484"/>
      <c r="AWY5" s="484"/>
      <c r="AWZ5" s="484"/>
      <c r="AXA5" s="484"/>
      <c r="AXB5" s="484"/>
      <c r="AXC5" s="484"/>
      <c r="AXD5" s="484"/>
      <c r="AXE5" s="484"/>
      <c r="AXF5" s="484"/>
      <c r="AXG5" s="484"/>
      <c r="AXH5" s="484"/>
      <c r="AXI5" s="484"/>
      <c r="AXJ5" s="484"/>
      <c r="AXK5" s="484"/>
      <c r="AXL5" s="484"/>
      <c r="AXM5" s="484"/>
      <c r="AXN5" s="484"/>
      <c r="AXO5" s="484"/>
      <c r="AXP5" s="484"/>
      <c r="AXQ5" s="484"/>
      <c r="AXR5" s="484"/>
      <c r="AXS5" s="484"/>
      <c r="AXT5" s="484"/>
      <c r="AXU5" s="484"/>
      <c r="AXV5" s="484"/>
      <c r="AXW5" s="484"/>
      <c r="AXX5" s="484"/>
      <c r="AXY5" s="484"/>
      <c r="AXZ5" s="484"/>
      <c r="AYA5" s="484"/>
      <c r="AYB5" s="484"/>
      <c r="AYC5" s="484"/>
      <c r="AYD5" s="484"/>
      <c r="AYE5" s="484"/>
      <c r="AYF5" s="484"/>
      <c r="AYG5" s="484"/>
      <c r="AYH5" s="484"/>
      <c r="AYI5" s="484"/>
      <c r="AYJ5" s="484"/>
      <c r="AYK5" s="484"/>
      <c r="AYL5" s="484"/>
      <c r="AYM5" s="484"/>
      <c r="AYN5" s="484"/>
      <c r="AYO5" s="484"/>
      <c r="AYP5" s="484"/>
      <c r="AYQ5" s="484"/>
      <c r="AYR5" s="484"/>
      <c r="AYS5" s="484"/>
      <c r="AYT5" s="484"/>
      <c r="AYU5" s="484"/>
      <c r="AYV5" s="484"/>
      <c r="AYW5" s="484"/>
      <c r="AYX5" s="484"/>
      <c r="AYY5" s="484"/>
      <c r="AYZ5" s="484"/>
      <c r="AZA5" s="484"/>
      <c r="AZB5" s="484"/>
      <c r="AZC5" s="484"/>
      <c r="AZD5" s="484"/>
      <c r="AZE5" s="484"/>
      <c r="AZF5" s="484"/>
      <c r="AZG5" s="484"/>
      <c r="AZH5" s="484"/>
      <c r="AZI5" s="484"/>
      <c r="AZJ5" s="484"/>
      <c r="AZK5" s="484"/>
      <c r="AZL5" s="484"/>
      <c r="AZM5" s="484"/>
      <c r="AZN5" s="484"/>
      <c r="AZO5" s="484"/>
      <c r="AZP5" s="484"/>
      <c r="AZQ5" s="484"/>
      <c r="AZR5" s="484"/>
      <c r="AZS5" s="484"/>
      <c r="AZT5" s="484"/>
      <c r="AZU5" s="484"/>
      <c r="AZV5" s="484"/>
      <c r="AZW5" s="484"/>
      <c r="AZX5" s="484"/>
      <c r="AZY5" s="484"/>
      <c r="AZZ5" s="484"/>
      <c r="BAA5" s="484"/>
      <c r="BAB5" s="484"/>
      <c r="BAC5" s="484"/>
      <c r="BAD5" s="484"/>
      <c r="BAE5" s="484"/>
      <c r="BAF5" s="484"/>
      <c r="BAG5" s="484"/>
      <c r="BAH5" s="484"/>
      <c r="BAI5" s="484"/>
      <c r="BAJ5" s="484"/>
      <c r="BAK5" s="484"/>
      <c r="BAL5" s="484"/>
      <c r="BAM5" s="484"/>
      <c r="BAN5" s="484"/>
      <c r="BAO5" s="484"/>
      <c r="BAP5" s="484"/>
      <c r="BAQ5" s="484"/>
      <c r="BAR5" s="484"/>
      <c r="BAS5" s="484"/>
      <c r="BAT5" s="484"/>
      <c r="BAU5" s="484"/>
      <c r="BAV5" s="484"/>
      <c r="BAW5" s="484"/>
      <c r="BAX5" s="484"/>
      <c r="BAY5" s="484"/>
      <c r="BAZ5" s="484"/>
      <c r="BBA5" s="484"/>
      <c r="BBB5" s="484"/>
      <c r="BBC5" s="484"/>
      <c r="BBD5" s="484"/>
      <c r="BBE5" s="484"/>
      <c r="BBF5" s="484"/>
      <c r="BBG5" s="484"/>
      <c r="BBH5" s="484"/>
      <c r="BBI5" s="484"/>
      <c r="BBJ5" s="484"/>
      <c r="BBK5" s="484"/>
      <c r="BBL5" s="484"/>
      <c r="BBM5" s="484"/>
      <c r="BBN5" s="484"/>
      <c r="BBO5" s="484"/>
      <c r="BBP5" s="484"/>
      <c r="BBQ5" s="484"/>
      <c r="BBR5" s="484"/>
      <c r="BBS5" s="484"/>
      <c r="BBT5" s="484"/>
      <c r="BBU5" s="484"/>
      <c r="BBV5" s="484"/>
      <c r="BBW5" s="484"/>
      <c r="BBX5" s="484"/>
      <c r="BBY5" s="484"/>
      <c r="BBZ5" s="484"/>
      <c r="BCA5" s="484"/>
      <c r="BCB5" s="484"/>
      <c r="BCC5" s="484"/>
      <c r="BCD5" s="484"/>
      <c r="BCE5" s="484"/>
      <c r="BCF5" s="484"/>
      <c r="BCG5" s="484"/>
      <c r="BCH5" s="484"/>
      <c r="BCI5" s="484"/>
      <c r="BCJ5" s="484"/>
      <c r="BCK5" s="484"/>
      <c r="BCL5" s="484"/>
      <c r="BCM5" s="484"/>
      <c r="BCN5" s="484"/>
      <c r="BCO5" s="484"/>
      <c r="BCP5" s="484"/>
      <c r="BCQ5" s="484"/>
      <c r="BCR5" s="484"/>
      <c r="BCS5" s="484"/>
      <c r="BCT5" s="484"/>
      <c r="BCU5" s="484"/>
      <c r="BCV5" s="484"/>
      <c r="BCW5" s="484"/>
      <c r="BCX5" s="484"/>
      <c r="BCY5" s="484"/>
      <c r="BCZ5" s="484"/>
      <c r="BDA5" s="484"/>
      <c r="BDB5" s="484"/>
      <c r="BDC5" s="484"/>
      <c r="BDD5" s="484"/>
      <c r="BDE5" s="484"/>
      <c r="BDF5" s="484"/>
      <c r="BDG5" s="484"/>
      <c r="BDH5" s="484"/>
      <c r="BDI5" s="484"/>
      <c r="BDJ5" s="484"/>
      <c r="BDK5" s="484"/>
      <c r="BDL5" s="484"/>
      <c r="BDM5" s="484"/>
      <c r="BDN5" s="484"/>
      <c r="BDO5" s="484"/>
      <c r="BDP5" s="484"/>
      <c r="BDQ5" s="484"/>
      <c r="BDR5" s="484"/>
      <c r="BDS5" s="484"/>
      <c r="BDT5" s="484"/>
      <c r="BDU5" s="484"/>
      <c r="BDV5" s="484"/>
      <c r="BDW5" s="484"/>
      <c r="BDX5" s="484"/>
      <c r="BDY5" s="484"/>
      <c r="BDZ5" s="484"/>
      <c r="BEA5" s="484"/>
      <c r="BEB5" s="484"/>
      <c r="BEC5" s="484"/>
      <c r="BED5" s="484"/>
      <c r="BEE5" s="484"/>
      <c r="BEF5" s="484"/>
      <c r="BEG5" s="484"/>
      <c r="BEH5" s="484"/>
      <c r="BEI5" s="484"/>
      <c r="BEJ5" s="484"/>
      <c r="BEK5" s="484"/>
      <c r="BEL5" s="484"/>
      <c r="BEM5" s="484"/>
      <c r="BEN5" s="484"/>
      <c r="BEO5" s="484"/>
      <c r="BEP5" s="484"/>
      <c r="BEQ5" s="484"/>
      <c r="BER5" s="484"/>
      <c r="BES5" s="484"/>
      <c r="BET5" s="484"/>
      <c r="BEU5" s="484"/>
      <c r="BEV5" s="484"/>
      <c r="BEW5" s="484"/>
      <c r="BEX5" s="484"/>
      <c r="BEY5" s="484"/>
      <c r="BEZ5" s="484"/>
      <c r="BFA5" s="484"/>
      <c r="BFB5" s="484"/>
      <c r="BFC5" s="484"/>
      <c r="BFD5" s="484"/>
      <c r="BFE5" s="484"/>
      <c r="BFF5" s="484"/>
      <c r="BFG5" s="484"/>
      <c r="BFH5" s="484"/>
      <c r="BFI5" s="484"/>
      <c r="BFJ5" s="484"/>
      <c r="BFK5" s="484"/>
      <c r="BFL5" s="484"/>
      <c r="BFM5" s="484"/>
      <c r="BFN5" s="484"/>
      <c r="BFO5" s="484"/>
      <c r="BFP5" s="484"/>
      <c r="BFQ5" s="484"/>
      <c r="BFR5" s="484"/>
      <c r="BFS5" s="484"/>
      <c r="BFT5" s="484"/>
      <c r="BFU5" s="484"/>
      <c r="BFV5" s="484"/>
      <c r="BFW5" s="484"/>
      <c r="BFX5" s="484"/>
      <c r="BFY5" s="484"/>
      <c r="BFZ5" s="484"/>
      <c r="BGA5" s="484"/>
      <c r="BGB5" s="484"/>
      <c r="BGC5" s="484"/>
      <c r="BGD5" s="484"/>
      <c r="BGE5" s="484"/>
      <c r="BGF5" s="484"/>
      <c r="BGG5" s="484"/>
      <c r="BGH5" s="484"/>
      <c r="BGI5" s="484"/>
      <c r="BGJ5" s="484"/>
      <c r="BGK5" s="484"/>
      <c r="BGL5" s="484"/>
      <c r="BGM5" s="484"/>
      <c r="BGN5" s="484"/>
      <c r="BGO5" s="484"/>
      <c r="BGP5" s="484"/>
      <c r="BGQ5" s="484"/>
      <c r="BGR5" s="484"/>
      <c r="BGS5" s="484"/>
      <c r="BGT5" s="484"/>
      <c r="BGU5" s="484"/>
      <c r="BGV5" s="484"/>
      <c r="BGW5" s="484"/>
      <c r="BGX5" s="484"/>
      <c r="BGY5" s="484"/>
      <c r="BGZ5" s="484"/>
      <c r="BHA5" s="484"/>
      <c r="BHB5" s="484"/>
      <c r="BHC5" s="484"/>
      <c r="BHD5" s="484"/>
      <c r="BHE5" s="484"/>
      <c r="BHF5" s="484"/>
      <c r="BHG5" s="484"/>
      <c r="BHH5" s="484"/>
      <c r="BHI5" s="484"/>
      <c r="BHJ5" s="484"/>
      <c r="BHK5" s="484"/>
      <c r="BHL5" s="484"/>
      <c r="BHM5" s="484"/>
      <c r="BHN5" s="484"/>
      <c r="BHO5" s="484"/>
      <c r="BHP5" s="484"/>
      <c r="BHQ5" s="484"/>
      <c r="BHR5" s="484"/>
      <c r="BHS5" s="484"/>
      <c r="BHT5" s="484"/>
      <c r="BHU5" s="484"/>
      <c r="BHV5" s="484"/>
      <c r="BHW5" s="484"/>
      <c r="BHX5" s="484"/>
      <c r="BHY5" s="484"/>
      <c r="BHZ5" s="484"/>
      <c r="BIA5" s="484"/>
      <c r="BIB5" s="484"/>
      <c r="BIC5" s="484"/>
      <c r="BID5" s="484"/>
      <c r="BIE5" s="484"/>
      <c r="BIF5" s="484"/>
      <c r="BIG5" s="484"/>
      <c r="BIH5" s="484"/>
      <c r="BII5" s="484"/>
      <c r="BIJ5" s="484"/>
      <c r="BIK5" s="484"/>
      <c r="BIL5" s="484"/>
      <c r="BIM5" s="484"/>
      <c r="BIN5" s="484"/>
      <c r="BIO5" s="484"/>
      <c r="BIP5" s="484"/>
      <c r="BIQ5" s="484"/>
      <c r="BIR5" s="484"/>
      <c r="BIS5" s="484"/>
      <c r="BIT5" s="484"/>
      <c r="BIU5" s="484"/>
      <c r="BIV5" s="484"/>
      <c r="BIW5" s="484"/>
      <c r="BIX5" s="484"/>
      <c r="BIY5" s="484"/>
      <c r="BIZ5" s="484"/>
      <c r="BJA5" s="484"/>
      <c r="BJB5" s="484"/>
      <c r="BJC5" s="484"/>
      <c r="BJD5" s="484"/>
      <c r="BJE5" s="484"/>
      <c r="BJF5" s="484"/>
      <c r="BJG5" s="484"/>
      <c r="BJH5" s="484"/>
      <c r="BJI5" s="484"/>
      <c r="BJJ5" s="484"/>
      <c r="BJK5" s="484"/>
      <c r="BJL5" s="484"/>
      <c r="BJM5" s="484"/>
      <c r="BJN5" s="484"/>
      <c r="BJO5" s="484"/>
      <c r="BJP5" s="484"/>
      <c r="BJQ5" s="484"/>
      <c r="BJR5" s="484"/>
      <c r="BJS5" s="484"/>
      <c r="BJT5" s="484"/>
      <c r="BJU5" s="484"/>
      <c r="BJV5" s="484"/>
      <c r="BJW5" s="484"/>
      <c r="BJX5" s="484"/>
      <c r="BJY5" s="484"/>
      <c r="BJZ5" s="484"/>
      <c r="BKA5" s="484"/>
      <c r="BKB5" s="484"/>
      <c r="BKC5" s="484"/>
      <c r="BKD5" s="484"/>
      <c r="BKE5" s="484"/>
      <c r="BKF5" s="484"/>
      <c r="BKG5" s="484"/>
      <c r="BKH5" s="484"/>
      <c r="BKI5" s="484"/>
      <c r="BKJ5" s="484"/>
      <c r="BKK5" s="484"/>
      <c r="BKL5" s="484"/>
      <c r="BKM5" s="484"/>
      <c r="BKN5" s="484"/>
      <c r="BKO5" s="484"/>
      <c r="BKP5" s="484"/>
      <c r="BKQ5" s="484"/>
      <c r="BKR5" s="484"/>
      <c r="BKS5" s="484"/>
      <c r="BKT5" s="484"/>
      <c r="BKU5" s="484"/>
      <c r="BKV5" s="484"/>
      <c r="BKW5" s="484"/>
      <c r="BKX5" s="484"/>
      <c r="BKY5" s="484"/>
      <c r="BKZ5" s="484"/>
      <c r="BLA5" s="484"/>
      <c r="BLB5" s="484"/>
      <c r="BLC5" s="484"/>
      <c r="BLD5" s="484"/>
      <c r="BLE5" s="484"/>
      <c r="BLF5" s="484"/>
      <c r="BLG5" s="484"/>
      <c r="BLH5" s="484"/>
      <c r="BLI5" s="484"/>
      <c r="BLJ5" s="484"/>
      <c r="BLK5" s="484"/>
      <c r="BLL5" s="484"/>
      <c r="BLM5" s="484"/>
      <c r="BLN5" s="484"/>
      <c r="BLO5" s="484"/>
      <c r="BLP5" s="484"/>
      <c r="BLQ5" s="484"/>
      <c r="BLR5" s="484"/>
      <c r="BLS5" s="484"/>
      <c r="BLT5" s="484"/>
      <c r="BLU5" s="484"/>
      <c r="BLV5" s="484"/>
      <c r="BLW5" s="484"/>
      <c r="BLX5" s="484"/>
      <c r="BLY5" s="484"/>
      <c r="BLZ5" s="484"/>
      <c r="BMA5" s="484"/>
      <c r="BMB5" s="484"/>
      <c r="BMC5" s="484"/>
      <c r="BMD5" s="484"/>
      <c r="BME5" s="484"/>
      <c r="BMF5" s="484"/>
      <c r="BMG5" s="484"/>
      <c r="BMH5" s="484"/>
      <c r="BMI5" s="484"/>
      <c r="BMJ5" s="484"/>
      <c r="BMK5" s="484"/>
      <c r="BML5" s="484"/>
      <c r="BMM5" s="484"/>
      <c r="BMN5" s="484"/>
      <c r="BMO5" s="484"/>
      <c r="BMP5" s="484"/>
      <c r="BMQ5" s="484"/>
      <c r="BMR5" s="484"/>
      <c r="BMS5" s="484"/>
      <c r="BMT5" s="484"/>
      <c r="BMU5" s="484"/>
      <c r="BMV5" s="484"/>
      <c r="BMW5" s="484"/>
      <c r="BMX5" s="484"/>
      <c r="BMY5" s="484"/>
      <c r="BMZ5" s="484"/>
      <c r="BNA5" s="484"/>
      <c r="BNB5" s="484"/>
      <c r="BNC5" s="484"/>
      <c r="BND5" s="484"/>
      <c r="BNE5" s="484"/>
      <c r="BNF5" s="484"/>
      <c r="BNG5" s="484"/>
      <c r="BNH5" s="484"/>
      <c r="BNI5" s="484"/>
      <c r="BNJ5" s="484"/>
      <c r="BNK5" s="484"/>
      <c r="BNL5" s="484"/>
      <c r="BNM5" s="484"/>
      <c r="BNN5" s="484"/>
      <c r="BNO5" s="484"/>
      <c r="BNP5" s="484"/>
      <c r="BNQ5" s="484"/>
      <c r="BNR5" s="484"/>
      <c r="BNS5" s="484"/>
      <c r="BNT5" s="484"/>
      <c r="BNU5" s="484"/>
      <c r="BNV5" s="484"/>
      <c r="BNW5" s="484"/>
      <c r="BNX5" s="484"/>
      <c r="BNY5" s="484"/>
      <c r="BNZ5" s="484"/>
      <c r="BOA5" s="484"/>
      <c r="BOB5" s="484"/>
      <c r="BOC5" s="484"/>
      <c r="BOD5" s="484"/>
      <c r="BOE5" s="484"/>
      <c r="BOF5" s="484"/>
      <c r="BOG5" s="484"/>
      <c r="BOH5" s="484"/>
      <c r="BOI5" s="484"/>
      <c r="BOJ5" s="484"/>
      <c r="BOK5" s="484"/>
      <c r="BOL5" s="484"/>
      <c r="BOM5" s="484"/>
      <c r="BON5" s="484"/>
      <c r="BOO5" s="484"/>
      <c r="BOP5" s="484"/>
      <c r="BOQ5" s="484"/>
      <c r="BOR5" s="484"/>
      <c r="BOS5" s="484"/>
      <c r="BOT5" s="484"/>
      <c r="BOU5" s="484"/>
      <c r="BOV5" s="484"/>
      <c r="BOW5" s="484"/>
      <c r="BOX5" s="484"/>
      <c r="BOY5" s="484"/>
      <c r="BOZ5" s="484"/>
      <c r="BPA5" s="484"/>
      <c r="BPB5" s="484"/>
      <c r="BPC5" s="484"/>
      <c r="BPD5" s="484"/>
      <c r="BPE5" s="484"/>
      <c r="BPF5" s="484"/>
      <c r="BPG5" s="484"/>
      <c r="BPH5" s="484"/>
      <c r="BPI5" s="484"/>
      <c r="BPJ5" s="484"/>
      <c r="BPK5" s="484"/>
      <c r="BPL5" s="484"/>
      <c r="BPM5" s="484"/>
      <c r="BPN5" s="484"/>
      <c r="BPO5" s="484"/>
      <c r="BPP5" s="484"/>
      <c r="BPQ5" s="484"/>
      <c r="BPR5" s="484"/>
      <c r="BPS5" s="484"/>
      <c r="BPT5" s="484"/>
      <c r="BPU5" s="484"/>
      <c r="BPV5" s="484"/>
      <c r="BPW5" s="484"/>
      <c r="BPX5" s="484"/>
      <c r="BPY5" s="484"/>
      <c r="BPZ5" s="484"/>
      <c r="BQA5" s="484"/>
      <c r="BQB5" s="484"/>
      <c r="BQC5" s="484"/>
      <c r="BQD5" s="484"/>
      <c r="BQE5" s="484"/>
      <c r="BQF5" s="484"/>
      <c r="BQG5" s="484"/>
      <c r="BQH5" s="484"/>
      <c r="BQI5" s="484"/>
      <c r="BQJ5" s="484"/>
      <c r="BQK5" s="484"/>
      <c r="BQL5" s="484"/>
      <c r="BQM5" s="484"/>
      <c r="BQN5" s="484"/>
      <c r="BQO5" s="484"/>
      <c r="BQP5" s="484"/>
      <c r="BQQ5" s="484"/>
      <c r="BQR5" s="484"/>
      <c r="BQS5" s="484"/>
      <c r="BQT5" s="484"/>
      <c r="BQU5" s="484"/>
      <c r="BQV5" s="484"/>
      <c r="BQW5" s="484"/>
      <c r="BQX5" s="484"/>
      <c r="BQY5" s="484"/>
      <c r="BQZ5" s="484"/>
      <c r="BRA5" s="484"/>
      <c r="BRB5" s="484"/>
      <c r="BRC5" s="484"/>
      <c r="BRD5" s="484"/>
      <c r="BRE5" s="484"/>
      <c r="BRF5" s="484"/>
      <c r="BRG5" s="484"/>
      <c r="BRH5" s="484"/>
      <c r="BRI5" s="484"/>
      <c r="BRJ5" s="484"/>
      <c r="BRK5" s="484"/>
      <c r="BRL5" s="484"/>
      <c r="BRM5" s="484"/>
      <c r="BRN5" s="484"/>
      <c r="BRO5" s="484"/>
      <c r="BRP5" s="484"/>
      <c r="BRQ5" s="484"/>
      <c r="BRR5" s="484"/>
      <c r="BRS5" s="484"/>
      <c r="BRT5" s="484"/>
      <c r="BRU5" s="484"/>
      <c r="BRV5" s="484"/>
      <c r="BRW5" s="484"/>
      <c r="BRX5" s="484"/>
      <c r="BRY5" s="484"/>
      <c r="BRZ5" s="484"/>
      <c r="BSA5" s="484"/>
      <c r="BSB5" s="484"/>
      <c r="BSC5" s="484"/>
      <c r="BSD5" s="484"/>
      <c r="BSE5" s="484"/>
      <c r="BSF5" s="484"/>
      <c r="BSG5" s="484"/>
      <c r="BSH5" s="484"/>
      <c r="BSI5" s="484"/>
      <c r="BSJ5" s="484"/>
      <c r="BSK5" s="484"/>
      <c r="BSL5" s="484"/>
      <c r="BSM5" s="484"/>
      <c r="BSN5" s="484"/>
      <c r="BSO5" s="484"/>
      <c r="BSP5" s="484"/>
      <c r="BSQ5" s="484"/>
      <c r="BSR5" s="484"/>
      <c r="BSS5" s="484"/>
      <c r="BST5" s="484"/>
      <c r="BSU5" s="484"/>
      <c r="BSV5" s="484"/>
      <c r="BSW5" s="484"/>
      <c r="BSX5" s="484"/>
      <c r="BSY5" s="484"/>
      <c r="BSZ5" s="484"/>
      <c r="BTA5" s="484"/>
      <c r="BTB5" s="484"/>
      <c r="BTC5" s="484"/>
      <c r="BTD5" s="484"/>
      <c r="BTE5" s="484"/>
      <c r="BTF5" s="484"/>
      <c r="BTG5" s="484"/>
      <c r="BTH5" s="484"/>
      <c r="BTI5" s="484"/>
      <c r="BTJ5" s="484"/>
      <c r="BTK5" s="484"/>
      <c r="BTL5" s="484"/>
      <c r="BTM5" s="484"/>
      <c r="BTN5" s="484"/>
      <c r="BTO5" s="484"/>
      <c r="BTP5" s="484"/>
      <c r="BTQ5" s="484"/>
      <c r="BTR5" s="484"/>
      <c r="BTS5" s="484"/>
      <c r="BTT5" s="484"/>
      <c r="BTU5" s="484"/>
      <c r="BTV5" s="484"/>
      <c r="BTW5" s="484"/>
      <c r="BTX5" s="484"/>
      <c r="BTY5" s="484"/>
      <c r="BTZ5" s="484"/>
      <c r="BUA5" s="484"/>
      <c r="BUB5" s="484"/>
      <c r="BUC5" s="484"/>
      <c r="BUD5" s="484"/>
      <c r="BUE5" s="484"/>
      <c r="BUF5" s="484"/>
      <c r="BUG5" s="484"/>
      <c r="BUH5" s="484"/>
      <c r="BUI5" s="484"/>
      <c r="BUJ5" s="484"/>
      <c r="BUK5" s="484"/>
      <c r="BUL5" s="484"/>
      <c r="BUM5" s="484"/>
      <c r="BUN5" s="484"/>
      <c r="BUO5" s="484"/>
      <c r="BUP5" s="484"/>
      <c r="BUQ5" s="484"/>
      <c r="BUR5" s="484"/>
      <c r="BUS5" s="484"/>
      <c r="BUT5" s="484"/>
      <c r="BUU5" s="484"/>
      <c r="BUV5" s="484"/>
      <c r="BUW5" s="484"/>
      <c r="BUX5" s="484"/>
      <c r="BUY5" s="484"/>
      <c r="BUZ5" s="484"/>
      <c r="BVA5" s="484"/>
      <c r="BVB5" s="484"/>
      <c r="BVC5" s="484"/>
      <c r="BVD5" s="484"/>
      <c r="BVE5" s="484"/>
      <c r="BVF5" s="484"/>
      <c r="BVG5" s="484"/>
      <c r="BVH5" s="484"/>
      <c r="BVI5" s="484"/>
      <c r="BVJ5" s="484"/>
      <c r="BVK5" s="484"/>
      <c r="BVL5" s="484"/>
      <c r="BVM5" s="484"/>
      <c r="BVN5" s="484"/>
      <c r="BVO5" s="484"/>
      <c r="BVP5" s="484"/>
      <c r="BVQ5" s="484"/>
      <c r="BVR5" s="484"/>
      <c r="BVS5" s="484"/>
      <c r="BVT5" s="484"/>
      <c r="BVU5" s="484"/>
      <c r="BVV5" s="484"/>
      <c r="BVW5" s="484"/>
      <c r="BVX5" s="484"/>
      <c r="BVY5" s="484"/>
      <c r="BVZ5" s="484"/>
      <c r="BWA5" s="484"/>
      <c r="BWB5" s="484"/>
      <c r="BWC5" s="484"/>
      <c r="BWD5" s="484"/>
      <c r="BWE5" s="484"/>
      <c r="BWF5" s="484"/>
      <c r="BWG5" s="484"/>
      <c r="BWH5" s="484"/>
      <c r="BWI5" s="484"/>
      <c r="BWJ5" s="484"/>
      <c r="BWK5" s="484"/>
      <c r="BWL5" s="484"/>
      <c r="BWM5" s="484"/>
      <c r="BWN5" s="484"/>
      <c r="BWO5" s="484"/>
      <c r="BWP5" s="484"/>
      <c r="BWQ5" s="484"/>
      <c r="BWR5" s="484"/>
      <c r="BWS5" s="484"/>
      <c r="BWT5" s="484"/>
      <c r="BWU5" s="484"/>
      <c r="BWV5" s="484"/>
      <c r="BWW5" s="484"/>
      <c r="BWX5" s="484"/>
      <c r="BWY5" s="484"/>
      <c r="BWZ5" s="484"/>
      <c r="BXA5" s="484"/>
      <c r="BXB5" s="484"/>
      <c r="BXC5" s="484"/>
      <c r="BXD5" s="484"/>
      <c r="BXE5" s="484"/>
      <c r="BXF5" s="484"/>
      <c r="BXG5" s="484"/>
      <c r="BXH5" s="484"/>
      <c r="BXI5" s="484"/>
      <c r="BXJ5" s="484"/>
      <c r="BXK5" s="484"/>
      <c r="BXL5" s="484"/>
      <c r="BXM5" s="484"/>
      <c r="BXN5" s="484"/>
      <c r="BXO5" s="484"/>
      <c r="BXP5" s="484"/>
      <c r="BXQ5" s="484"/>
      <c r="BXR5" s="484"/>
      <c r="BXS5" s="484"/>
      <c r="BXT5" s="484"/>
      <c r="BXU5" s="484"/>
      <c r="BXV5" s="484"/>
      <c r="BXW5" s="484"/>
      <c r="BXX5" s="484"/>
      <c r="BXY5" s="484"/>
      <c r="BXZ5" s="484"/>
      <c r="BYA5" s="484"/>
      <c r="BYB5" s="484"/>
      <c r="BYC5" s="484"/>
      <c r="BYD5" s="484"/>
      <c r="BYE5" s="484"/>
      <c r="BYF5" s="484"/>
      <c r="BYG5" s="484"/>
      <c r="BYH5" s="484"/>
      <c r="BYI5" s="484"/>
      <c r="BYJ5" s="484"/>
      <c r="BYK5" s="484"/>
      <c r="BYL5" s="484"/>
      <c r="BYM5" s="484"/>
      <c r="BYN5" s="484"/>
      <c r="BYO5" s="484"/>
      <c r="BYP5" s="484"/>
      <c r="BYQ5" s="484"/>
      <c r="BYR5" s="484"/>
      <c r="BYS5" s="484"/>
      <c r="BYT5" s="484"/>
      <c r="BYU5" s="484"/>
      <c r="BYV5" s="484"/>
      <c r="BYW5" s="484"/>
      <c r="BYX5" s="484"/>
      <c r="BYY5" s="484"/>
      <c r="BYZ5" s="484"/>
      <c r="BZA5" s="484"/>
      <c r="BZB5" s="484"/>
      <c r="BZC5" s="484"/>
      <c r="BZD5" s="484"/>
      <c r="BZE5" s="484"/>
      <c r="BZF5" s="484"/>
      <c r="BZG5" s="484"/>
      <c r="BZH5" s="484"/>
      <c r="BZI5" s="484"/>
      <c r="BZJ5" s="484"/>
      <c r="BZK5" s="484"/>
      <c r="BZL5" s="484"/>
      <c r="BZM5" s="484"/>
      <c r="BZN5" s="484"/>
      <c r="BZO5" s="484"/>
      <c r="BZP5" s="484"/>
      <c r="BZQ5" s="484"/>
      <c r="BZR5" s="484"/>
      <c r="BZS5" s="484"/>
      <c r="BZT5" s="484"/>
      <c r="BZU5" s="484"/>
      <c r="BZV5" s="484"/>
      <c r="BZW5" s="484"/>
      <c r="BZX5" s="484"/>
      <c r="BZY5" s="484"/>
      <c r="BZZ5" s="484"/>
      <c r="CAA5" s="484"/>
      <c r="CAB5" s="484"/>
      <c r="CAC5" s="484"/>
      <c r="CAD5" s="484"/>
      <c r="CAE5" s="484"/>
      <c r="CAF5" s="484"/>
      <c r="CAG5" s="484"/>
      <c r="CAH5" s="484"/>
      <c r="CAI5" s="484"/>
      <c r="CAJ5" s="484"/>
      <c r="CAK5" s="484"/>
      <c r="CAL5" s="484"/>
      <c r="CAM5" s="484"/>
      <c r="CAN5" s="484"/>
      <c r="CAO5" s="484"/>
      <c r="CAP5" s="484"/>
      <c r="CAQ5" s="484"/>
      <c r="CAR5" s="484"/>
      <c r="CAS5" s="484"/>
      <c r="CAT5" s="484"/>
      <c r="CAU5" s="484"/>
      <c r="CAV5" s="484"/>
      <c r="CAW5" s="484"/>
      <c r="CAX5" s="484"/>
      <c r="CAY5" s="484"/>
      <c r="CAZ5" s="484"/>
      <c r="CBA5" s="484"/>
      <c r="CBB5" s="484"/>
      <c r="CBC5" s="484"/>
      <c r="CBD5" s="484"/>
      <c r="CBE5" s="484"/>
      <c r="CBF5" s="484"/>
      <c r="CBG5" s="484"/>
      <c r="CBH5" s="484"/>
      <c r="CBI5" s="484"/>
      <c r="CBJ5" s="484"/>
      <c r="CBK5" s="484"/>
      <c r="CBL5" s="484"/>
      <c r="CBM5" s="484"/>
      <c r="CBN5" s="484"/>
      <c r="CBO5" s="484"/>
      <c r="CBP5" s="484"/>
      <c r="CBQ5" s="484"/>
      <c r="CBR5" s="484"/>
      <c r="CBS5" s="484"/>
      <c r="CBT5" s="484"/>
      <c r="CBU5" s="484"/>
      <c r="CBV5" s="484"/>
      <c r="CBW5" s="484"/>
      <c r="CBX5" s="484"/>
      <c r="CBY5" s="484"/>
      <c r="CBZ5" s="484"/>
      <c r="CCA5" s="484"/>
      <c r="CCB5" s="484"/>
      <c r="CCC5" s="484"/>
      <c r="CCD5" s="484"/>
      <c r="CCE5" s="484"/>
      <c r="CCF5" s="484"/>
      <c r="CCG5" s="484"/>
      <c r="CCH5" s="484"/>
      <c r="CCI5" s="484"/>
      <c r="CCJ5" s="484"/>
      <c r="CCK5" s="484"/>
      <c r="CCL5" s="484"/>
      <c r="CCM5" s="484"/>
      <c r="CCN5" s="484"/>
      <c r="CCO5" s="484"/>
      <c r="CCP5" s="484"/>
      <c r="CCQ5" s="484"/>
      <c r="CCR5" s="484"/>
      <c r="CCS5" s="484"/>
      <c r="CCT5" s="484"/>
      <c r="CCU5" s="484"/>
      <c r="CCV5" s="484"/>
      <c r="CCW5" s="484"/>
      <c r="CCX5" s="484"/>
      <c r="CCY5" s="484"/>
      <c r="CCZ5" s="484"/>
      <c r="CDA5" s="484"/>
      <c r="CDB5" s="484"/>
      <c r="CDC5" s="484"/>
      <c r="CDD5" s="484"/>
      <c r="CDE5" s="484"/>
      <c r="CDF5" s="484"/>
      <c r="CDG5" s="484"/>
      <c r="CDH5" s="484"/>
      <c r="CDI5" s="484"/>
      <c r="CDJ5" s="484"/>
      <c r="CDK5" s="484"/>
      <c r="CDL5" s="484"/>
      <c r="CDM5" s="484"/>
      <c r="CDN5" s="484"/>
      <c r="CDO5" s="484"/>
      <c r="CDP5" s="484"/>
      <c r="CDQ5" s="484"/>
      <c r="CDR5" s="484"/>
      <c r="CDS5" s="484"/>
      <c r="CDT5" s="484"/>
      <c r="CDU5" s="484"/>
      <c r="CDV5" s="484"/>
      <c r="CDW5" s="484"/>
      <c r="CDX5" s="484"/>
      <c r="CDY5" s="484"/>
      <c r="CDZ5" s="484"/>
      <c r="CEA5" s="484"/>
      <c r="CEB5" s="484"/>
      <c r="CEC5" s="484"/>
      <c r="CED5" s="484"/>
      <c r="CEE5" s="484"/>
      <c r="CEF5" s="484"/>
      <c r="CEG5" s="484"/>
      <c r="CEH5" s="484"/>
      <c r="CEI5" s="484"/>
      <c r="CEJ5" s="484"/>
      <c r="CEK5" s="484"/>
      <c r="CEL5" s="484"/>
      <c r="CEM5" s="484"/>
      <c r="CEN5" s="484"/>
      <c r="CEO5" s="484"/>
      <c r="CEP5" s="484"/>
      <c r="CEQ5" s="484"/>
      <c r="CER5" s="484"/>
      <c r="CES5" s="484"/>
      <c r="CET5" s="484"/>
      <c r="CEU5" s="484"/>
      <c r="CEV5" s="484"/>
      <c r="CEW5" s="484"/>
      <c r="CEX5" s="484"/>
      <c r="CEY5" s="484"/>
      <c r="CEZ5" s="484"/>
      <c r="CFA5" s="484"/>
      <c r="CFB5" s="484"/>
      <c r="CFC5" s="484"/>
      <c r="CFD5" s="484"/>
      <c r="CFE5" s="484"/>
      <c r="CFF5" s="484"/>
      <c r="CFG5" s="484"/>
      <c r="CFH5" s="484"/>
      <c r="CFI5" s="484"/>
      <c r="CFJ5" s="484"/>
      <c r="CFK5" s="484"/>
      <c r="CFL5" s="484"/>
      <c r="CFM5" s="484"/>
      <c r="CFN5" s="484"/>
      <c r="CFO5" s="484"/>
      <c r="CFP5" s="484"/>
      <c r="CFQ5" s="484"/>
      <c r="CFR5" s="484"/>
      <c r="CFS5" s="484"/>
      <c r="CFT5" s="484"/>
      <c r="CFU5" s="484"/>
      <c r="CFV5" s="484"/>
      <c r="CFW5" s="484"/>
      <c r="CFX5" s="484"/>
      <c r="CFY5" s="484"/>
      <c r="CFZ5" s="484"/>
      <c r="CGA5" s="484"/>
      <c r="CGB5" s="484"/>
      <c r="CGC5" s="484"/>
      <c r="CGD5" s="484"/>
      <c r="CGE5" s="484"/>
      <c r="CGF5" s="484"/>
      <c r="CGG5" s="484"/>
      <c r="CGH5" s="484"/>
      <c r="CGI5" s="484"/>
      <c r="CGJ5" s="484"/>
      <c r="CGK5" s="484"/>
      <c r="CGL5" s="484"/>
      <c r="CGM5" s="484"/>
      <c r="CGN5" s="484"/>
      <c r="CGO5" s="484"/>
      <c r="CGP5" s="484"/>
      <c r="CGQ5" s="484"/>
      <c r="CGR5" s="484"/>
      <c r="CGS5" s="484"/>
      <c r="CGT5" s="484"/>
      <c r="CGU5" s="484"/>
      <c r="CGV5" s="484"/>
      <c r="CGW5" s="484"/>
      <c r="CGX5" s="484"/>
      <c r="CGY5" s="484"/>
      <c r="CGZ5" s="484"/>
      <c r="CHA5" s="484"/>
      <c r="CHB5" s="484"/>
      <c r="CHC5" s="484"/>
      <c r="CHD5" s="484"/>
      <c r="CHE5" s="484"/>
      <c r="CHF5" s="484"/>
      <c r="CHG5" s="484"/>
      <c r="CHH5" s="484"/>
      <c r="CHI5" s="484"/>
      <c r="CHJ5" s="484"/>
      <c r="CHK5" s="484"/>
      <c r="CHL5" s="484"/>
      <c r="CHM5" s="484"/>
      <c r="CHN5" s="484"/>
      <c r="CHO5" s="484"/>
      <c r="CHP5" s="484"/>
      <c r="CHQ5" s="484"/>
      <c r="CHR5" s="484"/>
      <c r="CHS5" s="484"/>
      <c r="CHT5" s="484"/>
      <c r="CHU5" s="484"/>
      <c r="CHV5" s="484"/>
      <c r="CHW5" s="484"/>
      <c r="CHX5" s="484"/>
      <c r="CHY5" s="484"/>
      <c r="CHZ5" s="484"/>
      <c r="CIA5" s="484"/>
      <c r="CIB5" s="484"/>
      <c r="CIC5" s="484"/>
      <c r="CID5" s="484"/>
      <c r="CIE5" s="484"/>
      <c r="CIF5" s="484"/>
      <c r="CIG5" s="484"/>
      <c r="CIH5" s="484"/>
      <c r="CII5" s="484"/>
      <c r="CIJ5" s="484"/>
      <c r="CIK5" s="484"/>
      <c r="CIL5" s="484"/>
      <c r="CIM5" s="484"/>
      <c r="CIN5" s="484"/>
      <c r="CIO5" s="484"/>
      <c r="CIP5" s="484"/>
      <c r="CIQ5" s="484"/>
      <c r="CIR5" s="484"/>
      <c r="CIS5" s="484"/>
      <c r="CIT5" s="484"/>
      <c r="CIU5" s="484"/>
      <c r="CIV5" s="484"/>
      <c r="CIW5" s="484"/>
      <c r="CIX5" s="484"/>
      <c r="CIY5" s="484"/>
      <c r="CIZ5" s="484"/>
      <c r="CJA5" s="484"/>
      <c r="CJB5" s="484"/>
      <c r="CJC5" s="484"/>
      <c r="CJD5" s="484"/>
      <c r="CJE5" s="484"/>
      <c r="CJF5" s="484"/>
      <c r="CJG5" s="484"/>
      <c r="CJH5" s="484"/>
      <c r="CJI5" s="484"/>
      <c r="CJJ5" s="484"/>
      <c r="CJK5" s="484"/>
      <c r="CJL5" s="484"/>
      <c r="CJM5" s="484"/>
      <c r="CJN5" s="484"/>
      <c r="CJO5" s="484"/>
      <c r="CJP5" s="484"/>
      <c r="CJQ5" s="484"/>
      <c r="CJR5" s="484"/>
      <c r="CJS5" s="484"/>
      <c r="CJT5" s="484"/>
      <c r="CJU5" s="484"/>
      <c r="CJV5" s="484"/>
      <c r="CJW5" s="484"/>
      <c r="CJX5" s="484"/>
      <c r="CJY5" s="484"/>
      <c r="CJZ5" s="484"/>
      <c r="CKA5" s="484"/>
      <c r="CKB5" s="484"/>
      <c r="CKC5" s="484"/>
      <c r="CKD5" s="484"/>
      <c r="CKE5" s="484"/>
      <c r="CKF5" s="484"/>
      <c r="CKG5" s="484"/>
      <c r="CKH5" s="484"/>
      <c r="CKI5" s="484"/>
      <c r="CKJ5" s="484"/>
      <c r="CKK5" s="484"/>
      <c r="CKL5" s="484"/>
      <c r="CKM5" s="484"/>
      <c r="CKN5" s="484"/>
      <c r="CKO5" s="484"/>
      <c r="CKP5" s="484"/>
      <c r="CKQ5" s="484"/>
      <c r="CKR5" s="484"/>
      <c r="CKS5" s="484"/>
      <c r="CKT5" s="484"/>
      <c r="CKU5" s="484"/>
      <c r="CKV5" s="484"/>
      <c r="CKW5" s="484"/>
      <c r="CKX5" s="484"/>
      <c r="CKY5" s="484"/>
      <c r="CKZ5" s="484"/>
      <c r="CLA5" s="484"/>
      <c r="CLB5" s="484"/>
      <c r="CLC5" s="484"/>
      <c r="CLD5" s="484"/>
      <c r="CLE5" s="484"/>
      <c r="CLF5" s="484"/>
      <c r="CLG5" s="484"/>
      <c r="CLH5" s="484"/>
      <c r="CLI5" s="484"/>
      <c r="CLJ5" s="484"/>
      <c r="CLK5" s="484"/>
      <c r="CLL5" s="484"/>
      <c r="CLM5" s="484"/>
      <c r="CLN5" s="484"/>
      <c r="CLO5" s="484"/>
      <c r="CLP5" s="484"/>
      <c r="CLQ5" s="484"/>
      <c r="CLR5" s="484"/>
      <c r="CLS5" s="484"/>
      <c r="CLT5" s="484"/>
      <c r="CLU5" s="484"/>
      <c r="CLV5" s="484"/>
      <c r="CLW5" s="484"/>
      <c r="CLX5" s="484"/>
      <c r="CLY5" s="484"/>
      <c r="CLZ5" s="484"/>
      <c r="CMA5" s="484"/>
      <c r="CMB5" s="484"/>
      <c r="CMC5" s="484"/>
      <c r="CMD5" s="484"/>
      <c r="CME5" s="484"/>
      <c r="CMF5" s="484"/>
      <c r="CMG5" s="484"/>
      <c r="CMH5" s="484"/>
      <c r="CMI5" s="484"/>
      <c r="CMJ5" s="484"/>
      <c r="CMK5" s="484"/>
      <c r="CML5" s="484"/>
      <c r="CMM5" s="484"/>
      <c r="CMN5" s="484"/>
      <c r="CMO5" s="484"/>
      <c r="CMP5" s="484"/>
      <c r="CMQ5" s="484"/>
      <c r="CMR5" s="484"/>
      <c r="CMS5" s="484"/>
      <c r="CMT5" s="484"/>
      <c r="CMU5" s="484"/>
      <c r="CMV5" s="484"/>
      <c r="CMW5" s="484"/>
      <c r="CMX5" s="484"/>
      <c r="CMY5" s="484"/>
      <c r="CMZ5" s="484"/>
      <c r="CNA5" s="484"/>
      <c r="CNB5" s="484"/>
      <c r="CNC5" s="484"/>
      <c r="CND5" s="484"/>
      <c r="CNE5" s="484"/>
      <c r="CNF5" s="484"/>
      <c r="CNG5" s="484"/>
      <c r="CNH5" s="484"/>
      <c r="CNI5" s="484"/>
      <c r="CNJ5" s="484"/>
      <c r="CNK5" s="484"/>
      <c r="CNL5" s="484"/>
      <c r="CNM5" s="484"/>
      <c r="CNN5" s="484"/>
      <c r="CNO5" s="484"/>
      <c r="CNP5" s="484"/>
      <c r="CNQ5" s="484"/>
      <c r="CNR5" s="484"/>
      <c r="CNS5" s="484"/>
      <c r="CNT5" s="484"/>
      <c r="CNU5" s="484"/>
      <c r="CNV5" s="484"/>
      <c r="CNW5" s="484"/>
      <c r="CNX5" s="484"/>
      <c r="CNY5" s="484"/>
      <c r="CNZ5" s="484"/>
      <c r="COA5" s="484"/>
      <c r="COB5" s="484"/>
      <c r="COC5" s="484"/>
      <c r="COD5" s="484"/>
      <c r="COE5" s="484"/>
      <c r="COF5" s="484"/>
      <c r="COG5" s="484"/>
      <c r="COH5" s="484"/>
      <c r="COI5" s="484"/>
      <c r="COJ5" s="484"/>
      <c r="COK5" s="484"/>
      <c r="COL5" s="484"/>
      <c r="COM5" s="484"/>
      <c r="CON5" s="484"/>
      <c r="COO5" s="484"/>
      <c r="COP5" s="484"/>
      <c r="COQ5" s="484"/>
      <c r="COR5" s="484"/>
      <c r="COS5" s="484"/>
      <c r="COT5" s="484"/>
      <c r="COU5" s="484"/>
      <c r="COV5" s="484"/>
      <c r="COW5" s="484"/>
      <c r="COX5" s="484"/>
      <c r="COY5" s="484"/>
      <c r="COZ5" s="484"/>
      <c r="CPA5" s="484"/>
      <c r="CPB5" s="484"/>
      <c r="CPC5" s="484"/>
      <c r="CPD5" s="484"/>
      <c r="CPE5" s="484"/>
      <c r="CPF5" s="484"/>
      <c r="CPG5" s="484"/>
      <c r="CPH5" s="484"/>
      <c r="CPI5" s="484"/>
      <c r="CPJ5" s="484"/>
      <c r="CPK5" s="484"/>
      <c r="CPL5" s="484"/>
      <c r="CPM5" s="484"/>
      <c r="CPN5" s="484"/>
      <c r="CPO5" s="484"/>
      <c r="CPP5" s="484"/>
      <c r="CPQ5" s="484"/>
      <c r="CPR5" s="484"/>
      <c r="CPS5" s="484"/>
      <c r="CPT5" s="484"/>
      <c r="CPU5" s="484"/>
      <c r="CPV5" s="484"/>
      <c r="CPW5" s="484"/>
      <c r="CPX5" s="484"/>
      <c r="CPY5" s="484"/>
      <c r="CPZ5" s="484"/>
      <c r="CQA5" s="484"/>
      <c r="CQB5" s="484"/>
      <c r="CQC5" s="484"/>
      <c r="CQD5" s="484"/>
      <c r="CQE5" s="484"/>
      <c r="CQF5" s="484"/>
      <c r="CQG5" s="484"/>
      <c r="CQH5" s="484"/>
      <c r="CQI5" s="484"/>
      <c r="CQJ5" s="484"/>
      <c r="CQK5" s="484"/>
      <c r="CQL5" s="484"/>
      <c r="CQM5" s="484"/>
      <c r="CQN5" s="484"/>
      <c r="CQO5" s="484"/>
      <c r="CQP5" s="484"/>
      <c r="CQQ5" s="484"/>
      <c r="CQR5" s="484"/>
      <c r="CQS5" s="484"/>
      <c r="CQT5" s="484"/>
      <c r="CQU5" s="484"/>
      <c r="CQV5" s="484"/>
      <c r="CQW5" s="484"/>
      <c r="CQX5" s="484"/>
      <c r="CQY5" s="484"/>
      <c r="CQZ5" s="484"/>
      <c r="CRA5" s="484"/>
      <c r="CRB5" s="484"/>
      <c r="CRC5" s="484"/>
      <c r="CRD5" s="484"/>
      <c r="CRE5" s="484"/>
      <c r="CRF5" s="484"/>
      <c r="CRG5" s="484"/>
      <c r="CRH5" s="484"/>
      <c r="CRI5" s="484"/>
      <c r="CRJ5" s="484"/>
      <c r="CRK5" s="484"/>
      <c r="CRL5" s="484"/>
      <c r="CRM5" s="484"/>
      <c r="CRN5" s="484"/>
      <c r="CRO5" s="484"/>
      <c r="CRP5" s="484"/>
      <c r="CRQ5" s="484"/>
      <c r="CRR5" s="484"/>
      <c r="CRS5" s="484"/>
      <c r="CRT5" s="484"/>
      <c r="CRU5" s="484"/>
      <c r="CRV5" s="484"/>
      <c r="CRW5" s="484"/>
      <c r="CRX5" s="484"/>
      <c r="CRY5" s="484"/>
      <c r="CRZ5" s="484"/>
      <c r="CSA5" s="484"/>
      <c r="CSB5" s="484"/>
      <c r="CSC5" s="484"/>
      <c r="CSD5" s="484"/>
      <c r="CSE5" s="484"/>
      <c r="CSF5" s="484"/>
      <c r="CSG5" s="484"/>
      <c r="CSH5" s="484"/>
      <c r="CSI5" s="484"/>
      <c r="CSJ5" s="484"/>
      <c r="CSK5" s="484"/>
      <c r="CSL5" s="484"/>
      <c r="CSM5" s="484"/>
      <c r="CSN5" s="484"/>
      <c r="CSO5" s="484"/>
      <c r="CSP5" s="484"/>
      <c r="CSQ5" s="484"/>
      <c r="CSR5" s="484"/>
      <c r="CSS5" s="484"/>
      <c r="CST5" s="484"/>
      <c r="CSU5" s="484"/>
      <c r="CSV5" s="484"/>
      <c r="CSW5" s="484"/>
      <c r="CSX5" s="484"/>
      <c r="CSY5" s="484"/>
      <c r="CSZ5" s="484"/>
      <c r="CTA5" s="484"/>
      <c r="CTB5" s="484"/>
      <c r="CTC5" s="484"/>
      <c r="CTD5" s="484"/>
      <c r="CTE5" s="484"/>
      <c r="CTF5" s="484"/>
      <c r="CTG5" s="484"/>
      <c r="CTH5" s="484"/>
      <c r="CTI5" s="484"/>
      <c r="CTJ5" s="484"/>
      <c r="CTK5" s="484"/>
      <c r="CTL5" s="484"/>
      <c r="CTM5" s="484"/>
      <c r="CTN5" s="484"/>
      <c r="CTO5" s="484"/>
      <c r="CTP5" s="484"/>
      <c r="CTQ5" s="484"/>
      <c r="CTR5" s="484"/>
      <c r="CTS5" s="484"/>
      <c r="CTT5" s="484"/>
      <c r="CTU5" s="484"/>
      <c r="CTV5" s="484"/>
      <c r="CTW5" s="484"/>
      <c r="CTX5" s="484"/>
      <c r="CTY5" s="484"/>
      <c r="CTZ5" s="484"/>
      <c r="CUA5" s="484"/>
      <c r="CUB5" s="484"/>
      <c r="CUC5" s="484"/>
      <c r="CUD5" s="484"/>
      <c r="CUE5" s="484"/>
      <c r="CUF5" s="484"/>
      <c r="CUG5" s="484"/>
      <c r="CUH5" s="484"/>
      <c r="CUI5" s="484"/>
      <c r="CUJ5" s="484"/>
      <c r="CUK5" s="484"/>
      <c r="CUL5" s="484"/>
      <c r="CUM5" s="484"/>
      <c r="CUN5" s="484"/>
      <c r="CUO5" s="484"/>
      <c r="CUP5" s="484"/>
      <c r="CUQ5" s="484"/>
      <c r="CUR5" s="484"/>
      <c r="CUS5" s="484"/>
      <c r="CUT5" s="484"/>
      <c r="CUU5" s="484"/>
      <c r="CUV5" s="484"/>
      <c r="CUW5" s="484"/>
      <c r="CUX5" s="484"/>
      <c r="CUY5" s="484"/>
      <c r="CUZ5" s="484"/>
      <c r="CVA5" s="484"/>
      <c r="CVB5" s="484"/>
      <c r="CVC5" s="484"/>
      <c r="CVD5" s="484"/>
      <c r="CVE5" s="484"/>
      <c r="CVF5" s="484"/>
      <c r="CVG5" s="484"/>
      <c r="CVH5" s="484"/>
      <c r="CVI5" s="484"/>
      <c r="CVJ5" s="484"/>
      <c r="CVK5" s="484"/>
      <c r="CVL5" s="484"/>
      <c r="CVM5" s="484"/>
      <c r="CVN5" s="484"/>
      <c r="CVO5" s="484"/>
      <c r="CVP5" s="484"/>
      <c r="CVQ5" s="484"/>
      <c r="CVR5" s="484"/>
      <c r="CVS5" s="484"/>
      <c r="CVT5" s="484"/>
      <c r="CVU5" s="484"/>
      <c r="CVV5" s="484"/>
      <c r="CVW5" s="484"/>
      <c r="CVX5" s="484"/>
      <c r="CVY5" s="484"/>
      <c r="CVZ5" s="484"/>
      <c r="CWA5" s="484"/>
      <c r="CWB5" s="484"/>
      <c r="CWC5" s="484"/>
      <c r="CWD5" s="484"/>
      <c r="CWE5" s="484"/>
      <c r="CWF5" s="484"/>
      <c r="CWG5" s="484"/>
      <c r="CWH5" s="484"/>
      <c r="CWI5" s="484"/>
      <c r="CWJ5" s="484"/>
      <c r="CWK5" s="484"/>
      <c r="CWL5" s="484"/>
      <c r="CWM5" s="484"/>
      <c r="CWN5" s="484"/>
      <c r="CWO5" s="484"/>
      <c r="CWP5" s="484"/>
      <c r="CWQ5" s="484"/>
      <c r="CWR5" s="484"/>
      <c r="CWS5" s="484"/>
      <c r="CWT5" s="484"/>
      <c r="CWU5" s="484"/>
      <c r="CWV5" s="484"/>
      <c r="CWW5" s="484"/>
      <c r="CWX5" s="484"/>
      <c r="CWY5" s="484"/>
      <c r="CWZ5" s="484"/>
      <c r="CXA5" s="484"/>
      <c r="CXB5" s="484"/>
      <c r="CXC5" s="484"/>
      <c r="CXD5" s="484"/>
      <c r="CXE5" s="484"/>
      <c r="CXF5" s="484"/>
      <c r="CXG5" s="484"/>
      <c r="CXH5" s="484"/>
      <c r="CXI5" s="484"/>
      <c r="CXJ5" s="484"/>
      <c r="CXK5" s="484"/>
      <c r="CXL5" s="484"/>
      <c r="CXM5" s="484"/>
      <c r="CXN5" s="484"/>
      <c r="CXO5" s="484"/>
      <c r="CXP5" s="484"/>
      <c r="CXQ5" s="484"/>
      <c r="CXR5" s="484"/>
      <c r="CXS5" s="484"/>
      <c r="CXT5" s="484"/>
      <c r="CXU5" s="484"/>
      <c r="CXV5" s="484"/>
      <c r="CXW5" s="484"/>
      <c r="CXX5" s="484"/>
      <c r="CXY5" s="484"/>
      <c r="CXZ5" s="484"/>
      <c r="CYA5" s="484"/>
      <c r="CYB5" s="484"/>
      <c r="CYC5" s="484"/>
      <c r="CYD5" s="484"/>
      <c r="CYE5" s="484"/>
      <c r="CYF5" s="484"/>
      <c r="CYG5" s="484"/>
      <c r="CYH5" s="484"/>
      <c r="CYI5" s="484"/>
      <c r="CYJ5" s="484"/>
      <c r="CYK5" s="484"/>
      <c r="CYL5" s="484"/>
      <c r="CYM5" s="484"/>
      <c r="CYN5" s="484"/>
      <c r="CYO5" s="484"/>
      <c r="CYP5" s="484"/>
      <c r="CYQ5" s="484"/>
      <c r="CYR5" s="484"/>
      <c r="CYS5" s="484"/>
      <c r="CYT5" s="484"/>
      <c r="CYU5" s="484"/>
      <c r="CYV5" s="484"/>
      <c r="CYW5" s="484"/>
      <c r="CYX5" s="484"/>
      <c r="CYY5" s="484"/>
      <c r="CYZ5" s="484"/>
      <c r="CZA5" s="484"/>
      <c r="CZB5" s="484"/>
      <c r="CZC5" s="484"/>
      <c r="CZD5" s="484"/>
      <c r="CZE5" s="484"/>
      <c r="CZF5" s="484"/>
      <c r="CZG5" s="484"/>
      <c r="CZH5" s="484"/>
      <c r="CZI5" s="484"/>
      <c r="CZJ5" s="484"/>
      <c r="CZK5" s="484"/>
      <c r="CZL5" s="484"/>
      <c r="CZM5" s="484"/>
      <c r="CZN5" s="484"/>
      <c r="CZO5" s="484"/>
      <c r="CZP5" s="484"/>
      <c r="CZQ5" s="484"/>
      <c r="CZR5" s="484"/>
      <c r="CZS5" s="484"/>
      <c r="CZT5" s="484"/>
      <c r="CZU5" s="484"/>
      <c r="CZV5" s="484"/>
      <c r="CZW5" s="484"/>
      <c r="CZX5" s="484"/>
      <c r="CZY5" s="484"/>
      <c r="CZZ5" s="484"/>
      <c r="DAA5" s="484"/>
      <c r="DAB5" s="484"/>
      <c r="DAC5" s="484"/>
      <c r="DAD5" s="484"/>
      <c r="DAE5" s="484"/>
      <c r="DAF5" s="484"/>
      <c r="DAG5" s="484"/>
      <c r="DAH5" s="484"/>
      <c r="DAI5" s="484"/>
      <c r="DAJ5" s="484"/>
      <c r="DAK5" s="484"/>
      <c r="DAL5" s="484"/>
      <c r="DAM5" s="484"/>
      <c r="DAN5" s="484"/>
      <c r="DAO5" s="484"/>
      <c r="DAP5" s="484"/>
      <c r="DAQ5" s="484"/>
      <c r="DAR5" s="484"/>
      <c r="DAS5" s="484"/>
      <c r="DAT5" s="484"/>
      <c r="DAU5" s="484"/>
      <c r="DAV5" s="484"/>
      <c r="DAW5" s="484"/>
      <c r="DAX5" s="484"/>
      <c r="DAY5" s="484"/>
      <c r="DAZ5" s="484"/>
      <c r="DBA5" s="484"/>
      <c r="DBB5" s="484"/>
      <c r="DBC5" s="484"/>
      <c r="DBD5" s="484"/>
      <c r="DBE5" s="484"/>
      <c r="DBF5" s="484"/>
      <c r="DBG5" s="484"/>
      <c r="DBH5" s="484"/>
      <c r="DBI5" s="484"/>
      <c r="DBJ5" s="484"/>
      <c r="DBK5" s="484"/>
      <c r="DBL5" s="484"/>
      <c r="DBM5" s="484"/>
      <c r="DBN5" s="484"/>
      <c r="DBO5" s="484"/>
      <c r="DBP5" s="484"/>
      <c r="DBQ5" s="484"/>
      <c r="DBR5" s="484"/>
      <c r="DBS5" s="484"/>
      <c r="DBT5" s="484"/>
      <c r="DBU5" s="484"/>
      <c r="DBV5" s="484"/>
      <c r="DBW5" s="484"/>
      <c r="DBX5" s="484"/>
      <c r="DBY5" s="484"/>
      <c r="DBZ5" s="484"/>
      <c r="DCA5" s="484"/>
      <c r="DCB5" s="484"/>
      <c r="DCC5" s="484"/>
      <c r="DCD5" s="484"/>
      <c r="DCE5" s="484"/>
      <c r="DCF5" s="484"/>
      <c r="DCG5" s="484"/>
      <c r="DCH5" s="484"/>
      <c r="DCI5" s="484"/>
      <c r="DCJ5" s="484"/>
      <c r="DCK5" s="484"/>
      <c r="DCL5" s="484"/>
      <c r="DCM5" s="484"/>
      <c r="DCN5" s="484"/>
      <c r="DCO5" s="484"/>
      <c r="DCP5" s="484"/>
      <c r="DCQ5" s="484"/>
      <c r="DCR5" s="484"/>
      <c r="DCS5" s="484"/>
      <c r="DCT5" s="484"/>
      <c r="DCU5" s="484"/>
      <c r="DCV5" s="484"/>
      <c r="DCW5" s="484"/>
      <c r="DCX5" s="484"/>
      <c r="DCY5" s="484"/>
      <c r="DCZ5" s="484"/>
      <c r="DDA5" s="484"/>
      <c r="DDB5" s="484"/>
      <c r="DDC5" s="484"/>
      <c r="DDD5" s="484"/>
      <c r="DDE5" s="484"/>
      <c r="DDF5" s="484"/>
      <c r="DDG5" s="484"/>
      <c r="DDH5" s="484"/>
      <c r="DDI5" s="484"/>
      <c r="DDJ5" s="484"/>
      <c r="DDK5" s="484"/>
      <c r="DDL5" s="484"/>
      <c r="DDM5" s="484"/>
      <c r="DDN5" s="484"/>
      <c r="DDO5" s="484"/>
      <c r="DDP5" s="484"/>
      <c r="DDQ5" s="484"/>
      <c r="DDR5" s="484"/>
      <c r="DDS5" s="484"/>
      <c r="DDT5" s="484"/>
      <c r="DDU5" s="484"/>
      <c r="DDV5" s="484"/>
      <c r="DDW5" s="484"/>
      <c r="DDX5" s="484"/>
      <c r="DDY5" s="484"/>
      <c r="DDZ5" s="484"/>
      <c r="DEA5" s="484"/>
      <c r="DEB5" s="484"/>
      <c r="DEC5" s="484"/>
      <c r="DED5" s="484"/>
      <c r="DEE5" s="484"/>
      <c r="DEF5" s="484"/>
      <c r="DEG5" s="484"/>
      <c r="DEH5" s="484"/>
      <c r="DEI5" s="484"/>
      <c r="DEJ5" s="484"/>
      <c r="DEK5" s="484"/>
      <c r="DEL5" s="484"/>
      <c r="DEM5" s="484"/>
      <c r="DEN5" s="484"/>
      <c r="DEO5" s="484"/>
      <c r="DEP5" s="484"/>
      <c r="DEQ5" s="484"/>
      <c r="DER5" s="484"/>
      <c r="DES5" s="484"/>
      <c r="DET5" s="484"/>
      <c r="DEU5" s="484"/>
      <c r="DEV5" s="484"/>
      <c r="DEW5" s="484"/>
      <c r="DEX5" s="484"/>
      <c r="DEY5" s="484"/>
      <c r="DEZ5" s="484"/>
      <c r="DFA5" s="484"/>
      <c r="DFB5" s="484"/>
      <c r="DFC5" s="484"/>
      <c r="DFD5" s="484"/>
      <c r="DFE5" s="484"/>
      <c r="DFF5" s="484"/>
      <c r="DFG5" s="484"/>
      <c r="DFH5" s="484"/>
      <c r="DFI5" s="484"/>
      <c r="DFJ5" s="484"/>
      <c r="DFK5" s="484"/>
      <c r="DFL5" s="484"/>
      <c r="DFM5" s="484"/>
      <c r="DFN5" s="484"/>
      <c r="DFO5" s="484"/>
      <c r="DFP5" s="484"/>
      <c r="DFQ5" s="484"/>
      <c r="DFR5" s="484"/>
      <c r="DFS5" s="484"/>
      <c r="DFT5" s="484"/>
      <c r="DFU5" s="484"/>
      <c r="DFV5" s="484"/>
      <c r="DFW5" s="484"/>
      <c r="DFX5" s="484"/>
      <c r="DFY5" s="484"/>
      <c r="DFZ5" s="484"/>
      <c r="DGA5" s="484"/>
      <c r="DGB5" s="484"/>
      <c r="DGC5" s="484"/>
      <c r="DGD5" s="484"/>
      <c r="DGE5" s="484"/>
      <c r="DGF5" s="484"/>
      <c r="DGG5" s="484"/>
      <c r="DGH5" s="484"/>
      <c r="DGI5" s="484"/>
      <c r="DGJ5" s="484"/>
      <c r="DGK5" s="484"/>
      <c r="DGL5" s="484"/>
      <c r="DGM5" s="484"/>
      <c r="DGN5" s="484"/>
      <c r="DGO5" s="484"/>
      <c r="DGP5" s="484"/>
      <c r="DGQ5" s="484"/>
      <c r="DGR5" s="484"/>
      <c r="DGS5" s="484"/>
      <c r="DGT5" s="484"/>
      <c r="DGU5" s="484"/>
      <c r="DGV5" s="484"/>
      <c r="DGW5" s="484"/>
      <c r="DGX5" s="484"/>
      <c r="DGY5" s="484"/>
      <c r="DGZ5" s="484"/>
      <c r="DHA5" s="484"/>
      <c r="DHB5" s="484"/>
      <c r="DHC5" s="484"/>
      <c r="DHD5" s="484"/>
      <c r="DHE5" s="484"/>
      <c r="DHF5" s="484"/>
      <c r="DHG5" s="484"/>
      <c r="DHH5" s="484"/>
      <c r="DHI5" s="484"/>
      <c r="DHJ5" s="484"/>
      <c r="DHK5" s="484"/>
      <c r="DHL5" s="484"/>
      <c r="DHM5" s="484"/>
      <c r="DHN5" s="484"/>
      <c r="DHO5" s="484"/>
      <c r="DHP5" s="484"/>
      <c r="DHQ5" s="484"/>
      <c r="DHR5" s="484"/>
      <c r="DHS5" s="484"/>
      <c r="DHT5" s="484"/>
      <c r="DHU5" s="484"/>
      <c r="DHV5" s="484"/>
      <c r="DHW5" s="484"/>
      <c r="DHX5" s="484"/>
      <c r="DHY5" s="484"/>
      <c r="DHZ5" s="484"/>
      <c r="DIA5" s="484"/>
      <c r="DIB5" s="484"/>
      <c r="DIC5" s="484"/>
      <c r="DID5" s="484"/>
      <c r="DIE5" s="484"/>
      <c r="DIF5" s="484"/>
      <c r="DIG5" s="484"/>
      <c r="DIH5" s="484"/>
      <c r="DII5" s="484"/>
      <c r="DIJ5" s="484"/>
      <c r="DIK5" s="484"/>
      <c r="DIL5" s="484"/>
      <c r="DIM5" s="484"/>
      <c r="DIN5" s="484"/>
      <c r="DIO5" s="484"/>
      <c r="DIP5" s="484"/>
      <c r="DIQ5" s="484"/>
      <c r="DIR5" s="484"/>
      <c r="DIS5" s="484"/>
      <c r="DIT5" s="484"/>
      <c r="DIU5" s="484"/>
      <c r="DIV5" s="484"/>
      <c r="DIW5" s="484"/>
      <c r="DIX5" s="484"/>
      <c r="DIY5" s="484"/>
      <c r="DIZ5" s="484"/>
      <c r="DJA5" s="484"/>
      <c r="DJB5" s="484"/>
      <c r="DJC5" s="484"/>
      <c r="DJD5" s="484"/>
      <c r="DJE5" s="484"/>
      <c r="DJF5" s="484"/>
      <c r="DJG5" s="484"/>
      <c r="DJH5" s="484"/>
      <c r="DJI5" s="484"/>
      <c r="DJJ5" s="484"/>
      <c r="DJK5" s="484"/>
      <c r="DJL5" s="484"/>
      <c r="DJM5" s="484"/>
      <c r="DJN5" s="484"/>
      <c r="DJO5" s="484"/>
      <c r="DJP5" s="484"/>
      <c r="DJQ5" s="484"/>
      <c r="DJR5" s="484"/>
      <c r="DJS5" s="484"/>
      <c r="DJT5" s="484"/>
      <c r="DJU5" s="484"/>
      <c r="DJV5" s="484"/>
      <c r="DJW5" s="484"/>
      <c r="DJX5" s="484"/>
      <c r="DJY5" s="484"/>
      <c r="DJZ5" s="484"/>
      <c r="DKA5" s="484"/>
      <c r="DKB5" s="484"/>
      <c r="DKC5" s="484"/>
      <c r="DKD5" s="484"/>
      <c r="DKE5" s="484"/>
      <c r="DKF5" s="484"/>
      <c r="DKG5" s="484"/>
      <c r="DKH5" s="484"/>
      <c r="DKI5" s="484"/>
      <c r="DKJ5" s="484"/>
      <c r="DKK5" s="484"/>
      <c r="DKL5" s="484"/>
      <c r="DKM5" s="484"/>
      <c r="DKN5" s="484"/>
      <c r="DKO5" s="484"/>
      <c r="DKP5" s="484"/>
      <c r="DKQ5" s="484"/>
      <c r="DKR5" s="484"/>
      <c r="DKS5" s="484"/>
      <c r="DKT5" s="484"/>
      <c r="DKU5" s="484"/>
      <c r="DKV5" s="484"/>
      <c r="DKW5" s="484"/>
      <c r="DKX5" s="484"/>
      <c r="DKY5" s="484"/>
      <c r="DKZ5" s="484"/>
      <c r="DLA5" s="484"/>
      <c r="DLB5" s="484"/>
      <c r="DLC5" s="484"/>
      <c r="DLD5" s="484"/>
      <c r="DLE5" s="484"/>
      <c r="DLF5" s="484"/>
      <c r="DLG5" s="484"/>
      <c r="DLH5" s="484"/>
      <c r="DLI5" s="484"/>
      <c r="DLJ5" s="484"/>
      <c r="DLK5" s="484"/>
      <c r="DLL5" s="484"/>
      <c r="DLM5" s="484"/>
      <c r="DLN5" s="484"/>
      <c r="DLO5" s="484"/>
      <c r="DLP5" s="484"/>
      <c r="DLQ5" s="484"/>
      <c r="DLR5" s="484"/>
      <c r="DLS5" s="484"/>
      <c r="DLT5" s="484"/>
      <c r="DLU5" s="484"/>
      <c r="DLV5" s="484"/>
      <c r="DLW5" s="484"/>
      <c r="DLX5" s="484"/>
      <c r="DLY5" s="484"/>
      <c r="DLZ5" s="484"/>
      <c r="DMA5" s="484"/>
      <c r="DMB5" s="484"/>
      <c r="DMC5" s="484"/>
      <c r="DMD5" s="484"/>
      <c r="DME5" s="484"/>
      <c r="DMF5" s="484"/>
      <c r="DMG5" s="484"/>
      <c r="DMH5" s="484"/>
      <c r="DMI5" s="484"/>
      <c r="DMJ5" s="484"/>
      <c r="DMK5" s="484"/>
      <c r="DML5" s="484"/>
      <c r="DMM5" s="484"/>
      <c r="DMN5" s="484"/>
      <c r="DMO5" s="484"/>
      <c r="DMP5" s="484"/>
      <c r="DMQ5" s="484"/>
      <c r="DMR5" s="484"/>
      <c r="DMS5" s="484"/>
      <c r="DMT5" s="484"/>
      <c r="DMU5" s="484"/>
      <c r="DMV5" s="484"/>
      <c r="DMW5" s="484"/>
      <c r="DMX5" s="484"/>
      <c r="DMY5" s="484"/>
      <c r="DMZ5" s="484"/>
      <c r="DNA5" s="484"/>
      <c r="DNB5" s="484"/>
      <c r="DNC5" s="484"/>
      <c r="DND5" s="484"/>
      <c r="DNE5" s="484"/>
      <c r="DNF5" s="484"/>
      <c r="DNG5" s="484"/>
      <c r="DNH5" s="484"/>
      <c r="DNI5" s="484"/>
      <c r="DNJ5" s="484"/>
      <c r="DNK5" s="484"/>
      <c r="DNL5" s="484"/>
      <c r="DNM5" s="484"/>
      <c r="DNN5" s="484"/>
      <c r="DNO5" s="484"/>
      <c r="DNP5" s="484"/>
      <c r="DNQ5" s="484"/>
      <c r="DNR5" s="484"/>
      <c r="DNS5" s="484"/>
      <c r="DNT5" s="484"/>
      <c r="DNU5" s="484"/>
      <c r="DNV5" s="484"/>
      <c r="DNW5" s="484"/>
      <c r="DNX5" s="484"/>
      <c r="DNY5" s="484"/>
      <c r="DNZ5" s="484"/>
      <c r="DOA5" s="484"/>
      <c r="DOB5" s="484"/>
      <c r="DOC5" s="484"/>
      <c r="DOD5" s="484"/>
      <c r="DOE5" s="484"/>
      <c r="DOF5" s="484"/>
      <c r="DOG5" s="484"/>
      <c r="DOH5" s="484"/>
      <c r="DOI5" s="484"/>
      <c r="DOJ5" s="484"/>
      <c r="DOK5" s="484"/>
      <c r="DOL5" s="484"/>
      <c r="DOM5" s="484"/>
      <c r="DON5" s="484"/>
      <c r="DOO5" s="484"/>
      <c r="DOP5" s="484"/>
      <c r="DOQ5" s="484"/>
      <c r="DOR5" s="484"/>
      <c r="DOS5" s="484"/>
      <c r="DOT5" s="484"/>
      <c r="DOU5" s="484"/>
      <c r="DOV5" s="484"/>
      <c r="DOW5" s="484"/>
      <c r="DOX5" s="484"/>
      <c r="DOY5" s="484"/>
      <c r="DOZ5" s="484"/>
      <c r="DPA5" s="484"/>
      <c r="DPB5" s="484"/>
      <c r="DPC5" s="484"/>
      <c r="DPD5" s="484"/>
      <c r="DPE5" s="484"/>
      <c r="DPF5" s="484"/>
      <c r="DPG5" s="484"/>
      <c r="DPH5" s="484"/>
      <c r="DPI5" s="484"/>
      <c r="DPJ5" s="484"/>
      <c r="DPK5" s="484"/>
      <c r="DPL5" s="484"/>
      <c r="DPM5" s="484"/>
      <c r="DPN5" s="484"/>
      <c r="DPO5" s="484"/>
      <c r="DPP5" s="484"/>
      <c r="DPQ5" s="484"/>
      <c r="DPR5" s="484"/>
      <c r="DPS5" s="484"/>
      <c r="DPT5" s="484"/>
      <c r="DPU5" s="484"/>
      <c r="DPV5" s="484"/>
      <c r="DPW5" s="484"/>
      <c r="DPX5" s="484"/>
      <c r="DPY5" s="484"/>
      <c r="DPZ5" s="484"/>
      <c r="DQA5" s="484"/>
      <c r="DQB5" s="484"/>
      <c r="DQC5" s="484"/>
      <c r="DQD5" s="484"/>
      <c r="DQE5" s="484"/>
      <c r="DQF5" s="484"/>
      <c r="DQG5" s="484"/>
      <c r="DQH5" s="484"/>
      <c r="DQI5" s="484"/>
      <c r="DQJ5" s="484"/>
      <c r="DQK5" s="484"/>
      <c r="DQL5" s="484"/>
      <c r="DQM5" s="484"/>
      <c r="DQN5" s="484"/>
      <c r="DQO5" s="484"/>
      <c r="DQP5" s="484"/>
      <c r="DQQ5" s="484"/>
      <c r="DQR5" s="484"/>
      <c r="DQS5" s="484"/>
      <c r="DQT5" s="484"/>
      <c r="DQU5" s="484"/>
      <c r="DQV5" s="484"/>
      <c r="DQW5" s="484"/>
      <c r="DQX5" s="484"/>
      <c r="DQY5" s="484"/>
      <c r="DQZ5" s="484"/>
      <c r="DRA5" s="484"/>
      <c r="DRB5" s="484"/>
      <c r="DRC5" s="484"/>
      <c r="DRD5" s="484"/>
      <c r="DRE5" s="484"/>
      <c r="DRF5" s="484"/>
      <c r="DRG5" s="484"/>
      <c r="DRH5" s="484"/>
      <c r="DRI5" s="484"/>
      <c r="DRJ5" s="484"/>
      <c r="DRK5" s="484"/>
      <c r="DRL5" s="484"/>
      <c r="DRM5" s="484"/>
      <c r="DRN5" s="484"/>
      <c r="DRO5" s="484"/>
      <c r="DRP5" s="484"/>
      <c r="DRQ5" s="484"/>
      <c r="DRR5" s="484"/>
      <c r="DRS5" s="484"/>
      <c r="DRT5" s="484"/>
      <c r="DRU5" s="484"/>
      <c r="DRV5" s="484"/>
      <c r="DRW5" s="484"/>
      <c r="DRX5" s="484"/>
      <c r="DRY5" s="484"/>
      <c r="DRZ5" s="484"/>
      <c r="DSA5" s="484"/>
      <c r="DSB5" s="484"/>
      <c r="DSC5" s="484"/>
      <c r="DSD5" s="484"/>
      <c r="DSE5" s="484"/>
      <c r="DSF5" s="484"/>
      <c r="DSG5" s="484"/>
      <c r="DSH5" s="484"/>
      <c r="DSI5" s="484"/>
      <c r="DSJ5" s="484"/>
      <c r="DSK5" s="484"/>
      <c r="DSL5" s="484"/>
      <c r="DSM5" s="484"/>
      <c r="DSN5" s="484"/>
      <c r="DSO5" s="484"/>
      <c r="DSP5" s="484"/>
      <c r="DSQ5" s="484"/>
      <c r="DSR5" s="484"/>
      <c r="DSS5" s="484"/>
      <c r="DST5" s="484"/>
      <c r="DSU5" s="484"/>
      <c r="DSV5" s="484"/>
      <c r="DSW5" s="484"/>
      <c r="DSX5" s="484"/>
      <c r="DSY5" s="484"/>
      <c r="DSZ5" s="484"/>
      <c r="DTA5" s="484"/>
      <c r="DTB5" s="484"/>
      <c r="DTC5" s="484"/>
      <c r="DTD5" s="484"/>
      <c r="DTE5" s="484"/>
      <c r="DTF5" s="484"/>
      <c r="DTG5" s="484"/>
      <c r="DTH5" s="484"/>
      <c r="DTI5" s="484"/>
      <c r="DTJ5" s="484"/>
      <c r="DTK5" s="484"/>
      <c r="DTL5" s="484"/>
      <c r="DTM5" s="484"/>
      <c r="DTN5" s="484"/>
      <c r="DTO5" s="484"/>
      <c r="DTP5" s="484"/>
      <c r="DTQ5" s="484"/>
      <c r="DTR5" s="484"/>
      <c r="DTS5" s="484"/>
      <c r="DTT5" s="484"/>
      <c r="DTU5" s="484"/>
      <c r="DTV5" s="484"/>
      <c r="DTW5" s="484"/>
      <c r="DTX5" s="484"/>
      <c r="DTY5" s="484"/>
      <c r="DTZ5" s="484"/>
      <c r="DUA5" s="484"/>
      <c r="DUB5" s="484"/>
      <c r="DUC5" s="484"/>
      <c r="DUD5" s="484"/>
      <c r="DUE5" s="484"/>
      <c r="DUF5" s="484"/>
      <c r="DUG5" s="484"/>
      <c r="DUH5" s="484"/>
      <c r="DUI5" s="484"/>
      <c r="DUJ5" s="484"/>
      <c r="DUK5" s="484"/>
      <c r="DUL5" s="484"/>
      <c r="DUM5" s="484"/>
      <c r="DUN5" s="484"/>
      <c r="DUO5" s="484"/>
      <c r="DUP5" s="484"/>
      <c r="DUQ5" s="484"/>
      <c r="DUR5" s="484"/>
      <c r="DUS5" s="484"/>
      <c r="DUT5" s="484"/>
      <c r="DUU5" s="484"/>
      <c r="DUV5" s="484"/>
      <c r="DUW5" s="484"/>
      <c r="DUX5" s="484"/>
      <c r="DUY5" s="484"/>
      <c r="DUZ5" s="484"/>
      <c r="DVA5" s="484"/>
      <c r="DVB5" s="484"/>
      <c r="DVC5" s="484"/>
      <c r="DVD5" s="484"/>
      <c r="DVE5" s="484"/>
      <c r="DVF5" s="484"/>
      <c r="DVG5" s="484"/>
      <c r="DVH5" s="484"/>
      <c r="DVI5" s="484"/>
      <c r="DVJ5" s="484"/>
      <c r="DVK5" s="484"/>
      <c r="DVL5" s="484"/>
      <c r="DVM5" s="484"/>
      <c r="DVN5" s="484"/>
      <c r="DVO5" s="484"/>
      <c r="DVP5" s="484"/>
      <c r="DVQ5" s="484"/>
      <c r="DVR5" s="484"/>
      <c r="DVS5" s="484"/>
      <c r="DVT5" s="484"/>
      <c r="DVU5" s="484"/>
      <c r="DVV5" s="484"/>
      <c r="DVW5" s="484"/>
      <c r="DVX5" s="484"/>
      <c r="DVY5" s="484"/>
      <c r="DVZ5" s="484"/>
      <c r="DWA5" s="484"/>
      <c r="DWB5" s="484"/>
      <c r="DWC5" s="484"/>
      <c r="DWD5" s="484"/>
      <c r="DWE5" s="484"/>
      <c r="DWF5" s="484"/>
      <c r="DWG5" s="484"/>
      <c r="DWH5" s="484"/>
      <c r="DWI5" s="484"/>
      <c r="DWJ5" s="484"/>
      <c r="DWK5" s="484"/>
      <c r="DWL5" s="484"/>
      <c r="DWM5" s="484"/>
      <c r="DWN5" s="484"/>
      <c r="DWO5" s="484"/>
      <c r="DWP5" s="484"/>
      <c r="DWQ5" s="484"/>
      <c r="DWR5" s="484"/>
      <c r="DWS5" s="484"/>
      <c r="DWT5" s="484"/>
      <c r="DWU5" s="484"/>
      <c r="DWV5" s="484"/>
      <c r="DWW5" s="484"/>
      <c r="DWX5" s="484"/>
      <c r="DWY5" s="484"/>
      <c r="DWZ5" s="484"/>
      <c r="DXA5" s="484"/>
      <c r="DXB5" s="484"/>
      <c r="DXC5" s="484"/>
      <c r="DXD5" s="484"/>
      <c r="DXE5" s="484"/>
      <c r="DXF5" s="484"/>
      <c r="DXG5" s="484"/>
      <c r="DXH5" s="484"/>
      <c r="DXI5" s="484"/>
      <c r="DXJ5" s="484"/>
      <c r="DXK5" s="484"/>
      <c r="DXL5" s="484"/>
      <c r="DXM5" s="484"/>
      <c r="DXN5" s="484"/>
      <c r="DXO5" s="484"/>
      <c r="DXP5" s="484"/>
      <c r="DXQ5" s="484"/>
      <c r="DXR5" s="484"/>
      <c r="DXS5" s="484"/>
      <c r="DXT5" s="484"/>
      <c r="DXU5" s="484"/>
      <c r="DXV5" s="484"/>
      <c r="DXW5" s="484"/>
      <c r="DXX5" s="484"/>
      <c r="DXY5" s="484"/>
      <c r="DXZ5" s="484"/>
      <c r="DYA5" s="484"/>
      <c r="DYB5" s="484"/>
      <c r="DYC5" s="484"/>
      <c r="DYD5" s="484"/>
      <c r="DYE5" s="484"/>
      <c r="DYF5" s="484"/>
      <c r="DYG5" s="484"/>
      <c r="DYH5" s="484"/>
      <c r="DYI5" s="484"/>
      <c r="DYJ5" s="484"/>
      <c r="DYK5" s="484"/>
      <c r="DYL5" s="484"/>
      <c r="DYM5" s="484"/>
      <c r="DYN5" s="484"/>
      <c r="DYO5" s="484"/>
      <c r="DYP5" s="484"/>
      <c r="DYQ5" s="484"/>
      <c r="DYR5" s="484"/>
      <c r="DYS5" s="484"/>
      <c r="DYT5" s="484"/>
      <c r="DYU5" s="484"/>
      <c r="DYV5" s="484"/>
      <c r="DYW5" s="484"/>
      <c r="DYX5" s="484"/>
      <c r="DYY5" s="484"/>
      <c r="DYZ5" s="484"/>
      <c r="DZA5" s="484"/>
      <c r="DZB5" s="484"/>
      <c r="DZC5" s="484"/>
      <c r="DZD5" s="484"/>
      <c r="DZE5" s="484"/>
      <c r="DZF5" s="484"/>
      <c r="DZG5" s="484"/>
      <c r="DZH5" s="484"/>
      <c r="DZI5" s="484"/>
      <c r="DZJ5" s="484"/>
      <c r="DZK5" s="484"/>
      <c r="DZL5" s="484"/>
      <c r="DZM5" s="484"/>
      <c r="DZN5" s="484"/>
      <c r="DZO5" s="484"/>
      <c r="DZP5" s="484"/>
      <c r="DZQ5" s="484"/>
      <c r="DZR5" s="484"/>
      <c r="DZS5" s="484"/>
      <c r="DZT5" s="484"/>
      <c r="DZU5" s="484"/>
      <c r="DZV5" s="484"/>
      <c r="DZW5" s="484"/>
      <c r="DZX5" s="484"/>
      <c r="DZY5" s="484"/>
      <c r="DZZ5" s="484"/>
      <c r="EAA5" s="484"/>
      <c r="EAB5" s="484"/>
      <c r="EAC5" s="484"/>
      <c r="EAD5" s="484"/>
      <c r="EAE5" s="484"/>
      <c r="EAF5" s="484"/>
      <c r="EAG5" s="484"/>
      <c r="EAH5" s="484"/>
      <c r="EAI5" s="484"/>
      <c r="EAJ5" s="484"/>
      <c r="EAK5" s="484"/>
      <c r="EAL5" s="484"/>
      <c r="EAM5" s="484"/>
      <c r="EAN5" s="484"/>
      <c r="EAO5" s="484"/>
      <c r="EAP5" s="484"/>
      <c r="EAQ5" s="484"/>
      <c r="EAR5" s="484"/>
      <c r="EAS5" s="484"/>
      <c r="EAT5" s="484"/>
      <c r="EAU5" s="484"/>
      <c r="EAV5" s="484"/>
      <c r="EAW5" s="484"/>
      <c r="EAX5" s="484"/>
      <c r="EAY5" s="484"/>
      <c r="EAZ5" s="484"/>
      <c r="EBA5" s="484"/>
      <c r="EBB5" s="484"/>
      <c r="EBC5" s="484"/>
      <c r="EBD5" s="484"/>
      <c r="EBE5" s="484"/>
      <c r="EBF5" s="484"/>
      <c r="EBG5" s="484"/>
      <c r="EBH5" s="484"/>
      <c r="EBI5" s="484"/>
      <c r="EBJ5" s="484"/>
      <c r="EBK5" s="484"/>
      <c r="EBL5" s="484"/>
      <c r="EBM5" s="484"/>
      <c r="EBN5" s="484"/>
      <c r="EBO5" s="484"/>
      <c r="EBP5" s="484"/>
      <c r="EBQ5" s="484"/>
      <c r="EBR5" s="484"/>
      <c r="EBS5" s="484"/>
      <c r="EBT5" s="484"/>
      <c r="EBU5" s="484"/>
      <c r="EBV5" s="484"/>
      <c r="EBW5" s="484"/>
      <c r="EBX5" s="484"/>
      <c r="EBY5" s="484"/>
      <c r="EBZ5" s="484"/>
      <c r="ECA5" s="484"/>
      <c r="ECB5" s="484"/>
      <c r="ECC5" s="484"/>
      <c r="ECD5" s="484"/>
      <c r="ECE5" s="484"/>
      <c r="ECF5" s="484"/>
      <c r="ECG5" s="484"/>
      <c r="ECH5" s="484"/>
      <c r="ECI5" s="484"/>
      <c r="ECJ5" s="484"/>
      <c r="ECK5" s="484"/>
      <c r="ECL5" s="484"/>
      <c r="ECM5" s="484"/>
      <c r="ECN5" s="484"/>
      <c r="ECO5" s="484"/>
      <c r="ECP5" s="484"/>
      <c r="ECQ5" s="484"/>
      <c r="ECR5" s="484"/>
      <c r="ECS5" s="484"/>
      <c r="ECT5" s="484"/>
      <c r="ECU5" s="484"/>
      <c r="ECV5" s="484"/>
      <c r="ECW5" s="484"/>
      <c r="ECX5" s="484"/>
      <c r="ECY5" s="484"/>
      <c r="ECZ5" s="484"/>
      <c r="EDA5" s="484"/>
      <c r="EDB5" s="484"/>
      <c r="EDC5" s="484"/>
      <c r="EDD5" s="484"/>
      <c r="EDE5" s="484"/>
      <c r="EDF5" s="484"/>
      <c r="EDG5" s="484"/>
      <c r="EDH5" s="484"/>
      <c r="EDI5" s="484"/>
      <c r="EDJ5" s="484"/>
      <c r="EDK5" s="484"/>
      <c r="EDL5" s="484"/>
      <c r="EDM5" s="484"/>
      <c r="EDN5" s="484"/>
      <c r="EDO5" s="484"/>
      <c r="EDP5" s="484"/>
      <c r="EDQ5" s="484"/>
      <c r="EDR5" s="484"/>
      <c r="EDS5" s="484"/>
      <c r="EDT5" s="484"/>
      <c r="EDU5" s="484"/>
      <c r="EDV5" s="484"/>
      <c r="EDW5" s="484"/>
      <c r="EDX5" s="484"/>
      <c r="EDY5" s="484"/>
      <c r="EDZ5" s="484"/>
      <c r="EEA5" s="484"/>
      <c r="EEB5" s="484"/>
      <c r="EEC5" s="484"/>
      <c r="EED5" s="484"/>
      <c r="EEE5" s="484"/>
      <c r="EEF5" s="484"/>
      <c r="EEG5" s="484"/>
      <c r="EEH5" s="484"/>
      <c r="EEI5" s="484"/>
      <c r="EEJ5" s="484"/>
      <c r="EEK5" s="484"/>
      <c r="EEL5" s="484"/>
      <c r="EEM5" s="484"/>
      <c r="EEN5" s="484"/>
      <c r="EEO5" s="484"/>
      <c r="EEP5" s="484"/>
      <c r="EEQ5" s="484"/>
      <c r="EER5" s="484"/>
      <c r="EES5" s="484"/>
      <c r="EET5" s="484"/>
      <c r="EEU5" s="484"/>
      <c r="EEV5" s="484"/>
      <c r="EEW5" s="484"/>
      <c r="EEX5" s="484"/>
      <c r="EEY5" s="484"/>
      <c r="EEZ5" s="484"/>
      <c r="EFA5" s="484"/>
      <c r="EFB5" s="484"/>
      <c r="EFC5" s="484"/>
      <c r="EFD5" s="484"/>
      <c r="EFE5" s="484"/>
      <c r="EFF5" s="484"/>
      <c r="EFG5" s="484"/>
      <c r="EFH5" s="484"/>
      <c r="EFI5" s="484"/>
      <c r="EFJ5" s="484"/>
      <c r="EFK5" s="484"/>
      <c r="EFL5" s="484"/>
      <c r="EFM5" s="484"/>
      <c r="EFN5" s="484"/>
      <c r="EFO5" s="484"/>
      <c r="EFP5" s="484"/>
      <c r="EFQ5" s="484"/>
      <c r="EFR5" s="484"/>
      <c r="EFS5" s="484"/>
      <c r="EFT5" s="484"/>
      <c r="EFU5" s="484"/>
      <c r="EFV5" s="484"/>
      <c r="EFW5" s="484"/>
      <c r="EFX5" s="484"/>
      <c r="EFY5" s="484"/>
      <c r="EFZ5" s="484"/>
      <c r="EGA5" s="484"/>
      <c r="EGB5" s="484"/>
      <c r="EGC5" s="484"/>
      <c r="EGD5" s="484"/>
      <c r="EGE5" s="484"/>
      <c r="EGF5" s="484"/>
      <c r="EGG5" s="484"/>
      <c r="EGH5" s="484"/>
      <c r="EGI5" s="484"/>
      <c r="EGJ5" s="484"/>
      <c r="EGK5" s="484"/>
      <c r="EGL5" s="484"/>
      <c r="EGM5" s="484"/>
      <c r="EGN5" s="484"/>
      <c r="EGO5" s="484"/>
      <c r="EGP5" s="484"/>
      <c r="EGQ5" s="484"/>
      <c r="EGR5" s="484"/>
      <c r="EGS5" s="484"/>
      <c r="EGT5" s="484"/>
      <c r="EGU5" s="484"/>
      <c r="EGV5" s="484"/>
      <c r="EGW5" s="484"/>
      <c r="EGX5" s="484"/>
      <c r="EGY5" s="484"/>
      <c r="EGZ5" s="484"/>
      <c r="EHA5" s="484"/>
      <c r="EHB5" s="484"/>
      <c r="EHC5" s="484"/>
      <c r="EHD5" s="484"/>
      <c r="EHE5" s="484"/>
      <c r="EHF5" s="484"/>
      <c r="EHG5" s="484"/>
      <c r="EHH5" s="484"/>
      <c r="EHI5" s="484"/>
      <c r="EHJ5" s="484"/>
      <c r="EHK5" s="484"/>
      <c r="EHL5" s="484"/>
      <c r="EHM5" s="484"/>
      <c r="EHN5" s="484"/>
      <c r="EHO5" s="484"/>
      <c r="EHP5" s="484"/>
      <c r="EHQ5" s="484"/>
      <c r="EHR5" s="484"/>
      <c r="EHS5" s="484"/>
      <c r="EHT5" s="484"/>
      <c r="EHU5" s="484"/>
      <c r="EHV5" s="484"/>
      <c r="EHW5" s="484"/>
      <c r="EHX5" s="484"/>
      <c r="EHY5" s="484"/>
      <c r="EHZ5" s="484"/>
      <c r="EIA5" s="484"/>
      <c r="EIB5" s="484"/>
      <c r="EIC5" s="484"/>
      <c r="EID5" s="484"/>
      <c r="EIE5" s="484"/>
      <c r="EIF5" s="484"/>
      <c r="EIG5" s="484"/>
      <c r="EIH5" s="484"/>
      <c r="EII5" s="484"/>
      <c r="EIJ5" s="484"/>
      <c r="EIK5" s="484"/>
      <c r="EIL5" s="484"/>
      <c r="EIM5" s="484"/>
      <c r="EIN5" s="484"/>
      <c r="EIO5" s="484"/>
      <c r="EIP5" s="484"/>
      <c r="EIQ5" s="484"/>
      <c r="EIR5" s="484"/>
      <c r="EIS5" s="484"/>
      <c r="EIT5" s="484"/>
      <c r="EIU5" s="484"/>
      <c r="EIV5" s="484"/>
      <c r="EIW5" s="484"/>
      <c r="EIX5" s="484"/>
      <c r="EIY5" s="484"/>
      <c r="EIZ5" s="484"/>
      <c r="EJA5" s="484"/>
      <c r="EJB5" s="484"/>
      <c r="EJC5" s="484"/>
      <c r="EJD5" s="484"/>
      <c r="EJE5" s="484"/>
      <c r="EJF5" s="484"/>
      <c r="EJG5" s="484"/>
      <c r="EJH5" s="484"/>
      <c r="EJI5" s="484"/>
      <c r="EJJ5" s="484"/>
      <c r="EJK5" s="484"/>
      <c r="EJL5" s="484"/>
      <c r="EJM5" s="484"/>
      <c r="EJN5" s="484"/>
      <c r="EJO5" s="484"/>
      <c r="EJP5" s="484"/>
      <c r="EJQ5" s="484"/>
      <c r="EJR5" s="484"/>
      <c r="EJS5" s="484"/>
      <c r="EJT5" s="484"/>
      <c r="EJU5" s="484"/>
      <c r="EJV5" s="484"/>
      <c r="EJW5" s="484"/>
      <c r="EJX5" s="484"/>
      <c r="EJY5" s="484"/>
      <c r="EJZ5" s="484"/>
      <c r="EKA5" s="484"/>
      <c r="EKB5" s="484"/>
      <c r="EKC5" s="484"/>
      <c r="EKD5" s="484"/>
      <c r="EKE5" s="484"/>
      <c r="EKF5" s="484"/>
      <c r="EKG5" s="484"/>
      <c r="EKH5" s="484"/>
      <c r="EKI5" s="484"/>
      <c r="EKJ5" s="484"/>
      <c r="EKK5" s="484"/>
      <c r="EKL5" s="484"/>
      <c r="EKM5" s="484"/>
      <c r="EKN5" s="484"/>
      <c r="EKO5" s="484"/>
      <c r="EKP5" s="484"/>
      <c r="EKQ5" s="484"/>
      <c r="EKR5" s="484"/>
      <c r="EKS5" s="484"/>
      <c r="EKT5" s="484"/>
      <c r="EKU5" s="484"/>
      <c r="EKV5" s="484"/>
      <c r="EKW5" s="484"/>
      <c r="EKX5" s="484"/>
      <c r="EKY5" s="484"/>
      <c r="EKZ5" s="484"/>
      <c r="ELA5" s="484"/>
      <c r="ELB5" s="484"/>
      <c r="ELC5" s="484"/>
      <c r="ELD5" s="484"/>
      <c r="ELE5" s="484"/>
      <c r="ELF5" s="484"/>
      <c r="ELG5" s="484"/>
      <c r="ELH5" s="484"/>
      <c r="ELI5" s="484"/>
      <c r="ELJ5" s="484"/>
      <c r="ELK5" s="484"/>
      <c r="ELL5" s="484"/>
      <c r="ELM5" s="484"/>
      <c r="ELN5" s="484"/>
      <c r="ELO5" s="484"/>
      <c r="ELP5" s="484"/>
      <c r="ELQ5" s="484"/>
      <c r="ELR5" s="484"/>
      <c r="ELS5" s="484"/>
      <c r="ELT5" s="484"/>
      <c r="ELU5" s="484"/>
      <c r="ELV5" s="484"/>
      <c r="ELW5" s="484"/>
      <c r="ELX5" s="484"/>
      <c r="ELY5" s="484"/>
      <c r="ELZ5" s="484"/>
      <c r="EMA5" s="484"/>
      <c r="EMB5" s="484"/>
      <c r="EMC5" s="484"/>
      <c r="EMD5" s="484"/>
      <c r="EME5" s="484"/>
      <c r="EMF5" s="484"/>
      <c r="EMG5" s="484"/>
      <c r="EMH5" s="484"/>
      <c r="EMI5" s="484"/>
      <c r="EMJ5" s="484"/>
      <c r="EMK5" s="484"/>
      <c r="EML5" s="484"/>
      <c r="EMM5" s="484"/>
      <c r="EMN5" s="484"/>
      <c r="EMO5" s="484"/>
      <c r="EMP5" s="484"/>
      <c r="EMQ5" s="484"/>
      <c r="EMR5" s="484"/>
      <c r="EMS5" s="484"/>
      <c r="EMT5" s="484"/>
      <c r="EMU5" s="484"/>
      <c r="EMV5" s="484"/>
      <c r="EMW5" s="484"/>
      <c r="EMX5" s="484"/>
      <c r="EMY5" s="484"/>
      <c r="EMZ5" s="484"/>
      <c r="ENA5" s="484"/>
      <c r="ENB5" s="484"/>
      <c r="ENC5" s="484"/>
      <c r="END5" s="484"/>
      <c r="ENE5" s="484"/>
      <c r="ENF5" s="484"/>
      <c r="ENG5" s="484"/>
      <c r="ENH5" s="484"/>
      <c r="ENI5" s="484"/>
      <c r="ENJ5" s="484"/>
      <c r="ENK5" s="484"/>
      <c r="ENL5" s="484"/>
      <c r="ENM5" s="484"/>
      <c r="ENN5" s="484"/>
      <c r="ENO5" s="484"/>
      <c r="ENP5" s="484"/>
      <c r="ENQ5" s="484"/>
      <c r="ENR5" s="484"/>
      <c r="ENS5" s="484"/>
      <c r="ENT5" s="484"/>
      <c r="ENU5" s="484"/>
      <c r="ENV5" s="484"/>
      <c r="ENW5" s="484"/>
      <c r="ENX5" s="484"/>
      <c r="ENY5" s="484"/>
      <c r="ENZ5" s="484"/>
      <c r="EOA5" s="484"/>
      <c r="EOB5" s="484"/>
      <c r="EOC5" s="484"/>
      <c r="EOD5" s="484"/>
      <c r="EOE5" s="484"/>
      <c r="EOF5" s="484"/>
      <c r="EOG5" s="484"/>
      <c r="EOH5" s="484"/>
      <c r="EOI5" s="484"/>
      <c r="EOJ5" s="484"/>
      <c r="EOK5" s="484"/>
      <c r="EOL5" s="484"/>
      <c r="EOM5" s="484"/>
      <c r="EON5" s="484"/>
      <c r="EOO5" s="484"/>
      <c r="EOP5" s="484"/>
      <c r="EOQ5" s="484"/>
      <c r="EOR5" s="484"/>
      <c r="EOS5" s="484"/>
      <c r="EOT5" s="484"/>
      <c r="EOU5" s="484"/>
      <c r="EOV5" s="484"/>
      <c r="EOW5" s="484"/>
      <c r="EOX5" s="484"/>
      <c r="EOY5" s="484"/>
      <c r="EOZ5" s="484"/>
      <c r="EPA5" s="484"/>
      <c r="EPB5" s="484"/>
      <c r="EPC5" s="484"/>
      <c r="EPD5" s="484"/>
      <c r="EPE5" s="484"/>
      <c r="EPF5" s="484"/>
      <c r="EPG5" s="484"/>
      <c r="EPH5" s="484"/>
      <c r="EPI5" s="484"/>
      <c r="EPJ5" s="484"/>
      <c r="EPK5" s="484"/>
      <c r="EPL5" s="484"/>
      <c r="EPM5" s="484"/>
      <c r="EPN5" s="484"/>
      <c r="EPO5" s="484"/>
      <c r="EPP5" s="484"/>
      <c r="EPQ5" s="484"/>
      <c r="EPR5" s="484"/>
      <c r="EPS5" s="484"/>
      <c r="EPT5" s="484"/>
      <c r="EPU5" s="484"/>
      <c r="EPV5" s="484"/>
      <c r="EPW5" s="484"/>
      <c r="EPX5" s="484"/>
      <c r="EPY5" s="484"/>
      <c r="EPZ5" s="484"/>
      <c r="EQA5" s="484"/>
      <c r="EQB5" s="484"/>
      <c r="EQC5" s="484"/>
      <c r="EQD5" s="484"/>
      <c r="EQE5" s="484"/>
      <c r="EQF5" s="484"/>
      <c r="EQG5" s="484"/>
      <c r="EQH5" s="484"/>
      <c r="EQI5" s="484"/>
      <c r="EQJ5" s="484"/>
      <c r="EQK5" s="484"/>
      <c r="EQL5" s="484"/>
      <c r="EQM5" s="484"/>
      <c r="EQN5" s="484"/>
      <c r="EQO5" s="484"/>
      <c r="EQP5" s="484"/>
      <c r="EQQ5" s="484"/>
      <c r="EQR5" s="484"/>
      <c r="EQS5" s="484"/>
      <c r="EQT5" s="484"/>
      <c r="EQU5" s="484"/>
      <c r="EQV5" s="484"/>
      <c r="EQW5" s="484"/>
      <c r="EQX5" s="484"/>
      <c r="EQY5" s="484"/>
      <c r="EQZ5" s="484"/>
      <c r="ERA5" s="484"/>
      <c r="ERB5" s="484"/>
      <c r="ERC5" s="484"/>
      <c r="ERD5" s="484"/>
      <c r="ERE5" s="484"/>
      <c r="ERF5" s="484"/>
      <c r="ERG5" s="484"/>
      <c r="ERH5" s="484"/>
      <c r="ERI5" s="484"/>
      <c r="ERJ5" s="484"/>
      <c r="ERK5" s="484"/>
      <c r="ERL5" s="484"/>
      <c r="ERM5" s="484"/>
      <c r="ERN5" s="484"/>
      <c r="ERO5" s="484"/>
      <c r="ERP5" s="484"/>
      <c r="ERQ5" s="484"/>
      <c r="ERR5" s="484"/>
      <c r="ERS5" s="484"/>
      <c r="ERT5" s="484"/>
      <c r="ERU5" s="484"/>
      <c r="ERV5" s="484"/>
      <c r="ERW5" s="484"/>
      <c r="ERX5" s="484"/>
      <c r="ERY5" s="484"/>
      <c r="ERZ5" s="484"/>
      <c r="ESA5" s="484"/>
      <c r="ESB5" s="484"/>
      <c r="ESC5" s="484"/>
      <c r="ESD5" s="484"/>
      <c r="ESE5" s="484"/>
      <c r="ESF5" s="484"/>
      <c r="ESG5" s="484"/>
      <c r="ESH5" s="484"/>
      <c r="ESI5" s="484"/>
      <c r="ESJ5" s="484"/>
      <c r="ESK5" s="484"/>
      <c r="ESL5" s="484"/>
      <c r="ESM5" s="484"/>
      <c r="ESN5" s="484"/>
      <c r="ESO5" s="484"/>
      <c r="ESP5" s="484"/>
      <c r="ESQ5" s="484"/>
      <c r="ESR5" s="484"/>
      <c r="ESS5" s="484"/>
      <c r="EST5" s="484"/>
      <c r="ESU5" s="484"/>
      <c r="ESV5" s="484"/>
      <c r="ESW5" s="484"/>
      <c r="ESX5" s="484"/>
      <c r="ESY5" s="484"/>
      <c r="ESZ5" s="484"/>
      <c r="ETA5" s="484"/>
      <c r="ETB5" s="484"/>
      <c r="ETC5" s="484"/>
      <c r="ETD5" s="484"/>
      <c r="ETE5" s="484"/>
      <c r="ETF5" s="484"/>
      <c r="ETG5" s="484"/>
      <c r="ETH5" s="484"/>
      <c r="ETI5" s="484"/>
      <c r="ETJ5" s="484"/>
      <c r="ETK5" s="484"/>
      <c r="ETL5" s="484"/>
      <c r="ETM5" s="484"/>
      <c r="ETN5" s="484"/>
      <c r="ETO5" s="484"/>
      <c r="ETP5" s="484"/>
      <c r="ETQ5" s="484"/>
      <c r="ETR5" s="484"/>
      <c r="ETS5" s="484"/>
      <c r="ETT5" s="484"/>
      <c r="ETU5" s="484"/>
      <c r="ETV5" s="484"/>
      <c r="ETW5" s="484"/>
      <c r="ETX5" s="484"/>
      <c r="ETY5" s="484"/>
      <c r="ETZ5" s="484"/>
      <c r="EUA5" s="484"/>
      <c r="EUB5" s="484"/>
      <c r="EUC5" s="484"/>
      <c r="EUD5" s="484"/>
      <c r="EUE5" s="484"/>
      <c r="EUF5" s="484"/>
      <c r="EUG5" s="484"/>
      <c r="EUH5" s="484"/>
      <c r="EUI5" s="484"/>
      <c r="EUJ5" s="484"/>
      <c r="EUK5" s="484"/>
      <c r="EUL5" s="484"/>
      <c r="EUM5" s="484"/>
      <c r="EUN5" s="484"/>
      <c r="EUO5" s="484"/>
      <c r="EUP5" s="484"/>
      <c r="EUQ5" s="484"/>
      <c r="EUR5" s="484"/>
      <c r="EUS5" s="484"/>
      <c r="EUT5" s="484"/>
      <c r="EUU5" s="484"/>
      <c r="EUV5" s="484"/>
      <c r="EUW5" s="484"/>
      <c r="EUX5" s="484"/>
      <c r="EUY5" s="484"/>
      <c r="EUZ5" s="484"/>
      <c r="EVA5" s="484"/>
      <c r="EVB5" s="484"/>
      <c r="EVC5" s="484"/>
      <c r="EVD5" s="484"/>
      <c r="EVE5" s="484"/>
      <c r="EVF5" s="484"/>
      <c r="EVG5" s="484"/>
      <c r="EVH5" s="484"/>
      <c r="EVI5" s="484"/>
      <c r="EVJ5" s="484"/>
      <c r="EVK5" s="484"/>
      <c r="EVL5" s="484"/>
      <c r="EVM5" s="484"/>
      <c r="EVN5" s="484"/>
      <c r="EVO5" s="484"/>
      <c r="EVP5" s="484"/>
      <c r="EVQ5" s="484"/>
      <c r="EVR5" s="484"/>
      <c r="EVS5" s="484"/>
      <c r="EVT5" s="484"/>
      <c r="EVU5" s="484"/>
      <c r="EVV5" s="484"/>
      <c r="EVW5" s="484"/>
      <c r="EVX5" s="484"/>
      <c r="EVY5" s="484"/>
      <c r="EVZ5" s="484"/>
      <c r="EWA5" s="484"/>
      <c r="EWB5" s="484"/>
      <c r="EWC5" s="484"/>
      <c r="EWD5" s="484"/>
      <c r="EWE5" s="484"/>
      <c r="EWF5" s="484"/>
      <c r="EWG5" s="484"/>
      <c r="EWH5" s="484"/>
      <c r="EWI5" s="484"/>
      <c r="EWJ5" s="484"/>
      <c r="EWK5" s="484"/>
      <c r="EWL5" s="484"/>
      <c r="EWM5" s="484"/>
      <c r="EWN5" s="484"/>
      <c r="EWO5" s="484"/>
      <c r="EWP5" s="484"/>
      <c r="EWQ5" s="484"/>
      <c r="EWR5" s="484"/>
      <c r="EWS5" s="484"/>
      <c r="EWT5" s="484"/>
      <c r="EWU5" s="484"/>
      <c r="EWV5" s="484"/>
      <c r="EWW5" s="484"/>
      <c r="EWX5" s="484"/>
      <c r="EWY5" s="484"/>
      <c r="EWZ5" s="484"/>
      <c r="EXA5" s="484"/>
      <c r="EXB5" s="484"/>
      <c r="EXC5" s="484"/>
      <c r="EXD5" s="484"/>
      <c r="EXE5" s="484"/>
      <c r="EXF5" s="484"/>
      <c r="EXG5" s="484"/>
      <c r="EXH5" s="484"/>
      <c r="EXI5" s="484"/>
      <c r="EXJ5" s="484"/>
      <c r="EXK5" s="484"/>
      <c r="EXL5" s="484"/>
      <c r="EXM5" s="484"/>
      <c r="EXN5" s="484"/>
      <c r="EXO5" s="484"/>
      <c r="EXP5" s="484"/>
      <c r="EXQ5" s="484"/>
      <c r="EXR5" s="484"/>
      <c r="EXS5" s="484"/>
      <c r="EXT5" s="484"/>
      <c r="EXU5" s="484"/>
      <c r="EXV5" s="484"/>
      <c r="EXW5" s="484"/>
      <c r="EXX5" s="484"/>
      <c r="EXY5" s="484"/>
      <c r="EXZ5" s="484"/>
      <c r="EYA5" s="484"/>
      <c r="EYB5" s="484"/>
      <c r="EYC5" s="484"/>
      <c r="EYD5" s="484"/>
      <c r="EYE5" s="484"/>
      <c r="EYF5" s="484"/>
      <c r="EYG5" s="484"/>
      <c r="EYH5" s="484"/>
      <c r="EYI5" s="484"/>
      <c r="EYJ5" s="484"/>
      <c r="EYK5" s="484"/>
      <c r="EYL5" s="484"/>
      <c r="EYM5" s="484"/>
      <c r="EYN5" s="484"/>
      <c r="EYO5" s="484"/>
      <c r="EYP5" s="484"/>
      <c r="EYQ5" s="484"/>
      <c r="EYR5" s="484"/>
      <c r="EYS5" s="484"/>
      <c r="EYT5" s="484"/>
      <c r="EYU5" s="484"/>
      <c r="EYV5" s="484"/>
      <c r="EYW5" s="484"/>
      <c r="EYX5" s="484"/>
      <c r="EYY5" s="484"/>
      <c r="EYZ5" s="484"/>
      <c r="EZA5" s="484"/>
      <c r="EZB5" s="484"/>
      <c r="EZC5" s="484"/>
      <c r="EZD5" s="484"/>
      <c r="EZE5" s="484"/>
      <c r="EZF5" s="484"/>
      <c r="EZG5" s="484"/>
      <c r="EZH5" s="484"/>
      <c r="EZI5" s="484"/>
      <c r="EZJ5" s="484"/>
      <c r="EZK5" s="484"/>
      <c r="EZL5" s="484"/>
      <c r="EZM5" s="484"/>
      <c r="EZN5" s="484"/>
      <c r="EZO5" s="484"/>
      <c r="EZP5" s="484"/>
      <c r="EZQ5" s="484"/>
      <c r="EZR5" s="484"/>
      <c r="EZS5" s="484"/>
      <c r="EZT5" s="484"/>
      <c r="EZU5" s="484"/>
      <c r="EZV5" s="484"/>
      <c r="EZW5" s="484"/>
      <c r="EZX5" s="484"/>
      <c r="EZY5" s="484"/>
      <c r="EZZ5" s="484"/>
      <c r="FAA5" s="484"/>
      <c r="FAB5" s="484"/>
      <c r="FAC5" s="484"/>
      <c r="FAD5" s="484"/>
      <c r="FAE5" s="484"/>
      <c r="FAF5" s="484"/>
      <c r="FAG5" s="484"/>
      <c r="FAH5" s="484"/>
      <c r="FAI5" s="484"/>
      <c r="FAJ5" s="484"/>
      <c r="FAK5" s="484"/>
      <c r="FAL5" s="484"/>
      <c r="FAM5" s="484"/>
      <c r="FAN5" s="484"/>
      <c r="FAO5" s="484"/>
      <c r="FAP5" s="484"/>
      <c r="FAQ5" s="484"/>
      <c r="FAR5" s="484"/>
      <c r="FAS5" s="484"/>
      <c r="FAT5" s="484"/>
      <c r="FAU5" s="484"/>
      <c r="FAV5" s="484"/>
      <c r="FAW5" s="484"/>
      <c r="FAX5" s="484"/>
      <c r="FAY5" s="484"/>
      <c r="FAZ5" s="484"/>
      <c r="FBA5" s="484"/>
      <c r="FBB5" s="484"/>
      <c r="FBC5" s="484"/>
      <c r="FBD5" s="484"/>
      <c r="FBE5" s="484"/>
      <c r="FBF5" s="484"/>
      <c r="FBG5" s="484"/>
      <c r="FBH5" s="484"/>
      <c r="FBI5" s="484"/>
      <c r="FBJ5" s="484"/>
      <c r="FBK5" s="484"/>
      <c r="FBL5" s="484"/>
      <c r="FBM5" s="484"/>
      <c r="FBN5" s="484"/>
      <c r="FBO5" s="484"/>
      <c r="FBP5" s="484"/>
      <c r="FBQ5" s="484"/>
      <c r="FBR5" s="484"/>
      <c r="FBS5" s="484"/>
      <c r="FBT5" s="484"/>
      <c r="FBU5" s="484"/>
      <c r="FBV5" s="484"/>
      <c r="FBW5" s="484"/>
      <c r="FBX5" s="484"/>
      <c r="FBY5" s="484"/>
      <c r="FBZ5" s="484"/>
      <c r="FCA5" s="484"/>
      <c r="FCB5" s="484"/>
      <c r="FCC5" s="484"/>
      <c r="FCD5" s="484"/>
      <c r="FCE5" s="484"/>
      <c r="FCF5" s="484"/>
      <c r="FCG5" s="484"/>
      <c r="FCH5" s="484"/>
      <c r="FCI5" s="484"/>
      <c r="FCJ5" s="484"/>
      <c r="FCK5" s="484"/>
      <c r="FCL5" s="484"/>
      <c r="FCM5" s="484"/>
      <c r="FCN5" s="484"/>
      <c r="FCO5" s="484"/>
      <c r="FCP5" s="484"/>
      <c r="FCQ5" s="484"/>
      <c r="FCR5" s="484"/>
      <c r="FCS5" s="484"/>
      <c r="FCT5" s="484"/>
      <c r="FCU5" s="484"/>
      <c r="FCV5" s="484"/>
      <c r="FCW5" s="484"/>
      <c r="FCX5" s="484"/>
      <c r="FCY5" s="484"/>
      <c r="FCZ5" s="484"/>
      <c r="FDA5" s="484"/>
      <c r="FDB5" s="484"/>
      <c r="FDC5" s="484"/>
      <c r="FDD5" s="484"/>
      <c r="FDE5" s="484"/>
      <c r="FDF5" s="484"/>
      <c r="FDG5" s="484"/>
      <c r="FDH5" s="484"/>
      <c r="FDI5" s="484"/>
      <c r="FDJ5" s="484"/>
      <c r="FDK5" s="484"/>
      <c r="FDL5" s="484"/>
      <c r="FDM5" s="484"/>
      <c r="FDN5" s="484"/>
      <c r="FDO5" s="484"/>
      <c r="FDP5" s="484"/>
      <c r="FDQ5" s="484"/>
      <c r="FDR5" s="484"/>
      <c r="FDS5" s="484"/>
      <c r="FDT5" s="484"/>
      <c r="FDU5" s="484"/>
      <c r="FDV5" s="484"/>
      <c r="FDW5" s="484"/>
      <c r="FDX5" s="484"/>
      <c r="FDY5" s="484"/>
      <c r="FDZ5" s="484"/>
      <c r="FEA5" s="484"/>
      <c r="FEB5" s="484"/>
      <c r="FEC5" s="484"/>
      <c r="FED5" s="484"/>
      <c r="FEE5" s="484"/>
      <c r="FEF5" s="484"/>
      <c r="FEG5" s="484"/>
      <c r="FEH5" s="484"/>
      <c r="FEI5" s="484"/>
      <c r="FEJ5" s="484"/>
      <c r="FEK5" s="484"/>
      <c r="FEL5" s="484"/>
      <c r="FEM5" s="484"/>
      <c r="FEN5" s="484"/>
      <c r="FEO5" s="484"/>
      <c r="FEP5" s="484"/>
      <c r="FEQ5" s="484"/>
      <c r="FER5" s="484"/>
      <c r="FES5" s="484"/>
      <c r="FET5" s="484"/>
      <c r="FEU5" s="484"/>
      <c r="FEV5" s="484"/>
      <c r="FEW5" s="484"/>
      <c r="FEX5" s="484"/>
      <c r="FEY5" s="484"/>
      <c r="FEZ5" s="484"/>
      <c r="FFA5" s="484"/>
      <c r="FFB5" s="484"/>
      <c r="FFC5" s="484"/>
      <c r="FFD5" s="484"/>
      <c r="FFE5" s="484"/>
      <c r="FFF5" s="484"/>
      <c r="FFG5" s="484"/>
      <c r="FFH5" s="484"/>
      <c r="FFI5" s="484"/>
      <c r="FFJ5" s="484"/>
      <c r="FFK5" s="484"/>
      <c r="FFL5" s="484"/>
      <c r="FFM5" s="484"/>
      <c r="FFN5" s="484"/>
      <c r="FFO5" s="484"/>
      <c r="FFP5" s="484"/>
      <c r="FFQ5" s="484"/>
      <c r="FFR5" s="484"/>
      <c r="FFS5" s="484"/>
      <c r="FFT5" s="484"/>
      <c r="FFU5" s="484"/>
      <c r="FFV5" s="484"/>
      <c r="FFW5" s="484"/>
      <c r="FFX5" s="484"/>
      <c r="FFY5" s="484"/>
      <c r="FFZ5" s="484"/>
      <c r="FGA5" s="484"/>
      <c r="FGB5" s="484"/>
      <c r="FGC5" s="484"/>
      <c r="FGD5" s="484"/>
      <c r="FGE5" s="484"/>
      <c r="FGF5" s="484"/>
      <c r="FGG5" s="484"/>
      <c r="FGH5" s="484"/>
      <c r="FGI5" s="484"/>
      <c r="FGJ5" s="484"/>
      <c r="FGK5" s="484"/>
      <c r="FGL5" s="484"/>
      <c r="FGM5" s="484"/>
      <c r="FGN5" s="484"/>
      <c r="FGO5" s="484"/>
      <c r="FGP5" s="484"/>
      <c r="FGQ5" s="484"/>
      <c r="FGR5" s="484"/>
      <c r="FGS5" s="484"/>
      <c r="FGT5" s="484"/>
      <c r="FGU5" s="484"/>
      <c r="FGV5" s="484"/>
      <c r="FGW5" s="484"/>
      <c r="FGX5" s="484"/>
      <c r="FGY5" s="484"/>
      <c r="FGZ5" s="484"/>
      <c r="FHA5" s="484"/>
      <c r="FHB5" s="484"/>
      <c r="FHC5" s="484"/>
      <c r="FHD5" s="484"/>
      <c r="FHE5" s="484"/>
      <c r="FHF5" s="484"/>
      <c r="FHG5" s="484"/>
      <c r="FHH5" s="484"/>
      <c r="FHI5" s="484"/>
      <c r="FHJ5" s="484"/>
      <c r="FHK5" s="484"/>
      <c r="FHL5" s="484"/>
      <c r="FHM5" s="484"/>
      <c r="FHN5" s="484"/>
      <c r="FHO5" s="484"/>
      <c r="FHP5" s="484"/>
      <c r="FHQ5" s="484"/>
      <c r="FHR5" s="484"/>
      <c r="FHS5" s="484"/>
      <c r="FHT5" s="484"/>
      <c r="FHU5" s="484"/>
      <c r="FHV5" s="484"/>
      <c r="FHW5" s="484"/>
      <c r="FHX5" s="484"/>
      <c r="FHY5" s="484"/>
      <c r="FHZ5" s="484"/>
      <c r="FIA5" s="484"/>
      <c r="FIB5" s="484"/>
      <c r="FIC5" s="484"/>
      <c r="FID5" s="484"/>
      <c r="FIE5" s="484"/>
      <c r="FIF5" s="484"/>
      <c r="FIG5" s="484"/>
      <c r="FIH5" s="484"/>
      <c r="FII5" s="484"/>
      <c r="FIJ5" s="484"/>
      <c r="FIK5" s="484"/>
      <c r="FIL5" s="484"/>
      <c r="FIM5" s="484"/>
      <c r="FIN5" s="484"/>
      <c r="FIO5" s="484"/>
      <c r="FIP5" s="484"/>
      <c r="FIQ5" s="484"/>
      <c r="FIR5" s="484"/>
      <c r="FIS5" s="484"/>
      <c r="FIT5" s="484"/>
      <c r="FIU5" s="484"/>
      <c r="FIV5" s="484"/>
      <c r="FIW5" s="484"/>
      <c r="FIX5" s="484"/>
      <c r="FIY5" s="484"/>
      <c r="FIZ5" s="484"/>
      <c r="FJA5" s="484"/>
      <c r="FJB5" s="484"/>
      <c r="FJC5" s="484"/>
      <c r="FJD5" s="484"/>
      <c r="FJE5" s="484"/>
      <c r="FJF5" s="484"/>
      <c r="FJG5" s="484"/>
      <c r="FJH5" s="484"/>
      <c r="FJI5" s="484"/>
      <c r="FJJ5" s="484"/>
      <c r="FJK5" s="484"/>
      <c r="FJL5" s="484"/>
      <c r="FJM5" s="484"/>
      <c r="FJN5" s="484"/>
      <c r="FJO5" s="484"/>
      <c r="FJP5" s="484"/>
      <c r="FJQ5" s="484"/>
      <c r="FJR5" s="484"/>
      <c r="FJS5" s="484"/>
      <c r="FJT5" s="484"/>
      <c r="FJU5" s="484"/>
      <c r="FJV5" s="484"/>
      <c r="FJW5" s="484"/>
      <c r="FJX5" s="484"/>
      <c r="FJY5" s="484"/>
      <c r="FJZ5" s="484"/>
      <c r="FKA5" s="484"/>
      <c r="FKB5" s="484"/>
      <c r="FKC5" s="484"/>
      <c r="FKD5" s="484"/>
      <c r="FKE5" s="484"/>
      <c r="FKF5" s="484"/>
      <c r="FKG5" s="484"/>
      <c r="FKH5" s="484"/>
      <c r="FKI5" s="484"/>
      <c r="FKJ5" s="484"/>
      <c r="FKK5" s="484"/>
      <c r="FKL5" s="484"/>
      <c r="FKM5" s="484"/>
      <c r="FKN5" s="484"/>
      <c r="FKO5" s="484"/>
      <c r="FKP5" s="484"/>
      <c r="FKQ5" s="484"/>
      <c r="FKR5" s="484"/>
      <c r="FKS5" s="484"/>
      <c r="FKT5" s="484"/>
      <c r="FKU5" s="484"/>
      <c r="FKV5" s="484"/>
      <c r="FKW5" s="484"/>
      <c r="FKX5" s="484"/>
      <c r="FKY5" s="484"/>
      <c r="FKZ5" s="484"/>
      <c r="FLA5" s="484"/>
      <c r="FLB5" s="484"/>
      <c r="FLC5" s="484"/>
      <c r="FLD5" s="484"/>
      <c r="FLE5" s="484"/>
      <c r="FLF5" s="484"/>
      <c r="FLG5" s="484"/>
      <c r="FLH5" s="484"/>
      <c r="FLI5" s="484"/>
      <c r="FLJ5" s="484"/>
      <c r="FLK5" s="484"/>
      <c r="FLL5" s="484"/>
      <c r="FLM5" s="484"/>
      <c r="FLN5" s="484"/>
      <c r="FLO5" s="484"/>
      <c r="FLP5" s="484"/>
      <c r="FLQ5" s="484"/>
      <c r="FLR5" s="484"/>
      <c r="FLS5" s="484"/>
      <c r="FLT5" s="484"/>
      <c r="FLU5" s="484"/>
      <c r="FLV5" s="484"/>
      <c r="FLW5" s="484"/>
      <c r="FLX5" s="484"/>
      <c r="FLY5" s="484"/>
      <c r="FLZ5" s="484"/>
      <c r="FMA5" s="484"/>
      <c r="FMB5" s="484"/>
      <c r="FMC5" s="484"/>
      <c r="FMD5" s="484"/>
      <c r="FME5" s="484"/>
      <c r="FMF5" s="484"/>
      <c r="FMG5" s="484"/>
      <c r="FMH5" s="484"/>
      <c r="FMI5" s="484"/>
      <c r="FMJ5" s="484"/>
      <c r="FMK5" s="484"/>
      <c r="FML5" s="484"/>
      <c r="FMM5" s="484"/>
      <c r="FMN5" s="484"/>
      <c r="FMO5" s="484"/>
      <c r="FMP5" s="484"/>
      <c r="FMQ5" s="484"/>
      <c r="FMR5" s="484"/>
      <c r="FMS5" s="484"/>
      <c r="FMT5" s="484"/>
      <c r="FMU5" s="484"/>
      <c r="FMV5" s="484"/>
      <c r="FMW5" s="484"/>
      <c r="FMX5" s="484"/>
      <c r="FMY5" s="484"/>
      <c r="FMZ5" s="484"/>
      <c r="FNA5" s="484"/>
      <c r="FNB5" s="484"/>
      <c r="FNC5" s="484"/>
      <c r="FND5" s="484"/>
      <c r="FNE5" s="484"/>
      <c r="FNF5" s="484"/>
      <c r="FNG5" s="484"/>
      <c r="FNH5" s="484"/>
      <c r="FNI5" s="484"/>
      <c r="FNJ5" s="484"/>
      <c r="FNK5" s="484"/>
      <c r="FNL5" s="484"/>
      <c r="FNM5" s="484"/>
      <c r="FNN5" s="484"/>
      <c r="FNO5" s="484"/>
      <c r="FNP5" s="484"/>
      <c r="FNQ5" s="484"/>
      <c r="FNR5" s="484"/>
      <c r="FNS5" s="484"/>
      <c r="FNT5" s="484"/>
      <c r="FNU5" s="484"/>
      <c r="FNV5" s="484"/>
      <c r="FNW5" s="484"/>
      <c r="FNX5" s="484"/>
      <c r="FNY5" s="484"/>
      <c r="FNZ5" s="484"/>
      <c r="FOA5" s="484"/>
      <c r="FOB5" s="484"/>
      <c r="FOC5" s="484"/>
      <c r="FOD5" s="484"/>
      <c r="FOE5" s="484"/>
      <c r="FOF5" s="484"/>
      <c r="FOG5" s="484"/>
      <c r="FOH5" s="484"/>
      <c r="FOI5" s="484"/>
      <c r="FOJ5" s="484"/>
      <c r="FOK5" s="484"/>
      <c r="FOL5" s="484"/>
      <c r="FOM5" s="484"/>
      <c r="FON5" s="484"/>
      <c r="FOO5" s="484"/>
      <c r="FOP5" s="484"/>
      <c r="FOQ5" s="484"/>
      <c r="FOR5" s="484"/>
      <c r="FOS5" s="484"/>
      <c r="FOT5" s="484"/>
      <c r="FOU5" s="484"/>
      <c r="FOV5" s="484"/>
      <c r="FOW5" s="484"/>
      <c r="FOX5" s="484"/>
      <c r="FOY5" s="484"/>
      <c r="FOZ5" s="484"/>
      <c r="FPA5" s="484"/>
      <c r="FPB5" s="484"/>
      <c r="FPC5" s="484"/>
      <c r="FPD5" s="484"/>
      <c r="FPE5" s="484"/>
      <c r="FPF5" s="484"/>
      <c r="FPG5" s="484"/>
      <c r="FPH5" s="484"/>
      <c r="FPI5" s="484"/>
      <c r="FPJ5" s="484"/>
      <c r="FPK5" s="484"/>
      <c r="FPL5" s="484"/>
      <c r="FPM5" s="484"/>
      <c r="FPN5" s="484"/>
      <c r="FPO5" s="484"/>
      <c r="FPP5" s="484"/>
      <c r="FPQ5" s="484"/>
      <c r="FPR5" s="484"/>
      <c r="FPS5" s="484"/>
      <c r="FPT5" s="484"/>
      <c r="FPU5" s="484"/>
      <c r="FPV5" s="484"/>
      <c r="FPW5" s="484"/>
      <c r="FPX5" s="484"/>
      <c r="FPY5" s="484"/>
      <c r="FPZ5" s="484"/>
      <c r="FQA5" s="484"/>
      <c r="FQB5" s="484"/>
      <c r="FQC5" s="484"/>
      <c r="FQD5" s="484"/>
      <c r="FQE5" s="484"/>
      <c r="FQF5" s="484"/>
      <c r="FQG5" s="484"/>
      <c r="FQH5" s="484"/>
      <c r="FQI5" s="484"/>
      <c r="FQJ5" s="484"/>
      <c r="FQK5" s="484"/>
      <c r="FQL5" s="484"/>
      <c r="FQM5" s="484"/>
      <c r="FQN5" s="484"/>
      <c r="FQO5" s="484"/>
      <c r="FQP5" s="484"/>
      <c r="FQQ5" s="484"/>
      <c r="FQR5" s="484"/>
      <c r="FQS5" s="484"/>
      <c r="FQT5" s="484"/>
      <c r="FQU5" s="484"/>
      <c r="FQV5" s="484"/>
      <c r="FQW5" s="484"/>
      <c r="FQX5" s="484"/>
      <c r="FQY5" s="484"/>
      <c r="FQZ5" s="484"/>
      <c r="FRA5" s="484"/>
      <c r="FRB5" s="484"/>
      <c r="FRC5" s="484"/>
      <c r="FRD5" s="484"/>
      <c r="FRE5" s="484"/>
      <c r="FRF5" s="484"/>
      <c r="FRG5" s="484"/>
      <c r="FRH5" s="484"/>
      <c r="FRI5" s="484"/>
      <c r="FRJ5" s="484"/>
      <c r="FRK5" s="484"/>
      <c r="FRL5" s="484"/>
      <c r="FRM5" s="484"/>
      <c r="FRN5" s="484"/>
      <c r="FRO5" s="484"/>
      <c r="FRP5" s="484"/>
      <c r="FRQ5" s="484"/>
      <c r="FRR5" s="484"/>
      <c r="FRS5" s="484"/>
      <c r="FRT5" s="484"/>
      <c r="FRU5" s="484"/>
      <c r="FRV5" s="484"/>
      <c r="FRW5" s="484"/>
      <c r="FRX5" s="484"/>
      <c r="FRY5" s="484"/>
      <c r="FRZ5" s="484"/>
      <c r="FSA5" s="484"/>
      <c r="FSB5" s="484"/>
      <c r="FSC5" s="484"/>
      <c r="FSD5" s="484"/>
      <c r="FSE5" s="484"/>
      <c r="FSF5" s="484"/>
      <c r="FSG5" s="484"/>
      <c r="FSH5" s="484"/>
      <c r="FSI5" s="484"/>
      <c r="FSJ5" s="484"/>
      <c r="FSK5" s="484"/>
      <c r="FSL5" s="484"/>
      <c r="FSM5" s="484"/>
      <c r="FSN5" s="484"/>
      <c r="FSO5" s="484"/>
      <c r="FSP5" s="484"/>
      <c r="FSQ5" s="484"/>
      <c r="FSR5" s="484"/>
      <c r="FSS5" s="484"/>
      <c r="FST5" s="484"/>
      <c r="FSU5" s="484"/>
      <c r="FSV5" s="484"/>
      <c r="FSW5" s="484"/>
      <c r="FSX5" s="484"/>
      <c r="FSY5" s="484"/>
      <c r="FSZ5" s="484"/>
      <c r="FTA5" s="484"/>
      <c r="FTB5" s="484"/>
      <c r="FTC5" s="484"/>
      <c r="FTD5" s="484"/>
      <c r="FTE5" s="484"/>
      <c r="FTF5" s="484"/>
      <c r="FTG5" s="484"/>
      <c r="FTH5" s="484"/>
      <c r="FTI5" s="484"/>
      <c r="FTJ5" s="484"/>
      <c r="FTK5" s="484"/>
      <c r="FTL5" s="484"/>
      <c r="FTM5" s="484"/>
      <c r="FTN5" s="484"/>
      <c r="FTO5" s="484"/>
      <c r="FTP5" s="484"/>
      <c r="FTQ5" s="484"/>
      <c r="FTR5" s="484"/>
      <c r="FTS5" s="484"/>
      <c r="FTT5" s="484"/>
      <c r="FTU5" s="484"/>
      <c r="FTV5" s="484"/>
      <c r="FTW5" s="484"/>
      <c r="FTX5" s="484"/>
      <c r="FTY5" s="484"/>
      <c r="FTZ5" s="484"/>
      <c r="FUA5" s="484"/>
      <c r="FUB5" s="484"/>
      <c r="FUC5" s="484"/>
      <c r="FUD5" s="484"/>
      <c r="FUE5" s="484"/>
      <c r="FUF5" s="484"/>
      <c r="FUG5" s="484"/>
      <c r="FUH5" s="484"/>
      <c r="FUI5" s="484"/>
      <c r="FUJ5" s="484"/>
      <c r="FUK5" s="484"/>
      <c r="FUL5" s="484"/>
      <c r="FUM5" s="484"/>
      <c r="FUN5" s="484"/>
      <c r="FUO5" s="484"/>
      <c r="FUP5" s="484"/>
      <c r="FUQ5" s="484"/>
      <c r="FUR5" s="484"/>
      <c r="FUS5" s="484"/>
      <c r="FUT5" s="484"/>
      <c r="FUU5" s="484"/>
      <c r="FUV5" s="484"/>
      <c r="FUW5" s="484"/>
      <c r="FUX5" s="484"/>
      <c r="FUY5" s="484"/>
      <c r="FUZ5" s="484"/>
      <c r="FVA5" s="484"/>
      <c r="FVB5" s="484"/>
      <c r="FVC5" s="484"/>
      <c r="FVD5" s="484"/>
      <c r="FVE5" s="484"/>
      <c r="FVF5" s="484"/>
      <c r="FVG5" s="484"/>
      <c r="FVH5" s="484"/>
      <c r="FVI5" s="484"/>
      <c r="FVJ5" s="484"/>
      <c r="FVK5" s="484"/>
      <c r="FVL5" s="484"/>
      <c r="FVM5" s="484"/>
      <c r="FVN5" s="484"/>
      <c r="FVO5" s="484"/>
      <c r="FVP5" s="484"/>
      <c r="FVQ5" s="484"/>
      <c r="FVR5" s="484"/>
      <c r="FVS5" s="484"/>
      <c r="FVT5" s="484"/>
      <c r="FVU5" s="484"/>
      <c r="FVV5" s="484"/>
      <c r="FVW5" s="484"/>
      <c r="FVX5" s="484"/>
      <c r="FVY5" s="484"/>
      <c r="FVZ5" s="484"/>
      <c r="FWA5" s="484"/>
      <c r="FWB5" s="484"/>
      <c r="FWC5" s="484"/>
      <c r="FWD5" s="484"/>
      <c r="FWE5" s="484"/>
      <c r="FWF5" s="484"/>
      <c r="FWG5" s="484"/>
      <c r="FWH5" s="484"/>
      <c r="FWI5" s="484"/>
      <c r="FWJ5" s="484"/>
      <c r="FWK5" s="484"/>
      <c r="FWL5" s="484"/>
      <c r="FWM5" s="484"/>
      <c r="FWN5" s="484"/>
      <c r="FWO5" s="484"/>
      <c r="FWP5" s="484"/>
      <c r="FWQ5" s="484"/>
      <c r="FWR5" s="484"/>
      <c r="FWS5" s="484"/>
      <c r="FWT5" s="484"/>
      <c r="FWU5" s="484"/>
      <c r="FWV5" s="484"/>
      <c r="FWW5" s="484"/>
      <c r="FWX5" s="484"/>
      <c r="FWY5" s="484"/>
      <c r="FWZ5" s="484"/>
      <c r="FXA5" s="484"/>
      <c r="FXB5" s="484"/>
      <c r="FXC5" s="484"/>
      <c r="FXD5" s="484"/>
      <c r="FXE5" s="484"/>
      <c r="FXF5" s="484"/>
      <c r="FXG5" s="484"/>
      <c r="FXH5" s="484"/>
      <c r="FXI5" s="484"/>
      <c r="FXJ5" s="484"/>
      <c r="FXK5" s="484"/>
      <c r="FXL5" s="484"/>
      <c r="FXM5" s="484"/>
      <c r="FXN5" s="484"/>
      <c r="FXO5" s="484"/>
      <c r="FXP5" s="484"/>
      <c r="FXQ5" s="484"/>
      <c r="FXR5" s="484"/>
      <c r="FXS5" s="484"/>
      <c r="FXT5" s="484"/>
      <c r="FXU5" s="484"/>
      <c r="FXV5" s="484"/>
      <c r="FXW5" s="484"/>
      <c r="FXX5" s="484"/>
      <c r="FXY5" s="484"/>
      <c r="FXZ5" s="484"/>
      <c r="FYA5" s="484"/>
      <c r="FYB5" s="484"/>
      <c r="FYC5" s="484"/>
      <c r="FYD5" s="484"/>
      <c r="FYE5" s="484"/>
      <c r="FYF5" s="484"/>
      <c r="FYG5" s="484"/>
      <c r="FYH5" s="484"/>
      <c r="FYI5" s="484"/>
      <c r="FYJ5" s="484"/>
      <c r="FYK5" s="484"/>
      <c r="FYL5" s="484"/>
      <c r="FYM5" s="484"/>
      <c r="FYN5" s="484"/>
      <c r="FYO5" s="484"/>
      <c r="FYP5" s="484"/>
      <c r="FYQ5" s="484"/>
      <c r="FYR5" s="484"/>
      <c r="FYS5" s="484"/>
      <c r="FYT5" s="484"/>
      <c r="FYU5" s="484"/>
      <c r="FYV5" s="484"/>
      <c r="FYW5" s="484"/>
      <c r="FYX5" s="484"/>
      <c r="FYY5" s="484"/>
      <c r="FYZ5" s="484"/>
      <c r="FZA5" s="484"/>
      <c r="FZB5" s="484"/>
      <c r="FZC5" s="484"/>
      <c r="FZD5" s="484"/>
      <c r="FZE5" s="484"/>
      <c r="FZF5" s="484"/>
      <c r="FZG5" s="484"/>
      <c r="FZH5" s="484"/>
      <c r="FZI5" s="484"/>
      <c r="FZJ5" s="484"/>
      <c r="FZK5" s="484"/>
      <c r="FZL5" s="484"/>
      <c r="FZM5" s="484"/>
      <c r="FZN5" s="484"/>
      <c r="FZO5" s="484"/>
      <c r="FZP5" s="484"/>
      <c r="FZQ5" s="484"/>
      <c r="FZR5" s="484"/>
      <c r="FZS5" s="484"/>
      <c r="FZT5" s="484"/>
      <c r="FZU5" s="484"/>
      <c r="FZV5" s="484"/>
      <c r="FZW5" s="484"/>
      <c r="FZX5" s="484"/>
      <c r="FZY5" s="484"/>
      <c r="FZZ5" s="484"/>
      <c r="GAA5" s="484"/>
      <c r="GAB5" s="484"/>
      <c r="GAC5" s="484"/>
      <c r="GAD5" s="484"/>
      <c r="GAE5" s="484"/>
      <c r="GAF5" s="484"/>
      <c r="GAG5" s="484"/>
      <c r="GAH5" s="484"/>
      <c r="GAI5" s="484"/>
      <c r="GAJ5" s="484"/>
      <c r="GAK5" s="484"/>
      <c r="GAL5" s="484"/>
      <c r="GAM5" s="484"/>
      <c r="GAN5" s="484"/>
      <c r="GAO5" s="484"/>
      <c r="GAP5" s="484"/>
      <c r="GAQ5" s="484"/>
      <c r="GAR5" s="484"/>
      <c r="GAS5" s="484"/>
      <c r="GAT5" s="484"/>
      <c r="GAU5" s="484"/>
      <c r="GAV5" s="484"/>
      <c r="GAW5" s="484"/>
      <c r="GAX5" s="484"/>
      <c r="GAY5" s="484"/>
      <c r="GAZ5" s="484"/>
      <c r="GBA5" s="484"/>
      <c r="GBB5" s="484"/>
      <c r="GBC5" s="484"/>
      <c r="GBD5" s="484"/>
      <c r="GBE5" s="484"/>
      <c r="GBF5" s="484"/>
      <c r="GBG5" s="484"/>
      <c r="GBH5" s="484"/>
      <c r="GBI5" s="484"/>
      <c r="GBJ5" s="484"/>
      <c r="GBK5" s="484"/>
      <c r="GBL5" s="484"/>
      <c r="GBM5" s="484"/>
      <c r="GBN5" s="484"/>
      <c r="GBO5" s="484"/>
      <c r="GBP5" s="484"/>
      <c r="GBQ5" s="484"/>
      <c r="GBR5" s="484"/>
      <c r="GBS5" s="484"/>
      <c r="GBT5" s="484"/>
      <c r="GBU5" s="484"/>
      <c r="GBV5" s="484"/>
      <c r="GBW5" s="484"/>
      <c r="GBX5" s="484"/>
      <c r="GBY5" s="484"/>
      <c r="GBZ5" s="484"/>
      <c r="GCA5" s="484"/>
      <c r="GCB5" s="484"/>
      <c r="GCC5" s="484"/>
      <c r="GCD5" s="484"/>
      <c r="GCE5" s="484"/>
      <c r="GCF5" s="484"/>
      <c r="GCG5" s="484"/>
      <c r="GCH5" s="484"/>
      <c r="GCI5" s="484"/>
      <c r="GCJ5" s="484"/>
      <c r="GCK5" s="484"/>
      <c r="GCL5" s="484"/>
      <c r="GCM5" s="484"/>
      <c r="GCN5" s="484"/>
      <c r="GCO5" s="484"/>
      <c r="GCP5" s="484"/>
      <c r="GCQ5" s="484"/>
      <c r="GCR5" s="484"/>
      <c r="GCS5" s="484"/>
      <c r="GCT5" s="484"/>
      <c r="GCU5" s="484"/>
      <c r="GCV5" s="484"/>
      <c r="GCW5" s="484"/>
      <c r="GCX5" s="484"/>
      <c r="GCY5" s="484"/>
      <c r="GCZ5" s="484"/>
      <c r="GDA5" s="484"/>
      <c r="GDB5" s="484"/>
      <c r="GDC5" s="484"/>
      <c r="GDD5" s="484"/>
      <c r="GDE5" s="484"/>
      <c r="GDF5" s="484"/>
      <c r="GDG5" s="484"/>
      <c r="GDH5" s="484"/>
      <c r="GDI5" s="484"/>
      <c r="GDJ5" s="484"/>
      <c r="GDK5" s="484"/>
      <c r="GDL5" s="484"/>
      <c r="GDM5" s="484"/>
      <c r="GDN5" s="484"/>
      <c r="GDO5" s="484"/>
      <c r="GDP5" s="484"/>
      <c r="GDQ5" s="484"/>
      <c r="GDR5" s="484"/>
      <c r="GDS5" s="484"/>
      <c r="GDT5" s="484"/>
      <c r="GDU5" s="484"/>
      <c r="GDV5" s="484"/>
      <c r="GDW5" s="484"/>
      <c r="GDX5" s="484"/>
      <c r="GDY5" s="484"/>
      <c r="GDZ5" s="484"/>
      <c r="GEA5" s="484"/>
      <c r="GEB5" s="484"/>
      <c r="GEC5" s="484"/>
      <c r="GED5" s="484"/>
      <c r="GEE5" s="484"/>
      <c r="GEF5" s="484"/>
      <c r="GEG5" s="484"/>
      <c r="GEH5" s="484"/>
      <c r="GEI5" s="484"/>
      <c r="GEJ5" s="484"/>
      <c r="GEK5" s="484"/>
      <c r="GEL5" s="484"/>
      <c r="GEM5" s="484"/>
      <c r="GEN5" s="484"/>
      <c r="GEO5" s="484"/>
      <c r="GEP5" s="484"/>
      <c r="GEQ5" s="484"/>
      <c r="GER5" s="484"/>
      <c r="GES5" s="484"/>
      <c r="GET5" s="484"/>
      <c r="GEU5" s="484"/>
      <c r="GEV5" s="484"/>
      <c r="GEW5" s="484"/>
      <c r="GEX5" s="484"/>
      <c r="GEY5" s="484"/>
      <c r="GEZ5" s="484"/>
      <c r="GFA5" s="484"/>
      <c r="GFB5" s="484"/>
      <c r="GFC5" s="484"/>
      <c r="GFD5" s="484"/>
      <c r="GFE5" s="484"/>
      <c r="GFF5" s="484"/>
      <c r="GFG5" s="484"/>
      <c r="GFH5" s="484"/>
      <c r="GFI5" s="484"/>
      <c r="GFJ5" s="484"/>
      <c r="GFK5" s="484"/>
      <c r="GFL5" s="484"/>
      <c r="GFM5" s="484"/>
      <c r="GFN5" s="484"/>
      <c r="GFO5" s="484"/>
      <c r="GFP5" s="484"/>
      <c r="GFQ5" s="484"/>
      <c r="GFR5" s="484"/>
      <c r="GFS5" s="484"/>
      <c r="GFT5" s="484"/>
      <c r="GFU5" s="484"/>
      <c r="GFV5" s="484"/>
      <c r="GFW5" s="484"/>
      <c r="GFX5" s="484"/>
      <c r="GFY5" s="484"/>
      <c r="GFZ5" s="484"/>
      <c r="GGA5" s="484"/>
      <c r="GGB5" s="484"/>
      <c r="GGC5" s="484"/>
      <c r="GGD5" s="484"/>
      <c r="GGE5" s="484"/>
      <c r="GGF5" s="484"/>
      <c r="GGG5" s="484"/>
      <c r="GGH5" s="484"/>
      <c r="GGI5" s="484"/>
      <c r="GGJ5" s="484"/>
      <c r="GGK5" s="484"/>
      <c r="GGL5" s="484"/>
      <c r="GGM5" s="484"/>
      <c r="GGN5" s="484"/>
      <c r="GGO5" s="484"/>
      <c r="GGP5" s="484"/>
      <c r="GGQ5" s="484"/>
      <c r="GGR5" s="484"/>
      <c r="GGS5" s="484"/>
      <c r="GGT5" s="484"/>
      <c r="GGU5" s="484"/>
      <c r="GGV5" s="484"/>
      <c r="GGW5" s="484"/>
      <c r="GGX5" s="484"/>
      <c r="GGY5" s="484"/>
      <c r="GGZ5" s="484"/>
      <c r="GHA5" s="484"/>
      <c r="GHB5" s="484"/>
      <c r="GHC5" s="484"/>
      <c r="GHD5" s="484"/>
      <c r="GHE5" s="484"/>
      <c r="GHF5" s="484"/>
      <c r="GHG5" s="484"/>
      <c r="GHH5" s="484"/>
      <c r="GHI5" s="484"/>
      <c r="GHJ5" s="484"/>
      <c r="GHK5" s="484"/>
      <c r="GHL5" s="484"/>
      <c r="GHM5" s="484"/>
      <c r="GHN5" s="484"/>
      <c r="GHO5" s="484"/>
      <c r="GHP5" s="484"/>
      <c r="GHQ5" s="484"/>
      <c r="GHR5" s="484"/>
      <c r="GHS5" s="484"/>
      <c r="GHT5" s="484"/>
      <c r="GHU5" s="484"/>
      <c r="GHV5" s="484"/>
      <c r="GHW5" s="484"/>
      <c r="GHX5" s="484"/>
      <c r="GHY5" s="484"/>
      <c r="GHZ5" s="484"/>
      <c r="GIA5" s="484"/>
      <c r="GIB5" s="484"/>
      <c r="GIC5" s="484"/>
      <c r="GID5" s="484"/>
      <c r="GIE5" s="484"/>
      <c r="GIF5" s="484"/>
      <c r="GIG5" s="484"/>
      <c r="GIH5" s="484"/>
      <c r="GII5" s="484"/>
      <c r="GIJ5" s="484"/>
      <c r="GIK5" s="484"/>
      <c r="GIL5" s="484"/>
      <c r="GIM5" s="484"/>
      <c r="GIN5" s="484"/>
      <c r="GIO5" s="484"/>
      <c r="GIP5" s="484"/>
      <c r="GIQ5" s="484"/>
      <c r="GIR5" s="484"/>
      <c r="GIS5" s="484"/>
      <c r="GIT5" s="484"/>
      <c r="GIU5" s="484"/>
      <c r="GIV5" s="484"/>
      <c r="GIW5" s="484"/>
      <c r="GIX5" s="484"/>
      <c r="GIY5" s="484"/>
      <c r="GIZ5" s="484"/>
      <c r="GJA5" s="484"/>
      <c r="GJB5" s="484"/>
      <c r="GJC5" s="484"/>
      <c r="GJD5" s="484"/>
      <c r="GJE5" s="484"/>
      <c r="GJF5" s="484"/>
      <c r="GJG5" s="484"/>
      <c r="GJH5" s="484"/>
      <c r="GJI5" s="484"/>
      <c r="GJJ5" s="484"/>
      <c r="GJK5" s="484"/>
      <c r="GJL5" s="484"/>
      <c r="GJM5" s="484"/>
      <c r="GJN5" s="484"/>
      <c r="GJO5" s="484"/>
      <c r="GJP5" s="484"/>
      <c r="GJQ5" s="484"/>
      <c r="GJR5" s="484"/>
      <c r="GJS5" s="484"/>
      <c r="GJT5" s="484"/>
      <c r="GJU5" s="484"/>
      <c r="GJV5" s="484"/>
      <c r="GJW5" s="484"/>
      <c r="GJX5" s="484"/>
      <c r="GJY5" s="484"/>
      <c r="GJZ5" s="484"/>
      <c r="GKA5" s="484"/>
      <c r="GKB5" s="484"/>
      <c r="GKC5" s="484"/>
      <c r="GKD5" s="484"/>
      <c r="GKE5" s="484"/>
      <c r="GKF5" s="484"/>
      <c r="GKG5" s="484"/>
      <c r="GKH5" s="484"/>
      <c r="GKI5" s="484"/>
      <c r="GKJ5" s="484"/>
      <c r="GKK5" s="484"/>
      <c r="GKL5" s="484"/>
      <c r="GKM5" s="484"/>
      <c r="GKN5" s="484"/>
      <c r="GKO5" s="484"/>
      <c r="GKP5" s="484"/>
      <c r="GKQ5" s="484"/>
      <c r="GKR5" s="484"/>
      <c r="GKS5" s="484"/>
      <c r="GKT5" s="484"/>
      <c r="GKU5" s="484"/>
      <c r="GKV5" s="484"/>
      <c r="GKW5" s="484"/>
      <c r="GKX5" s="484"/>
      <c r="GKY5" s="484"/>
      <c r="GKZ5" s="484"/>
      <c r="GLA5" s="484"/>
      <c r="GLB5" s="484"/>
      <c r="GLC5" s="484"/>
      <c r="GLD5" s="484"/>
      <c r="GLE5" s="484"/>
      <c r="GLF5" s="484"/>
      <c r="GLG5" s="484"/>
      <c r="GLH5" s="484"/>
      <c r="GLI5" s="484"/>
      <c r="GLJ5" s="484"/>
      <c r="GLK5" s="484"/>
      <c r="GLL5" s="484"/>
      <c r="GLM5" s="484"/>
      <c r="GLN5" s="484"/>
      <c r="GLO5" s="484"/>
      <c r="GLP5" s="484"/>
      <c r="GLQ5" s="484"/>
      <c r="GLR5" s="484"/>
      <c r="GLS5" s="484"/>
      <c r="GLT5" s="484"/>
      <c r="GLU5" s="484"/>
      <c r="GLV5" s="484"/>
      <c r="GLW5" s="484"/>
      <c r="GLX5" s="484"/>
      <c r="GLY5" s="484"/>
      <c r="GLZ5" s="484"/>
      <c r="GMA5" s="484"/>
      <c r="GMB5" s="484"/>
      <c r="GMC5" s="484"/>
      <c r="GMD5" s="484"/>
      <c r="GME5" s="484"/>
      <c r="GMF5" s="484"/>
      <c r="GMG5" s="484"/>
      <c r="GMH5" s="484"/>
      <c r="GMI5" s="484"/>
      <c r="GMJ5" s="484"/>
      <c r="GMK5" s="484"/>
      <c r="GML5" s="484"/>
      <c r="GMM5" s="484"/>
      <c r="GMN5" s="484"/>
      <c r="GMO5" s="484"/>
      <c r="GMP5" s="484"/>
      <c r="GMQ5" s="484"/>
      <c r="GMR5" s="484"/>
      <c r="GMS5" s="484"/>
      <c r="GMT5" s="484"/>
      <c r="GMU5" s="484"/>
      <c r="GMV5" s="484"/>
      <c r="GMW5" s="484"/>
      <c r="GMX5" s="484"/>
      <c r="GMY5" s="484"/>
      <c r="GMZ5" s="484"/>
      <c r="GNA5" s="484"/>
      <c r="GNB5" s="484"/>
      <c r="GNC5" s="484"/>
      <c r="GND5" s="484"/>
      <c r="GNE5" s="484"/>
      <c r="GNF5" s="484"/>
      <c r="GNG5" s="484"/>
      <c r="GNH5" s="484"/>
      <c r="GNI5" s="484"/>
      <c r="GNJ5" s="484"/>
      <c r="GNK5" s="484"/>
      <c r="GNL5" s="484"/>
      <c r="GNM5" s="484"/>
      <c r="GNN5" s="484"/>
      <c r="GNO5" s="484"/>
      <c r="GNP5" s="484"/>
      <c r="GNQ5" s="484"/>
      <c r="GNR5" s="484"/>
      <c r="GNS5" s="484"/>
      <c r="GNT5" s="484"/>
      <c r="GNU5" s="484"/>
      <c r="GNV5" s="484"/>
      <c r="GNW5" s="484"/>
      <c r="GNX5" s="484"/>
      <c r="GNY5" s="484"/>
      <c r="GNZ5" s="484"/>
      <c r="GOA5" s="484"/>
      <c r="GOB5" s="484"/>
      <c r="GOC5" s="484"/>
      <c r="GOD5" s="484"/>
      <c r="GOE5" s="484"/>
      <c r="GOF5" s="484"/>
      <c r="GOG5" s="484"/>
      <c r="GOH5" s="484"/>
      <c r="GOI5" s="484"/>
      <c r="GOJ5" s="484"/>
      <c r="GOK5" s="484"/>
      <c r="GOL5" s="484"/>
      <c r="GOM5" s="484"/>
      <c r="GON5" s="484"/>
      <c r="GOO5" s="484"/>
      <c r="GOP5" s="484"/>
      <c r="GOQ5" s="484"/>
      <c r="GOR5" s="484"/>
      <c r="GOS5" s="484"/>
      <c r="GOT5" s="484"/>
      <c r="GOU5" s="484"/>
      <c r="GOV5" s="484"/>
      <c r="GOW5" s="484"/>
      <c r="GOX5" s="484"/>
      <c r="GOY5" s="484"/>
      <c r="GOZ5" s="484"/>
      <c r="GPA5" s="484"/>
      <c r="GPB5" s="484"/>
      <c r="GPC5" s="484"/>
      <c r="GPD5" s="484"/>
      <c r="GPE5" s="484"/>
      <c r="GPF5" s="484"/>
      <c r="GPG5" s="484"/>
      <c r="GPH5" s="484"/>
      <c r="GPI5" s="484"/>
      <c r="GPJ5" s="484"/>
      <c r="GPK5" s="484"/>
      <c r="GPL5" s="484"/>
      <c r="GPM5" s="484"/>
      <c r="GPN5" s="484"/>
      <c r="GPO5" s="484"/>
      <c r="GPP5" s="484"/>
      <c r="GPQ5" s="484"/>
      <c r="GPR5" s="484"/>
      <c r="GPS5" s="484"/>
      <c r="GPT5" s="484"/>
      <c r="GPU5" s="484"/>
      <c r="GPV5" s="484"/>
      <c r="GPW5" s="484"/>
      <c r="GPX5" s="484"/>
      <c r="GPY5" s="484"/>
      <c r="GPZ5" s="484"/>
      <c r="GQA5" s="484"/>
      <c r="GQB5" s="484"/>
      <c r="GQC5" s="484"/>
      <c r="GQD5" s="484"/>
      <c r="GQE5" s="484"/>
      <c r="GQF5" s="484"/>
      <c r="GQG5" s="484"/>
      <c r="GQH5" s="484"/>
      <c r="GQI5" s="484"/>
      <c r="GQJ5" s="484"/>
      <c r="GQK5" s="484"/>
      <c r="GQL5" s="484"/>
      <c r="GQM5" s="484"/>
      <c r="GQN5" s="484"/>
      <c r="GQO5" s="484"/>
      <c r="GQP5" s="484"/>
      <c r="GQQ5" s="484"/>
      <c r="GQR5" s="484"/>
      <c r="GQS5" s="484"/>
      <c r="GQT5" s="484"/>
      <c r="GQU5" s="484"/>
      <c r="GQV5" s="484"/>
      <c r="GQW5" s="484"/>
      <c r="GQX5" s="484"/>
      <c r="GQY5" s="484"/>
      <c r="GQZ5" s="484"/>
      <c r="GRA5" s="484"/>
      <c r="GRB5" s="484"/>
      <c r="GRC5" s="484"/>
      <c r="GRD5" s="484"/>
      <c r="GRE5" s="484"/>
      <c r="GRF5" s="484"/>
      <c r="GRG5" s="484"/>
      <c r="GRH5" s="484"/>
      <c r="GRI5" s="484"/>
      <c r="GRJ5" s="484"/>
      <c r="GRK5" s="484"/>
      <c r="GRL5" s="484"/>
      <c r="GRM5" s="484"/>
      <c r="GRN5" s="484"/>
      <c r="GRO5" s="484"/>
      <c r="GRP5" s="484"/>
      <c r="GRQ5" s="484"/>
      <c r="GRR5" s="484"/>
      <c r="GRS5" s="484"/>
      <c r="GRT5" s="484"/>
      <c r="GRU5" s="484"/>
      <c r="GRV5" s="484"/>
      <c r="GRW5" s="484"/>
      <c r="GRX5" s="484"/>
      <c r="GRY5" s="484"/>
      <c r="GRZ5" s="484"/>
      <c r="GSA5" s="484"/>
      <c r="GSB5" s="484"/>
      <c r="GSC5" s="484"/>
      <c r="GSD5" s="484"/>
      <c r="GSE5" s="484"/>
      <c r="GSF5" s="484"/>
      <c r="GSG5" s="484"/>
      <c r="GSH5" s="484"/>
      <c r="GSI5" s="484"/>
      <c r="GSJ5" s="484"/>
      <c r="GSK5" s="484"/>
      <c r="GSL5" s="484"/>
      <c r="GSM5" s="484"/>
      <c r="GSN5" s="484"/>
      <c r="GSO5" s="484"/>
      <c r="GSP5" s="484"/>
      <c r="GSQ5" s="484"/>
      <c r="GSR5" s="484"/>
      <c r="GSS5" s="484"/>
      <c r="GST5" s="484"/>
      <c r="GSU5" s="484"/>
      <c r="GSV5" s="484"/>
      <c r="GSW5" s="484"/>
      <c r="GSX5" s="484"/>
      <c r="GSY5" s="484"/>
      <c r="GSZ5" s="484"/>
      <c r="GTA5" s="484"/>
      <c r="GTB5" s="484"/>
      <c r="GTC5" s="484"/>
      <c r="GTD5" s="484"/>
      <c r="GTE5" s="484"/>
      <c r="GTF5" s="484"/>
      <c r="GTG5" s="484"/>
      <c r="GTH5" s="484"/>
      <c r="GTI5" s="484"/>
      <c r="GTJ5" s="484"/>
      <c r="GTK5" s="484"/>
      <c r="GTL5" s="484"/>
      <c r="GTM5" s="484"/>
      <c r="GTN5" s="484"/>
      <c r="GTO5" s="484"/>
      <c r="GTP5" s="484"/>
      <c r="GTQ5" s="484"/>
      <c r="GTR5" s="484"/>
      <c r="GTS5" s="484"/>
      <c r="GTT5" s="484"/>
      <c r="GTU5" s="484"/>
      <c r="GTV5" s="484"/>
      <c r="GTW5" s="484"/>
      <c r="GTX5" s="484"/>
      <c r="GTY5" s="484"/>
      <c r="GTZ5" s="484"/>
      <c r="GUA5" s="484"/>
      <c r="GUB5" s="484"/>
      <c r="GUC5" s="484"/>
      <c r="GUD5" s="484"/>
      <c r="GUE5" s="484"/>
      <c r="GUF5" s="484"/>
      <c r="GUG5" s="484"/>
      <c r="GUH5" s="484"/>
      <c r="GUI5" s="484"/>
      <c r="GUJ5" s="484"/>
      <c r="GUK5" s="484"/>
      <c r="GUL5" s="484"/>
      <c r="GUM5" s="484"/>
      <c r="GUN5" s="484"/>
      <c r="GUO5" s="484"/>
      <c r="GUP5" s="484"/>
      <c r="GUQ5" s="484"/>
      <c r="GUR5" s="484"/>
      <c r="GUS5" s="484"/>
      <c r="GUT5" s="484"/>
      <c r="GUU5" s="484"/>
      <c r="GUV5" s="484"/>
      <c r="GUW5" s="484"/>
      <c r="GUX5" s="484"/>
      <c r="GUY5" s="484"/>
      <c r="GUZ5" s="484"/>
      <c r="GVA5" s="484"/>
      <c r="GVB5" s="484"/>
      <c r="GVC5" s="484"/>
      <c r="GVD5" s="484"/>
      <c r="GVE5" s="484"/>
      <c r="GVF5" s="484"/>
      <c r="GVG5" s="484"/>
      <c r="GVH5" s="484"/>
      <c r="GVI5" s="484"/>
      <c r="GVJ5" s="484"/>
      <c r="GVK5" s="484"/>
      <c r="GVL5" s="484"/>
      <c r="GVM5" s="484"/>
      <c r="GVN5" s="484"/>
      <c r="GVO5" s="484"/>
      <c r="GVP5" s="484"/>
      <c r="GVQ5" s="484"/>
      <c r="GVR5" s="484"/>
      <c r="GVS5" s="484"/>
      <c r="GVT5" s="484"/>
      <c r="GVU5" s="484"/>
      <c r="GVV5" s="484"/>
      <c r="GVW5" s="484"/>
      <c r="GVX5" s="484"/>
      <c r="GVY5" s="484"/>
      <c r="GVZ5" s="484"/>
      <c r="GWA5" s="484"/>
      <c r="GWB5" s="484"/>
      <c r="GWC5" s="484"/>
      <c r="GWD5" s="484"/>
      <c r="GWE5" s="484"/>
      <c r="GWF5" s="484"/>
      <c r="GWG5" s="484"/>
      <c r="GWH5" s="484"/>
      <c r="GWI5" s="484"/>
      <c r="GWJ5" s="484"/>
      <c r="GWK5" s="484"/>
      <c r="GWL5" s="484"/>
      <c r="GWM5" s="484"/>
      <c r="GWN5" s="484"/>
      <c r="GWO5" s="484"/>
      <c r="GWP5" s="484"/>
      <c r="GWQ5" s="484"/>
      <c r="GWR5" s="484"/>
      <c r="GWS5" s="484"/>
      <c r="GWT5" s="484"/>
      <c r="GWU5" s="484"/>
      <c r="GWV5" s="484"/>
      <c r="GWW5" s="484"/>
      <c r="GWX5" s="484"/>
      <c r="GWY5" s="484"/>
      <c r="GWZ5" s="484"/>
      <c r="GXA5" s="484"/>
      <c r="GXB5" s="484"/>
      <c r="GXC5" s="484"/>
      <c r="GXD5" s="484"/>
      <c r="GXE5" s="484"/>
      <c r="GXF5" s="484"/>
      <c r="GXG5" s="484"/>
      <c r="GXH5" s="484"/>
      <c r="GXI5" s="484"/>
      <c r="GXJ5" s="484"/>
      <c r="GXK5" s="484"/>
      <c r="GXL5" s="484"/>
      <c r="GXM5" s="484"/>
      <c r="GXN5" s="484"/>
      <c r="GXO5" s="484"/>
      <c r="GXP5" s="484"/>
      <c r="GXQ5" s="484"/>
      <c r="GXR5" s="484"/>
      <c r="GXS5" s="484"/>
      <c r="GXT5" s="484"/>
      <c r="GXU5" s="484"/>
      <c r="GXV5" s="484"/>
      <c r="GXW5" s="484"/>
      <c r="GXX5" s="484"/>
      <c r="GXY5" s="484"/>
      <c r="GXZ5" s="484"/>
      <c r="GYA5" s="484"/>
      <c r="GYB5" s="484"/>
      <c r="GYC5" s="484"/>
      <c r="GYD5" s="484"/>
      <c r="GYE5" s="484"/>
      <c r="GYF5" s="484"/>
      <c r="GYG5" s="484"/>
      <c r="GYH5" s="484"/>
      <c r="GYI5" s="484"/>
      <c r="GYJ5" s="484"/>
      <c r="GYK5" s="484"/>
      <c r="GYL5" s="484"/>
      <c r="GYM5" s="484"/>
      <c r="GYN5" s="484"/>
      <c r="GYO5" s="484"/>
      <c r="GYP5" s="484"/>
      <c r="GYQ5" s="484"/>
      <c r="GYR5" s="484"/>
      <c r="GYS5" s="484"/>
      <c r="GYT5" s="484"/>
      <c r="GYU5" s="484"/>
      <c r="GYV5" s="484"/>
      <c r="GYW5" s="484"/>
      <c r="GYX5" s="484"/>
      <c r="GYY5" s="484"/>
      <c r="GYZ5" s="484"/>
      <c r="GZA5" s="484"/>
      <c r="GZB5" s="484"/>
      <c r="GZC5" s="484"/>
      <c r="GZD5" s="484"/>
      <c r="GZE5" s="484"/>
      <c r="GZF5" s="484"/>
      <c r="GZG5" s="484"/>
      <c r="GZH5" s="484"/>
      <c r="GZI5" s="484"/>
      <c r="GZJ5" s="484"/>
      <c r="GZK5" s="484"/>
      <c r="GZL5" s="484"/>
      <c r="GZM5" s="484"/>
      <c r="GZN5" s="484"/>
      <c r="GZO5" s="484"/>
      <c r="GZP5" s="484"/>
      <c r="GZQ5" s="484"/>
      <c r="GZR5" s="484"/>
      <c r="GZS5" s="484"/>
      <c r="GZT5" s="484"/>
      <c r="GZU5" s="484"/>
      <c r="GZV5" s="484"/>
      <c r="GZW5" s="484"/>
      <c r="GZX5" s="484"/>
      <c r="GZY5" s="484"/>
      <c r="GZZ5" s="484"/>
      <c r="HAA5" s="484"/>
      <c r="HAB5" s="484"/>
      <c r="HAC5" s="484"/>
      <c r="HAD5" s="484"/>
      <c r="HAE5" s="484"/>
      <c r="HAF5" s="484"/>
      <c r="HAG5" s="484"/>
      <c r="HAH5" s="484"/>
      <c r="HAI5" s="484"/>
      <c r="HAJ5" s="484"/>
      <c r="HAK5" s="484"/>
      <c r="HAL5" s="484"/>
      <c r="HAM5" s="484"/>
      <c r="HAN5" s="484"/>
      <c r="HAO5" s="484"/>
      <c r="HAP5" s="484"/>
      <c r="HAQ5" s="484"/>
      <c r="HAR5" s="484"/>
      <c r="HAS5" s="484"/>
      <c r="HAT5" s="484"/>
      <c r="HAU5" s="484"/>
      <c r="HAV5" s="484"/>
      <c r="HAW5" s="484"/>
      <c r="HAX5" s="484"/>
      <c r="HAY5" s="484"/>
      <c r="HAZ5" s="484"/>
      <c r="HBA5" s="484"/>
      <c r="HBB5" s="484"/>
      <c r="HBC5" s="484"/>
      <c r="HBD5" s="484"/>
      <c r="HBE5" s="484"/>
      <c r="HBF5" s="484"/>
      <c r="HBG5" s="484"/>
      <c r="HBH5" s="484"/>
      <c r="HBI5" s="484"/>
      <c r="HBJ5" s="484"/>
      <c r="HBK5" s="484"/>
      <c r="HBL5" s="484"/>
      <c r="HBM5" s="484"/>
      <c r="HBN5" s="484"/>
      <c r="HBO5" s="484"/>
      <c r="HBP5" s="484"/>
      <c r="HBQ5" s="484"/>
      <c r="HBR5" s="484"/>
      <c r="HBS5" s="484"/>
      <c r="HBT5" s="484"/>
      <c r="HBU5" s="484"/>
      <c r="HBV5" s="484"/>
      <c r="HBW5" s="484"/>
      <c r="HBX5" s="484"/>
      <c r="HBY5" s="484"/>
      <c r="HBZ5" s="484"/>
      <c r="HCA5" s="484"/>
      <c r="HCB5" s="484"/>
      <c r="HCC5" s="484"/>
      <c r="HCD5" s="484"/>
      <c r="HCE5" s="484"/>
      <c r="HCF5" s="484"/>
      <c r="HCG5" s="484"/>
      <c r="HCH5" s="484"/>
      <c r="HCI5" s="484"/>
      <c r="HCJ5" s="484"/>
      <c r="HCK5" s="484"/>
      <c r="HCL5" s="484"/>
      <c r="HCM5" s="484"/>
      <c r="HCN5" s="484"/>
      <c r="HCO5" s="484"/>
      <c r="HCP5" s="484"/>
      <c r="HCQ5" s="484"/>
      <c r="HCR5" s="484"/>
      <c r="HCS5" s="484"/>
      <c r="HCT5" s="484"/>
      <c r="HCU5" s="484"/>
      <c r="HCV5" s="484"/>
      <c r="HCW5" s="484"/>
      <c r="HCX5" s="484"/>
      <c r="HCY5" s="484"/>
      <c r="HCZ5" s="484"/>
      <c r="HDA5" s="484"/>
      <c r="HDB5" s="484"/>
      <c r="HDC5" s="484"/>
      <c r="HDD5" s="484"/>
      <c r="HDE5" s="484"/>
      <c r="HDF5" s="484"/>
      <c r="HDG5" s="484"/>
      <c r="HDH5" s="484"/>
      <c r="HDI5" s="484"/>
      <c r="HDJ5" s="484"/>
      <c r="HDK5" s="484"/>
      <c r="HDL5" s="484"/>
      <c r="HDM5" s="484"/>
      <c r="HDN5" s="484"/>
      <c r="HDO5" s="484"/>
      <c r="HDP5" s="484"/>
      <c r="HDQ5" s="484"/>
      <c r="HDR5" s="484"/>
      <c r="HDS5" s="484"/>
      <c r="HDT5" s="484"/>
      <c r="HDU5" s="484"/>
      <c r="HDV5" s="484"/>
      <c r="HDW5" s="484"/>
      <c r="HDX5" s="484"/>
      <c r="HDY5" s="484"/>
      <c r="HDZ5" s="484"/>
      <c r="HEA5" s="484"/>
      <c r="HEB5" s="484"/>
      <c r="HEC5" s="484"/>
      <c r="HED5" s="484"/>
      <c r="HEE5" s="484"/>
      <c r="HEF5" s="484"/>
      <c r="HEG5" s="484"/>
      <c r="HEH5" s="484"/>
      <c r="HEI5" s="484"/>
      <c r="HEJ5" s="484"/>
      <c r="HEK5" s="484"/>
      <c r="HEL5" s="484"/>
      <c r="HEM5" s="484"/>
      <c r="HEN5" s="484"/>
      <c r="HEO5" s="484"/>
      <c r="HEP5" s="484"/>
      <c r="HEQ5" s="484"/>
      <c r="HER5" s="484"/>
      <c r="HES5" s="484"/>
      <c r="HET5" s="484"/>
      <c r="HEU5" s="484"/>
      <c r="HEV5" s="484"/>
      <c r="HEW5" s="484"/>
      <c r="HEX5" s="484"/>
      <c r="HEY5" s="484"/>
      <c r="HEZ5" s="484"/>
      <c r="HFA5" s="484"/>
      <c r="HFB5" s="484"/>
      <c r="HFC5" s="484"/>
      <c r="HFD5" s="484"/>
      <c r="HFE5" s="484"/>
      <c r="HFF5" s="484"/>
      <c r="HFG5" s="484"/>
      <c r="HFH5" s="484"/>
      <c r="HFI5" s="484"/>
      <c r="HFJ5" s="484"/>
      <c r="HFK5" s="484"/>
      <c r="HFL5" s="484"/>
      <c r="HFM5" s="484"/>
      <c r="HFN5" s="484"/>
      <c r="HFO5" s="484"/>
      <c r="HFP5" s="484"/>
      <c r="HFQ5" s="484"/>
      <c r="HFR5" s="484"/>
      <c r="HFS5" s="484"/>
      <c r="HFT5" s="484"/>
      <c r="HFU5" s="484"/>
      <c r="HFV5" s="484"/>
      <c r="HFW5" s="484"/>
      <c r="HFX5" s="484"/>
      <c r="HFY5" s="484"/>
      <c r="HFZ5" s="484"/>
      <c r="HGA5" s="484"/>
      <c r="HGB5" s="484"/>
      <c r="HGC5" s="484"/>
      <c r="HGD5" s="484"/>
      <c r="HGE5" s="484"/>
      <c r="HGF5" s="484"/>
      <c r="HGG5" s="484"/>
      <c r="HGH5" s="484"/>
      <c r="HGI5" s="484"/>
      <c r="HGJ5" s="484"/>
      <c r="HGK5" s="484"/>
      <c r="HGL5" s="484"/>
      <c r="HGM5" s="484"/>
      <c r="HGN5" s="484"/>
      <c r="HGO5" s="484"/>
      <c r="HGP5" s="484"/>
      <c r="HGQ5" s="484"/>
      <c r="HGR5" s="484"/>
      <c r="HGS5" s="484"/>
      <c r="HGT5" s="484"/>
      <c r="HGU5" s="484"/>
      <c r="HGV5" s="484"/>
      <c r="HGW5" s="484"/>
      <c r="HGX5" s="484"/>
      <c r="HGY5" s="484"/>
      <c r="HGZ5" s="484"/>
      <c r="HHA5" s="484"/>
      <c r="HHB5" s="484"/>
      <c r="HHC5" s="484"/>
      <c r="HHD5" s="484"/>
      <c r="HHE5" s="484"/>
      <c r="HHF5" s="484"/>
      <c r="HHG5" s="484"/>
      <c r="HHH5" s="484"/>
      <c r="HHI5" s="484"/>
      <c r="HHJ5" s="484"/>
      <c r="HHK5" s="484"/>
      <c r="HHL5" s="484"/>
      <c r="HHM5" s="484"/>
      <c r="HHN5" s="484"/>
      <c r="HHO5" s="484"/>
      <c r="HHP5" s="484"/>
      <c r="HHQ5" s="484"/>
      <c r="HHR5" s="484"/>
      <c r="HHS5" s="484"/>
      <c r="HHT5" s="484"/>
      <c r="HHU5" s="484"/>
      <c r="HHV5" s="484"/>
      <c r="HHW5" s="484"/>
      <c r="HHX5" s="484"/>
      <c r="HHY5" s="484"/>
      <c r="HHZ5" s="484"/>
      <c r="HIA5" s="484"/>
      <c r="HIB5" s="484"/>
      <c r="HIC5" s="484"/>
      <c r="HID5" s="484"/>
      <c r="HIE5" s="484"/>
      <c r="HIF5" s="484"/>
      <c r="HIG5" s="484"/>
      <c r="HIH5" s="484"/>
      <c r="HII5" s="484"/>
      <c r="HIJ5" s="484"/>
      <c r="HIK5" s="484"/>
      <c r="HIL5" s="484"/>
      <c r="HIM5" s="484"/>
      <c r="HIN5" s="484"/>
      <c r="HIO5" s="484"/>
      <c r="HIP5" s="484"/>
      <c r="HIQ5" s="484"/>
      <c r="HIR5" s="484"/>
      <c r="HIS5" s="484"/>
      <c r="HIT5" s="484"/>
      <c r="HIU5" s="484"/>
      <c r="HIV5" s="484"/>
      <c r="HIW5" s="484"/>
      <c r="HIX5" s="484"/>
      <c r="HIY5" s="484"/>
      <c r="HIZ5" s="484"/>
      <c r="HJA5" s="484"/>
      <c r="HJB5" s="484"/>
      <c r="HJC5" s="484"/>
      <c r="HJD5" s="484"/>
      <c r="HJE5" s="484"/>
      <c r="HJF5" s="484"/>
      <c r="HJG5" s="484"/>
      <c r="HJH5" s="484"/>
      <c r="HJI5" s="484"/>
      <c r="HJJ5" s="484"/>
      <c r="HJK5" s="484"/>
      <c r="HJL5" s="484"/>
      <c r="HJM5" s="484"/>
      <c r="HJN5" s="484"/>
      <c r="HJO5" s="484"/>
      <c r="HJP5" s="484"/>
      <c r="HJQ5" s="484"/>
      <c r="HJR5" s="484"/>
      <c r="HJS5" s="484"/>
      <c r="HJT5" s="484"/>
      <c r="HJU5" s="484"/>
      <c r="HJV5" s="484"/>
      <c r="HJW5" s="484"/>
      <c r="HJX5" s="484"/>
      <c r="HJY5" s="484"/>
      <c r="HJZ5" s="484"/>
      <c r="HKA5" s="484"/>
      <c r="HKB5" s="484"/>
      <c r="HKC5" s="484"/>
      <c r="HKD5" s="484"/>
      <c r="HKE5" s="484"/>
      <c r="HKF5" s="484"/>
      <c r="HKG5" s="484"/>
      <c r="HKH5" s="484"/>
      <c r="HKI5" s="484"/>
      <c r="HKJ5" s="484"/>
      <c r="HKK5" s="484"/>
      <c r="HKL5" s="484"/>
      <c r="HKM5" s="484"/>
      <c r="HKN5" s="484"/>
      <c r="HKO5" s="484"/>
      <c r="HKP5" s="484"/>
      <c r="HKQ5" s="484"/>
      <c r="HKR5" s="484"/>
      <c r="HKS5" s="484"/>
      <c r="HKT5" s="484"/>
      <c r="HKU5" s="484"/>
      <c r="HKV5" s="484"/>
      <c r="HKW5" s="484"/>
      <c r="HKX5" s="484"/>
      <c r="HKY5" s="484"/>
      <c r="HKZ5" s="484"/>
      <c r="HLA5" s="484"/>
      <c r="HLB5" s="484"/>
      <c r="HLC5" s="484"/>
      <c r="HLD5" s="484"/>
      <c r="HLE5" s="484"/>
      <c r="HLF5" s="484"/>
      <c r="HLG5" s="484"/>
      <c r="HLH5" s="484"/>
      <c r="HLI5" s="484"/>
      <c r="HLJ5" s="484"/>
      <c r="HLK5" s="484"/>
      <c r="HLL5" s="484"/>
      <c r="HLM5" s="484"/>
      <c r="HLN5" s="484"/>
      <c r="HLO5" s="484"/>
      <c r="HLP5" s="484"/>
      <c r="HLQ5" s="484"/>
      <c r="HLR5" s="484"/>
      <c r="HLS5" s="484"/>
      <c r="HLT5" s="484"/>
      <c r="HLU5" s="484"/>
      <c r="HLV5" s="484"/>
      <c r="HLW5" s="484"/>
      <c r="HLX5" s="484"/>
      <c r="HLY5" s="484"/>
      <c r="HLZ5" s="484"/>
      <c r="HMA5" s="484"/>
      <c r="HMB5" s="484"/>
      <c r="HMC5" s="484"/>
      <c r="HMD5" s="484"/>
      <c r="HME5" s="484"/>
      <c r="HMF5" s="484"/>
      <c r="HMG5" s="484"/>
      <c r="HMH5" s="484"/>
      <c r="HMI5" s="484"/>
      <c r="HMJ5" s="484"/>
      <c r="HMK5" s="484"/>
      <c r="HML5" s="484"/>
      <c r="HMM5" s="484"/>
      <c r="HMN5" s="484"/>
      <c r="HMO5" s="484"/>
      <c r="HMP5" s="484"/>
      <c r="HMQ5" s="484"/>
      <c r="HMR5" s="484"/>
      <c r="HMS5" s="484"/>
      <c r="HMT5" s="484"/>
      <c r="HMU5" s="484"/>
      <c r="HMV5" s="484"/>
      <c r="HMW5" s="484"/>
      <c r="HMX5" s="484"/>
      <c r="HMY5" s="484"/>
      <c r="HMZ5" s="484"/>
      <c r="HNA5" s="484"/>
      <c r="HNB5" s="484"/>
      <c r="HNC5" s="484"/>
      <c r="HND5" s="484"/>
      <c r="HNE5" s="484"/>
      <c r="HNF5" s="484"/>
      <c r="HNG5" s="484"/>
      <c r="HNH5" s="484"/>
      <c r="HNI5" s="484"/>
      <c r="HNJ5" s="484"/>
      <c r="HNK5" s="484"/>
      <c r="HNL5" s="484"/>
      <c r="HNM5" s="484"/>
      <c r="HNN5" s="484"/>
      <c r="HNO5" s="484"/>
      <c r="HNP5" s="484"/>
      <c r="HNQ5" s="484"/>
      <c r="HNR5" s="484"/>
      <c r="HNS5" s="484"/>
      <c r="HNT5" s="484"/>
      <c r="HNU5" s="484"/>
      <c r="HNV5" s="484"/>
      <c r="HNW5" s="484"/>
      <c r="HNX5" s="484"/>
      <c r="HNY5" s="484"/>
      <c r="HNZ5" s="484"/>
      <c r="HOA5" s="484"/>
      <c r="HOB5" s="484"/>
      <c r="HOC5" s="484"/>
      <c r="HOD5" s="484"/>
      <c r="HOE5" s="484"/>
      <c r="HOF5" s="484"/>
      <c r="HOG5" s="484"/>
      <c r="HOH5" s="484"/>
      <c r="HOI5" s="484"/>
      <c r="HOJ5" s="484"/>
      <c r="HOK5" s="484"/>
      <c r="HOL5" s="484"/>
      <c r="HOM5" s="484"/>
      <c r="HON5" s="484"/>
      <c r="HOO5" s="484"/>
      <c r="HOP5" s="484"/>
      <c r="HOQ5" s="484"/>
      <c r="HOR5" s="484"/>
      <c r="HOS5" s="484"/>
      <c r="HOT5" s="484"/>
      <c r="HOU5" s="484"/>
      <c r="HOV5" s="484"/>
      <c r="HOW5" s="484"/>
      <c r="HOX5" s="484"/>
      <c r="HOY5" s="484"/>
      <c r="HOZ5" s="484"/>
      <c r="HPA5" s="484"/>
      <c r="HPB5" s="484"/>
      <c r="HPC5" s="484"/>
      <c r="HPD5" s="484"/>
      <c r="HPE5" s="484"/>
      <c r="HPF5" s="484"/>
      <c r="HPG5" s="484"/>
      <c r="HPH5" s="484"/>
      <c r="HPI5" s="484"/>
      <c r="HPJ5" s="484"/>
      <c r="HPK5" s="484"/>
      <c r="HPL5" s="484"/>
      <c r="HPM5" s="484"/>
      <c r="HPN5" s="484"/>
      <c r="HPO5" s="484"/>
      <c r="HPP5" s="484"/>
      <c r="HPQ5" s="484"/>
      <c r="HPR5" s="484"/>
      <c r="HPS5" s="484"/>
      <c r="HPT5" s="484"/>
      <c r="HPU5" s="484"/>
      <c r="HPV5" s="484"/>
      <c r="HPW5" s="484"/>
      <c r="HPX5" s="484"/>
      <c r="HPY5" s="484"/>
      <c r="HPZ5" s="484"/>
      <c r="HQA5" s="484"/>
      <c r="HQB5" s="484"/>
      <c r="HQC5" s="484"/>
      <c r="HQD5" s="484"/>
      <c r="HQE5" s="484"/>
      <c r="HQF5" s="484"/>
      <c r="HQG5" s="484"/>
      <c r="HQH5" s="484"/>
      <c r="HQI5" s="484"/>
      <c r="HQJ5" s="484"/>
      <c r="HQK5" s="484"/>
      <c r="HQL5" s="484"/>
      <c r="HQM5" s="484"/>
      <c r="HQN5" s="484"/>
      <c r="HQO5" s="484"/>
      <c r="HQP5" s="484"/>
      <c r="HQQ5" s="484"/>
      <c r="HQR5" s="484"/>
      <c r="HQS5" s="484"/>
      <c r="HQT5" s="484"/>
      <c r="HQU5" s="484"/>
      <c r="HQV5" s="484"/>
      <c r="HQW5" s="484"/>
      <c r="HQX5" s="484"/>
      <c r="HQY5" s="484"/>
      <c r="HQZ5" s="484"/>
      <c r="HRA5" s="484"/>
      <c r="HRB5" s="484"/>
      <c r="HRC5" s="484"/>
      <c r="HRD5" s="484"/>
      <c r="HRE5" s="484"/>
      <c r="HRF5" s="484"/>
      <c r="HRG5" s="484"/>
      <c r="HRH5" s="484"/>
      <c r="HRI5" s="484"/>
      <c r="HRJ5" s="484"/>
      <c r="HRK5" s="484"/>
      <c r="HRL5" s="484"/>
      <c r="HRM5" s="484"/>
      <c r="HRN5" s="484"/>
      <c r="HRO5" s="484"/>
      <c r="HRP5" s="484"/>
      <c r="HRQ5" s="484"/>
      <c r="HRR5" s="484"/>
      <c r="HRS5" s="484"/>
      <c r="HRT5" s="484"/>
      <c r="HRU5" s="484"/>
      <c r="HRV5" s="484"/>
      <c r="HRW5" s="484"/>
      <c r="HRX5" s="484"/>
      <c r="HRY5" s="484"/>
      <c r="HRZ5" s="484"/>
      <c r="HSA5" s="484"/>
      <c r="HSB5" s="484"/>
      <c r="HSC5" s="484"/>
      <c r="HSD5" s="484"/>
      <c r="HSE5" s="484"/>
      <c r="HSF5" s="484"/>
      <c r="HSG5" s="484"/>
      <c r="HSH5" s="484"/>
      <c r="HSI5" s="484"/>
      <c r="HSJ5" s="484"/>
      <c r="HSK5" s="484"/>
      <c r="HSL5" s="484"/>
      <c r="HSM5" s="484"/>
      <c r="HSN5" s="484"/>
      <c r="HSO5" s="484"/>
      <c r="HSP5" s="484"/>
      <c r="HSQ5" s="484"/>
      <c r="HSR5" s="484"/>
      <c r="HSS5" s="484"/>
      <c r="HST5" s="484"/>
      <c r="HSU5" s="484"/>
      <c r="HSV5" s="484"/>
      <c r="HSW5" s="484"/>
      <c r="HSX5" s="484"/>
      <c r="HSY5" s="484"/>
      <c r="HSZ5" s="484"/>
      <c r="HTA5" s="484"/>
      <c r="HTB5" s="484"/>
      <c r="HTC5" s="484"/>
      <c r="HTD5" s="484"/>
      <c r="HTE5" s="484"/>
      <c r="HTF5" s="484"/>
      <c r="HTG5" s="484"/>
      <c r="HTH5" s="484"/>
      <c r="HTI5" s="484"/>
      <c r="HTJ5" s="484"/>
      <c r="HTK5" s="484"/>
      <c r="HTL5" s="484"/>
      <c r="HTM5" s="484"/>
      <c r="HTN5" s="484"/>
      <c r="HTO5" s="484"/>
      <c r="HTP5" s="484"/>
      <c r="HTQ5" s="484"/>
      <c r="HTR5" s="484"/>
      <c r="HTS5" s="484"/>
      <c r="HTT5" s="484"/>
      <c r="HTU5" s="484"/>
      <c r="HTV5" s="484"/>
      <c r="HTW5" s="484"/>
      <c r="HTX5" s="484"/>
      <c r="HTY5" s="484"/>
      <c r="HTZ5" s="484"/>
      <c r="HUA5" s="484"/>
      <c r="HUB5" s="484"/>
      <c r="HUC5" s="484"/>
      <c r="HUD5" s="484"/>
      <c r="HUE5" s="484"/>
      <c r="HUF5" s="484"/>
      <c r="HUG5" s="484"/>
      <c r="HUH5" s="484"/>
      <c r="HUI5" s="484"/>
      <c r="HUJ5" s="484"/>
      <c r="HUK5" s="484"/>
      <c r="HUL5" s="484"/>
      <c r="HUM5" s="484"/>
      <c r="HUN5" s="484"/>
      <c r="HUO5" s="484"/>
      <c r="HUP5" s="484"/>
      <c r="HUQ5" s="484"/>
      <c r="HUR5" s="484"/>
      <c r="HUS5" s="484"/>
      <c r="HUT5" s="484"/>
      <c r="HUU5" s="484"/>
      <c r="HUV5" s="484"/>
      <c r="HUW5" s="484"/>
      <c r="HUX5" s="484"/>
      <c r="HUY5" s="484"/>
      <c r="HUZ5" s="484"/>
      <c r="HVA5" s="484"/>
      <c r="HVB5" s="484"/>
      <c r="HVC5" s="484"/>
      <c r="HVD5" s="484"/>
      <c r="HVE5" s="484"/>
      <c r="HVF5" s="484"/>
      <c r="HVG5" s="484"/>
      <c r="HVH5" s="484"/>
      <c r="HVI5" s="484"/>
      <c r="HVJ5" s="484"/>
      <c r="HVK5" s="484"/>
      <c r="HVL5" s="484"/>
      <c r="HVM5" s="484"/>
      <c r="HVN5" s="484"/>
      <c r="HVO5" s="484"/>
      <c r="HVP5" s="484"/>
      <c r="HVQ5" s="484"/>
      <c r="HVR5" s="484"/>
      <c r="HVS5" s="484"/>
      <c r="HVT5" s="484"/>
      <c r="HVU5" s="484"/>
      <c r="HVV5" s="484"/>
      <c r="HVW5" s="484"/>
      <c r="HVX5" s="484"/>
      <c r="HVY5" s="484"/>
      <c r="HVZ5" s="484"/>
      <c r="HWA5" s="484"/>
      <c r="HWB5" s="484"/>
      <c r="HWC5" s="484"/>
      <c r="HWD5" s="484"/>
      <c r="HWE5" s="484"/>
      <c r="HWF5" s="484"/>
      <c r="HWG5" s="484"/>
      <c r="HWH5" s="484"/>
      <c r="HWI5" s="484"/>
      <c r="HWJ5" s="484"/>
      <c r="HWK5" s="484"/>
      <c r="HWL5" s="484"/>
      <c r="HWM5" s="484"/>
      <c r="HWN5" s="484"/>
      <c r="HWO5" s="484"/>
      <c r="HWP5" s="484"/>
      <c r="HWQ5" s="484"/>
      <c r="HWR5" s="484"/>
      <c r="HWS5" s="484"/>
      <c r="HWT5" s="484"/>
      <c r="HWU5" s="484"/>
      <c r="HWV5" s="484"/>
      <c r="HWW5" s="484"/>
      <c r="HWX5" s="484"/>
      <c r="HWY5" s="484"/>
      <c r="HWZ5" s="484"/>
      <c r="HXA5" s="484"/>
      <c r="HXB5" s="484"/>
      <c r="HXC5" s="484"/>
      <c r="HXD5" s="484"/>
      <c r="HXE5" s="484"/>
      <c r="HXF5" s="484"/>
      <c r="HXG5" s="484"/>
      <c r="HXH5" s="484"/>
      <c r="HXI5" s="484"/>
      <c r="HXJ5" s="484"/>
      <c r="HXK5" s="484"/>
      <c r="HXL5" s="484"/>
      <c r="HXM5" s="484"/>
      <c r="HXN5" s="484"/>
      <c r="HXO5" s="484"/>
      <c r="HXP5" s="484"/>
      <c r="HXQ5" s="484"/>
      <c r="HXR5" s="484"/>
      <c r="HXS5" s="484"/>
      <c r="HXT5" s="484"/>
      <c r="HXU5" s="484"/>
      <c r="HXV5" s="484"/>
      <c r="HXW5" s="484"/>
      <c r="HXX5" s="484"/>
      <c r="HXY5" s="484"/>
      <c r="HXZ5" s="484"/>
      <c r="HYA5" s="484"/>
      <c r="HYB5" s="484"/>
      <c r="HYC5" s="484"/>
      <c r="HYD5" s="484"/>
      <c r="HYE5" s="484"/>
      <c r="HYF5" s="484"/>
      <c r="HYG5" s="484"/>
      <c r="HYH5" s="484"/>
      <c r="HYI5" s="484"/>
      <c r="HYJ5" s="484"/>
      <c r="HYK5" s="484"/>
      <c r="HYL5" s="484"/>
      <c r="HYM5" s="484"/>
      <c r="HYN5" s="484"/>
      <c r="HYO5" s="484"/>
      <c r="HYP5" s="484"/>
      <c r="HYQ5" s="484"/>
      <c r="HYR5" s="484"/>
      <c r="HYS5" s="484"/>
      <c r="HYT5" s="484"/>
      <c r="HYU5" s="484"/>
      <c r="HYV5" s="484"/>
      <c r="HYW5" s="484"/>
      <c r="HYX5" s="484"/>
      <c r="HYY5" s="484"/>
      <c r="HYZ5" s="484"/>
      <c r="HZA5" s="484"/>
      <c r="HZB5" s="484"/>
      <c r="HZC5" s="484"/>
      <c r="HZD5" s="484"/>
      <c r="HZE5" s="484"/>
      <c r="HZF5" s="484"/>
      <c r="HZG5" s="484"/>
      <c r="HZH5" s="484"/>
      <c r="HZI5" s="484"/>
      <c r="HZJ5" s="484"/>
      <c r="HZK5" s="484"/>
      <c r="HZL5" s="484"/>
      <c r="HZM5" s="484"/>
      <c r="HZN5" s="484"/>
      <c r="HZO5" s="484"/>
      <c r="HZP5" s="484"/>
      <c r="HZQ5" s="484"/>
      <c r="HZR5" s="484"/>
      <c r="HZS5" s="484"/>
      <c r="HZT5" s="484"/>
      <c r="HZU5" s="484"/>
      <c r="HZV5" s="484"/>
      <c r="HZW5" s="484"/>
      <c r="HZX5" s="484"/>
      <c r="HZY5" s="484"/>
      <c r="HZZ5" s="484"/>
      <c r="IAA5" s="484"/>
      <c r="IAB5" s="484"/>
      <c r="IAC5" s="484"/>
      <c r="IAD5" s="484"/>
      <c r="IAE5" s="484"/>
      <c r="IAF5" s="484"/>
      <c r="IAG5" s="484"/>
      <c r="IAH5" s="484"/>
      <c r="IAI5" s="484"/>
      <c r="IAJ5" s="484"/>
      <c r="IAK5" s="484"/>
      <c r="IAL5" s="484"/>
      <c r="IAM5" s="484"/>
      <c r="IAN5" s="484"/>
      <c r="IAO5" s="484"/>
      <c r="IAP5" s="484"/>
      <c r="IAQ5" s="484"/>
      <c r="IAR5" s="484"/>
      <c r="IAS5" s="484"/>
      <c r="IAT5" s="484"/>
      <c r="IAU5" s="484"/>
      <c r="IAV5" s="484"/>
      <c r="IAW5" s="484"/>
      <c r="IAX5" s="484"/>
      <c r="IAY5" s="484"/>
      <c r="IAZ5" s="484"/>
      <c r="IBA5" s="484"/>
      <c r="IBB5" s="484"/>
      <c r="IBC5" s="484"/>
      <c r="IBD5" s="484"/>
      <c r="IBE5" s="484"/>
      <c r="IBF5" s="484"/>
      <c r="IBG5" s="484"/>
      <c r="IBH5" s="484"/>
      <c r="IBI5" s="484"/>
      <c r="IBJ5" s="484"/>
      <c r="IBK5" s="484"/>
      <c r="IBL5" s="484"/>
      <c r="IBM5" s="484"/>
      <c r="IBN5" s="484"/>
      <c r="IBO5" s="484"/>
      <c r="IBP5" s="484"/>
      <c r="IBQ5" s="484"/>
      <c r="IBR5" s="484"/>
      <c r="IBS5" s="484"/>
      <c r="IBT5" s="484"/>
      <c r="IBU5" s="484"/>
      <c r="IBV5" s="484"/>
      <c r="IBW5" s="484"/>
      <c r="IBX5" s="484"/>
      <c r="IBY5" s="484"/>
      <c r="IBZ5" s="484"/>
      <c r="ICA5" s="484"/>
      <c r="ICB5" s="484"/>
      <c r="ICC5" s="484"/>
      <c r="ICD5" s="484"/>
      <c r="ICE5" s="484"/>
      <c r="ICF5" s="484"/>
      <c r="ICG5" s="484"/>
      <c r="ICH5" s="484"/>
      <c r="ICI5" s="484"/>
      <c r="ICJ5" s="484"/>
      <c r="ICK5" s="484"/>
      <c r="ICL5" s="484"/>
      <c r="ICM5" s="484"/>
      <c r="ICN5" s="484"/>
      <c r="ICO5" s="484"/>
      <c r="ICP5" s="484"/>
      <c r="ICQ5" s="484"/>
      <c r="ICR5" s="484"/>
      <c r="ICS5" s="484"/>
      <c r="ICT5" s="484"/>
      <c r="ICU5" s="484"/>
      <c r="ICV5" s="484"/>
      <c r="ICW5" s="484"/>
      <c r="ICX5" s="484"/>
      <c r="ICY5" s="484"/>
      <c r="ICZ5" s="484"/>
      <c r="IDA5" s="484"/>
      <c r="IDB5" s="484"/>
      <c r="IDC5" s="484"/>
      <c r="IDD5" s="484"/>
      <c r="IDE5" s="484"/>
      <c r="IDF5" s="484"/>
      <c r="IDG5" s="484"/>
      <c r="IDH5" s="484"/>
      <c r="IDI5" s="484"/>
      <c r="IDJ5" s="484"/>
      <c r="IDK5" s="484"/>
      <c r="IDL5" s="484"/>
      <c r="IDM5" s="484"/>
      <c r="IDN5" s="484"/>
      <c r="IDO5" s="484"/>
      <c r="IDP5" s="484"/>
      <c r="IDQ5" s="484"/>
      <c r="IDR5" s="484"/>
      <c r="IDS5" s="484"/>
      <c r="IDT5" s="484"/>
      <c r="IDU5" s="484"/>
      <c r="IDV5" s="484"/>
      <c r="IDW5" s="484"/>
      <c r="IDX5" s="484"/>
      <c r="IDY5" s="484"/>
      <c r="IDZ5" s="484"/>
      <c r="IEA5" s="484"/>
      <c r="IEB5" s="484"/>
      <c r="IEC5" s="484"/>
      <c r="IED5" s="484"/>
      <c r="IEE5" s="484"/>
      <c r="IEF5" s="484"/>
      <c r="IEG5" s="484"/>
      <c r="IEH5" s="484"/>
      <c r="IEI5" s="484"/>
      <c r="IEJ5" s="484"/>
      <c r="IEK5" s="484"/>
      <c r="IEL5" s="484"/>
      <c r="IEM5" s="484"/>
      <c r="IEN5" s="484"/>
      <c r="IEO5" s="484"/>
      <c r="IEP5" s="484"/>
      <c r="IEQ5" s="484"/>
      <c r="IER5" s="484"/>
      <c r="IES5" s="484"/>
      <c r="IET5" s="484"/>
      <c r="IEU5" s="484"/>
      <c r="IEV5" s="484"/>
      <c r="IEW5" s="484"/>
      <c r="IEX5" s="484"/>
      <c r="IEY5" s="484"/>
      <c r="IEZ5" s="484"/>
      <c r="IFA5" s="484"/>
      <c r="IFB5" s="484"/>
      <c r="IFC5" s="484"/>
      <c r="IFD5" s="484"/>
      <c r="IFE5" s="484"/>
      <c r="IFF5" s="484"/>
      <c r="IFG5" s="484"/>
      <c r="IFH5" s="484"/>
      <c r="IFI5" s="484"/>
      <c r="IFJ5" s="484"/>
      <c r="IFK5" s="484"/>
      <c r="IFL5" s="484"/>
      <c r="IFM5" s="484"/>
      <c r="IFN5" s="484"/>
      <c r="IFO5" s="484"/>
      <c r="IFP5" s="484"/>
      <c r="IFQ5" s="484"/>
      <c r="IFR5" s="484"/>
      <c r="IFS5" s="484"/>
      <c r="IFT5" s="484"/>
      <c r="IFU5" s="484"/>
      <c r="IFV5" s="484"/>
      <c r="IFW5" s="484"/>
      <c r="IFX5" s="484"/>
      <c r="IFY5" s="484"/>
      <c r="IFZ5" s="484"/>
      <c r="IGA5" s="484"/>
      <c r="IGB5" s="484"/>
      <c r="IGC5" s="484"/>
      <c r="IGD5" s="484"/>
      <c r="IGE5" s="484"/>
      <c r="IGF5" s="484"/>
      <c r="IGG5" s="484"/>
      <c r="IGH5" s="484"/>
      <c r="IGI5" s="484"/>
      <c r="IGJ5" s="484"/>
      <c r="IGK5" s="484"/>
      <c r="IGL5" s="484"/>
      <c r="IGM5" s="484"/>
      <c r="IGN5" s="484"/>
      <c r="IGO5" s="484"/>
      <c r="IGP5" s="484"/>
      <c r="IGQ5" s="484"/>
      <c r="IGR5" s="484"/>
      <c r="IGS5" s="484"/>
      <c r="IGT5" s="484"/>
      <c r="IGU5" s="484"/>
      <c r="IGV5" s="484"/>
      <c r="IGW5" s="484"/>
      <c r="IGX5" s="484"/>
      <c r="IGY5" s="484"/>
      <c r="IGZ5" s="484"/>
      <c r="IHA5" s="484"/>
      <c r="IHB5" s="484"/>
      <c r="IHC5" s="484"/>
      <c r="IHD5" s="484"/>
      <c r="IHE5" s="484"/>
      <c r="IHF5" s="484"/>
      <c r="IHG5" s="484"/>
      <c r="IHH5" s="484"/>
      <c r="IHI5" s="484"/>
      <c r="IHJ5" s="484"/>
      <c r="IHK5" s="484"/>
      <c r="IHL5" s="484"/>
      <c r="IHM5" s="484"/>
      <c r="IHN5" s="484"/>
      <c r="IHO5" s="484"/>
      <c r="IHP5" s="484"/>
      <c r="IHQ5" s="484"/>
      <c r="IHR5" s="484"/>
      <c r="IHS5" s="484"/>
      <c r="IHT5" s="484"/>
      <c r="IHU5" s="484"/>
      <c r="IHV5" s="484"/>
      <c r="IHW5" s="484"/>
      <c r="IHX5" s="484"/>
      <c r="IHY5" s="484"/>
      <c r="IHZ5" s="484"/>
      <c r="IIA5" s="484"/>
      <c r="IIB5" s="484"/>
      <c r="IIC5" s="484"/>
      <c r="IID5" s="484"/>
      <c r="IIE5" s="484"/>
      <c r="IIF5" s="484"/>
      <c r="IIG5" s="484"/>
      <c r="IIH5" s="484"/>
      <c r="III5" s="484"/>
      <c r="IIJ5" s="484"/>
      <c r="IIK5" s="484"/>
      <c r="IIL5" s="484"/>
      <c r="IIM5" s="484"/>
      <c r="IIN5" s="484"/>
      <c r="IIO5" s="484"/>
      <c r="IIP5" s="484"/>
      <c r="IIQ5" s="484"/>
      <c r="IIR5" s="484"/>
      <c r="IIS5" s="484"/>
      <c r="IIT5" s="484"/>
      <c r="IIU5" s="484"/>
      <c r="IIV5" s="484"/>
      <c r="IIW5" s="484"/>
      <c r="IIX5" s="484"/>
      <c r="IIY5" s="484"/>
      <c r="IIZ5" s="484"/>
      <c r="IJA5" s="484"/>
      <c r="IJB5" s="484"/>
      <c r="IJC5" s="484"/>
      <c r="IJD5" s="484"/>
      <c r="IJE5" s="484"/>
      <c r="IJF5" s="484"/>
      <c r="IJG5" s="484"/>
      <c r="IJH5" s="484"/>
      <c r="IJI5" s="484"/>
      <c r="IJJ5" s="484"/>
      <c r="IJK5" s="484"/>
      <c r="IJL5" s="484"/>
      <c r="IJM5" s="484"/>
      <c r="IJN5" s="484"/>
      <c r="IJO5" s="484"/>
      <c r="IJP5" s="484"/>
      <c r="IJQ5" s="484"/>
      <c r="IJR5" s="484"/>
      <c r="IJS5" s="484"/>
      <c r="IJT5" s="484"/>
      <c r="IJU5" s="484"/>
      <c r="IJV5" s="484"/>
      <c r="IJW5" s="484"/>
      <c r="IJX5" s="484"/>
      <c r="IJY5" s="484"/>
      <c r="IJZ5" s="484"/>
      <c r="IKA5" s="484"/>
      <c r="IKB5" s="484"/>
      <c r="IKC5" s="484"/>
      <c r="IKD5" s="484"/>
      <c r="IKE5" s="484"/>
      <c r="IKF5" s="484"/>
      <c r="IKG5" s="484"/>
      <c r="IKH5" s="484"/>
      <c r="IKI5" s="484"/>
      <c r="IKJ5" s="484"/>
      <c r="IKK5" s="484"/>
      <c r="IKL5" s="484"/>
      <c r="IKM5" s="484"/>
      <c r="IKN5" s="484"/>
      <c r="IKO5" s="484"/>
      <c r="IKP5" s="484"/>
      <c r="IKQ5" s="484"/>
      <c r="IKR5" s="484"/>
      <c r="IKS5" s="484"/>
      <c r="IKT5" s="484"/>
      <c r="IKU5" s="484"/>
      <c r="IKV5" s="484"/>
      <c r="IKW5" s="484"/>
      <c r="IKX5" s="484"/>
      <c r="IKY5" s="484"/>
      <c r="IKZ5" s="484"/>
      <c r="ILA5" s="484"/>
      <c r="ILB5" s="484"/>
      <c r="ILC5" s="484"/>
      <c r="ILD5" s="484"/>
      <c r="ILE5" s="484"/>
      <c r="ILF5" s="484"/>
      <c r="ILG5" s="484"/>
      <c r="ILH5" s="484"/>
      <c r="ILI5" s="484"/>
      <c r="ILJ5" s="484"/>
      <c r="ILK5" s="484"/>
      <c r="ILL5" s="484"/>
      <c r="ILM5" s="484"/>
      <c r="ILN5" s="484"/>
      <c r="ILO5" s="484"/>
      <c r="ILP5" s="484"/>
      <c r="ILQ5" s="484"/>
      <c r="ILR5" s="484"/>
      <c r="ILS5" s="484"/>
      <c r="ILT5" s="484"/>
      <c r="ILU5" s="484"/>
      <c r="ILV5" s="484"/>
      <c r="ILW5" s="484"/>
      <c r="ILX5" s="484"/>
      <c r="ILY5" s="484"/>
      <c r="ILZ5" s="484"/>
      <c r="IMA5" s="484"/>
      <c r="IMB5" s="484"/>
      <c r="IMC5" s="484"/>
      <c r="IMD5" s="484"/>
      <c r="IME5" s="484"/>
      <c r="IMF5" s="484"/>
      <c r="IMG5" s="484"/>
      <c r="IMH5" s="484"/>
      <c r="IMI5" s="484"/>
      <c r="IMJ5" s="484"/>
      <c r="IMK5" s="484"/>
      <c r="IML5" s="484"/>
      <c r="IMM5" s="484"/>
      <c r="IMN5" s="484"/>
      <c r="IMO5" s="484"/>
      <c r="IMP5" s="484"/>
      <c r="IMQ5" s="484"/>
      <c r="IMR5" s="484"/>
      <c r="IMS5" s="484"/>
      <c r="IMT5" s="484"/>
      <c r="IMU5" s="484"/>
      <c r="IMV5" s="484"/>
      <c r="IMW5" s="484"/>
      <c r="IMX5" s="484"/>
      <c r="IMY5" s="484"/>
      <c r="IMZ5" s="484"/>
      <c r="INA5" s="484"/>
      <c r="INB5" s="484"/>
      <c r="INC5" s="484"/>
      <c r="IND5" s="484"/>
      <c r="INE5" s="484"/>
      <c r="INF5" s="484"/>
      <c r="ING5" s="484"/>
      <c r="INH5" s="484"/>
      <c r="INI5" s="484"/>
      <c r="INJ5" s="484"/>
      <c r="INK5" s="484"/>
      <c r="INL5" s="484"/>
      <c r="INM5" s="484"/>
      <c r="INN5" s="484"/>
      <c r="INO5" s="484"/>
      <c r="INP5" s="484"/>
      <c r="INQ5" s="484"/>
      <c r="INR5" s="484"/>
      <c r="INS5" s="484"/>
      <c r="INT5" s="484"/>
      <c r="INU5" s="484"/>
      <c r="INV5" s="484"/>
      <c r="INW5" s="484"/>
      <c r="INX5" s="484"/>
      <c r="INY5" s="484"/>
      <c r="INZ5" s="484"/>
      <c r="IOA5" s="484"/>
      <c r="IOB5" s="484"/>
      <c r="IOC5" s="484"/>
      <c r="IOD5" s="484"/>
      <c r="IOE5" s="484"/>
      <c r="IOF5" s="484"/>
      <c r="IOG5" s="484"/>
      <c r="IOH5" s="484"/>
      <c r="IOI5" s="484"/>
      <c r="IOJ5" s="484"/>
      <c r="IOK5" s="484"/>
      <c r="IOL5" s="484"/>
      <c r="IOM5" s="484"/>
      <c r="ION5" s="484"/>
      <c r="IOO5" s="484"/>
      <c r="IOP5" s="484"/>
      <c r="IOQ5" s="484"/>
      <c r="IOR5" s="484"/>
      <c r="IOS5" s="484"/>
      <c r="IOT5" s="484"/>
      <c r="IOU5" s="484"/>
      <c r="IOV5" s="484"/>
      <c r="IOW5" s="484"/>
      <c r="IOX5" s="484"/>
      <c r="IOY5" s="484"/>
      <c r="IOZ5" s="484"/>
      <c r="IPA5" s="484"/>
      <c r="IPB5" s="484"/>
      <c r="IPC5" s="484"/>
      <c r="IPD5" s="484"/>
      <c r="IPE5" s="484"/>
      <c r="IPF5" s="484"/>
      <c r="IPG5" s="484"/>
      <c r="IPH5" s="484"/>
      <c r="IPI5" s="484"/>
      <c r="IPJ5" s="484"/>
      <c r="IPK5" s="484"/>
      <c r="IPL5" s="484"/>
      <c r="IPM5" s="484"/>
      <c r="IPN5" s="484"/>
      <c r="IPO5" s="484"/>
      <c r="IPP5" s="484"/>
      <c r="IPQ5" s="484"/>
      <c r="IPR5" s="484"/>
      <c r="IPS5" s="484"/>
      <c r="IPT5" s="484"/>
      <c r="IPU5" s="484"/>
      <c r="IPV5" s="484"/>
      <c r="IPW5" s="484"/>
      <c r="IPX5" s="484"/>
      <c r="IPY5" s="484"/>
      <c r="IPZ5" s="484"/>
      <c r="IQA5" s="484"/>
      <c r="IQB5" s="484"/>
      <c r="IQC5" s="484"/>
      <c r="IQD5" s="484"/>
      <c r="IQE5" s="484"/>
      <c r="IQF5" s="484"/>
      <c r="IQG5" s="484"/>
      <c r="IQH5" s="484"/>
      <c r="IQI5" s="484"/>
      <c r="IQJ5" s="484"/>
      <c r="IQK5" s="484"/>
      <c r="IQL5" s="484"/>
      <c r="IQM5" s="484"/>
      <c r="IQN5" s="484"/>
      <c r="IQO5" s="484"/>
      <c r="IQP5" s="484"/>
      <c r="IQQ5" s="484"/>
      <c r="IQR5" s="484"/>
      <c r="IQS5" s="484"/>
      <c r="IQT5" s="484"/>
      <c r="IQU5" s="484"/>
      <c r="IQV5" s="484"/>
      <c r="IQW5" s="484"/>
      <c r="IQX5" s="484"/>
      <c r="IQY5" s="484"/>
      <c r="IQZ5" s="484"/>
      <c r="IRA5" s="484"/>
      <c r="IRB5" s="484"/>
      <c r="IRC5" s="484"/>
      <c r="IRD5" s="484"/>
      <c r="IRE5" s="484"/>
      <c r="IRF5" s="484"/>
      <c r="IRG5" s="484"/>
      <c r="IRH5" s="484"/>
      <c r="IRI5" s="484"/>
      <c r="IRJ5" s="484"/>
      <c r="IRK5" s="484"/>
      <c r="IRL5" s="484"/>
      <c r="IRM5" s="484"/>
      <c r="IRN5" s="484"/>
      <c r="IRO5" s="484"/>
      <c r="IRP5" s="484"/>
      <c r="IRQ5" s="484"/>
      <c r="IRR5" s="484"/>
      <c r="IRS5" s="484"/>
      <c r="IRT5" s="484"/>
      <c r="IRU5" s="484"/>
      <c r="IRV5" s="484"/>
      <c r="IRW5" s="484"/>
      <c r="IRX5" s="484"/>
      <c r="IRY5" s="484"/>
      <c r="IRZ5" s="484"/>
      <c r="ISA5" s="484"/>
      <c r="ISB5" s="484"/>
      <c r="ISC5" s="484"/>
      <c r="ISD5" s="484"/>
      <c r="ISE5" s="484"/>
      <c r="ISF5" s="484"/>
      <c r="ISG5" s="484"/>
      <c r="ISH5" s="484"/>
      <c r="ISI5" s="484"/>
      <c r="ISJ5" s="484"/>
      <c r="ISK5" s="484"/>
      <c r="ISL5" s="484"/>
      <c r="ISM5" s="484"/>
      <c r="ISN5" s="484"/>
      <c r="ISO5" s="484"/>
      <c r="ISP5" s="484"/>
      <c r="ISQ5" s="484"/>
      <c r="ISR5" s="484"/>
      <c r="ISS5" s="484"/>
      <c r="IST5" s="484"/>
      <c r="ISU5" s="484"/>
      <c r="ISV5" s="484"/>
      <c r="ISW5" s="484"/>
      <c r="ISX5" s="484"/>
      <c r="ISY5" s="484"/>
      <c r="ISZ5" s="484"/>
      <c r="ITA5" s="484"/>
      <c r="ITB5" s="484"/>
      <c r="ITC5" s="484"/>
      <c r="ITD5" s="484"/>
      <c r="ITE5" s="484"/>
      <c r="ITF5" s="484"/>
      <c r="ITG5" s="484"/>
      <c r="ITH5" s="484"/>
      <c r="ITI5" s="484"/>
      <c r="ITJ5" s="484"/>
      <c r="ITK5" s="484"/>
      <c r="ITL5" s="484"/>
      <c r="ITM5" s="484"/>
      <c r="ITN5" s="484"/>
      <c r="ITO5" s="484"/>
      <c r="ITP5" s="484"/>
      <c r="ITQ5" s="484"/>
      <c r="ITR5" s="484"/>
      <c r="ITS5" s="484"/>
      <c r="ITT5" s="484"/>
      <c r="ITU5" s="484"/>
      <c r="ITV5" s="484"/>
      <c r="ITW5" s="484"/>
      <c r="ITX5" s="484"/>
      <c r="ITY5" s="484"/>
      <c r="ITZ5" s="484"/>
      <c r="IUA5" s="484"/>
      <c r="IUB5" s="484"/>
      <c r="IUC5" s="484"/>
      <c r="IUD5" s="484"/>
      <c r="IUE5" s="484"/>
      <c r="IUF5" s="484"/>
      <c r="IUG5" s="484"/>
      <c r="IUH5" s="484"/>
      <c r="IUI5" s="484"/>
      <c r="IUJ5" s="484"/>
      <c r="IUK5" s="484"/>
      <c r="IUL5" s="484"/>
      <c r="IUM5" s="484"/>
      <c r="IUN5" s="484"/>
      <c r="IUO5" s="484"/>
      <c r="IUP5" s="484"/>
      <c r="IUQ5" s="484"/>
      <c r="IUR5" s="484"/>
      <c r="IUS5" s="484"/>
      <c r="IUT5" s="484"/>
      <c r="IUU5" s="484"/>
      <c r="IUV5" s="484"/>
      <c r="IUW5" s="484"/>
      <c r="IUX5" s="484"/>
      <c r="IUY5" s="484"/>
      <c r="IUZ5" s="484"/>
      <c r="IVA5" s="484"/>
      <c r="IVB5" s="484"/>
      <c r="IVC5" s="484"/>
      <c r="IVD5" s="484"/>
      <c r="IVE5" s="484"/>
      <c r="IVF5" s="484"/>
      <c r="IVG5" s="484"/>
      <c r="IVH5" s="484"/>
      <c r="IVI5" s="484"/>
      <c r="IVJ5" s="484"/>
      <c r="IVK5" s="484"/>
      <c r="IVL5" s="484"/>
      <c r="IVM5" s="484"/>
      <c r="IVN5" s="484"/>
      <c r="IVO5" s="484"/>
      <c r="IVP5" s="484"/>
      <c r="IVQ5" s="484"/>
      <c r="IVR5" s="484"/>
      <c r="IVS5" s="484"/>
      <c r="IVT5" s="484"/>
      <c r="IVU5" s="484"/>
      <c r="IVV5" s="484"/>
      <c r="IVW5" s="484"/>
      <c r="IVX5" s="484"/>
      <c r="IVY5" s="484"/>
      <c r="IVZ5" s="484"/>
      <c r="IWA5" s="484"/>
      <c r="IWB5" s="484"/>
      <c r="IWC5" s="484"/>
      <c r="IWD5" s="484"/>
      <c r="IWE5" s="484"/>
      <c r="IWF5" s="484"/>
      <c r="IWG5" s="484"/>
      <c r="IWH5" s="484"/>
      <c r="IWI5" s="484"/>
      <c r="IWJ5" s="484"/>
      <c r="IWK5" s="484"/>
      <c r="IWL5" s="484"/>
      <c r="IWM5" s="484"/>
      <c r="IWN5" s="484"/>
      <c r="IWO5" s="484"/>
      <c r="IWP5" s="484"/>
      <c r="IWQ5" s="484"/>
      <c r="IWR5" s="484"/>
      <c r="IWS5" s="484"/>
      <c r="IWT5" s="484"/>
      <c r="IWU5" s="484"/>
      <c r="IWV5" s="484"/>
      <c r="IWW5" s="484"/>
      <c r="IWX5" s="484"/>
      <c r="IWY5" s="484"/>
      <c r="IWZ5" s="484"/>
      <c r="IXA5" s="484"/>
      <c r="IXB5" s="484"/>
      <c r="IXC5" s="484"/>
      <c r="IXD5" s="484"/>
      <c r="IXE5" s="484"/>
      <c r="IXF5" s="484"/>
      <c r="IXG5" s="484"/>
      <c r="IXH5" s="484"/>
      <c r="IXI5" s="484"/>
      <c r="IXJ5" s="484"/>
      <c r="IXK5" s="484"/>
      <c r="IXL5" s="484"/>
      <c r="IXM5" s="484"/>
      <c r="IXN5" s="484"/>
      <c r="IXO5" s="484"/>
      <c r="IXP5" s="484"/>
      <c r="IXQ5" s="484"/>
      <c r="IXR5" s="484"/>
      <c r="IXS5" s="484"/>
      <c r="IXT5" s="484"/>
      <c r="IXU5" s="484"/>
      <c r="IXV5" s="484"/>
      <c r="IXW5" s="484"/>
      <c r="IXX5" s="484"/>
      <c r="IXY5" s="484"/>
      <c r="IXZ5" s="484"/>
      <c r="IYA5" s="484"/>
      <c r="IYB5" s="484"/>
      <c r="IYC5" s="484"/>
      <c r="IYD5" s="484"/>
      <c r="IYE5" s="484"/>
      <c r="IYF5" s="484"/>
      <c r="IYG5" s="484"/>
      <c r="IYH5" s="484"/>
      <c r="IYI5" s="484"/>
      <c r="IYJ5" s="484"/>
      <c r="IYK5" s="484"/>
      <c r="IYL5" s="484"/>
      <c r="IYM5" s="484"/>
      <c r="IYN5" s="484"/>
      <c r="IYO5" s="484"/>
      <c r="IYP5" s="484"/>
      <c r="IYQ5" s="484"/>
      <c r="IYR5" s="484"/>
      <c r="IYS5" s="484"/>
      <c r="IYT5" s="484"/>
      <c r="IYU5" s="484"/>
      <c r="IYV5" s="484"/>
      <c r="IYW5" s="484"/>
      <c r="IYX5" s="484"/>
      <c r="IYY5" s="484"/>
      <c r="IYZ5" s="484"/>
      <c r="IZA5" s="484"/>
      <c r="IZB5" s="484"/>
      <c r="IZC5" s="484"/>
      <c r="IZD5" s="484"/>
      <c r="IZE5" s="484"/>
      <c r="IZF5" s="484"/>
      <c r="IZG5" s="484"/>
      <c r="IZH5" s="484"/>
      <c r="IZI5" s="484"/>
      <c r="IZJ5" s="484"/>
      <c r="IZK5" s="484"/>
      <c r="IZL5" s="484"/>
      <c r="IZM5" s="484"/>
      <c r="IZN5" s="484"/>
      <c r="IZO5" s="484"/>
      <c r="IZP5" s="484"/>
      <c r="IZQ5" s="484"/>
      <c r="IZR5" s="484"/>
      <c r="IZS5" s="484"/>
      <c r="IZT5" s="484"/>
      <c r="IZU5" s="484"/>
      <c r="IZV5" s="484"/>
      <c r="IZW5" s="484"/>
      <c r="IZX5" s="484"/>
      <c r="IZY5" s="484"/>
      <c r="IZZ5" s="484"/>
      <c r="JAA5" s="484"/>
      <c r="JAB5" s="484"/>
      <c r="JAC5" s="484"/>
      <c r="JAD5" s="484"/>
      <c r="JAE5" s="484"/>
      <c r="JAF5" s="484"/>
      <c r="JAG5" s="484"/>
      <c r="JAH5" s="484"/>
      <c r="JAI5" s="484"/>
      <c r="JAJ5" s="484"/>
      <c r="JAK5" s="484"/>
      <c r="JAL5" s="484"/>
      <c r="JAM5" s="484"/>
      <c r="JAN5" s="484"/>
      <c r="JAO5" s="484"/>
      <c r="JAP5" s="484"/>
      <c r="JAQ5" s="484"/>
      <c r="JAR5" s="484"/>
      <c r="JAS5" s="484"/>
      <c r="JAT5" s="484"/>
      <c r="JAU5" s="484"/>
      <c r="JAV5" s="484"/>
      <c r="JAW5" s="484"/>
      <c r="JAX5" s="484"/>
      <c r="JAY5" s="484"/>
      <c r="JAZ5" s="484"/>
      <c r="JBA5" s="484"/>
      <c r="JBB5" s="484"/>
      <c r="JBC5" s="484"/>
      <c r="JBD5" s="484"/>
      <c r="JBE5" s="484"/>
      <c r="JBF5" s="484"/>
      <c r="JBG5" s="484"/>
      <c r="JBH5" s="484"/>
      <c r="JBI5" s="484"/>
      <c r="JBJ5" s="484"/>
      <c r="JBK5" s="484"/>
      <c r="JBL5" s="484"/>
      <c r="JBM5" s="484"/>
      <c r="JBN5" s="484"/>
      <c r="JBO5" s="484"/>
      <c r="JBP5" s="484"/>
      <c r="JBQ5" s="484"/>
      <c r="JBR5" s="484"/>
      <c r="JBS5" s="484"/>
      <c r="JBT5" s="484"/>
      <c r="JBU5" s="484"/>
      <c r="JBV5" s="484"/>
      <c r="JBW5" s="484"/>
      <c r="JBX5" s="484"/>
      <c r="JBY5" s="484"/>
      <c r="JBZ5" s="484"/>
      <c r="JCA5" s="484"/>
      <c r="JCB5" s="484"/>
      <c r="JCC5" s="484"/>
      <c r="JCD5" s="484"/>
      <c r="JCE5" s="484"/>
      <c r="JCF5" s="484"/>
      <c r="JCG5" s="484"/>
      <c r="JCH5" s="484"/>
      <c r="JCI5" s="484"/>
      <c r="JCJ5" s="484"/>
      <c r="JCK5" s="484"/>
      <c r="JCL5" s="484"/>
      <c r="JCM5" s="484"/>
      <c r="JCN5" s="484"/>
      <c r="JCO5" s="484"/>
      <c r="JCP5" s="484"/>
      <c r="JCQ5" s="484"/>
      <c r="JCR5" s="484"/>
      <c r="JCS5" s="484"/>
      <c r="JCT5" s="484"/>
      <c r="JCU5" s="484"/>
      <c r="JCV5" s="484"/>
      <c r="JCW5" s="484"/>
      <c r="JCX5" s="484"/>
      <c r="JCY5" s="484"/>
      <c r="JCZ5" s="484"/>
      <c r="JDA5" s="484"/>
      <c r="JDB5" s="484"/>
      <c r="JDC5" s="484"/>
      <c r="JDD5" s="484"/>
      <c r="JDE5" s="484"/>
      <c r="JDF5" s="484"/>
      <c r="JDG5" s="484"/>
      <c r="JDH5" s="484"/>
      <c r="JDI5" s="484"/>
      <c r="JDJ5" s="484"/>
      <c r="JDK5" s="484"/>
      <c r="JDL5" s="484"/>
      <c r="JDM5" s="484"/>
      <c r="JDN5" s="484"/>
      <c r="JDO5" s="484"/>
      <c r="JDP5" s="484"/>
      <c r="JDQ5" s="484"/>
      <c r="JDR5" s="484"/>
      <c r="JDS5" s="484"/>
      <c r="JDT5" s="484"/>
      <c r="JDU5" s="484"/>
      <c r="JDV5" s="484"/>
      <c r="JDW5" s="484"/>
      <c r="JDX5" s="484"/>
      <c r="JDY5" s="484"/>
      <c r="JDZ5" s="484"/>
      <c r="JEA5" s="484"/>
      <c r="JEB5" s="484"/>
      <c r="JEC5" s="484"/>
      <c r="JED5" s="484"/>
      <c r="JEE5" s="484"/>
      <c r="JEF5" s="484"/>
      <c r="JEG5" s="484"/>
      <c r="JEH5" s="484"/>
      <c r="JEI5" s="484"/>
      <c r="JEJ5" s="484"/>
      <c r="JEK5" s="484"/>
      <c r="JEL5" s="484"/>
      <c r="JEM5" s="484"/>
      <c r="JEN5" s="484"/>
      <c r="JEO5" s="484"/>
      <c r="JEP5" s="484"/>
      <c r="JEQ5" s="484"/>
      <c r="JER5" s="484"/>
      <c r="JES5" s="484"/>
      <c r="JET5" s="484"/>
      <c r="JEU5" s="484"/>
      <c r="JEV5" s="484"/>
      <c r="JEW5" s="484"/>
      <c r="JEX5" s="484"/>
      <c r="JEY5" s="484"/>
      <c r="JEZ5" s="484"/>
      <c r="JFA5" s="484"/>
      <c r="JFB5" s="484"/>
      <c r="JFC5" s="484"/>
      <c r="JFD5" s="484"/>
      <c r="JFE5" s="484"/>
      <c r="JFF5" s="484"/>
      <c r="JFG5" s="484"/>
      <c r="JFH5" s="484"/>
      <c r="JFI5" s="484"/>
      <c r="JFJ5" s="484"/>
      <c r="JFK5" s="484"/>
      <c r="JFL5" s="484"/>
      <c r="JFM5" s="484"/>
      <c r="JFN5" s="484"/>
      <c r="JFO5" s="484"/>
      <c r="JFP5" s="484"/>
      <c r="JFQ5" s="484"/>
      <c r="JFR5" s="484"/>
      <c r="JFS5" s="484"/>
      <c r="JFT5" s="484"/>
      <c r="JFU5" s="484"/>
      <c r="JFV5" s="484"/>
      <c r="JFW5" s="484"/>
      <c r="JFX5" s="484"/>
      <c r="JFY5" s="484"/>
      <c r="JFZ5" s="484"/>
      <c r="JGA5" s="484"/>
      <c r="JGB5" s="484"/>
      <c r="JGC5" s="484"/>
      <c r="JGD5" s="484"/>
      <c r="JGE5" s="484"/>
      <c r="JGF5" s="484"/>
      <c r="JGG5" s="484"/>
      <c r="JGH5" s="484"/>
      <c r="JGI5" s="484"/>
      <c r="JGJ5" s="484"/>
      <c r="JGK5" s="484"/>
      <c r="JGL5" s="484"/>
      <c r="JGM5" s="484"/>
      <c r="JGN5" s="484"/>
      <c r="JGO5" s="484"/>
      <c r="JGP5" s="484"/>
      <c r="JGQ5" s="484"/>
      <c r="JGR5" s="484"/>
      <c r="JGS5" s="484"/>
      <c r="JGT5" s="484"/>
      <c r="JGU5" s="484"/>
      <c r="JGV5" s="484"/>
      <c r="JGW5" s="484"/>
      <c r="JGX5" s="484"/>
      <c r="JGY5" s="484"/>
      <c r="JGZ5" s="484"/>
      <c r="JHA5" s="484"/>
      <c r="JHB5" s="484"/>
      <c r="JHC5" s="484"/>
      <c r="JHD5" s="484"/>
      <c r="JHE5" s="484"/>
      <c r="JHF5" s="484"/>
      <c r="JHG5" s="484"/>
      <c r="JHH5" s="484"/>
      <c r="JHI5" s="484"/>
      <c r="JHJ5" s="484"/>
      <c r="JHK5" s="484"/>
      <c r="JHL5" s="484"/>
      <c r="JHM5" s="484"/>
      <c r="JHN5" s="484"/>
      <c r="JHO5" s="484"/>
      <c r="JHP5" s="484"/>
      <c r="JHQ5" s="484"/>
      <c r="JHR5" s="484"/>
      <c r="JHS5" s="484"/>
      <c r="JHT5" s="484"/>
      <c r="JHU5" s="484"/>
      <c r="JHV5" s="484"/>
      <c r="JHW5" s="484"/>
      <c r="JHX5" s="484"/>
      <c r="JHY5" s="484"/>
      <c r="JHZ5" s="484"/>
      <c r="JIA5" s="484"/>
      <c r="JIB5" s="484"/>
      <c r="JIC5" s="484"/>
      <c r="JID5" s="484"/>
      <c r="JIE5" s="484"/>
      <c r="JIF5" s="484"/>
      <c r="JIG5" s="484"/>
      <c r="JIH5" s="484"/>
      <c r="JII5" s="484"/>
      <c r="JIJ5" s="484"/>
      <c r="JIK5" s="484"/>
      <c r="JIL5" s="484"/>
      <c r="JIM5" s="484"/>
      <c r="JIN5" s="484"/>
      <c r="JIO5" s="484"/>
      <c r="JIP5" s="484"/>
      <c r="JIQ5" s="484"/>
      <c r="JIR5" s="484"/>
      <c r="JIS5" s="484"/>
      <c r="JIT5" s="484"/>
      <c r="JIU5" s="484"/>
      <c r="JIV5" s="484"/>
      <c r="JIW5" s="484"/>
      <c r="JIX5" s="484"/>
      <c r="JIY5" s="484"/>
      <c r="JIZ5" s="484"/>
      <c r="JJA5" s="484"/>
      <c r="JJB5" s="484"/>
      <c r="JJC5" s="484"/>
      <c r="JJD5" s="484"/>
      <c r="JJE5" s="484"/>
      <c r="JJF5" s="484"/>
      <c r="JJG5" s="484"/>
      <c r="JJH5" s="484"/>
      <c r="JJI5" s="484"/>
      <c r="JJJ5" s="484"/>
      <c r="JJK5" s="484"/>
      <c r="JJL5" s="484"/>
      <c r="JJM5" s="484"/>
      <c r="JJN5" s="484"/>
      <c r="JJO5" s="484"/>
      <c r="JJP5" s="484"/>
      <c r="JJQ5" s="484"/>
      <c r="JJR5" s="484"/>
      <c r="JJS5" s="484"/>
      <c r="JJT5" s="484"/>
      <c r="JJU5" s="484"/>
      <c r="JJV5" s="484"/>
      <c r="JJW5" s="484"/>
      <c r="JJX5" s="484"/>
      <c r="JJY5" s="484"/>
      <c r="JJZ5" s="484"/>
      <c r="JKA5" s="484"/>
      <c r="JKB5" s="484"/>
      <c r="JKC5" s="484"/>
      <c r="JKD5" s="484"/>
      <c r="JKE5" s="484"/>
      <c r="JKF5" s="484"/>
      <c r="JKG5" s="484"/>
      <c r="JKH5" s="484"/>
      <c r="JKI5" s="484"/>
      <c r="JKJ5" s="484"/>
      <c r="JKK5" s="484"/>
      <c r="JKL5" s="484"/>
      <c r="JKM5" s="484"/>
      <c r="JKN5" s="484"/>
      <c r="JKO5" s="484"/>
      <c r="JKP5" s="484"/>
      <c r="JKQ5" s="484"/>
      <c r="JKR5" s="484"/>
      <c r="JKS5" s="484"/>
      <c r="JKT5" s="484"/>
      <c r="JKU5" s="484"/>
      <c r="JKV5" s="484"/>
      <c r="JKW5" s="484"/>
      <c r="JKX5" s="484"/>
      <c r="JKY5" s="484"/>
      <c r="JKZ5" s="484"/>
      <c r="JLA5" s="484"/>
      <c r="JLB5" s="484"/>
      <c r="JLC5" s="484"/>
      <c r="JLD5" s="484"/>
      <c r="JLE5" s="484"/>
      <c r="JLF5" s="484"/>
      <c r="JLG5" s="484"/>
      <c r="JLH5" s="484"/>
      <c r="JLI5" s="484"/>
      <c r="JLJ5" s="484"/>
      <c r="JLK5" s="484"/>
      <c r="JLL5" s="484"/>
      <c r="JLM5" s="484"/>
      <c r="JLN5" s="484"/>
      <c r="JLO5" s="484"/>
      <c r="JLP5" s="484"/>
      <c r="JLQ5" s="484"/>
      <c r="JLR5" s="484"/>
      <c r="JLS5" s="484"/>
      <c r="JLT5" s="484"/>
      <c r="JLU5" s="484"/>
      <c r="JLV5" s="484"/>
      <c r="JLW5" s="484"/>
      <c r="JLX5" s="484"/>
      <c r="JLY5" s="484"/>
      <c r="JLZ5" s="484"/>
      <c r="JMA5" s="484"/>
      <c r="JMB5" s="484"/>
      <c r="JMC5" s="484"/>
      <c r="JMD5" s="484"/>
      <c r="JME5" s="484"/>
      <c r="JMF5" s="484"/>
      <c r="JMG5" s="484"/>
      <c r="JMH5" s="484"/>
      <c r="JMI5" s="484"/>
      <c r="JMJ5" s="484"/>
      <c r="JMK5" s="484"/>
      <c r="JML5" s="484"/>
      <c r="JMM5" s="484"/>
      <c r="JMN5" s="484"/>
      <c r="JMO5" s="484"/>
      <c r="JMP5" s="484"/>
      <c r="JMQ5" s="484"/>
      <c r="JMR5" s="484"/>
      <c r="JMS5" s="484"/>
      <c r="JMT5" s="484"/>
      <c r="JMU5" s="484"/>
      <c r="JMV5" s="484"/>
      <c r="JMW5" s="484"/>
      <c r="JMX5" s="484"/>
      <c r="JMY5" s="484"/>
      <c r="JMZ5" s="484"/>
      <c r="JNA5" s="484"/>
      <c r="JNB5" s="484"/>
      <c r="JNC5" s="484"/>
      <c r="JND5" s="484"/>
      <c r="JNE5" s="484"/>
      <c r="JNF5" s="484"/>
      <c r="JNG5" s="484"/>
      <c r="JNH5" s="484"/>
      <c r="JNI5" s="484"/>
      <c r="JNJ5" s="484"/>
      <c r="JNK5" s="484"/>
      <c r="JNL5" s="484"/>
      <c r="JNM5" s="484"/>
      <c r="JNN5" s="484"/>
      <c r="JNO5" s="484"/>
      <c r="JNP5" s="484"/>
      <c r="JNQ5" s="484"/>
      <c r="JNR5" s="484"/>
      <c r="JNS5" s="484"/>
      <c r="JNT5" s="484"/>
      <c r="JNU5" s="484"/>
      <c r="JNV5" s="484"/>
      <c r="JNW5" s="484"/>
      <c r="JNX5" s="484"/>
      <c r="JNY5" s="484"/>
      <c r="JNZ5" s="484"/>
      <c r="JOA5" s="484"/>
      <c r="JOB5" s="484"/>
      <c r="JOC5" s="484"/>
      <c r="JOD5" s="484"/>
      <c r="JOE5" s="484"/>
      <c r="JOF5" s="484"/>
      <c r="JOG5" s="484"/>
      <c r="JOH5" s="484"/>
      <c r="JOI5" s="484"/>
      <c r="JOJ5" s="484"/>
      <c r="JOK5" s="484"/>
      <c r="JOL5" s="484"/>
      <c r="JOM5" s="484"/>
      <c r="JON5" s="484"/>
      <c r="JOO5" s="484"/>
      <c r="JOP5" s="484"/>
      <c r="JOQ5" s="484"/>
      <c r="JOR5" s="484"/>
      <c r="JOS5" s="484"/>
      <c r="JOT5" s="484"/>
      <c r="JOU5" s="484"/>
      <c r="JOV5" s="484"/>
      <c r="JOW5" s="484"/>
      <c r="JOX5" s="484"/>
      <c r="JOY5" s="484"/>
      <c r="JOZ5" s="484"/>
      <c r="JPA5" s="484"/>
      <c r="JPB5" s="484"/>
      <c r="JPC5" s="484"/>
      <c r="JPD5" s="484"/>
      <c r="JPE5" s="484"/>
      <c r="JPF5" s="484"/>
      <c r="JPG5" s="484"/>
      <c r="JPH5" s="484"/>
      <c r="JPI5" s="484"/>
      <c r="JPJ5" s="484"/>
      <c r="JPK5" s="484"/>
      <c r="JPL5" s="484"/>
      <c r="JPM5" s="484"/>
      <c r="JPN5" s="484"/>
      <c r="JPO5" s="484"/>
      <c r="JPP5" s="484"/>
      <c r="JPQ5" s="484"/>
      <c r="JPR5" s="484"/>
      <c r="JPS5" s="484"/>
      <c r="JPT5" s="484"/>
      <c r="JPU5" s="484"/>
      <c r="JPV5" s="484"/>
      <c r="JPW5" s="484"/>
      <c r="JPX5" s="484"/>
      <c r="JPY5" s="484"/>
      <c r="JPZ5" s="484"/>
      <c r="JQA5" s="484"/>
      <c r="JQB5" s="484"/>
      <c r="JQC5" s="484"/>
      <c r="JQD5" s="484"/>
      <c r="JQE5" s="484"/>
      <c r="JQF5" s="484"/>
      <c r="JQG5" s="484"/>
      <c r="JQH5" s="484"/>
      <c r="JQI5" s="484"/>
      <c r="JQJ5" s="484"/>
      <c r="JQK5" s="484"/>
      <c r="JQL5" s="484"/>
      <c r="JQM5" s="484"/>
      <c r="JQN5" s="484"/>
      <c r="JQO5" s="484"/>
      <c r="JQP5" s="484"/>
      <c r="JQQ5" s="484"/>
      <c r="JQR5" s="484"/>
      <c r="JQS5" s="484"/>
      <c r="JQT5" s="484"/>
      <c r="JQU5" s="484"/>
      <c r="JQV5" s="484"/>
      <c r="JQW5" s="484"/>
      <c r="JQX5" s="484"/>
      <c r="JQY5" s="484"/>
      <c r="JQZ5" s="484"/>
      <c r="JRA5" s="484"/>
      <c r="JRB5" s="484"/>
      <c r="JRC5" s="484"/>
      <c r="JRD5" s="484"/>
      <c r="JRE5" s="484"/>
      <c r="JRF5" s="484"/>
      <c r="JRG5" s="484"/>
      <c r="JRH5" s="484"/>
      <c r="JRI5" s="484"/>
      <c r="JRJ5" s="484"/>
      <c r="JRK5" s="484"/>
      <c r="JRL5" s="484"/>
      <c r="JRM5" s="484"/>
      <c r="JRN5" s="484"/>
      <c r="JRO5" s="484"/>
      <c r="JRP5" s="484"/>
      <c r="JRQ5" s="484"/>
      <c r="JRR5" s="484"/>
      <c r="JRS5" s="484"/>
      <c r="JRT5" s="484"/>
      <c r="JRU5" s="484"/>
      <c r="JRV5" s="484"/>
      <c r="JRW5" s="484"/>
      <c r="JRX5" s="484"/>
      <c r="JRY5" s="484"/>
      <c r="JRZ5" s="484"/>
      <c r="JSA5" s="484"/>
      <c r="JSB5" s="484"/>
      <c r="JSC5" s="484"/>
      <c r="JSD5" s="484"/>
      <c r="JSE5" s="484"/>
      <c r="JSF5" s="484"/>
      <c r="JSG5" s="484"/>
      <c r="JSH5" s="484"/>
      <c r="JSI5" s="484"/>
      <c r="JSJ5" s="484"/>
      <c r="JSK5" s="484"/>
      <c r="JSL5" s="484"/>
      <c r="JSM5" s="484"/>
      <c r="JSN5" s="484"/>
      <c r="JSO5" s="484"/>
      <c r="JSP5" s="484"/>
      <c r="JSQ5" s="484"/>
      <c r="JSR5" s="484"/>
      <c r="JSS5" s="484"/>
      <c r="JST5" s="484"/>
      <c r="JSU5" s="484"/>
      <c r="JSV5" s="484"/>
      <c r="JSW5" s="484"/>
      <c r="JSX5" s="484"/>
      <c r="JSY5" s="484"/>
      <c r="JSZ5" s="484"/>
      <c r="JTA5" s="484"/>
      <c r="JTB5" s="484"/>
      <c r="JTC5" s="484"/>
      <c r="JTD5" s="484"/>
      <c r="JTE5" s="484"/>
      <c r="JTF5" s="484"/>
      <c r="JTG5" s="484"/>
      <c r="JTH5" s="484"/>
      <c r="JTI5" s="484"/>
      <c r="JTJ5" s="484"/>
      <c r="JTK5" s="484"/>
      <c r="JTL5" s="484"/>
      <c r="JTM5" s="484"/>
      <c r="JTN5" s="484"/>
      <c r="JTO5" s="484"/>
      <c r="JTP5" s="484"/>
      <c r="JTQ5" s="484"/>
      <c r="JTR5" s="484"/>
      <c r="JTS5" s="484"/>
      <c r="JTT5" s="484"/>
      <c r="JTU5" s="484"/>
      <c r="JTV5" s="484"/>
      <c r="JTW5" s="484"/>
      <c r="JTX5" s="484"/>
      <c r="JTY5" s="484"/>
      <c r="JTZ5" s="484"/>
      <c r="JUA5" s="484"/>
      <c r="JUB5" s="484"/>
      <c r="JUC5" s="484"/>
      <c r="JUD5" s="484"/>
      <c r="JUE5" s="484"/>
      <c r="JUF5" s="484"/>
      <c r="JUG5" s="484"/>
      <c r="JUH5" s="484"/>
      <c r="JUI5" s="484"/>
      <c r="JUJ5" s="484"/>
      <c r="JUK5" s="484"/>
      <c r="JUL5" s="484"/>
      <c r="JUM5" s="484"/>
      <c r="JUN5" s="484"/>
      <c r="JUO5" s="484"/>
      <c r="JUP5" s="484"/>
      <c r="JUQ5" s="484"/>
      <c r="JUR5" s="484"/>
      <c r="JUS5" s="484"/>
      <c r="JUT5" s="484"/>
      <c r="JUU5" s="484"/>
      <c r="JUV5" s="484"/>
      <c r="JUW5" s="484"/>
      <c r="JUX5" s="484"/>
      <c r="JUY5" s="484"/>
      <c r="JUZ5" s="484"/>
      <c r="JVA5" s="484"/>
      <c r="JVB5" s="484"/>
      <c r="JVC5" s="484"/>
      <c r="JVD5" s="484"/>
      <c r="JVE5" s="484"/>
      <c r="JVF5" s="484"/>
      <c r="JVG5" s="484"/>
      <c r="JVH5" s="484"/>
      <c r="JVI5" s="484"/>
      <c r="JVJ5" s="484"/>
      <c r="JVK5" s="484"/>
      <c r="JVL5" s="484"/>
      <c r="JVM5" s="484"/>
      <c r="JVN5" s="484"/>
      <c r="JVO5" s="484"/>
      <c r="JVP5" s="484"/>
      <c r="JVQ5" s="484"/>
      <c r="JVR5" s="484"/>
      <c r="JVS5" s="484"/>
      <c r="JVT5" s="484"/>
      <c r="JVU5" s="484"/>
      <c r="JVV5" s="484"/>
      <c r="JVW5" s="484"/>
      <c r="JVX5" s="484"/>
      <c r="JVY5" s="484"/>
      <c r="JVZ5" s="484"/>
      <c r="JWA5" s="484"/>
      <c r="JWB5" s="484"/>
      <c r="JWC5" s="484"/>
      <c r="JWD5" s="484"/>
      <c r="JWE5" s="484"/>
      <c r="JWF5" s="484"/>
      <c r="JWG5" s="484"/>
      <c r="JWH5" s="484"/>
      <c r="JWI5" s="484"/>
      <c r="JWJ5" s="484"/>
      <c r="JWK5" s="484"/>
      <c r="JWL5" s="484"/>
      <c r="JWM5" s="484"/>
      <c r="JWN5" s="484"/>
      <c r="JWO5" s="484"/>
      <c r="JWP5" s="484"/>
      <c r="JWQ5" s="484"/>
      <c r="JWR5" s="484"/>
      <c r="JWS5" s="484"/>
      <c r="JWT5" s="484"/>
      <c r="JWU5" s="484"/>
      <c r="JWV5" s="484"/>
      <c r="JWW5" s="484"/>
      <c r="JWX5" s="484"/>
      <c r="JWY5" s="484"/>
      <c r="JWZ5" s="484"/>
      <c r="JXA5" s="484"/>
      <c r="JXB5" s="484"/>
      <c r="JXC5" s="484"/>
      <c r="JXD5" s="484"/>
      <c r="JXE5" s="484"/>
      <c r="JXF5" s="484"/>
      <c r="JXG5" s="484"/>
      <c r="JXH5" s="484"/>
      <c r="JXI5" s="484"/>
      <c r="JXJ5" s="484"/>
      <c r="JXK5" s="484"/>
      <c r="JXL5" s="484"/>
      <c r="JXM5" s="484"/>
      <c r="JXN5" s="484"/>
      <c r="JXO5" s="484"/>
      <c r="JXP5" s="484"/>
      <c r="JXQ5" s="484"/>
      <c r="JXR5" s="484"/>
      <c r="JXS5" s="484"/>
      <c r="JXT5" s="484"/>
      <c r="JXU5" s="484"/>
      <c r="JXV5" s="484"/>
      <c r="JXW5" s="484"/>
      <c r="JXX5" s="484"/>
      <c r="JXY5" s="484"/>
      <c r="JXZ5" s="484"/>
      <c r="JYA5" s="484"/>
      <c r="JYB5" s="484"/>
      <c r="JYC5" s="484"/>
      <c r="JYD5" s="484"/>
      <c r="JYE5" s="484"/>
      <c r="JYF5" s="484"/>
      <c r="JYG5" s="484"/>
      <c r="JYH5" s="484"/>
      <c r="JYI5" s="484"/>
      <c r="JYJ5" s="484"/>
      <c r="JYK5" s="484"/>
      <c r="JYL5" s="484"/>
      <c r="JYM5" s="484"/>
      <c r="JYN5" s="484"/>
      <c r="JYO5" s="484"/>
      <c r="JYP5" s="484"/>
      <c r="JYQ5" s="484"/>
      <c r="JYR5" s="484"/>
      <c r="JYS5" s="484"/>
      <c r="JYT5" s="484"/>
      <c r="JYU5" s="484"/>
      <c r="JYV5" s="484"/>
      <c r="JYW5" s="484"/>
      <c r="JYX5" s="484"/>
      <c r="JYY5" s="484"/>
      <c r="JYZ5" s="484"/>
      <c r="JZA5" s="484"/>
      <c r="JZB5" s="484"/>
      <c r="JZC5" s="484"/>
      <c r="JZD5" s="484"/>
      <c r="JZE5" s="484"/>
      <c r="JZF5" s="484"/>
      <c r="JZG5" s="484"/>
      <c r="JZH5" s="484"/>
      <c r="JZI5" s="484"/>
      <c r="JZJ5" s="484"/>
      <c r="JZK5" s="484"/>
      <c r="JZL5" s="484"/>
      <c r="JZM5" s="484"/>
      <c r="JZN5" s="484"/>
      <c r="JZO5" s="484"/>
      <c r="JZP5" s="484"/>
      <c r="JZQ5" s="484"/>
      <c r="JZR5" s="484"/>
      <c r="JZS5" s="484"/>
      <c r="JZT5" s="484"/>
      <c r="JZU5" s="484"/>
      <c r="JZV5" s="484"/>
      <c r="JZW5" s="484"/>
      <c r="JZX5" s="484"/>
      <c r="JZY5" s="484"/>
      <c r="JZZ5" s="484"/>
      <c r="KAA5" s="484"/>
      <c r="KAB5" s="484"/>
      <c r="KAC5" s="484"/>
      <c r="KAD5" s="484"/>
      <c r="KAE5" s="484"/>
      <c r="KAF5" s="484"/>
      <c r="KAG5" s="484"/>
      <c r="KAH5" s="484"/>
      <c r="KAI5" s="484"/>
      <c r="KAJ5" s="484"/>
      <c r="KAK5" s="484"/>
      <c r="KAL5" s="484"/>
      <c r="KAM5" s="484"/>
      <c r="KAN5" s="484"/>
      <c r="KAO5" s="484"/>
      <c r="KAP5" s="484"/>
      <c r="KAQ5" s="484"/>
      <c r="KAR5" s="484"/>
      <c r="KAS5" s="484"/>
      <c r="KAT5" s="484"/>
      <c r="KAU5" s="484"/>
      <c r="KAV5" s="484"/>
      <c r="KAW5" s="484"/>
      <c r="KAX5" s="484"/>
      <c r="KAY5" s="484"/>
      <c r="KAZ5" s="484"/>
      <c r="KBA5" s="484"/>
      <c r="KBB5" s="484"/>
      <c r="KBC5" s="484"/>
      <c r="KBD5" s="484"/>
      <c r="KBE5" s="484"/>
      <c r="KBF5" s="484"/>
      <c r="KBG5" s="484"/>
      <c r="KBH5" s="484"/>
      <c r="KBI5" s="484"/>
      <c r="KBJ5" s="484"/>
      <c r="KBK5" s="484"/>
      <c r="KBL5" s="484"/>
      <c r="KBM5" s="484"/>
      <c r="KBN5" s="484"/>
      <c r="KBO5" s="484"/>
      <c r="KBP5" s="484"/>
      <c r="KBQ5" s="484"/>
      <c r="KBR5" s="484"/>
      <c r="KBS5" s="484"/>
      <c r="KBT5" s="484"/>
      <c r="KBU5" s="484"/>
      <c r="KBV5" s="484"/>
      <c r="KBW5" s="484"/>
      <c r="KBX5" s="484"/>
      <c r="KBY5" s="484"/>
      <c r="KBZ5" s="484"/>
      <c r="KCA5" s="484"/>
      <c r="KCB5" s="484"/>
      <c r="KCC5" s="484"/>
      <c r="KCD5" s="484"/>
      <c r="KCE5" s="484"/>
      <c r="KCF5" s="484"/>
      <c r="KCG5" s="484"/>
      <c r="KCH5" s="484"/>
      <c r="KCI5" s="484"/>
      <c r="KCJ5" s="484"/>
      <c r="KCK5" s="484"/>
      <c r="KCL5" s="484"/>
      <c r="KCM5" s="484"/>
      <c r="KCN5" s="484"/>
      <c r="KCO5" s="484"/>
      <c r="KCP5" s="484"/>
      <c r="KCQ5" s="484"/>
      <c r="KCR5" s="484"/>
      <c r="KCS5" s="484"/>
      <c r="KCT5" s="484"/>
      <c r="KCU5" s="484"/>
      <c r="KCV5" s="484"/>
      <c r="KCW5" s="484"/>
      <c r="KCX5" s="484"/>
      <c r="KCY5" s="484"/>
      <c r="KCZ5" s="484"/>
      <c r="KDA5" s="484"/>
      <c r="KDB5" s="484"/>
      <c r="KDC5" s="484"/>
      <c r="KDD5" s="484"/>
      <c r="KDE5" s="484"/>
      <c r="KDF5" s="484"/>
      <c r="KDG5" s="484"/>
      <c r="KDH5" s="484"/>
      <c r="KDI5" s="484"/>
      <c r="KDJ5" s="484"/>
      <c r="KDK5" s="484"/>
      <c r="KDL5" s="484"/>
      <c r="KDM5" s="484"/>
      <c r="KDN5" s="484"/>
      <c r="KDO5" s="484"/>
      <c r="KDP5" s="484"/>
      <c r="KDQ5" s="484"/>
      <c r="KDR5" s="484"/>
      <c r="KDS5" s="484"/>
      <c r="KDT5" s="484"/>
      <c r="KDU5" s="484"/>
      <c r="KDV5" s="484"/>
      <c r="KDW5" s="484"/>
      <c r="KDX5" s="484"/>
      <c r="KDY5" s="484"/>
      <c r="KDZ5" s="484"/>
      <c r="KEA5" s="484"/>
      <c r="KEB5" s="484"/>
      <c r="KEC5" s="484"/>
      <c r="KED5" s="484"/>
      <c r="KEE5" s="484"/>
      <c r="KEF5" s="484"/>
      <c r="KEG5" s="484"/>
      <c r="KEH5" s="484"/>
      <c r="KEI5" s="484"/>
      <c r="KEJ5" s="484"/>
      <c r="KEK5" s="484"/>
      <c r="KEL5" s="484"/>
      <c r="KEM5" s="484"/>
      <c r="KEN5" s="484"/>
      <c r="KEO5" s="484"/>
      <c r="KEP5" s="484"/>
      <c r="KEQ5" s="484"/>
      <c r="KER5" s="484"/>
      <c r="KES5" s="484"/>
      <c r="KET5" s="484"/>
      <c r="KEU5" s="484"/>
      <c r="KEV5" s="484"/>
      <c r="KEW5" s="484"/>
      <c r="KEX5" s="484"/>
      <c r="KEY5" s="484"/>
      <c r="KEZ5" s="484"/>
      <c r="KFA5" s="484"/>
      <c r="KFB5" s="484"/>
      <c r="KFC5" s="484"/>
      <c r="KFD5" s="484"/>
      <c r="KFE5" s="484"/>
      <c r="KFF5" s="484"/>
      <c r="KFG5" s="484"/>
      <c r="KFH5" s="484"/>
      <c r="KFI5" s="484"/>
      <c r="KFJ5" s="484"/>
      <c r="KFK5" s="484"/>
      <c r="KFL5" s="484"/>
      <c r="KFM5" s="484"/>
      <c r="KFN5" s="484"/>
      <c r="KFO5" s="484"/>
      <c r="KFP5" s="484"/>
      <c r="KFQ5" s="484"/>
      <c r="KFR5" s="484"/>
      <c r="KFS5" s="484"/>
      <c r="KFT5" s="484"/>
      <c r="KFU5" s="484"/>
      <c r="KFV5" s="484"/>
      <c r="KFW5" s="484"/>
      <c r="KFX5" s="484"/>
      <c r="KFY5" s="484"/>
      <c r="KFZ5" s="484"/>
      <c r="KGA5" s="484"/>
      <c r="KGB5" s="484"/>
      <c r="KGC5" s="484"/>
      <c r="KGD5" s="484"/>
      <c r="KGE5" s="484"/>
      <c r="KGF5" s="484"/>
      <c r="KGG5" s="484"/>
      <c r="KGH5" s="484"/>
      <c r="KGI5" s="484"/>
      <c r="KGJ5" s="484"/>
      <c r="KGK5" s="484"/>
      <c r="KGL5" s="484"/>
      <c r="KGM5" s="484"/>
      <c r="KGN5" s="484"/>
      <c r="KGO5" s="484"/>
      <c r="KGP5" s="484"/>
      <c r="KGQ5" s="484"/>
      <c r="KGR5" s="484"/>
      <c r="KGS5" s="484"/>
      <c r="KGT5" s="484"/>
      <c r="KGU5" s="484"/>
      <c r="KGV5" s="484"/>
      <c r="KGW5" s="484"/>
      <c r="KGX5" s="484"/>
      <c r="KGY5" s="484"/>
      <c r="KGZ5" s="484"/>
      <c r="KHA5" s="484"/>
      <c r="KHB5" s="484"/>
      <c r="KHC5" s="484"/>
      <c r="KHD5" s="484"/>
      <c r="KHE5" s="484"/>
      <c r="KHF5" s="484"/>
      <c r="KHG5" s="484"/>
      <c r="KHH5" s="484"/>
      <c r="KHI5" s="484"/>
      <c r="KHJ5" s="484"/>
      <c r="KHK5" s="484"/>
      <c r="KHL5" s="484"/>
      <c r="KHM5" s="484"/>
      <c r="KHN5" s="484"/>
      <c r="KHO5" s="484"/>
      <c r="KHP5" s="484"/>
      <c r="KHQ5" s="484"/>
      <c r="KHR5" s="484"/>
      <c r="KHS5" s="484"/>
      <c r="KHT5" s="484"/>
      <c r="KHU5" s="484"/>
      <c r="KHV5" s="484"/>
      <c r="KHW5" s="484"/>
      <c r="KHX5" s="484"/>
      <c r="KHY5" s="484"/>
      <c r="KHZ5" s="484"/>
      <c r="KIA5" s="484"/>
      <c r="KIB5" s="484"/>
      <c r="KIC5" s="484"/>
      <c r="KID5" s="484"/>
      <c r="KIE5" s="484"/>
      <c r="KIF5" s="484"/>
      <c r="KIG5" s="484"/>
      <c r="KIH5" s="484"/>
      <c r="KII5" s="484"/>
      <c r="KIJ5" s="484"/>
      <c r="KIK5" s="484"/>
      <c r="KIL5" s="484"/>
      <c r="KIM5" s="484"/>
      <c r="KIN5" s="484"/>
      <c r="KIO5" s="484"/>
      <c r="KIP5" s="484"/>
      <c r="KIQ5" s="484"/>
      <c r="KIR5" s="484"/>
      <c r="KIS5" s="484"/>
      <c r="KIT5" s="484"/>
      <c r="KIU5" s="484"/>
      <c r="KIV5" s="484"/>
      <c r="KIW5" s="484"/>
      <c r="KIX5" s="484"/>
      <c r="KIY5" s="484"/>
      <c r="KIZ5" s="484"/>
      <c r="KJA5" s="484"/>
      <c r="KJB5" s="484"/>
      <c r="KJC5" s="484"/>
      <c r="KJD5" s="484"/>
      <c r="KJE5" s="484"/>
      <c r="KJF5" s="484"/>
      <c r="KJG5" s="484"/>
      <c r="KJH5" s="484"/>
      <c r="KJI5" s="484"/>
      <c r="KJJ5" s="484"/>
      <c r="KJK5" s="484"/>
      <c r="KJL5" s="484"/>
      <c r="KJM5" s="484"/>
      <c r="KJN5" s="484"/>
      <c r="KJO5" s="484"/>
      <c r="KJP5" s="484"/>
      <c r="KJQ5" s="484"/>
      <c r="KJR5" s="484"/>
      <c r="KJS5" s="484"/>
      <c r="KJT5" s="484"/>
      <c r="KJU5" s="484"/>
      <c r="KJV5" s="484"/>
      <c r="KJW5" s="484"/>
      <c r="KJX5" s="484"/>
      <c r="KJY5" s="484"/>
      <c r="KJZ5" s="484"/>
      <c r="KKA5" s="484"/>
      <c r="KKB5" s="484"/>
      <c r="KKC5" s="484"/>
      <c r="KKD5" s="484"/>
      <c r="KKE5" s="484"/>
      <c r="KKF5" s="484"/>
      <c r="KKG5" s="484"/>
      <c r="KKH5" s="484"/>
      <c r="KKI5" s="484"/>
      <c r="KKJ5" s="484"/>
      <c r="KKK5" s="484"/>
      <c r="KKL5" s="484"/>
      <c r="KKM5" s="484"/>
      <c r="KKN5" s="484"/>
      <c r="KKO5" s="484"/>
      <c r="KKP5" s="484"/>
      <c r="KKQ5" s="484"/>
      <c r="KKR5" s="484"/>
      <c r="KKS5" s="484"/>
      <c r="KKT5" s="484"/>
      <c r="KKU5" s="484"/>
      <c r="KKV5" s="484"/>
      <c r="KKW5" s="484"/>
      <c r="KKX5" s="484"/>
      <c r="KKY5" s="484"/>
      <c r="KKZ5" s="484"/>
      <c r="KLA5" s="484"/>
      <c r="KLB5" s="484"/>
      <c r="KLC5" s="484"/>
      <c r="KLD5" s="484"/>
      <c r="KLE5" s="484"/>
      <c r="KLF5" s="484"/>
      <c r="KLG5" s="484"/>
      <c r="KLH5" s="484"/>
      <c r="KLI5" s="484"/>
      <c r="KLJ5" s="484"/>
      <c r="KLK5" s="484"/>
      <c r="KLL5" s="484"/>
      <c r="KLM5" s="484"/>
      <c r="KLN5" s="484"/>
      <c r="KLO5" s="484"/>
      <c r="KLP5" s="484"/>
      <c r="KLQ5" s="484"/>
      <c r="KLR5" s="484"/>
      <c r="KLS5" s="484"/>
      <c r="KLT5" s="484"/>
      <c r="KLU5" s="484"/>
      <c r="KLV5" s="484"/>
      <c r="KLW5" s="484"/>
      <c r="KLX5" s="484"/>
      <c r="KLY5" s="484"/>
      <c r="KLZ5" s="484"/>
      <c r="KMA5" s="484"/>
      <c r="KMB5" s="484"/>
      <c r="KMC5" s="484"/>
      <c r="KMD5" s="484"/>
      <c r="KME5" s="484"/>
      <c r="KMF5" s="484"/>
      <c r="KMG5" s="484"/>
      <c r="KMH5" s="484"/>
      <c r="KMI5" s="484"/>
      <c r="KMJ5" s="484"/>
      <c r="KMK5" s="484"/>
      <c r="KML5" s="484"/>
      <c r="KMM5" s="484"/>
      <c r="KMN5" s="484"/>
      <c r="KMO5" s="484"/>
      <c r="KMP5" s="484"/>
      <c r="KMQ5" s="484"/>
      <c r="KMR5" s="484"/>
      <c r="KMS5" s="484"/>
      <c r="KMT5" s="484"/>
      <c r="KMU5" s="484"/>
      <c r="KMV5" s="484"/>
      <c r="KMW5" s="484"/>
      <c r="KMX5" s="484"/>
      <c r="KMY5" s="484"/>
      <c r="KMZ5" s="484"/>
      <c r="KNA5" s="484"/>
      <c r="KNB5" s="484"/>
      <c r="KNC5" s="484"/>
      <c r="KND5" s="484"/>
      <c r="KNE5" s="484"/>
      <c r="KNF5" s="484"/>
      <c r="KNG5" s="484"/>
      <c r="KNH5" s="484"/>
      <c r="KNI5" s="484"/>
      <c r="KNJ5" s="484"/>
      <c r="KNK5" s="484"/>
      <c r="KNL5" s="484"/>
      <c r="KNM5" s="484"/>
      <c r="KNN5" s="484"/>
      <c r="KNO5" s="484"/>
      <c r="KNP5" s="484"/>
      <c r="KNQ5" s="484"/>
      <c r="KNR5" s="484"/>
      <c r="KNS5" s="484"/>
      <c r="KNT5" s="484"/>
      <c r="KNU5" s="484"/>
      <c r="KNV5" s="484"/>
      <c r="KNW5" s="484"/>
      <c r="KNX5" s="484"/>
      <c r="KNY5" s="484"/>
      <c r="KNZ5" s="484"/>
      <c r="KOA5" s="484"/>
      <c r="KOB5" s="484"/>
      <c r="KOC5" s="484"/>
      <c r="KOD5" s="484"/>
      <c r="KOE5" s="484"/>
      <c r="KOF5" s="484"/>
      <c r="KOG5" s="484"/>
      <c r="KOH5" s="484"/>
      <c r="KOI5" s="484"/>
      <c r="KOJ5" s="484"/>
      <c r="KOK5" s="484"/>
      <c r="KOL5" s="484"/>
      <c r="KOM5" s="484"/>
      <c r="KON5" s="484"/>
      <c r="KOO5" s="484"/>
      <c r="KOP5" s="484"/>
      <c r="KOQ5" s="484"/>
      <c r="KOR5" s="484"/>
      <c r="KOS5" s="484"/>
      <c r="KOT5" s="484"/>
      <c r="KOU5" s="484"/>
      <c r="KOV5" s="484"/>
      <c r="KOW5" s="484"/>
      <c r="KOX5" s="484"/>
      <c r="KOY5" s="484"/>
      <c r="KOZ5" s="484"/>
      <c r="KPA5" s="484"/>
      <c r="KPB5" s="484"/>
      <c r="KPC5" s="484"/>
      <c r="KPD5" s="484"/>
      <c r="KPE5" s="484"/>
      <c r="KPF5" s="484"/>
      <c r="KPG5" s="484"/>
      <c r="KPH5" s="484"/>
      <c r="KPI5" s="484"/>
      <c r="KPJ5" s="484"/>
      <c r="KPK5" s="484"/>
      <c r="KPL5" s="484"/>
      <c r="KPM5" s="484"/>
      <c r="KPN5" s="484"/>
      <c r="KPO5" s="484"/>
      <c r="KPP5" s="484"/>
      <c r="KPQ5" s="484"/>
      <c r="KPR5" s="484"/>
      <c r="KPS5" s="484"/>
      <c r="KPT5" s="484"/>
      <c r="KPU5" s="484"/>
      <c r="KPV5" s="484"/>
      <c r="KPW5" s="484"/>
      <c r="KPX5" s="484"/>
      <c r="KPY5" s="484"/>
      <c r="KPZ5" s="484"/>
      <c r="KQA5" s="484"/>
      <c r="KQB5" s="484"/>
      <c r="KQC5" s="484"/>
      <c r="KQD5" s="484"/>
      <c r="KQE5" s="484"/>
      <c r="KQF5" s="484"/>
      <c r="KQG5" s="484"/>
      <c r="KQH5" s="484"/>
      <c r="KQI5" s="484"/>
      <c r="KQJ5" s="484"/>
      <c r="KQK5" s="484"/>
      <c r="KQL5" s="484"/>
      <c r="KQM5" s="484"/>
      <c r="KQN5" s="484"/>
      <c r="KQO5" s="484"/>
      <c r="KQP5" s="484"/>
      <c r="KQQ5" s="484"/>
      <c r="KQR5" s="484"/>
      <c r="KQS5" s="484"/>
      <c r="KQT5" s="484"/>
      <c r="KQU5" s="484"/>
      <c r="KQV5" s="484"/>
      <c r="KQW5" s="484"/>
      <c r="KQX5" s="484"/>
      <c r="KQY5" s="484"/>
      <c r="KQZ5" s="484"/>
      <c r="KRA5" s="484"/>
      <c r="KRB5" s="484"/>
      <c r="KRC5" s="484"/>
      <c r="KRD5" s="484"/>
      <c r="KRE5" s="484"/>
      <c r="KRF5" s="484"/>
      <c r="KRG5" s="484"/>
      <c r="KRH5" s="484"/>
      <c r="KRI5" s="484"/>
      <c r="KRJ5" s="484"/>
      <c r="KRK5" s="484"/>
      <c r="KRL5" s="484"/>
      <c r="KRM5" s="484"/>
      <c r="KRN5" s="484"/>
      <c r="KRO5" s="484"/>
      <c r="KRP5" s="484"/>
      <c r="KRQ5" s="484"/>
      <c r="KRR5" s="484"/>
      <c r="KRS5" s="484"/>
      <c r="KRT5" s="484"/>
      <c r="KRU5" s="484"/>
      <c r="KRV5" s="484"/>
      <c r="KRW5" s="484"/>
      <c r="KRX5" s="484"/>
      <c r="KRY5" s="484"/>
      <c r="KRZ5" s="484"/>
      <c r="KSA5" s="484"/>
      <c r="KSB5" s="484"/>
      <c r="KSC5" s="484"/>
      <c r="KSD5" s="484"/>
      <c r="KSE5" s="484"/>
      <c r="KSF5" s="484"/>
      <c r="KSG5" s="484"/>
      <c r="KSH5" s="484"/>
      <c r="KSI5" s="484"/>
      <c r="KSJ5" s="484"/>
      <c r="KSK5" s="484"/>
      <c r="KSL5" s="484"/>
      <c r="KSM5" s="484"/>
      <c r="KSN5" s="484"/>
      <c r="KSO5" s="484"/>
      <c r="KSP5" s="484"/>
      <c r="KSQ5" s="484"/>
      <c r="KSR5" s="484"/>
      <c r="KSS5" s="484"/>
      <c r="KST5" s="484"/>
      <c r="KSU5" s="484"/>
      <c r="KSV5" s="484"/>
      <c r="KSW5" s="484"/>
      <c r="KSX5" s="484"/>
      <c r="KSY5" s="484"/>
      <c r="KSZ5" s="484"/>
      <c r="KTA5" s="484"/>
      <c r="KTB5" s="484"/>
      <c r="KTC5" s="484"/>
      <c r="KTD5" s="484"/>
      <c r="KTE5" s="484"/>
      <c r="KTF5" s="484"/>
      <c r="KTG5" s="484"/>
      <c r="KTH5" s="484"/>
      <c r="KTI5" s="484"/>
      <c r="KTJ5" s="484"/>
      <c r="KTK5" s="484"/>
      <c r="KTL5" s="484"/>
      <c r="KTM5" s="484"/>
      <c r="KTN5" s="484"/>
      <c r="KTO5" s="484"/>
      <c r="KTP5" s="484"/>
      <c r="KTQ5" s="484"/>
      <c r="KTR5" s="484"/>
      <c r="KTS5" s="484"/>
      <c r="KTT5" s="484"/>
      <c r="KTU5" s="484"/>
      <c r="KTV5" s="484"/>
      <c r="KTW5" s="484"/>
      <c r="KTX5" s="484"/>
      <c r="KTY5" s="484"/>
      <c r="KTZ5" s="484"/>
      <c r="KUA5" s="484"/>
      <c r="KUB5" s="484"/>
      <c r="KUC5" s="484"/>
      <c r="KUD5" s="484"/>
      <c r="KUE5" s="484"/>
      <c r="KUF5" s="484"/>
      <c r="KUG5" s="484"/>
      <c r="KUH5" s="484"/>
      <c r="KUI5" s="484"/>
      <c r="KUJ5" s="484"/>
      <c r="KUK5" s="484"/>
      <c r="KUL5" s="484"/>
      <c r="KUM5" s="484"/>
      <c r="KUN5" s="484"/>
      <c r="KUO5" s="484"/>
      <c r="KUP5" s="484"/>
      <c r="KUQ5" s="484"/>
      <c r="KUR5" s="484"/>
      <c r="KUS5" s="484"/>
      <c r="KUT5" s="484"/>
      <c r="KUU5" s="484"/>
      <c r="KUV5" s="484"/>
      <c r="KUW5" s="484"/>
      <c r="KUX5" s="484"/>
      <c r="KUY5" s="484"/>
      <c r="KUZ5" s="484"/>
      <c r="KVA5" s="484"/>
      <c r="KVB5" s="484"/>
      <c r="KVC5" s="484"/>
      <c r="KVD5" s="484"/>
      <c r="KVE5" s="484"/>
      <c r="KVF5" s="484"/>
      <c r="KVG5" s="484"/>
      <c r="KVH5" s="484"/>
      <c r="KVI5" s="484"/>
      <c r="KVJ5" s="484"/>
      <c r="KVK5" s="484"/>
      <c r="KVL5" s="484"/>
      <c r="KVM5" s="484"/>
      <c r="KVN5" s="484"/>
      <c r="KVO5" s="484"/>
      <c r="KVP5" s="484"/>
      <c r="KVQ5" s="484"/>
      <c r="KVR5" s="484"/>
      <c r="KVS5" s="484"/>
      <c r="KVT5" s="484"/>
      <c r="KVU5" s="484"/>
      <c r="KVV5" s="484"/>
      <c r="KVW5" s="484"/>
      <c r="KVX5" s="484"/>
      <c r="KVY5" s="484"/>
      <c r="KVZ5" s="484"/>
      <c r="KWA5" s="484"/>
      <c r="KWB5" s="484"/>
      <c r="KWC5" s="484"/>
      <c r="KWD5" s="484"/>
      <c r="KWE5" s="484"/>
      <c r="KWF5" s="484"/>
      <c r="KWG5" s="484"/>
      <c r="KWH5" s="484"/>
      <c r="KWI5" s="484"/>
      <c r="KWJ5" s="484"/>
      <c r="KWK5" s="484"/>
      <c r="KWL5" s="484"/>
      <c r="KWM5" s="484"/>
      <c r="KWN5" s="484"/>
      <c r="KWO5" s="484"/>
      <c r="KWP5" s="484"/>
      <c r="KWQ5" s="484"/>
      <c r="KWR5" s="484"/>
      <c r="KWS5" s="484"/>
      <c r="KWT5" s="484"/>
      <c r="KWU5" s="484"/>
      <c r="KWV5" s="484"/>
      <c r="KWW5" s="484"/>
      <c r="KWX5" s="484"/>
      <c r="KWY5" s="484"/>
      <c r="KWZ5" s="484"/>
      <c r="KXA5" s="484"/>
      <c r="KXB5" s="484"/>
      <c r="KXC5" s="484"/>
      <c r="KXD5" s="484"/>
      <c r="KXE5" s="484"/>
      <c r="KXF5" s="484"/>
      <c r="KXG5" s="484"/>
      <c r="KXH5" s="484"/>
      <c r="KXI5" s="484"/>
      <c r="KXJ5" s="484"/>
      <c r="KXK5" s="484"/>
      <c r="KXL5" s="484"/>
      <c r="KXM5" s="484"/>
      <c r="KXN5" s="484"/>
      <c r="KXO5" s="484"/>
      <c r="KXP5" s="484"/>
      <c r="KXQ5" s="484"/>
      <c r="KXR5" s="484"/>
      <c r="KXS5" s="484"/>
      <c r="KXT5" s="484"/>
      <c r="KXU5" s="484"/>
      <c r="KXV5" s="484"/>
      <c r="KXW5" s="484"/>
      <c r="KXX5" s="484"/>
      <c r="KXY5" s="484"/>
      <c r="KXZ5" s="484"/>
      <c r="KYA5" s="484"/>
      <c r="KYB5" s="484"/>
      <c r="KYC5" s="484"/>
      <c r="KYD5" s="484"/>
      <c r="KYE5" s="484"/>
      <c r="KYF5" s="484"/>
      <c r="KYG5" s="484"/>
      <c r="KYH5" s="484"/>
      <c r="KYI5" s="484"/>
      <c r="KYJ5" s="484"/>
      <c r="KYK5" s="484"/>
      <c r="KYL5" s="484"/>
      <c r="KYM5" s="484"/>
      <c r="KYN5" s="484"/>
      <c r="KYO5" s="484"/>
      <c r="KYP5" s="484"/>
      <c r="KYQ5" s="484"/>
      <c r="KYR5" s="484"/>
      <c r="KYS5" s="484"/>
      <c r="KYT5" s="484"/>
      <c r="KYU5" s="484"/>
      <c r="KYV5" s="484"/>
      <c r="KYW5" s="484"/>
      <c r="KYX5" s="484"/>
      <c r="KYY5" s="484"/>
      <c r="KYZ5" s="484"/>
      <c r="KZA5" s="484"/>
      <c r="KZB5" s="484"/>
      <c r="KZC5" s="484"/>
      <c r="KZD5" s="484"/>
      <c r="KZE5" s="484"/>
      <c r="KZF5" s="484"/>
      <c r="KZG5" s="484"/>
      <c r="KZH5" s="484"/>
      <c r="KZI5" s="484"/>
      <c r="KZJ5" s="484"/>
      <c r="KZK5" s="484"/>
      <c r="KZL5" s="484"/>
      <c r="KZM5" s="484"/>
      <c r="KZN5" s="484"/>
      <c r="KZO5" s="484"/>
      <c r="KZP5" s="484"/>
      <c r="KZQ5" s="484"/>
      <c r="KZR5" s="484"/>
      <c r="KZS5" s="484"/>
      <c r="KZT5" s="484"/>
      <c r="KZU5" s="484"/>
      <c r="KZV5" s="484"/>
      <c r="KZW5" s="484"/>
      <c r="KZX5" s="484"/>
      <c r="KZY5" s="484"/>
      <c r="KZZ5" s="484"/>
      <c r="LAA5" s="484"/>
      <c r="LAB5" s="484"/>
      <c r="LAC5" s="484"/>
      <c r="LAD5" s="484"/>
      <c r="LAE5" s="484"/>
      <c r="LAF5" s="484"/>
      <c r="LAG5" s="484"/>
      <c r="LAH5" s="484"/>
      <c r="LAI5" s="484"/>
      <c r="LAJ5" s="484"/>
      <c r="LAK5" s="484"/>
      <c r="LAL5" s="484"/>
      <c r="LAM5" s="484"/>
      <c r="LAN5" s="484"/>
      <c r="LAO5" s="484"/>
      <c r="LAP5" s="484"/>
      <c r="LAQ5" s="484"/>
      <c r="LAR5" s="484"/>
      <c r="LAS5" s="484"/>
      <c r="LAT5" s="484"/>
      <c r="LAU5" s="484"/>
      <c r="LAV5" s="484"/>
      <c r="LAW5" s="484"/>
      <c r="LAX5" s="484"/>
      <c r="LAY5" s="484"/>
      <c r="LAZ5" s="484"/>
      <c r="LBA5" s="484"/>
      <c r="LBB5" s="484"/>
      <c r="LBC5" s="484"/>
      <c r="LBD5" s="484"/>
      <c r="LBE5" s="484"/>
      <c r="LBF5" s="484"/>
      <c r="LBG5" s="484"/>
      <c r="LBH5" s="484"/>
      <c r="LBI5" s="484"/>
      <c r="LBJ5" s="484"/>
      <c r="LBK5" s="484"/>
      <c r="LBL5" s="484"/>
      <c r="LBM5" s="484"/>
      <c r="LBN5" s="484"/>
      <c r="LBO5" s="484"/>
      <c r="LBP5" s="484"/>
      <c r="LBQ5" s="484"/>
      <c r="LBR5" s="484"/>
      <c r="LBS5" s="484"/>
      <c r="LBT5" s="484"/>
      <c r="LBU5" s="484"/>
      <c r="LBV5" s="484"/>
      <c r="LBW5" s="484"/>
      <c r="LBX5" s="484"/>
      <c r="LBY5" s="484"/>
      <c r="LBZ5" s="484"/>
      <c r="LCA5" s="484"/>
      <c r="LCB5" s="484"/>
      <c r="LCC5" s="484"/>
      <c r="LCD5" s="484"/>
      <c r="LCE5" s="484"/>
      <c r="LCF5" s="484"/>
      <c r="LCG5" s="484"/>
      <c r="LCH5" s="484"/>
      <c r="LCI5" s="484"/>
      <c r="LCJ5" s="484"/>
      <c r="LCK5" s="484"/>
      <c r="LCL5" s="484"/>
      <c r="LCM5" s="484"/>
      <c r="LCN5" s="484"/>
      <c r="LCO5" s="484"/>
      <c r="LCP5" s="484"/>
      <c r="LCQ5" s="484"/>
      <c r="LCR5" s="484"/>
      <c r="LCS5" s="484"/>
      <c r="LCT5" s="484"/>
      <c r="LCU5" s="484"/>
      <c r="LCV5" s="484"/>
      <c r="LCW5" s="484"/>
      <c r="LCX5" s="484"/>
      <c r="LCY5" s="484"/>
      <c r="LCZ5" s="484"/>
      <c r="LDA5" s="484"/>
      <c r="LDB5" s="484"/>
      <c r="LDC5" s="484"/>
      <c r="LDD5" s="484"/>
      <c r="LDE5" s="484"/>
      <c r="LDF5" s="484"/>
      <c r="LDG5" s="484"/>
      <c r="LDH5" s="484"/>
      <c r="LDI5" s="484"/>
      <c r="LDJ5" s="484"/>
      <c r="LDK5" s="484"/>
      <c r="LDL5" s="484"/>
      <c r="LDM5" s="484"/>
      <c r="LDN5" s="484"/>
      <c r="LDO5" s="484"/>
      <c r="LDP5" s="484"/>
      <c r="LDQ5" s="484"/>
      <c r="LDR5" s="484"/>
      <c r="LDS5" s="484"/>
      <c r="LDT5" s="484"/>
      <c r="LDU5" s="484"/>
      <c r="LDV5" s="484"/>
      <c r="LDW5" s="484"/>
      <c r="LDX5" s="484"/>
      <c r="LDY5" s="484"/>
      <c r="LDZ5" s="484"/>
      <c r="LEA5" s="484"/>
      <c r="LEB5" s="484"/>
      <c r="LEC5" s="484"/>
      <c r="LED5" s="484"/>
      <c r="LEE5" s="484"/>
      <c r="LEF5" s="484"/>
      <c r="LEG5" s="484"/>
      <c r="LEH5" s="484"/>
      <c r="LEI5" s="484"/>
      <c r="LEJ5" s="484"/>
      <c r="LEK5" s="484"/>
      <c r="LEL5" s="484"/>
      <c r="LEM5" s="484"/>
      <c r="LEN5" s="484"/>
      <c r="LEO5" s="484"/>
      <c r="LEP5" s="484"/>
      <c r="LEQ5" s="484"/>
      <c r="LER5" s="484"/>
      <c r="LES5" s="484"/>
      <c r="LET5" s="484"/>
      <c r="LEU5" s="484"/>
      <c r="LEV5" s="484"/>
      <c r="LEW5" s="484"/>
      <c r="LEX5" s="484"/>
      <c r="LEY5" s="484"/>
      <c r="LEZ5" s="484"/>
      <c r="LFA5" s="484"/>
      <c r="LFB5" s="484"/>
      <c r="LFC5" s="484"/>
      <c r="LFD5" s="484"/>
      <c r="LFE5" s="484"/>
      <c r="LFF5" s="484"/>
      <c r="LFG5" s="484"/>
      <c r="LFH5" s="484"/>
      <c r="LFI5" s="484"/>
      <c r="LFJ5" s="484"/>
      <c r="LFK5" s="484"/>
      <c r="LFL5" s="484"/>
      <c r="LFM5" s="484"/>
      <c r="LFN5" s="484"/>
      <c r="LFO5" s="484"/>
      <c r="LFP5" s="484"/>
      <c r="LFQ5" s="484"/>
      <c r="LFR5" s="484"/>
      <c r="LFS5" s="484"/>
      <c r="LFT5" s="484"/>
      <c r="LFU5" s="484"/>
      <c r="LFV5" s="484"/>
      <c r="LFW5" s="484"/>
      <c r="LFX5" s="484"/>
      <c r="LFY5" s="484"/>
      <c r="LFZ5" s="484"/>
      <c r="LGA5" s="484"/>
      <c r="LGB5" s="484"/>
      <c r="LGC5" s="484"/>
      <c r="LGD5" s="484"/>
      <c r="LGE5" s="484"/>
      <c r="LGF5" s="484"/>
      <c r="LGG5" s="484"/>
      <c r="LGH5" s="484"/>
      <c r="LGI5" s="484"/>
      <c r="LGJ5" s="484"/>
      <c r="LGK5" s="484"/>
      <c r="LGL5" s="484"/>
      <c r="LGM5" s="484"/>
      <c r="LGN5" s="484"/>
      <c r="LGO5" s="484"/>
      <c r="LGP5" s="484"/>
      <c r="LGQ5" s="484"/>
      <c r="LGR5" s="484"/>
      <c r="LGS5" s="484"/>
      <c r="LGT5" s="484"/>
      <c r="LGU5" s="484"/>
      <c r="LGV5" s="484"/>
      <c r="LGW5" s="484"/>
      <c r="LGX5" s="484"/>
      <c r="LGY5" s="484"/>
      <c r="LGZ5" s="484"/>
      <c r="LHA5" s="484"/>
      <c r="LHB5" s="484"/>
      <c r="LHC5" s="484"/>
      <c r="LHD5" s="484"/>
      <c r="LHE5" s="484"/>
      <c r="LHF5" s="484"/>
      <c r="LHG5" s="484"/>
      <c r="LHH5" s="484"/>
      <c r="LHI5" s="484"/>
      <c r="LHJ5" s="484"/>
      <c r="LHK5" s="484"/>
      <c r="LHL5" s="484"/>
      <c r="LHM5" s="484"/>
      <c r="LHN5" s="484"/>
      <c r="LHO5" s="484"/>
      <c r="LHP5" s="484"/>
      <c r="LHQ5" s="484"/>
      <c r="LHR5" s="484"/>
      <c r="LHS5" s="484"/>
      <c r="LHT5" s="484"/>
      <c r="LHU5" s="484"/>
      <c r="LHV5" s="484"/>
      <c r="LHW5" s="484"/>
      <c r="LHX5" s="484"/>
      <c r="LHY5" s="484"/>
      <c r="LHZ5" s="484"/>
      <c r="LIA5" s="484"/>
      <c r="LIB5" s="484"/>
      <c r="LIC5" s="484"/>
      <c r="LID5" s="484"/>
      <c r="LIE5" s="484"/>
      <c r="LIF5" s="484"/>
      <c r="LIG5" s="484"/>
      <c r="LIH5" s="484"/>
      <c r="LII5" s="484"/>
      <c r="LIJ5" s="484"/>
      <c r="LIK5" s="484"/>
      <c r="LIL5" s="484"/>
      <c r="LIM5" s="484"/>
      <c r="LIN5" s="484"/>
      <c r="LIO5" s="484"/>
      <c r="LIP5" s="484"/>
      <c r="LIQ5" s="484"/>
      <c r="LIR5" s="484"/>
      <c r="LIS5" s="484"/>
      <c r="LIT5" s="484"/>
      <c r="LIU5" s="484"/>
      <c r="LIV5" s="484"/>
      <c r="LIW5" s="484"/>
      <c r="LIX5" s="484"/>
      <c r="LIY5" s="484"/>
      <c r="LIZ5" s="484"/>
      <c r="LJA5" s="484"/>
      <c r="LJB5" s="484"/>
      <c r="LJC5" s="484"/>
      <c r="LJD5" s="484"/>
      <c r="LJE5" s="484"/>
      <c r="LJF5" s="484"/>
      <c r="LJG5" s="484"/>
      <c r="LJH5" s="484"/>
      <c r="LJI5" s="484"/>
      <c r="LJJ5" s="484"/>
      <c r="LJK5" s="484"/>
      <c r="LJL5" s="484"/>
      <c r="LJM5" s="484"/>
      <c r="LJN5" s="484"/>
      <c r="LJO5" s="484"/>
      <c r="LJP5" s="484"/>
      <c r="LJQ5" s="484"/>
      <c r="LJR5" s="484"/>
      <c r="LJS5" s="484"/>
      <c r="LJT5" s="484"/>
      <c r="LJU5" s="484"/>
      <c r="LJV5" s="484"/>
      <c r="LJW5" s="484"/>
      <c r="LJX5" s="484"/>
      <c r="LJY5" s="484"/>
      <c r="LJZ5" s="484"/>
      <c r="LKA5" s="484"/>
      <c r="LKB5" s="484"/>
      <c r="LKC5" s="484"/>
      <c r="LKD5" s="484"/>
      <c r="LKE5" s="484"/>
      <c r="LKF5" s="484"/>
      <c r="LKG5" s="484"/>
      <c r="LKH5" s="484"/>
      <c r="LKI5" s="484"/>
      <c r="LKJ5" s="484"/>
      <c r="LKK5" s="484"/>
      <c r="LKL5" s="484"/>
      <c r="LKM5" s="484"/>
      <c r="LKN5" s="484"/>
      <c r="LKO5" s="484"/>
      <c r="LKP5" s="484"/>
      <c r="LKQ5" s="484"/>
      <c r="LKR5" s="484"/>
      <c r="LKS5" s="484"/>
      <c r="LKT5" s="484"/>
      <c r="LKU5" s="484"/>
      <c r="LKV5" s="484"/>
      <c r="LKW5" s="484"/>
      <c r="LKX5" s="484"/>
      <c r="LKY5" s="484"/>
      <c r="LKZ5" s="484"/>
      <c r="LLA5" s="484"/>
      <c r="LLB5" s="484"/>
      <c r="LLC5" s="484"/>
      <c r="LLD5" s="484"/>
      <c r="LLE5" s="484"/>
      <c r="LLF5" s="484"/>
      <c r="LLG5" s="484"/>
      <c r="LLH5" s="484"/>
      <c r="LLI5" s="484"/>
      <c r="LLJ5" s="484"/>
      <c r="LLK5" s="484"/>
      <c r="LLL5" s="484"/>
      <c r="LLM5" s="484"/>
      <c r="LLN5" s="484"/>
      <c r="LLO5" s="484"/>
      <c r="LLP5" s="484"/>
      <c r="LLQ5" s="484"/>
      <c r="LLR5" s="484"/>
      <c r="LLS5" s="484"/>
      <c r="LLT5" s="484"/>
      <c r="LLU5" s="484"/>
      <c r="LLV5" s="484"/>
      <c r="LLW5" s="484"/>
      <c r="LLX5" s="484"/>
      <c r="LLY5" s="484"/>
      <c r="LLZ5" s="484"/>
      <c r="LMA5" s="484"/>
      <c r="LMB5" s="484"/>
      <c r="LMC5" s="484"/>
      <c r="LMD5" s="484"/>
      <c r="LME5" s="484"/>
      <c r="LMF5" s="484"/>
      <c r="LMG5" s="484"/>
      <c r="LMH5" s="484"/>
      <c r="LMI5" s="484"/>
      <c r="LMJ5" s="484"/>
      <c r="LMK5" s="484"/>
      <c r="LML5" s="484"/>
      <c r="LMM5" s="484"/>
      <c r="LMN5" s="484"/>
      <c r="LMO5" s="484"/>
      <c r="LMP5" s="484"/>
      <c r="LMQ5" s="484"/>
      <c r="LMR5" s="484"/>
      <c r="LMS5" s="484"/>
      <c r="LMT5" s="484"/>
      <c r="LMU5" s="484"/>
      <c r="LMV5" s="484"/>
      <c r="LMW5" s="484"/>
      <c r="LMX5" s="484"/>
      <c r="LMY5" s="484"/>
      <c r="LMZ5" s="484"/>
      <c r="LNA5" s="484"/>
      <c r="LNB5" s="484"/>
      <c r="LNC5" s="484"/>
      <c r="LND5" s="484"/>
      <c r="LNE5" s="484"/>
      <c r="LNF5" s="484"/>
      <c r="LNG5" s="484"/>
      <c r="LNH5" s="484"/>
      <c r="LNI5" s="484"/>
      <c r="LNJ5" s="484"/>
      <c r="LNK5" s="484"/>
      <c r="LNL5" s="484"/>
      <c r="LNM5" s="484"/>
      <c r="LNN5" s="484"/>
      <c r="LNO5" s="484"/>
      <c r="LNP5" s="484"/>
      <c r="LNQ5" s="484"/>
      <c r="LNR5" s="484"/>
      <c r="LNS5" s="484"/>
      <c r="LNT5" s="484"/>
      <c r="LNU5" s="484"/>
      <c r="LNV5" s="484"/>
      <c r="LNW5" s="484"/>
      <c r="LNX5" s="484"/>
      <c r="LNY5" s="484"/>
      <c r="LNZ5" s="484"/>
      <c r="LOA5" s="484"/>
      <c r="LOB5" s="484"/>
      <c r="LOC5" s="484"/>
      <c r="LOD5" s="484"/>
      <c r="LOE5" s="484"/>
      <c r="LOF5" s="484"/>
      <c r="LOG5" s="484"/>
      <c r="LOH5" s="484"/>
      <c r="LOI5" s="484"/>
      <c r="LOJ5" s="484"/>
      <c r="LOK5" s="484"/>
      <c r="LOL5" s="484"/>
      <c r="LOM5" s="484"/>
      <c r="LON5" s="484"/>
      <c r="LOO5" s="484"/>
      <c r="LOP5" s="484"/>
      <c r="LOQ5" s="484"/>
      <c r="LOR5" s="484"/>
      <c r="LOS5" s="484"/>
      <c r="LOT5" s="484"/>
      <c r="LOU5" s="484"/>
      <c r="LOV5" s="484"/>
      <c r="LOW5" s="484"/>
      <c r="LOX5" s="484"/>
      <c r="LOY5" s="484"/>
      <c r="LOZ5" s="484"/>
      <c r="LPA5" s="484"/>
      <c r="LPB5" s="484"/>
      <c r="LPC5" s="484"/>
      <c r="LPD5" s="484"/>
      <c r="LPE5" s="484"/>
      <c r="LPF5" s="484"/>
      <c r="LPG5" s="484"/>
      <c r="LPH5" s="484"/>
      <c r="LPI5" s="484"/>
      <c r="LPJ5" s="484"/>
      <c r="LPK5" s="484"/>
      <c r="LPL5" s="484"/>
      <c r="LPM5" s="484"/>
      <c r="LPN5" s="484"/>
      <c r="LPO5" s="484"/>
      <c r="LPP5" s="484"/>
      <c r="LPQ5" s="484"/>
      <c r="LPR5" s="484"/>
      <c r="LPS5" s="484"/>
      <c r="LPT5" s="484"/>
      <c r="LPU5" s="484"/>
      <c r="LPV5" s="484"/>
      <c r="LPW5" s="484"/>
      <c r="LPX5" s="484"/>
      <c r="LPY5" s="484"/>
      <c r="LPZ5" s="484"/>
      <c r="LQA5" s="484"/>
      <c r="LQB5" s="484"/>
      <c r="LQC5" s="484"/>
      <c r="LQD5" s="484"/>
      <c r="LQE5" s="484"/>
      <c r="LQF5" s="484"/>
      <c r="LQG5" s="484"/>
      <c r="LQH5" s="484"/>
      <c r="LQI5" s="484"/>
      <c r="LQJ5" s="484"/>
      <c r="LQK5" s="484"/>
      <c r="LQL5" s="484"/>
      <c r="LQM5" s="484"/>
      <c r="LQN5" s="484"/>
      <c r="LQO5" s="484"/>
      <c r="LQP5" s="484"/>
      <c r="LQQ5" s="484"/>
      <c r="LQR5" s="484"/>
      <c r="LQS5" s="484"/>
      <c r="LQT5" s="484"/>
      <c r="LQU5" s="484"/>
      <c r="LQV5" s="484"/>
      <c r="LQW5" s="484"/>
      <c r="LQX5" s="484"/>
      <c r="LQY5" s="484"/>
      <c r="LQZ5" s="484"/>
      <c r="LRA5" s="484"/>
      <c r="LRB5" s="484"/>
      <c r="LRC5" s="484"/>
      <c r="LRD5" s="484"/>
      <c r="LRE5" s="484"/>
      <c r="LRF5" s="484"/>
      <c r="LRG5" s="484"/>
      <c r="LRH5" s="484"/>
      <c r="LRI5" s="484"/>
      <c r="LRJ5" s="484"/>
      <c r="LRK5" s="484"/>
      <c r="LRL5" s="484"/>
      <c r="LRM5" s="484"/>
      <c r="LRN5" s="484"/>
      <c r="LRO5" s="484"/>
      <c r="LRP5" s="484"/>
      <c r="LRQ5" s="484"/>
      <c r="LRR5" s="484"/>
      <c r="LRS5" s="484"/>
      <c r="LRT5" s="484"/>
      <c r="LRU5" s="484"/>
      <c r="LRV5" s="484"/>
      <c r="LRW5" s="484"/>
      <c r="LRX5" s="484"/>
      <c r="LRY5" s="484"/>
      <c r="LRZ5" s="484"/>
      <c r="LSA5" s="484"/>
      <c r="LSB5" s="484"/>
      <c r="LSC5" s="484"/>
      <c r="LSD5" s="484"/>
      <c r="LSE5" s="484"/>
      <c r="LSF5" s="484"/>
      <c r="LSG5" s="484"/>
      <c r="LSH5" s="484"/>
      <c r="LSI5" s="484"/>
      <c r="LSJ5" s="484"/>
      <c r="LSK5" s="484"/>
      <c r="LSL5" s="484"/>
      <c r="LSM5" s="484"/>
      <c r="LSN5" s="484"/>
      <c r="LSO5" s="484"/>
      <c r="LSP5" s="484"/>
      <c r="LSQ5" s="484"/>
      <c r="LSR5" s="484"/>
      <c r="LSS5" s="484"/>
      <c r="LST5" s="484"/>
      <c r="LSU5" s="484"/>
      <c r="LSV5" s="484"/>
      <c r="LSW5" s="484"/>
      <c r="LSX5" s="484"/>
      <c r="LSY5" s="484"/>
      <c r="LSZ5" s="484"/>
      <c r="LTA5" s="484"/>
      <c r="LTB5" s="484"/>
      <c r="LTC5" s="484"/>
      <c r="LTD5" s="484"/>
      <c r="LTE5" s="484"/>
      <c r="LTF5" s="484"/>
      <c r="LTG5" s="484"/>
      <c r="LTH5" s="484"/>
      <c r="LTI5" s="484"/>
      <c r="LTJ5" s="484"/>
      <c r="LTK5" s="484"/>
      <c r="LTL5" s="484"/>
      <c r="LTM5" s="484"/>
      <c r="LTN5" s="484"/>
      <c r="LTO5" s="484"/>
      <c r="LTP5" s="484"/>
      <c r="LTQ5" s="484"/>
      <c r="LTR5" s="484"/>
      <c r="LTS5" s="484"/>
      <c r="LTT5" s="484"/>
      <c r="LTU5" s="484"/>
      <c r="LTV5" s="484"/>
      <c r="LTW5" s="484"/>
      <c r="LTX5" s="484"/>
      <c r="LTY5" s="484"/>
      <c r="LTZ5" s="484"/>
      <c r="LUA5" s="484"/>
      <c r="LUB5" s="484"/>
      <c r="LUC5" s="484"/>
      <c r="LUD5" s="484"/>
      <c r="LUE5" s="484"/>
      <c r="LUF5" s="484"/>
      <c r="LUG5" s="484"/>
      <c r="LUH5" s="484"/>
      <c r="LUI5" s="484"/>
      <c r="LUJ5" s="484"/>
      <c r="LUK5" s="484"/>
      <c r="LUL5" s="484"/>
      <c r="LUM5" s="484"/>
      <c r="LUN5" s="484"/>
      <c r="LUO5" s="484"/>
      <c r="LUP5" s="484"/>
      <c r="LUQ5" s="484"/>
      <c r="LUR5" s="484"/>
      <c r="LUS5" s="484"/>
      <c r="LUT5" s="484"/>
      <c r="LUU5" s="484"/>
      <c r="LUV5" s="484"/>
      <c r="LUW5" s="484"/>
      <c r="LUX5" s="484"/>
      <c r="LUY5" s="484"/>
      <c r="LUZ5" s="484"/>
      <c r="LVA5" s="484"/>
      <c r="LVB5" s="484"/>
      <c r="LVC5" s="484"/>
      <c r="LVD5" s="484"/>
      <c r="LVE5" s="484"/>
      <c r="LVF5" s="484"/>
      <c r="LVG5" s="484"/>
      <c r="LVH5" s="484"/>
      <c r="LVI5" s="484"/>
      <c r="LVJ5" s="484"/>
      <c r="LVK5" s="484"/>
      <c r="LVL5" s="484"/>
      <c r="LVM5" s="484"/>
      <c r="LVN5" s="484"/>
      <c r="LVO5" s="484"/>
      <c r="LVP5" s="484"/>
      <c r="LVQ5" s="484"/>
      <c r="LVR5" s="484"/>
      <c r="LVS5" s="484"/>
      <c r="LVT5" s="484"/>
      <c r="LVU5" s="484"/>
      <c r="LVV5" s="484"/>
      <c r="LVW5" s="484"/>
      <c r="LVX5" s="484"/>
      <c r="LVY5" s="484"/>
      <c r="LVZ5" s="484"/>
      <c r="LWA5" s="484"/>
      <c r="LWB5" s="484"/>
      <c r="LWC5" s="484"/>
      <c r="LWD5" s="484"/>
      <c r="LWE5" s="484"/>
      <c r="LWF5" s="484"/>
      <c r="LWG5" s="484"/>
      <c r="LWH5" s="484"/>
      <c r="LWI5" s="484"/>
      <c r="LWJ5" s="484"/>
      <c r="LWK5" s="484"/>
      <c r="LWL5" s="484"/>
      <c r="LWM5" s="484"/>
      <c r="LWN5" s="484"/>
      <c r="LWO5" s="484"/>
      <c r="LWP5" s="484"/>
      <c r="LWQ5" s="484"/>
      <c r="LWR5" s="484"/>
      <c r="LWS5" s="484"/>
      <c r="LWT5" s="484"/>
      <c r="LWU5" s="484"/>
      <c r="LWV5" s="484"/>
      <c r="LWW5" s="484"/>
      <c r="LWX5" s="484"/>
      <c r="LWY5" s="484"/>
      <c r="LWZ5" s="484"/>
      <c r="LXA5" s="484"/>
      <c r="LXB5" s="484"/>
      <c r="LXC5" s="484"/>
      <c r="LXD5" s="484"/>
      <c r="LXE5" s="484"/>
      <c r="LXF5" s="484"/>
      <c r="LXG5" s="484"/>
      <c r="LXH5" s="484"/>
      <c r="LXI5" s="484"/>
      <c r="LXJ5" s="484"/>
      <c r="LXK5" s="484"/>
      <c r="LXL5" s="484"/>
      <c r="LXM5" s="484"/>
      <c r="LXN5" s="484"/>
      <c r="LXO5" s="484"/>
      <c r="LXP5" s="484"/>
      <c r="LXQ5" s="484"/>
      <c r="LXR5" s="484"/>
      <c r="LXS5" s="484"/>
      <c r="LXT5" s="484"/>
      <c r="LXU5" s="484"/>
      <c r="LXV5" s="484"/>
      <c r="LXW5" s="484"/>
      <c r="LXX5" s="484"/>
      <c r="LXY5" s="484"/>
      <c r="LXZ5" s="484"/>
      <c r="LYA5" s="484"/>
      <c r="LYB5" s="484"/>
      <c r="LYC5" s="484"/>
      <c r="LYD5" s="484"/>
      <c r="LYE5" s="484"/>
      <c r="LYF5" s="484"/>
      <c r="LYG5" s="484"/>
      <c r="LYH5" s="484"/>
      <c r="LYI5" s="484"/>
      <c r="LYJ5" s="484"/>
      <c r="LYK5" s="484"/>
      <c r="LYL5" s="484"/>
      <c r="LYM5" s="484"/>
      <c r="LYN5" s="484"/>
      <c r="LYO5" s="484"/>
      <c r="LYP5" s="484"/>
      <c r="LYQ5" s="484"/>
      <c r="LYR5" s="484"/>
      <c r="LYS5" s="484"/>
      <c r="LYT5" s="484"/>
      <c r="LYU5" s="484"/>
      <c r="LYV5" s="484"/>
      <c r="LYW5" s="484"/>
      <c r="LYX5" s="484"/>
      <c r="LYY5" s="484"/>
      <c r="LYZ5" s="484"/>
      <c r="LZA5" s="484"/>
      <c r="LZB5" s="484"/>
      <c r="LZC5" s="484"/>
      <c r="LZD5" s="484"/>
      <c r="LZE5" s="484"/>
      <c r="LZF5" s="484"/>
      <c r="LZG5" s="484"/>
      <c r="LZH5" s="484"/>
      <c r="LZI5" s="484"/>
      <c r="LZJ5" s="484"/>
      <c r="LZK5" s="484"/>
      <c r="LZL5" s="484"/>
      <c r="LZM5" s="484"/>
      <c r="LZN5" s="484"/>
      <c r="LZO5" s="484"/>
      <c r="LZP5" s="484"/>
      <c r="LZQ5" s="484"/>
      <c r="LZR5" s="484"/>
      <c r="LZS5" s="484"/>
      <c r="LZT5" s="484"/>
      <c r="LZU5" s="484"/>
      <c r="LZV5" s="484"/>
      <c r="LZW5" s="484"/>
      <c r="LZX5" s="484"/>
      <c r="LZY5" s="484"/>
      <c r="LZZ5" s="484"/>
      <c r="MAA5" s="484"/>
      <c r="MAB5" s="484"/>
      <c r="MAC5" s="484"/>
      <c r="MAD5" s="484"/>
      <c r="MAE5" s="484"/>
      <c r="MAF5" s="484"/>
      <c r="MAG5" s="484"/>
      <c r="MAH5" s="484"/>
      <c r="MAI5" s="484"/>
      <c r="MAJ5" s="484"/>
      <c r="MAK5" s="484"/>
      <c r="MAL5" s="484"/>
      <c r="MAM5" s="484"/>
      <c r="MAN5" s="484"/>
      <c r="MAO5" s="484"/>
      <c r="MAP5" s="484"/>
      <c r="MAQ5" s="484"/>
      <c r="MAR5" s="484"/>
      <c r="MAS5" s="484"/>
      <c r="MAT5" s="484"/>
      <c r="MAU5" s="484"/>
      <c r="MAV5" s="484"/>
      <c r="MAW5" s="484"/>
      <c r="MAX5" s="484"/>
      <c r="MAY5" s="484"/>
      <c r="MAZ5" s="484"/>
      <c r="MBA5" s="484"/>
      <c r="MBB5" s="484"/>
      <c r="MBC5" s="484"/>
      <c r="MBD5" s="484"/>
      <c r="MBE5" s="484"/>
      <c r="MBF5" s="484"/>
      <c r="MBG5" s="484"/>
      <c r="MBH5" s="484"/>
      <c r="MBI5" s="484"/>
      <c r="MBJ5" s="484"/>
      <c r="MBK5" s="484"/>
      <c r="MBL5" s="484"/>
      <c r="MBM5" s="484"/>
      <c r="MBN5" s="484"/>
      <c r="MBO5" s="484"/>
      <c r="MBP5" s="484"/>
      <c r="MBQ5" s="484"/>
      <c r="MBR5" s="484"/>
      <c r="MBS5" s="484"/>
      <c r="MBT5" s="484"/>
      <c r="MBU5" s="484"/>
      <c r="MBV5" s="484"/>
      <c r="MBW5" s="484"/>
      <c r="MBX5" s="484"/>
      <c r="MBY5" s="484"/>
      <c r="MBZ5" s="484"/>
      <c r="MCA5" s="484"/>
      <c r="MCB5" s="484"/>
      <c r="MCC5" s="484"/>
      <c r="MCD5" s="484"/>
      <c r="MCE5" s="484"/>
      <c r="MCF5" s="484"/>
      <c r="MCG5" s="484"/>
      <c r="MCH5" s="484"/>
      <c r="MCI5" s="484"/>
      <c r="MCJ5" s="484"/>
      <c r="MCK5" s="484"/>
      <c r="MCL5" s="484"/>
      <c r="MCM5" s="484"/>
      <c r="MCN5" s="484"/>
      <c r="MCO5" s="484"/>
      <c r="MCP5" s="484"/>
      <c r="MCQ5" s="484"/>
      <c r="MCR5" s="484"/>
      <c r="MCS5" s="484"/>
      <c r="MCT5" s="484"/>
      <c r="MCU5" s="484"/>
      <c r="MCV5" s="484"/>
      <c r="MCW5" s="484"/>
      <c r="MCX5" s="484"/>
      <c r="MCY5" s="484"/>
      <c r="MCZ5" s="484"/>
      <c r="MDA5" s="484"/>
      <c r="MDB5" s="484"/>
      <c r="MDC5" s="484"/>
      <c r="MDD5" s="484"/>
      <c r="MDE5" s="484"/>
      <c r="MDF5" s="484"/>
      <c r="MDG5" s="484"/>
      <c r="MDH5" s="484"/>
      <c r="MDI5" s="484"/>
      <c r="MDJ5" s="484"/>
      <c r="MDK5" s="484"/>
      <c r="MDL5" s="484"/>
      <c r="MDM5" s="484"/>
      <c r="MDN5" s="484"/>
      <c r="MDO5" s="484"/>
      <c r="MDP5" s="484"/>
      <c r="MDQ5" s="484"/>
      <c r="MDR5" s="484"/>
      <c r="MDS5" s="484"/>
      <c r="MDT5" s="484"/>
      <c r="MDU5" s="484"/>
      <c r="MDV5" s="484"/>
      <c r="MDW5" s="484"/>
      <c r="MDX5" s="484"/>
      <c r="MDY5" s="484"/>
      <c r="MDZ5" s="484"/>
      <c r="MEA5" s="484"/>
      <c r="MEB5" s="484"/>
      <c r="MEC5" s="484"/>
      <c r="MED5" s="484"/>
      <c r="MEE5" s="484"/>
      <c r="MEF5" s="484"/>
      <c r="MEG5" s="484"/>
      <c r="MEH5" s="484"/>
      <c r="MEI5" s="484"/>
      <c r="MEJ5" s="484"/>
      <c r="MEK5" s="484"/>
      <c r="MEL5" s="484"/>
      <c r="MEM5" s="484"/>
      <c r="MEN5" s="484"/>
      <c r="MEO5" s="484"/>
      <c r="MEP5" s="484"/>
      <c r="MEQ5" s="484"/>
      <c r="MER5" s="484"/>
      <c r="MES5" s="484"/>
      <c r="MET5" s="484"/>
      <c r="MEU5" s="484"/>
      <c r="MEV5" s="484"/>
      <c r="MEW5" s="484"/>
      <c r="MEX5" s="484"/>
      <c r="MEY5" s="484"/>
      <c r="MEZ5" s="484"/>
      <c r="MFA5" s="484"/>
      <c r="MFB5" s="484"/>
      <c r="MFC5" s="484"/>
      <c r="MFD5" s="484"/>
      <c r="MFE5" s="484"/>
      <c r="MFF5" s="484"/>
      <c r="MFG5" s="484"/>
      <c r="MFH5" s="484"/>
      <c r="MFI5" s="484"/>
      <c r="MFJ5" s="484"/>
      <c r="MFK5" s="484"/>
      <c r="MFL5" s="484"/>
      <c r="MFM5" s="484"/>
      <c r="MFN5" s="484"/>
      <c r="MFO5" s="484"/>
      <c r="MFP5" s="484"/>
      <c r="MFQ5" s="484"/>
      <c r="MFR5" s="484"/>
      <c r="MFS5" s="484"/>
      <c r="MFT5" s="484"/>
      <c r="MFU5" s="484"/>
      <c r="MFV5" s="484"/>
      <c r="MFW5" s="484"/>
      <c r="MFX5" s="484"/>
      <c r="MFY5" s="484"/>
      <c r="MFZ5" s="484"/>
      <c r="MGA5" s="484"/>
      <c r="MGB5" s="484"/>
      <c r="MGC5" s="484"/>
      <c r="MGD5" s="484"/>
      <c r="MGE5" s="484"/>
      <c r="MGF5" s="484"/>
      <c r="MGG5" s="484"/>
      <c r="MGH5" s="484"/>
      <c r="MGI5" s="484"/>
      <c r="MGJ5" s="484"/>
      <c r="MGK5" s="484"/>
      <c r="MGL5" s="484"/>
      <c r="MGM5" s="484"/>
      <c r="MGN5" s="484"/>
      <c r="MGO5" s="484"/>
      <c r="MGP5" s="484"/>
      <c r="MGQ5" s="484"/>
      <c r="MGR5" s="484"/>
      <c r="MGS5" s="484"/>
      <c r="MGT5" s="484"/>
      <c r="MGU5" s="484"/>
      <c r="MGV5" s="484"/>
      <c r="MGW5" s="484"/>
      <c r="MGX5" s="484"/>
      <c r="MGY5" s="484"/>
      <c r="MGZ5" s="484"/>
      <c r="MHA5" s="484"/>
      <c r="MHB5" s="484"/>
      <c r="MHC5" s="484"/>
      <c r="MHD5" s="484"/>
      <c r="MHE5" s="484"/>
      <c r="MHF5" s="484"/>
      <c r="MHG5" s="484"/>
      <c r="MHH5" s="484"/>
      <c r="MHI5" s="484"/>
      <c r="MHJ5" s="484"/>
      <c r="MHK5" s="484"/>
      <c r="MHL5" s="484"/>
      <c r="MHM5" s="484"/>
      <c r="MHN5" s="484"/>
      <c r="MHO5" s="484"/>
      <c r="MHP5" s="484"/>
      <c r="MHQ5" s="484"/>
      <c r="MHR5" s="484"/>
      <c r="MHS5" s="484"/>
      <c r="MHT5" s="484"/>
      <c r="MHU5" s="484"/>
      <c r="MHV5" s="484"/>
      <c r="MHW5" s="484"/>
      <c r="MHX5" s="484"/>
      <c r="MHY5" s="484"/>
      <c r="MHZ5" s="484"/>
      <c r="MIA5" s="484"/>
      <c r="MIB5" s="484"/>
      <c r="MIC5" s="484"/>
      <c r="MID5" s="484"/>
      <c r="MIE5" s="484"/>
      <c r="MIF5" s="484"/>
      <c r="MIG5" s="484"/>
      <c r="MIH5" s="484"/>
      <c r="MII5" s="484"/>
      <c r="MIJ5" s="484"/>
      <c r="MIK5" s="484"/>
      <c r="MIL5" s="484"/>
      <c r="MIM5" s="484"/>
      <c r="MIN5" s="484"/>
      <c r="MIO5" s="484"/>
      <c r="MIP5" s="484"/>
      <c r="MIQ5" s="484"/>
      <c r="MIR5" s="484"/>
      <c r="MIS5" s="484"/>
      <c r="MIT5" s="484"/>
      <c r="MIU5" s="484"/>
      <c r="MIV5" s="484"/>
      <c r="MIW5" s="484"/>
      <c r="MIX5" s="484"/>
      <c r="MIY5" s="484"/>
      <c r="MIZ5" s="484"/>
      <c r="MJA5" s="484"/>
      <c r="MJB5" s="484"/>
      <c r="MJC5" s="484"/>
      <c r="MJD5" s="484"/>
      <c r="MJE5" s="484"/>
      <c r="MJF5" s="484"/>
      <c r="MJG5" s="484"/>
      <c r="MJH5" s="484"/>
      <c r="MJI5" s="484"/>
      <c r="MJJ5" s="484"/>
      <c r="MJK5" s="484"/>
      <c r="MJL5" s="484"/>
      <c r="MJM5" s="484"/>
      <c r="MJN5" s="484"/>
      <c r="MJO5" s="484"/>
      <c r="MJP5" s="484"/>
      <c r="MJQ5" s="484"/>
      <c r="MJR5" s="484"/>
      <c r="MJS5" s="484"/>
      <c r="MJT5" s="484"/>
      <c r="MJU5" s="484"/>
      <c r="MJV5" s="484"/>
      <c r="MJW5" s="484"/>
      <c r="MJX5" s="484"/>
      <c r="MJY5" s="484"/>
      <c r="MJZ5" s="484"/>
      <c r="MKA5" s="484"/>
      <c r="MKB5" s="484"/>
      <c r="MKC5" s="484"/>
      <c r="MKD5" s="484"/>
      <c r="MKE5" s="484"/>
      <c r="MKF5" s="484"/>
      <c r="MKG5" s="484"/>
      <c r="MKH5" s="484"/>
      <c r="MKI5" s="484"/>
      <c r="MKJ5" s="484"/>
      <c r="MKK5" s="484"/>
      <c r="MKL5" s="484"/>
      <c r="MKM5" s="484"/>
      <c r="MKN5" s="484"/>
      <c r="MKO5" s="484"/>
      <c r="MKP5" s="484"/>
      <c r="MKQ5" s="484"/>
      <c r="MKR5" s="484"/>
      <c r="MKS5" s="484"/>
      <c r="MKT5" s="484"/>
      <c r="MKU5" s="484"/>
      <c r="MKV5" s="484"/>
      <c r="MKW5" s="484"/>
      <c r="MKX5" s="484"/>
      <c r="MKY5" s="484"/>
      <c r="MKZ5" s="484"/>
      <c r="MLA5" s="484"/>
      <c r="MLB5" s="484"/>
      <c r="MLC5" s="484"/>
      <c r="MLD5" s="484"/>
      <c r="MLE5" s="484"/>
      <c r="MLF5" s="484"/>
      <c r="MLG5" s="484"/>
      <c r="MLH5" s="484"/>
      <c r="MLI5" s="484"/>
      <c r="MLJ5" s="484"/>
      <c r="MLK5" s="484"/>
      <c r="MLL5" s="484"/>
      <c r="MLM5" s="484"/>
      <c r="MLN5" s="484"/>
      <c r="MLO5" s="484"/>
      <c r="MLP5" s="484"/>
      <c r="MLQ5" s="484"/>
      <c r="MLR5" s="484"/>
      <c r="MLS5" s="484"/>
      <c r="MLT5" s="484"/>
      <c r="MLU5" s="484"/>
      <c r="MLV5" s="484"/>
      <c r="MLW5" s="484"/>
      <c r="MLX5" s="484"/>
      <c r="MLY5" s="484"/>
      <c r="MLZ5" s="484"/>
      <c r="MMA5" s="484"/>
      <c r="MMB5" s="484"/>
      <c r="MMC5" s="484"/>
      <c r="MMD5" s="484"/>
      <c r="MME5" s="484"/>
      <c r="MMF5" s="484"/>
      <c r="MMG5" s="484"/>
      <c r="MMH5" s="484"/>
      <c r="MMI5" s="484"/>
      <c r="MMJ5" s="484"/>
      <c r="MMK5" s="484"/>
      <c r="MML5" s="484"/>
      <c r="MMM5" s="484"/>
      <c r="MMN5" s="484"/>
      <c r="MMO5" s="484"/>
      <c r="MMP5" s="484"/>
      <c r="MMQ5" s="484"/>
      <c r="MMR5" s="484"/>
      <c r="MMS5" s="484"/>
      <c r="MMT5" s="484"/>
      <c r="MMU5" s="484"/>
      <c r="MMV5" s="484"/>
      <c r="MMW5" s="484"/>
      <c r="MMX5" s="484"/>
      <c r="MMY5" s="484"/>
      <c r="MMZ5" s="484"/>
      <c r="MNA5" s="484"/>
      <c r="MNB5" s="484"/>
      <c r="MNC5" s="484"/>
      <c r="MND5" s="484"/>
      <c r="MNE5" s="484"/>
      <c r="MNF5" s="484"/>
      <c r="MNG5" s="484"/>
      <c r="MNH5" s="484"/>
      <c r="MNI5" s="484"/>
      <c r="MNJ5" s="484"/>
      <c r="MNK5" s="484"/>
      <c r="MNL5" s="484"/>
      <c r="MNM5" s="484"/>
      <c r="MNN5" s="484"/>
      <c r="MNO5" s="484"/>
      <c r="MNP5" s="484"/>
      <c r="MNQ5" s="484"/>
      <c r="MNR5" s="484"/>
      <c r="MNS5" s="484"/>
      <c r="MNT5" s="484"/>
      <c r="MNU5" s="484"/>
      <c r="MNV5" s="484"/>
      <c r="MNW5" s="484"/>
      <c r="MNX5" s="484"/>
      <c r="MNY5" s="484"/>
      <c r="MNZ5" s="484"/>
      <c r="MOA5" s="484"/>
      <c r="MOB5" s="484"/>
      <c r="MOC5" s="484"/>
      <c r="MOD5" s="484"/>
      <c r="MOE5" s="484"/>
      <c r="MOF5" s="484"/>
      <c r="MOG5" s="484"/>
      <c r="MOH5" s="484"/>
      <c r="MOI5" s="484"/>
      <c r="MOJ5" s="484"/>
      <c r="MOK5" s="484"/>
      <c r="MOL5" s="484"/>
      <c r="MOM5" s="484"/>
      <c r="MON5" s="484"/>
      <c r="MOO5" s="484"/>
      <c r="MOP5" s="484"/>
      <c r="MOQ5" s="484"/>
      <c r="MOR5" s="484"/>
      <c r="MOS5" s="484"/>
      <c r="MOT5" s="484"/>
      <c r="MOU5" s="484"/>
      <c r="MOV5" s="484"/>
      <c r="MOW5" s="484"/>
      <c r="MOX5" s="484"/>
      <c r="MOY5" s="484"/>
      <c r="MOZ5" s="484"/>
      <c r="MPA5" s="484"/>
      <c r="MPB5" s="484"/>
      <c r="MPC5" s="484"/>
      <c r="MPD5" s="484"/>
      <c r="MPE5" s="484"/>
      <c r="MPF5" s="484"/>
      <c r="MPG5" s="484"/>
      <c r="MPH5" s="484"/>
      <c r="MPI5" s="484"/>
      <c r="MPJ5" s="484"/>
      <c r="MPK5" s="484"/>
      <c r="MPL5" s="484"/>
      <c r="MPM5" s="484"/>
      <c r="MPN5" s="484"/>
      <c r="MPO5" s="484"/>
      <c r="MPP5" s="484"/>
      <c r="MPQ5" s="484"/>
      <c r="MPR5" s="484"/>
      <c r="MPS5" s="484"/>
      <c r="MPT5" s="484"/>
      <c r="MPU5" s="484"/>
      <c r="MPV5" s="484"/>
      <c r="MPW5" s="484"/>
      <c r="MPX5" s="484"/>
      <c r="MPY5" s="484"/>
      <c r="MPZ5" s="484"/>
      <c r="MQA5" s="484"/>
      <c r="MQB5" s="484"/>
      <c r="MQC5" s="484"/>
      <c r="MQD5" s="484"/>
      <c r="MQE5" s="484"/>
      <c r="MQF5" s="484"/>
      <c r="MQG5" s="484"/>
      <c r="MQH5" s="484"/>
      <c r="MQI5" s="484"/>
      <c r="MQJ5" s="484"/>
      <c r="MQK5" s="484"/>
      <c r="MQL5" s="484"/>
      <c r="MQM5" s="484"/>
      <c r="MQN5" s="484"/>
      <c r="MQO5" s="484"/>
      <c r="MQP5" s="484"/>
      <c r="MQQ5" s="484"/>
      <c r="MQR5" s="484"/>
      <c r="MQS5" s="484"/>
      <c r="MQT5" s="484"/>
      <c r="MQU5" s="484"/>
      <c r="MQV5" s="484"/>
      <c r="MQW5" s="484"/>
      <c r="MQX5" s="484"/>
      <c r="MQY5" s="484"/>
      <c r="MQZ5" s="484"/>
      <c r="MRA5" s="484"/>
      <c r="MRB5" s="484"/>
      <c r="MRC5" s="484"/>
      <c r="MRD5" s="484"/>
      <c r="MRE5" s="484"/>
      <c r="MRF5" s="484"/>
      <c r="MRG5" s="484"/>
      <c r="MRH5" s="484"/>
      <c r="MRI5" s="484"/>
      <c r="MRJ5" s="484"/>
      <c r="MRK5" s="484"/>
      <c r="MRL5" s="484"/>
      <c r="MRM5" s="484"/>
      <c r="MRN5" s="484"/>
      <c r="MRO5" s="484"/>
      <c r="MRP5" s="484"/>
      <c r="MRQ5" s="484"/>
      <c r="MRR5" s="484"/>
      <c r="MRS5" s="484"/>
      <c r="MRT5" s="484"/>
      <c r="MRU5" s="484"/>
      <c r="MRV5" s="484"/>
      <c r="MRW5" s="484"/>
      <c r="MRX5" s="484"/>
      <c r="MRY5" s="484"/>
      <c r="MRZ5" s="484"/>
      <c r="MSA5" s="484"/>
      <c r="MSB5" s="484"/>
      <c r="MSC5" s="484"/>
      <c r="MSD5" s="484"/>
      <c r="MSE5" s="484"/>
      <c r="MSF5" s="484"/>
      <c r="MSG5" s="484"/>
      <c r="MSH5" s="484"/>
      <c r="MSI5" s="484"/>
      <c r="MSJ5" s="484"/>
      <c r="MSK5" s="484"/>
      <c r="MSL5" s="484"/>
      <c r="MSM5" s="484"/>
      <c r="MSN5" s="484"/>
      <c r="MSO5" s="484"/>
      <c r="MSP5" s="484"/>
      <c r="MSQ5" s="484"/>
      <c r="MSR5" s="484"/>
      <c r="MSS5" s="484"/>
      <c r="MST5" s="484"/>
      <c r="MSU5" s="484"/>
      <c r="MSV5" s="484"/>
      <c r="MSW5" s="484"/>
      <c r="MSX5" s="484"/>
      <c r="MSY5" s="484"/>
      <c r="MSZ5" s="484"/>
      <c r="MTA5" s="484"/>
      <c r="MTB5" s="484"/>
      <c r="MTC5" s="484"/>
      <c r="MTD5" s="484"/>
      <c r="MTE5" s="484"/>
      <c r="MTF5" s="484"/>
      <c r="MTG5" s="484"/>
      <c r="MTH5" s="484"/>
      <c r="MTI5" s="484"/>
      <c r="MTJ5" s="484"/>
      <c r="MTK5" s="484"/>
      <c r="MTL5" s="484"/>
      <c r="MTM5" s="484"/>
      <c r="MTN5" s="484"/>
      <c r="MTO5" s="484"/>
      <c r="MTP5" s="484"/>
      <c r="MTQ5" s="484"/>
      <c r="MTR5" s="484"/>
      <c r="MTS5" s="484"/>
      <c r="MTT5" s="484"/>
      <c r="MTU5" s="484"/>
      <c r="MTV5" s="484"/>
      <c r="MTW5" s="484"/>
      <c r="MTX5" s="484"/>
      <c r="MTY5" s="484"/>
      <c r="MTZ5" s="484"/>
      <c r="MUA5" s="484"/>
      <c r="MUB5" s="484"/>
      <c r="MUC5" s="484"/>
      <c r="MUD5" s="484"/>
      <c r="MUE5" s="484"/>
      <c r="MUF5" s="484"/>
      <c r="MUG5" s="484"/>
      <c r="MUH5" s="484"/>
      <c r="MUI5" s="484"/>
      <c r="MUJ5" s="484"/>
      <c r="MUK5" s="484"/>
      <c r="MUL5" s="484"/>
      <c r="MUM5" s="484"/>
      <c r="MUN5" s="484"/>
      <c r="MUO5" s="484"/>
      <c r="MUP5" s="484"/>
      <c r="MUQ5" s="484"/>
      <c r="MUR5" s="484"/>
      <c r="MUS5" s="484"/>
      <c r="MUT5" s="484"/>
      <c r="MUU5" s="484"/>
      <c r="MUV5" s="484"/>
      <c r="MUW5" s="484"/>
      <c r="MUX5" s="484"/>
      <c r="MUY5" s="484"/>
      <c r="MUZ5" s="484"/>
      <c r="MVA5" s="484"/>
      <c r="MVB5" s="484"/>
      <c r="MVC5" s="484"/>
      <c r="MVD5" s="484"/>
      <c r="MVE5" s="484"/>
      <c r="MVF5" s="484"/>
      <c r="MVG5" s="484"/>
      <c r="MVH5" s="484"/>
      <c r="MVI5" s="484"/>
      <c r="MVJ5" s="484"/>
      <c r="MVK5" s="484"/>
      <c r="MVL5" s="484"/>
      <c r="MVM5" s="484"/>
      <c r="MVN5" s="484"/>
      <c r="MVO5" s="484"/>
      <c r="MVP5" s="484"/>
      <c r="MVQ5" s="484"/>
      <c r="MVR5" s="484"/>
      <c r="MVS5" s="484"/>
      <c r="MVT5" s="484"/>
      <c r="MVU5" s="484"/>
      <c r="MVV5" s="484"/>
      <c r="MVW5" s="484"/>
      <c r="MVX5" s="484"/>
      <c r="MVY5" s="484"/>
      <c r="MVZ5" s="484"/>
      <c r="MWA5" s="484"/>
      <c r="MWB5" s="484"/>
      <c r="MWC5" s="484"/>
      <c r="MWD5" s="484"/>
      <c r="MWE5" s="484"/>
      <c r="MWF5" s="484"/>
      <c r="MWG5" s="484"/>
      <c r="MWH5" s="484"/>
      <c r="MWI5" s="484"/>
      <c r="MWJ5" s="484"/>
      <c r="MWK5" s="484"/>
      <c r="MWL5" s="484"/>
      <c r="MWM5" s="484"/>
      <c r="MWN5" s="484"/>
      <c r="MWO5" s="484"/>
      <c r="MWP5" s="484"/>
      <c r="MWQ5" s="484"/>
      <c r="MWR5" s="484"/>
      <c r="MWS5" s="484"/>
      <c r="MWT5" s="484"/>
      <c r="MWU5" s="484"/>
      <c r="MWV5" s="484"/>
      <c r="MWW5" s="484"/>
      <c r="MWX5" s="484"/>
      <c r="MWY5" s="484"/>
      <c r="MWZ5" s="484"/>
      <c r="MXA5" s="484"/>
      <c r="MXB5" s="484"/>
      <c r="MXC5" s="484"/>
      <c r="MXD5" s="484"/>
      <c r="MXE5" s="484"/>
      <c r="MXF5" s="484"/>
      <c r="MXG5" s="484"/>
      <c r="MXH5" s="484"/>
      <c r="MXI5" s="484"/>
      <c r="MXJ5" s="484"/>
      <c r="MXK5" s="484"/>
      <c r="MXL5" s="484"/>
      <c r="MXM5" s="484"/>
      <c r="MXN5" s="484"/>
      <c r="MXO5" s="484"/>
      <c r="MXP5" s="484"/>
      <c r="MXQ5" s="484"/>
      <c r="MXR5" s="484"/>
      <c r="MXS5" s="484"/>
      <c r="MXT5" s="484"/>
      <c r="MXU5" s="484"/>
      <c r="MXV5" s="484"/>
      <c r="MXW5" s="484"/>
      <c r="MXX5" s="484"/>
      <c r="MXY5" s="484"/>
      <c r="MXZ5" s="484"/>
      <c r="MYA5" s="484"/>
      <c r="MYB5" s="484"/>
      <c r="MYC5" s="484"/>
      <c r="MYD5" s="484"/>
      <c r="MYE5" s="484"/>
      <c r="MYF5" s="484"/>
      <c r="MYG5" s="484"/>
      <c r="MYH5" s="484"/>
      <c r="MYI5" s="484"/>
      <c r="MYJ5" s="484"/>
      <c r="MYK5" s="484"/>
      <c r="MYL5" s="484"/>
      <c r="MYM5" s="484"/>
      <c r="MYN5" s="484"/>
      <c r="MYO5" s="484"/>
      <c r="MYP5" s="484"/>
      <c r="MYQ5" s="484"/>
      <c r="MYR5" s="484"/>
      <c r="MYS5" s="484"/>
      <c r="MYT5" s="484"/>
      <c r="MYU5" s="484"/>
      <c r="MYV5" s="484"/>
      <c r="MYW5" s="484"/>
      <c r="MYX5" s="484"/>
      <c r="MYY5" s="484"/>
      <c r="MYZ5" s="484"/>
      <c r="MZA5" s="484"/>
      <c r="MZB5" s="484"/>
      <c r="MZC5" s="484"/>
      <c r="MZD5" s="484"/>
      <c r="MZE5" s="484"/>
      <c r="MZF5" s="484"/>
      <c r="MZG5" s="484"/>
      <c r="MZH5" s="484"/>
      <c r="MZI5" s="484"/>
      <c r="MZJ5" s="484"/>
      <c r="MZK5" s="484"/>
      <c r="MZL5" s="484"/>
      <c r="MZM5" s="484"/>
      <c r="MZN5" s="484"/>
      <c r="MZO5" s="484"/>
      <c r="MZP5" s="484"/>
      <c r="MZQ5" s="484"/>
      <c r="MZR5" s="484"/>
      <c r="MZS5" s="484"/>
      <c r="MZT5" s="484"/>
      <c r="MZU5" s="484"/>
      <c r="MZV5" s="484"/>
      <c r="MZW5" s="484"/>
      <c r="MZX5" s="484"/>
      <c r="MZY5" s="484"/>
      <c r="MZZ5" s="484"/>
      <c r="NAA5" s="484"/>
      <c r="NAB5" s="484"/>
      <c r="NAC5" s="484"/>
      <c r="NAD5" s="484"/>
      <c r="NAE5" s="484"/>
      <c r="NAF5" s="484"/>
      <c r="NAG5" s="484"/>
      <c r="NAH5" s="484"/>
      <c r="NAI5" s="484"/>
      <c r="NAJ5" s="484"/>
      <c r="NAK5" s="484"/>
      <c r="NAL5" s="484"/>
      <c r="NAM5" s="484"/>
      <c r="NAN5" s="484"/>
      <c r="NAO5" s="484"/>
      <c r="NAP5" s="484"/>
      <c r="NAQ5" s="484"/>
      <c r="NAR5" s="484"/>
      <c r="NAS5" s="484"/>
      <c r="NAT5" s="484"/>
      <c r="NAU5" s="484"/>
      <c r="NAV5" s="484"/>
      <c r="NAW5" s="484"/>
      <c r="NAX5" s="484"/>
      <c r="NAY5" s="484"/>
      <c r="NAZ5" s="484"/>
      <c r="NBA5" s="484"/>
      <c r="NBB5" s="484"/>
      <c r="NBC5" s="484"/>
      <c r="NBD5" s="484"/>
      <c r="NBE5" s="484"/>
      <c r="NBF5" s="484"/>
      <c r="NBG5" s="484"/>
      <c r="NBH5" s="484"/>
      <c r="NBI5" s="484"/>
      <c r="NBJ5" s="484"/>
      <c r="NBK5" s="484"/>
      <c r="NBL5" s="484"/>
      <c r="NBM5" s="484"/>
      <c r="NBN5" s="484"/>
      <c r="NBO5" s="484"/>
      <c r="NBP5" s="484"/>
      <c r="NBQ5" s="484"/>
      <c r="NBR5" s="484"/>
      <c r="NBS5" s="484"/>
      <c r="NBT5" s="484"/>
      <c r="NBU5" s="484"/>
      <c r="NBV5" s="484"/>
      <c r="NBW5" s="484"/>
      <c r="NBX5" s="484"/>
      <c r="NBY5" s="484"/>
      <c r="NBZ5" s="484"/>
      <c r="NCA5" s="484"/>
      <c r="NCB5" s="484"/>
      <c r="NCC5" s="484"/>
      <c r="NCD5" s="484"/>
      <c r="NCE5" s="484"/>
      <c r="NCF5" s="484"/>
      <c r="NCG5" s="484"/>
      <c r="NCH5" s="484"/>
      <c r="NCI5" s="484"/>
      <c r="NCJ5" s="484"/>
      <c r="NCK5" s="484"/>
      <c r="NCL5" s="484"/>
      <c r="NCM5" s="484"/>
      <c r="NCN5" s="484"/>
      <c r="NCO5" s="484"/>
      <c r="NCP5" s="484"/>
      <c r="NCQ5" s="484"/>
      <c r="NCR5" s="484"/>
      <c r="NCS5" s="484"/>
      <c r="NCT5" s="484"/>
      <c r="NCU5" s="484"/>
      <c r="NCV5" s="484"/>
      <c r="NCW5" s="484"/>
      <c r="NCX5" s="484"/>
      <c r="NCY5" s="484"/>
      <c r="NCZ5" s="484"/>
      <c r="NDA5" s="484"/>
      <c r="NDB5" s="484"/>
      <c r="NDC5" s="484"/>
      <c r="NDD5" s="484"/>
      <c r="NDE5" s="484"/>
      <c r="NDF5" s="484"/>
      <c r="NDG5" s="484"/>
      <c r="NDH5" s="484"/>
      <c r="NDI5" s="484"/>
      <c r="NDJ5" s="484"/>
      <c r="NDK5" s="484"/>
      <c r="NDL5" s="484"/>
      <c r="NDM5" s="484"/>
      <c r="NDN5" s="484"/>
      <c r="NDO5" s="484"/>
      <c r="NDP5" s="484"/>
      <c r="NDQ5" s="484"/>
      <c r="NDR5" s="484"/>
      <c r="NDS5" s="484"/>
      <c r="NDT5" s="484"/>
      <c r="NDU5" s="484"/>
      <c r="NDV5" s="484"/>
      <c r="NDW5" s="484"/>
      <c r="NDX5" s="484"/>
      <c r="NDY5" s="484"/>
      <c r="NDZ5" s="484"/>
      <c r="NEA5" s="484"/>
      <c r="NEB5" s="484"/>
      <c r="NEC5" s="484"/>
      <c r="NED5" s="484"/>
      <c r="NEE5" s="484"/>
      <c r="NEF5" s="484"/>
      <c r="NEG5" s="484"/>
      <c r="NEH5" s="484"/>
      <c r="NEI5" s="484"/>
      <c r="NEJ5" s="484"/>
      <c r="NEK5" s="484"/>
      <c r="NEL5" s="484"/>
      <c r="NEM5" s="484"/>
      <c r="NEN5" s="484"/>
      <c r="NEO5" s="484"/>
      <c r="NEP5" s="484"/>
      <c r="NEQ5" s="484"/>
      <c r="NER5" s="484"/>
      <c r="NES5" s="484"/>
      <c r="NET5" s="484"/>
      <c r="NEU5" s="484"/>
      <c r="NEV5" s="484"/>
      <c r="NEW5" s="484"/>
      <c r="NEX5" s="484"/>
      <c r="NEY5" s="484"/>
      <c r="NEZ5" s="484"/>
      <c r="NFA5" s="484"/>
      <c r="NFB5" s="484"/>
      <c r="NFC5" s="484"/>
      <c r="NFD5" s="484"/>
      <c r="NFE5" s="484"/>
      <c r="NFF5" s="484"/>
      <c r="NFG5" s="484"/>
      <c r="NFH5" s="484"/>
      <c r="NFI5" s="484"/>
      <c r="NFJ5" s="484"/>
      <c r="NFK5" s="484"/>
      <c r="NFL5" s="484"/>
      <c r="NFM5" s="484"/>
      <c r="NFN5" s="484"/>
      <c r="NFO5" s="484"/>
      <c r="NFP5" s="484"/>
      <c r="NFQ5" s="484"/>
      <c r="NFR5" s="484"/>
      <c r="NFS5" s="484"/>
      <c r="NFT5" s="484"/>
      <c r="NFU5" s="484"/>
      <c r="NFV5" s="484"/>
      <c r="NFW5" s="484"/>
      <c r="NFX5" s="484"/>
      <c r="NFY5" s="484"/>
      <c r="NFZ5" s="484"/>
      <c r="NGA5" s="484"/>
      <c r="NGB5" s="484"/>
      <c r="NGC5" s="484"/>
      <c r="NGD5" s="484"/>
      <c r="NGE5" s="484"/>
      <c r="NGF5" s="484"/>
      <c r="NGG5" s="484"/>
      <c r="NGH5" s="484"/>
      <c r="NGI5" s="484"/>
      <c r="NGJ5" s="484"/>
      <c r="NGK5" s="484"/>
      <c r="NGL5" s="484"/>
      <c r="NGM5" s="484"/>
      <c r="NGN5" s="484"/>
      <c r="NGO5" s="484"/>
      <c r="NGP5" s="484"/>
      <c r="NGQ5" s="484"/>
      <c r="NGR5" s="484"/>
      <c r="NGS5" s="484"/>
      <c r="NGT5" s="484"/>
      <c r="NGU5" s="484"/>
      <c r="NGV5" s="484"/>
      <c r="NGW5" s="484"/>
      <c r="NGX5" s="484"/>
      <c r="NGY5" s="484"/>
      <c r="NGZ5" s="484"/>
      <c r="NHA5" s="484"/>
      <c r="NHB5" s="484"/>
      <c r="NHC5" s="484"/>
      <c r="NHD5" s="484"/>
      <c r="NHE5" s="484"/>
      <c r="NHF5" s="484"/>
      <c r="NHG5" s="484"/>
      <c r="NHH5" s="484"/>
      <c r="NHI5" s="484"/>
      <c r="NHJ5" s="484"/>
      <c r="NHK5" s="484"/>
      <c r="NHL5" s="484"/>
      <c r="NHM5" s="484"/>
      <c r="NHN5" s="484"/>
      <c r="NHO5" s="484"/>
      <c r="NHP5" s="484"/>
      <c r="NHQ5" s="484"/>
      <c r="NHR5" s="484"/>
      <c r="NHS5" s="484"/>
      <c r="NHT5" s="484"/>
      <c r="NHU5" s="484"/>
      <c r="NHV5" s="484"/>
      <c r="NHW5" s="484"/>
      <c r="NHX5" s="484"/>
      <c r="NHY5" s="484"/>
      <c r="NHZ5" s="484"/>
      <c r="NIA5" s="484"/>
      <c r="NIB5" s="484"/>
      <c r="NIC5" s="484"/>
      <c r="NID5" s="484"/>
      <c r="NIE5" s="484"/>
      <c r="NIF5" s="484"/>
      <c r="NIG5" s="484"/>
      <c r="NIH5" s="484"/>
      <c r="NII5" s="484"/>
      <c r="NIJ5" s="484"/>
      <c r="NIK5" s="484"/>
      <c r="NIL5" s="484"/>
      <c r="NIM5" s="484"/>
      <c r="NIN5" s="484"/>
      <c r="NIO5" s="484"/>
      <c r="NIP5" s="484"/>
      <c r="NIQ5" s="484"/>
      <c r="NIR5" s="484"/>
      <c r="NIS5" s="484"/>
      <c r="NIT5" s="484"/>
      <c r="NIU5" s="484"/>
      <c r="NIV5" s="484"/>
      <c r="NIW5" s="484"/>
      <c r="NIX5" s="484"/>
      <c r="NIY5" s="484"/>
      <c r="NIZ5" s="484"/>
      <c r="NJA5" s="484"/>
      <c r="NJB5" s="484"/>
      <c r="NJC5" s="484"/>
      <c r="NJD5" s="484"/>
      <c r="NJE5" s="484"/>
      <c r="NJF5" s="484"/>
      <c r="NJG5" s="484"/>
      <c r="NJH5" s="484"/>
      <c r="NJI5" s="484"/>
      <c r="NJJ5" s="484"/>
      <c r="NJK5" s="484"/>
      <c r="NJL5" s="484"/>
      <c r="NJM5" s="484"/>
      <c r="NJN5" s="484"/>
      <c r="NJO5" s="484"/>
      <c r="NJP5" s="484"/>
      <c r="NJQ5" s="484"/>
      <c r="NJR5" s="484"/>
      <c r="NJS5" s="484"/>
      <c r="NJT5" s="484"/>
      <c r="NJU5" s="484"/>
      <c r="NJV5" s="484"/>
      <c r="NJW5" s="484"/>
      <c r="NJX5" s="484"/>
      <c r="NJY5" s="484"/>
      <c r="NJZ5" s="484"/>
      <c r="NKA5" s="484"/>
      <c r="NKB5" s="484"/>
      <c r="NKC5" s="484"/>
      <c r="NKD5" s="484"/>
      <c r="NKE5" s="484"/>
      <c r="NKF5" s="484"/>
      <c r="NKG5" s="484"/>
      <c r="NKH5" s="484"/>
      <c r="NKI5" s="484"/>
      <c r="NKJ5" s="484"/>
      <c r="NKK5" s="484"/>
      <c r="NKL5" s="484"/>
      <c r="NKM5" s="484"/>
      <c r="NKN5" s="484"/>
      <c r="NKO5" s="484"/>
      <c r="NKP5" s="484"/>
      <c r="NKQ5" s="484"/>
      <c r="NKR5" s="484"/>
      <c r="NKS5" s="484"/>
      <c r="NKT5" s="484"/>
      <c r="NKU5" s="484"/>
      <c r="NKV5" s="484"/>
      <c r="NKW5" s="484"/>
      <c r="NKX5" s="484"/>
      <c r="NKY5" s="484"/>
      <c r="NKZ5" s="484"/>
      <c r="NLA5" s="484"/>
      <c r="NLB5" s="484"/>
      <c r="NLC5" s="484"/>
      <c r="NLD5" s="484"/>
      <c r="NLE5" s="484"/>
      <c r="NLF5" s="484"/>
      <c r="NLG5" s="484"/>
      <c r="NLH5" s="484"/>
      <c r="NLI5" s="484"/>
      <c r="NLJ5" s="484"/>
      <c r="NLK5" s="484"/>
      <c r="NLL5" s="484"/>
      <c r="NLM5" s="484"/>
      <c r="NLN5" s="484"/>
      <c r="NLO5" s="484"/>
      <c r="NLP5" s="484"/>
      <c r="NLQ5" s="484"/>
      <c r="NLR5" s="484"/>
      <c r="NLS5" s="484"/>
      <c r="NLT5" s="484"/>
      <c r="NLU5" s="484"/>
      <c r="NLV5" s="484"/>
      <c r="NLW5" s="484"/>
      <c r="NLX5" s="484"/>
      <c r="NLY5" s="484"/>
      <c r="NLZ5" s="484"/>
      <c r="NMA5" s="484"/>
      <c r="NMB5" s="484"/>
      <c r="NMC5" s="484"/>
      <c r="NMD5" s="484"/>
      <c r="NME5" s="484"/>
      <c r="NMF5" s="484"/>
      <c r="NMG5" s="484"/>
      <c r="NMH5" s="484"/>
      <c r="NMI5" s="484"/>
      <c r="NMJ5" s="484"/>
      <c r="NMK5" s="484"/>
      <c r="NML5" s="484"/>
      <c r="NMM5" s="484"/>
      <c r="NMN5" s="484"/>
      <c r="NMO5" s="484"/>
      <c r="NMP5" s="484"/>
      <c r="NMQ5" s="484"/>
      <c r="NMR5" s="484"/>
      <c r="NMS5" s="484"/>
      <c r="NMT5" s="484"/>
      <c r="NMU5" s="484"/>
      <c r="NMV5" s="484"/>
      <c r="NMW5" s="484"/>
      <c r="NMX5" s="484"/>
      <c r="NMY5" s="484"/>
      <c r="NMZ5" s="484"/>
      <c r="NNA5" s="484"/>
      <c r="NNB5" s="484"/>
      <c r="NNC5" s="484"/>
      <c r="NND5" s="484"/>
      <c r="NNE5" s="484"/>
      <c r="NNF5" s="484"/>
      <c r="NNG5" s="484"/>
      <c r="NNH5" s="484"/>
      <c r="NNI5" s="484"/>
      <c r="NNJ5" s="484"/>
      <c r="NNK5" s="484"/>
      <c r="NNL5" s="484"/>
      <c r="NNM5" s="484"/>
      <c r="NNN5" s="484"/>
      <c r="NNO5" s="484"/>
      <c r="NNP5" s="484"/>
      <c r="NNQ5" s="484"/>
      <c r="NNR5" s="484"/>
      <c r="NNS5" s="484"/>
      <c r="NNT5" s="484"/>
      <c r="NNU5" s="484"/>
      <c r="NNV5" s="484"/>
      <c r="NNW5" s="484"/>
      <c r="NNX5" s="484"/>
      <c r="NNY5" s="484"/>
      <c r="NNZ5" s="484"/>
      <c r="NOA5" s="484"/>
      <c r="NOB5" s="484"/>
      <c r="NOC5" s="484"/>
      <c r="NOD5" s="484"/>
      <c r="NOE5" s="484"/>
      <c r="NOF5" s="484"/>
      <c r="NOG5" s="484"/>
      <c r="NOH5" s="484"/>
      <c r="NOI5" s="484"/>
      <c r="NOJ5" s="484"/>
      <c r="NOK5" s="484"/>
      <c r="NOL5" s="484"/>
      <c r="NOM5" s="484"/>
      <c r="NON5" s="484"/>
      <c r="NOO5" s="484"/>
      <c r="NOP5" s="484"/>
      <c r="NOQ5" s="484"/>
      <c r="NOR5" s="484"/>
      <c r="NOS5" s="484"/>
      <c r="NOT5" s="484"/>
      <c r="NOU5" s="484"/>
      <c r="NOV5" s="484"/>
      <c r="NOW5" s="484"/>
      <c r="NOX5" s="484"/>
      <c r="NOY5" s="484"/>
      <c r="NOZ5" s="484"/>
      <c r="NPA5" s="484"/>
      <c r="NPB5" s="484"/>
      <c r="NPC5" s="484"/>
      <c r="NPD5" s="484"/>
      <c r="NPE5" s="484"/>
      <c r="NPF5" s="484"/>
      <c r="NPG5" s="484"/>
      <c r="NPH5" s="484"/>
      <c r="NPI5" s="484"/>
      <c r="NPJ5" s="484"/>
      <c r="NPK5" s="484"/>
      <c r="NPL5" s="484"/>
      <c r="NPM5" s="484"/>
      <c r="NPN5" s="484"/>
      <c r="NPO5" s="484"/>
      <c r="NPP5" s="484"/>
      <c r="NPQ5" s="484"/>
      <c r="NPR5" s="484"/>
      <c r="NPS5" s="484"/>
      <c r="NPT5" s="484"/>
      <c r="NPU5" s="484"/>
      <c r="NPV5" s="484"/>
      <c r="NPW5" s="484"/>
      <c r="NPX5" s="484"/>
      <c r="NPY5" s="484"/>
      <c r="NPZ5" s="484"/>
      <c r="NQA5" s="484"/>
      <c r="NQB5" s="484"/>
      <c r="NQC5" s="484"/>
      <c r="NQD5" s="484"/>
      <c r="NQE5" s="484"/>
      <c r="NQF5" s="484"/>
      <c r="NQG5" s="484"/>
      <c r="NQH5" s="484"/>
      <c r="NQI5" s="484"/>
      <c r="NQJ5" s="484"/>
      <c r="NQK5" s="484"/>
      <c r="NQL5" s="484"/>
      <c r="NQM5" s="484"/>
      <c r="NQN5" s="484"/>
      <c r="NQO5" s="484"/>
      <c r="NQP5" s="484"/>
      <c r="NQQ5" s="484"/>
      <c r="NQR5" s="484"/>
      <c r="NQS5" s="484"/>
      <c r="NQT5" s="484"/>
      <c r="NQU5" s="484"/>
      <c r="NQV5" s="484"/>
      <c r="NQW5" s="484"/>
      <c r="NQX5" s="484"/>
      <c r="NQY5" s="484"/>
      <c r="NQZ5" s="484"/>
      <c r="NRA5" s="484"/>
      <c r="NRB5" s="484"/>
      <c r="NRC5" s="484"/>
      <c r="NRD5" s="484"/>
      <c r="NRE5" s="484"/>
      <c r="NRF5" s="484"/>
      <c r="NRG5" s="484"/>
      <c r="NRH5" s="484"/>
      <c r="NRI5" s="484"/>
      <c r="NRJ5" s="484"/>
      <c r="NRK5" s="484"/>
      <c r="NRL5" s="484"/>
      <c r="NRM5" s="484"/>
      <c r="NRN5" s="484"/>
      <c r="NRO5" s="484"/>
      <c r="NRP5" s="484"/>
      <c r="NRQ5" s="484"/>
      <c r="NRR5" s="484"/>
      <c r="NRS5" s="484"/>
      <c r="NRT5" s="484"/>
      <c r="NRU5" s="484"/>
      <c r="NRV5" s="484"/>
      <c r="NRW5" s="484"/>
      <c r="NRX5" s="484"/>
      <c r="NRY5" s="484"/>
      <c r="NRZ5" s="484"/>
      <c r="NSA5" s="484"/>
      <c r="NSB5" s="484"/>
      <c r="NSC5" s="484"/>
      <c r="NSD5" s="484"/>
      <c r="NSE5" s="484"/>
      <c r="NSF5" s="484"/>
      <c r="NSG5" s="484"/>
      <c r="NSH5" s="484"/>
      <c r="NSI5" s="484"/>
      <c r="NSJ5" s="484"/>
      <c r="NSK5" s="484"/>
      <c r="NSL5" s="484"/>
      <c r="NSM5" s="484"/>
      <c r="NSN5" s="484"/>
      <c r="NSO5" s="484"/>
      <c r="NSP5" s="484"/>
      <c r="NSQ5" s="484"/>
      <c r="NSR5" s="484"/>
      <c r="NSS5" s="484"/>
      <c r="NST5" s="484"/>
      <c r="NSU5" s="484"/>
      <c r="NSV5" s="484"/>
      <c r="NSW5" s="484"/>
      <c r="NSX5" s="484"/>
      <c r="NSY5" s="484"/>
      <c r="NSZ5" s="484"/>
      <c r="NTA5" s="484"/>
      <c r="NTB5" s="484"/>
      <c r="NTC5" s="484"/>
      <c r="NTD5" s="484"/>
      <c r="NTE5" s="484"/>
      <c r="NTF5" s="484"/>
      <c r="NTG5" s="484"/>
      <c r="NTH5" s="484"/>
      <c r="NTI5" s="484"/>
      <c r="NTJ5" s="484"/>
      <c r="NTK5" s="484"/>
      <c r="NTL5" s="484"/>
      <c r="NTM5" s="484"/>
      <c r="NTN5" s="484"/>
      <c r="NTO5" s="484"/>
      <c r="NTP5" s="484"/>
      <c r="NTQ5" s="484"/>
      <c r="NTR5" s="484"/>
      <c r="NTS5" s="484"/>
      <c r="NTT5" s="484"/>
      <c r="NTU5" s="484"/>
      <c r="NTV5" s="484"/>
      <c r="NTW5" s="484"/>
      <c r="NTX5" s="484"/>
      <c r="NTY5" s="484"/>
      <c r="NTZ5" s="484"/>
      <c r="NUA5" s="484"/>
      <c r="NUB5" s="484"/>
      <c r="NUC5" s="484"/>
      <c r="NUD5" s="484"/>
      <c r="NUE5" s="484"/>
      <c r="NUF5" s="484"/>
      <c r="NUG5" s="484"/>
      <c r="NUH5" s="484"/>
      <c r="NUI5" s="484"/>
      <c r="NUJ5" s="484"/>
      <c r="NUK5" s="484"/>
      <c r="NUL5" s="484"/>
      <c r="NUM5" s="484"/>
      <c r="NUN5" s="484"/>
      <c r="NUO5" s="484"/>
      <c r="NUP5" s="484"/>
      <c r="NUQ5" s="484"/>
      <c r="NUR5" s="484"/>
      <c r="NUS5" s="484"/>
      <c r="NUT5" s="484"/>
      <c r="NUU5" s="484"/>
      <c r="NUV5" s="484"/>
      <c r="NUW5" s="484"/>
      <c r="NUX5" s="484"/>
      <c r="NUY5" s="484"/>
      <c r="NUZ5" s="484"/>
      <c r="NVA5" s="484"/>
      <c r="NVB5" s="484"/>
      <c r="NVC5" s="484"/>
      <c r="NVD5" s="484"/>
      <c r="NVE5" s="484"/>
      <c r="NVF5" s="484"/>
      <c r="NVG5" s="484"/>
      <c r="NVH5" s="484"/>
      <c r="NVI5" s="484"/>
      <c r="NVJ5" s="484"/>
      <c r="NVK5" s="484"/>
      <c r="NVL5" s="484"/>
      <c r="NVM5" s="484"/>
      <c r="NVN5" s="484"/>
      <c r="NVO5" s="484"/>
      <c r="NVP5" s="484"/>
      <c r="NVQ5" s="484"/>
      <c r="NVR5" s="484"/>
      <c r="NVS5" s="484"/>
      <c r="NVT5" s="484"/>
      <c r="NVU5" s="484"/>
      <c r="NVV5" s="484"/>
      <c r="NVW5" s="484"/>
      <c r="NVX5" s="484"/>
      <c r="NVY5" s="484"/>
      <c r="NVZ5" s="484"/>
      <c r="NWA5" s="484"/>
      <c r="NWB5" s="484"/>
      <c r="NWC5" s="484"/>
      <c r="NWD5" s="484"/>
      <c r="NWE5" s="484"/>
      <c r="NWF5" s="484"/>
      <c r="NWG5" s="484"/>
      <c r="NWH5" s="484"/>
      <c r="NWI5" s="484"/>
      <c r="NWJ5" s="484"/>
      <c r="NWK5" s="484"/>
      <c r="NWL5" s="484"/>
      <c r="NWM5" s="484"/>
      <c r="NWN5" s="484"/>
      <c r="NWO5" s="484"/>
      <c r="NWP5" s="484"/>
      <c r="NWQ5" s="484"/>
      <c r="NWR5" s="484"/>
      <c r="NWS5" s="484"/>
      <c r="NWT5" s="484"/>
      <c r="NWU5" s="484"/>
      <c r="NWV5" s="484"/>
      <c r="NWW5" s="484"/>
      <c r="NWX5" s="484"/>
      <c r="NWY5" s="484"/>
      <c r="NWZ5" s="484"/>
      <c r="NXA5" s="484"/>
      <c r="NXB5" s="484"/>
      <c r="NXC5" s="484"/>
      <c r="NXD5" s="484"/>
      <c r="NXE5" s="484"/>
      <c r="NXF5" s="484"/>
      <c r="NXG5" s="484"/>
      <c r="NXH5" s="484"/>
      <c r="NXI5" s="484"/>
      <c r="NXJ5" s="484"/>
      <c r="NXK5" s="484"/>
      <c r="NXL5" s="484"/>
      <c r="NXM5" s="484"/>
      <c r="NXN5" s="484"/>
      <c r="NXO5" s="484"/>
      <c r="NXP5" s="484"/>
      <c r="NXQ5" s="484"/>
      <c r="NXR5" s="484"/>
      <c r="NXS5" s="484"/>
      <c r="NXT5" s="484"/>
      <c r="NXU5" s="484"/>
      <c r="NXV5" s="484"/>
      <c r="NXW5" s="484"/>
      <c r="NXX5" s="484"/>
      <c r="NXY5" s="484"/>
      <c r="NXZ5" s="484"/>
      <c r="NYA5" s="484"/>
      <c r="NYB5" s="484"/>
      <c r="NYC5" s="484"/>
      <c r="NYD5" s="484"/>
      <c r="NYE5" s="484"/>
      <c r="NYF5" s="484"/>
      <c r="NYG5" s="484"/>
      <c r="NYH5" s="484"/>
      <c r="NYI5" s="484"/>
      <c r="NYJ5" s="484"/>
      <c r="NYK5" s="484"/>
      <c r="NYL5" s="484"/>
      <c r="NYM5" s="484"/>
      <c r="NYN5" s="484"/>
      <c r="NYO5" s="484"/>
      <c r="NYP5" s="484"/>
      <c r="NYQ5" s="484"/>
      <c r="NYR5" s="484"/>
      <c r="NYS5" s="484"/>
      <c r="NYT5" s="484"/>
      <c r="NYU5" s="484"/>
      <c r="NYV5" s="484"/>
      <c r="NYW5" s="484"/>
      <c r="NYX5" s="484"/>
      <c r="NYY5" s="484"/>
      <c r="NYZ5" s="484"/>
      <c r="NZA5" s="484"/>
      <c r="NZB5" s="484"/>
      <c r="NZC5" s="484"/>
      <c r="NZD5" s="484"/>
      <c r="NZE5" s="484"/>
      <c r="NZF5" s="484"/>
      <c r="NZG5" s="484"/>
      <c r="NZH5" s="484"/>
      <c r="NZI5" s="484"/>
      <c r="NZJ5" s="484"/>
      <c r="NZK5" s="484"/>
      <c r="NZL5" s="484"/>
      <c r="NZM5" s="484"/>
      <c r="NZN5" s="484"/>
      <c r="NZO5" s="484"/>
      <c r="NZP5" s="484"/>
      <c r="NZQ5" s="484"/>
      <c r="NZR5" s="484"/>
      <c r="NZS5" s="484"/>
      <c r="NZT5" s="484"/>
      <c r="NZU5" s="484"/>
      <c r="NZV5" s="484"/>
      <c r="NZW5" s="484"/>
      <c r="NZX5" s="484"/>
      <c r="NZY5" s="484"/>
      <c r="NZZ5" s="484"/>
      <c r="OAA5" s="484"/>
      <c r="OAB5" s="484"/>
      <c r="OAC5" s="484"/>
      <c r="OAD5" s="484"/>
      <c r="OAE5" s="484"/>
      <c r="OAF5" s="484"/>
      <c r="OAG5" s="484"/>
      <c r="OAH5" s="484"/>
      <c r="OAI5" s="484"/>
      <c r="OAJ5" s="484"/>
      <c r="OAK5" s="484"/>
      <c r="OAL5" s="484"/>
      <c r="OAM5" s="484"/>
      <c r="OAN5" s="484"/>
      <c r="OAO5" s="484"/>
      <c r="OAP5" s="484"/>
      <c r="OAQ5" s="484"/>
      <c r="OAR5" s="484"/>
      <c r="OAS5" s="484"/>
      <c r="OAT5" s="484"/>
      <c r="OAU5" s="484"/>
      <c r="OAV5" s="484"/>
      <c r="OAW5" s="484"/>
      <c r="OAX5" s="484"/>
      <c r="OAY5" s="484"/>
      <c r="OAZ5" s="484"/>
      <c r="OBA5" s="484"/>
      <c r="OBB5" s="484"/>
      <c r="OBC5" s="484"/>
      <c r="OBD5" s="484"/>
      <c r="OBE5" s="484"/>
      <c r="OBF5" s="484"/>
      <c r="OBG5" s="484"/>
      <c r="OBH5" s="484"/>
      <c r="OBI5" s="484"/>
      <c r="OBJ5" s="484"/>
      <c r="OBK5" s="484"/>
      <c r="OBL5" s="484"/>
      <c r="OBM5" s="484"/>
      <c r="OBN5" s="484"/>
      <c r="OBO5" s="484"/>
      <c r="OBP5" s="484"/>
      <c r="OBQ5" s="484"/>
      <c r="OBR5" s="484"/>
      <c r="OBS5" s="484"/>
      <c r="OBT5" s="484"/>
      <c r="OBU5" s="484"/>
      <c r="OBV5" s="484"/>
      <c r="OBW5" s="484"/>
      <c r="OBX5" s="484"/>
      <c r="OBY5" s="484"/>
      <c r="OBZ5" s="484"/>
      <c r="OCA5" s="484"/>
      <c r="OCB5" s="484"/>
      <c r="OCC5" s="484"/>
      <c r="OCD5" s="484"/>
      <c r="OCE5" s="484"/>
      <c r="OCF5" s="484"/>
      <c r="OCG5" s="484"/>
      <c r="OCH5" s="484"/>
      <c r="OCI5" s="484"/>
      <c r="OCJ5" s="484"/>
      <c r="OCK5" s="484"/>
      <c r="OCL5" s="484"/>
      <c r="OCM5" s="484"/>
      <c r="OCN5" s="484"/>
      <c r="OCO5" s="484"/>
      <c r="OCP5" s="484"/>
      <c r="OCQ5" s="484"/>
      <c r="OCR5" s="484"/>
      <c r="OCS5" s="484"/>
      <c r="OCT5" s="484"/>
      <c r="OCU5" s="484"/>
      <c r="OCV5" s="484"/>
      <c r="OCW5" s="484"/>
      <c r="OCX5" s="484"/>
      <c r="OCY5" s="484"/>
      <c r="OCZ5" s="484"/>
      <c r="ODA5" s="484"/>
      <c r="ODB5" s="484"/>
      <c r="ODC5" s="484"/>
      <c r="ODD5" s="484"/>
      <c r="ODE5" s="484"/>
      <c r="ODF5" s="484"/>
      <c r="ODG5" s="484"/>
      <c r="ODH5" s="484"/>
      <c r="ODI5" s="484"/>
      <c r="ODJ5" s="484"/>
      <c r="ODK5" s="484"/>
      <c r="ODL5" s="484"/>
      <c r="ODM5" s="484"/>
      <c r="ODN5" s="484"/>
      <c r="ODO5" s="484"/>
      <c r="ODP5" s="484"/>
      <c r="ODQ5" s="484"/>
      <c r="ODR5" s="484"/>
      <c r="ODS5" s="484"/>
      <c r="ODT5" s="484"/>
      <c r="ODU5" s="484"/>
      <c r="ODV5" s="484"/>
      <c r="ODW5" s="484"/>
      <c r="ODX5" s="484"/>
      <c r="ODY5" s="484"/>
      <c r="ODZ5" s="484"/>
      <c r="OEA5" s="484"/>
      <c r="OEB5" s="484"/>
      <c r="OEC5" s="484"/>
      <c r="OED5" s="484"/>
      <c r="OEE5" s="484"/>
      <c r="OEF5" s="484"/>
      <c r="OEG5" s="484"/>
      <c r="OEH5" s="484"/>
      <c r="OEI5" s="484"/>
      <c r="OEJ5" s="484"/>
      <c r="OEK5" s="484"/>
      <c r="OEL5" s="484"/>
      <c r="OEM5" s="484"/>
      <c r="OEN5" s="484"/>
      <c r="OEO5" s="484"/>
      <c r="OEP5" s="484"/>
      <c r="OEQ5" s="484"/>
      <c r="OER5" s="484"/>
      <c r="OES5" s="484"/>
      <c r="OET5" s="484"/>
      <c r="OEU5" s="484"/>
      <c r="OEV5" s="484"/>
      <c r="OEW5" s="484"/>
      <c r="OEX5" s="484"/>
      <c r="OEY5" s="484"/>
      <c r="OEZ5" s="484"/>
      <c r="OFA5" s="484"/>
      <c r="OFB5" s="484"/>
      <c r="OFC5" s="484"/>
      <c r="OFD5" s="484"/>
      <c r="OFE5" s="484"/>
      <c r="OFF5" s="484"/>
      <c r="OFG5" s="484"/>
      <c r="OFH5" s="484"/>
      <c r="OFI5" s="484"/>
      <c r="OFJ5" s="484"/>
      <c r="OFK5" s="484"/>
      <c r="OFL5" s="484"/>
      <c r="OFM5" s="484"/>
      <c r="OFN5" s="484"/>
      <c r="OFO5" s="484"/>
      <c r="OFP5" s="484"/>
      <c r="OFQ5" s="484"/>
      <c r="OFR5" s="484"/>
      <c r="OFS5" s="484"/>
      <c r="OFT5" s="484"/>
      <c r="OFU5" s="484"/>
      <c r="OFV5" s="484"/>
      <c r="OFW5" s="484"/>
      <c r="OFX5" s="484"/>
      <c r="OFY5" s="484"/>
      <c r="OFZ5" s="484"/>
      <c r="OGA5" s="484"/>
      <c r="OGB5" s="484"/>
      <c r="OGC5" s="484"/>
      <c r="OGD5" s="484"/>
      <c r="OGE5" s="484"/>
      <c r="OGF5" s="484"/>
      <c r="OGG5" s="484"/>
      <c r="OGH5" s="484"/>
      <c r="OGI5" s="484"/>
      <c r="OGJ5" s="484"/>
      <c r="OGK5" s="484"/>
      <c r="OGL5" s="484"/>
      <c r="OGM5" s="484"/>
      <c r="OGN5" s="484"/>
      <c r="OGO5" s="484"/>
      <c r="OGP5" s="484"/>
      <c r="OGQ5" s="484"/>
      <c r="OGR5" s="484"/>
      <c r="OGS5" s="484"/>
      <c r="OGT5" s="484"/>
      <c r="OGU5" s="484"/>
      <c r="OGV5" s="484"/>
      <c r="OGW5" s="484"/>
      <c r="OGX5" s="484"/>
      <c r="OGY5" s="484"/>
      <c r="OGZ5" s="484"/>
      <c r="OHA5" s="484"/>
      <c r="OHB5" s="484"/>
      <c r="OHC5" s="484"/>
      <c r="OHD5" s="484"/>
      <c r="OHE5" s="484"/>
      <c r="OHF5" s="484"/>
      <c r="OHG5" s="484"/>
      <c r="OHH5" s="484"/>
      <c r="OHI5" s="484"/>
      <c r="OHJ5" s="484"/>
      <c r="OHK5" s="484"/>
      <c r="OHL5" s="484"/>
      <c r="OHM5" s="484"/>
      <c r="OHN5" s="484"/>
      <c r="OHO5" s="484"/>
      <c r="OHP5" s="484"/>
      <c r="OHQ5" s="484"/>
      <c r="OHR5" s="484"/>
      <c r="OHS5" s="484"/>
      <c r="OHT5" s="484"/>
      <c r="OHU5" s="484"/>
      <c r="OHV5" s="484"/>
      <c r="OHW5" s="484"/>
      <c r="OHX5" s="484"/>
      <c r="OHY5" s="484"/>
      <c r="OHZ5" s="484"/>
      <c r="OIA5" s="484"/>
      <c r="OIB5" s="484"/>
      <c r="OIC5" s="484"/>
      <c r="OID5" s="484"/>
      <c r="OIE5" s="484"/>
      <c r="OIF5" s="484"/>
      <c r="OIG5" s="484"/>
      <c r="OIH5" s="484"/>
      <c r="OII5" s="484"/>
      <c r="OIJ5" s="484"/>
      <c r="OIK5" s="484"/>
      <c r="OIL5" s="484"/>
      <c r="OIM5" s="484"/>
      <c r="OIN5" s="484"/>
      <c r="OIO5" s="484"/>
      <c r="OIP5" s="484"/>
      <c r="OIQ5" s="484"/>
      <c r="OIR5" s="484"/>
      <c r="OIS5" s="484"/>
      <c r="OIT5" s="484"/>
      <c r="OIU5" s="484"/>
      <c r="OIV5" s="484"/>
      <c r="OIW5" s="484"/>
      <c r="OIX5" s="484"/>
      <c r="OIY5" s="484"/>
      <c r="OIZ5" s="484"/>
      <c r="OJA5" s="484"/>
      <c r="OJB5" s="484"/>
      <c r="OJC5" s="484"/>
      <c r="OJD5" s="484"/>
      <c r="OJE5" s="484"/>
      <c r="OJF5" s="484"/>
      <c r="OJG5" s="484"/>
      <c r="OJH5" s="484"/>
      <c r="OJI5" s="484"/>
      <c r="OJJ5" s="484"/>
      <c r="OJK5" s="484"/>
      <c r="OJL5" s="484"/>
      <c r="OJM5" s="484"/>
      <c r="OJN5" s="484"/>
      <c r="OJO5" s="484"/>
      <c r="OJP5" s="484"/>
      <c r="OJQ5" s="484"/>
      <c r="OJR5" s="484"/>
      <c r="OJS5" s="484"/>
      <c r="OJT5" s="484"/>
      <c r="OJU5" s="484"/>
      <c r="OJV5" s="484"/>
      <c r="OJW5" s="484"/>
      <c r="OJX5" s="484"/>
      <c r="OJY5" s="484"/>
      <c r="OJZ5" s="484"/>
      <c r="OKA5" s="484"/>
      <c r="OKB5" s="484"/>
      <c r="OKC5" s="484"/>
      <c r="OKD5" s="484"/>
      <c r="OKE5" s="484"/>
      <c r="OKF5" s="484"/>
      <c r="OKG5" s="484"/>
      <c r="OKH5" s="484"/>
      <c r="OKI5" s="484"/>
      <c r="OKJ5" s="484"/>
      <c r="OKK5" s="484"/>
      <c r="OKL5" s="484"/>
      <c r="OKM5" s="484"/>
      <c r="OKN5" s="484"/>
      <c r="OKO5" s="484"/>
      <c r="OKP5" s="484"/>
      <c r="OKQ5" s="484"/>
      <c r="OKR5" s="484"/>
      <c r="OKS5" s="484"/>
      <c r="OKT5" s="484"/>
      <c r="OKU5" s="484"/>
      <c r="OKV5" s="484"/>
      <c r="OKW5" s="484"/>
      <c r="OKX5" s="484"/>
      <c r="OKY5" s="484"/>
      <c r="OKZ5" s="484"/>
      <c r="OLA5" s="484"/>
      <c r="OLB5" s="484"/>
      <c r="OLC5" s="484"/>
      <c r="OLD5" s="484"/>
      <c r="OLE5" s="484"/>
      <c r="OLF5" s="484"/>
      <c r="OLG5" s="484"/>
      <c r="OLH5" s="484"/>
      <c r="OLI5" s="484"/>
      <c r="OLJ5" s="484"/>
      <c r="OLK5" s="484"/>
      <c r="OLL5" s="484"/>
      <c r="OLM5" s="484"/>
      <c r="OLN5" s="484"/>
      <c r="OLO5" s="484"/>
      <c r="OLP5" s="484"/>
      <c r="OLQ5" s="484"/>
      <c r="OLR5" s="484"/>
      <c r="OLS5" s="484"/>
      <c r="OLT5" s="484"/>
      <c r="OLU5" s="484"/>
      <c r="OLV5" s="484"/>
      <c r="OLW5" s="484"/>
      <c r="OLX5" s="484"/>
      <c r="OLY5" s="484"/>
      <c r="OLZ5" s="484"/>
      <c r="OMA5" s="484"/>
      <c r="OMB5" s="484"/>
      <c r="OMC5" s="484"/>
      <c r="OMD5" s="484"/>
      <c r="OME5" s="484"/>
      <c r="OMF5" s="484"/>
      <c r="OMG5" s="484"/>
      <c r="OMH5" s="484"/>
      <c r="OMI5" s="484"/>
      <c r="OMJ5" s="484"/>
      <c r="OMK5" s="484"/>
      <c r="OML5" s="484"/>
      <c r="OMM5" s="484"/>
      <c r="OMN5" s="484"/>
      <c r="OMO5" s="484"/>
      <c r="OMP5" s="484"/>
      <c r="OMQ5" s="484"/>
      <c r="OMR5" s="484"/>
      <c r="OMS5" s="484"/>
      <c r="OMT5" s="484"/>
      <c r="OMU5" s="484"/>
      <c r="OMV5" s="484"/>
      <c r="OMW5" s="484"/>
      <c r="OMX5" s="484"/>
      <c r="OMY5" s="484"/>
      <c r="OMZ5" s="484"/>
      <c r="ONA5" s="484"/>
      <c r="ONB5" s="484"/>
      <c r="ONC5" s="484"/>
      <c r="OND5" s="484"/>
      <c r="ONE5" s="484"/>
      <c r="ONF5" s="484"/>
      <c r="ONG5" s="484"/>
      <c r="ONH5" s="484"/>
      <c r="ONI5" s="484"/>
      <c r="ONJ5" s="484"/>
      <c r="ONK5" s="484"/>
      <c r="ONL5" s="484"/>
      <c r="ONM5" s="484"/>
      <c r="ONN5" s="484"/>
      <c r="ONO5" s="484"/>
      <c r="ONP5" s="484"/>
      <c r="ONQ5" s="484"/>
      <c r="ONR5" s="484"/>
      <c r="ONS5" s="484"/>
      <c r="ONT5" s="484"/>
      <c r="ONU5" s="484"/>
      <c r="ONV5" s="484"/>
      <c r="ONW5" s="484"/>
      <c r="ONX5" s="484"/>
      <c r="ONY5" s="484"/>
      <c r="ONZ5" s="484"/>
      <c r="OOA5" s="484"/>
      <c r="OOB5" s="484"/>
      <c r="OOC5" s="484"/>
      <c r="OOD5" s="484"/>
      <c r="OOE5" s="484"/>
      <c r="OOF5" s="484"/>
      <c r="OOG5" s="484"/>
      <c r="OOH5" s="484"/>
      <c r="OOI5" s="484"/>
      <c r="OOJ5" s="484"/>
      <c r="OOK5" s="484"/>
      <c r="OOL5" s="484"/>
      <c r="OOM5" s="484"/>
      <c r="OON5" s="484"/>
      <c r="OOO5" s="484"/>
      <c r="OOP5" s="484"/>
      <c r="OOQ5" s="484"/>
      <c r="OOR5" s="484"/>
      <c r="OOS5" s="484"/>
      <c r="OOT5" s="484"/>
      <c r="OOU5" s="484"/>
      <c r="OOV5" s="484"/>
      <c r="OOW5" s="484"/>
      <c r="OOX5" s="484"/>
      <c r="OOY5" s="484"/>
      <c r="OOZ5" s="484"/>
      <c r="OPA5" s="484"/>
      <c r="OPB5" s="484"/>
      <c r="OPC5" s="484"/>
      <c r="OPD5" s="484"/>
      <c r="OPE5" s="484"/>
      <c r="OPF5" s="484"/>
      <c r="OPG5" s="484"/>
      <c r="OPH5" s="484"/>
      <c r="OPI5" s="484"/>
      <c r="OPJ5" s="484"/>
      <c r="OPK5" s="484"/>
      <c r="OPL5" s="484"/>
      <c r="OPM5" s="484"/>
      <c r="OPN5" s="484"/>
      <c r="OPO5" s="484"/>
      <c r="OPP5" s="484"/>
      <c r="OPQ5" s="484"/>
      <c r="OPR5" s="484"/>
      <c r="OPS5" s="484"/>
      <c r="OPT5" s="484"/>
      <c r="OPU5" s="484"/>
      <c r="OPV5" s="484"/>
      <c r="OPW5" s="484"/>
      <c r="OPX5" s="484"/>
      <c r="OPY5" s="484"/>
      <c r="OPZ5" s="484"/>
      <c r="OQA5" s="484"/>
      <c r="OQB5" s="484"/>
      <c r="OQC5" s="484"/>
      <c r="OQD5" s="484"/>
      <c r="OQE5" s="484"/>
      <c r="OQF5" s="484"/>
      <c r="OQG5" s="484"/>
      <c r="OQH5" s="484"/>
      <c r="OQI5" s="484"/>
      <c r="OQJ5" s="484"/>
      <c r="OQK5" s="484"/>
      <c r="OQL5" s="484"/>
      <c r="OQM5" s="484"/>
      <c r="OQN5" s="484"/>
      <c r="OQO5" s="484"/>
      <c r="OQP5" s="484"/>
      <c r="OQQ5" s="484"/>
      <c r="OQR5" s="484"/>
      <c r="OQS5" s="484"/>
      <c r="OQT5" s="484"/>
      <c r="OQU5" s="484"/>
      <c r="OQV5" s="484"/>
      <c r="OQW5" s="484"/>
      <c r="OQX5" s="484"/>
      <c r="OQY5" s="484"/>
      <c r="OQZ5" s="484"/>
      <c r="ORA5" s="484"/>
      <c r="ORB5" s="484"/>
      <c r="ORC5" s="484"/>
      <c r="ORD5" s="484"/>
      <c r="ORE5" s="484"/>
      <c r="ORF5" s="484"/>
      <c r="ORG5" s="484"/>
      <c r="ORH5" s="484"/>
      <c r="ORI5" s="484"/>
      <c r="ORJ5" s="484"/>
      <c r="ORK5" s="484"/>
      <c r="ORL5" s="484"/>
      <c r="ORM5" s="484"/>
      <c r="ORN5" s="484"/>
      <c r="ORO5" s="484"/>
      <c r="ORP5" s="484"/>
      <c r="ORQ5" s="484"/>
      <c r="ORR5" s="484"/>
      <c r="ORS5" s="484"/>
      <c r="ORT5" s="484"/>
      <c r="ORU5" s="484"/>
      <c r="ORV5" s="484"/>
      <c r="ORW5" s="484"/>
      <c r="ORX5" s="484"/>
      <c r="ORY5" s="484"/>
      <c r="ORZ5" s="484"/>
      <c r="OSA5" s="484"/>
      <c r="OSB5" s="484"/>
      <c r="OSC5" s="484"/>
      <c r="OSD5" s="484"/>
      <c r="OSE5" s="484"/>
      <c r="OSF5" s="484"/>
      <c r="OSG5" s="484"/>
      <c r="OSH5" s="484"/>
      <c r="OSI5" s="484"/>
      <c r="OSJ5" s="484"/>
      <c r="OSK5" s="484"/>
      <c r="OSL5" s="484"/>
      <c r="OSM5" s="484"/>
      <c r="OSN5" s="484"/>
      <c r="OSO5" s="484"/>
      <c r="OSP5" s="484"/>
      <c r="OSQ5" s="484"/>
      <c r="OSR5" s="484"/>
      <c r="OSS5" s="484"/>
      <c r="OST5" s="484"/>
      <c r="OSU5" s="484"/>
      <c r="OSV5" s="484"/>
      <c r="OSW5" s="484"/>
      <c r="OSX5" s="484"/>
      <c r="OSY5" s="484"/>
      <c r="OSZ5" s="484"/>
      <c r="OTA5" s="484"/>
      <c r="OTB5" s="484"/>
      <c r="OTC5" s="484"/>
      <c r="OTD5" s="484"/>
      <c r="OTE5" s="484"/>
      <c r="OTF5" s="484"/>
      <c r="OTG5" s="484"/>
      <c r="OTH5" s="484"/>
      <c r="OTI5" s="484"/>
      <c r="OTJ5" s="484"/>
      <c r="OTK5" s="484"/>
      <c r="OTL5" s="484"/>
      <c r="OTM5" s="484"/>
      <c r="OTN5" s="484"/>
      <c r="OTO5" s="484"/>
      <c r="OTP5" s="484"/>
      <c r="OTQ5" s="484"/>
      <c r="OTR5" s="484"/>
      <c r="OTS5" s="484"/>
      <c r="OTT5" s="484"/>
      <c r="OTU5" s="484"/>
      <c r="OTV5" s="484"/>
      <c r="OTW5" s="484"/>
      <c r="OTX5" s="484"/>
      <c r="OTY5" s="484"/>
      <c r="OTZ5" s="484"/>
      <c r="OUA5" s="484"/>
      <c r="OUB5" s="484"/>
      <c r="OUC5" s="484"/>
      <c r="OUD5" s="484"/>
      <c r="OUE5" s="484"/>
      <c r="OUF5" s="484"/>
      <c r="OUG5" s="484"/>
      <c r="OUH5" s="484"/>
      <c r="OUI5" s="484"/>
      <c r="OUJ5" s="484"/>
      <c r="OUK5" s="484"/>
      <c r="OUL5" s="484"/>
      <c r="OUM5" s="484"/>
      <c r="OUN5" s="484"/>
      <c r="OUO5" s="484"/>
      <c r="OUP5" s="484"/>
      <c r="OUQ5" s="484"/>
      <c r="OUR5" s="484"/>
      <c r="OUS5" s="484"/>
      <c r="OUT5" s="484"/>
      <c r="OUU5" s="484"/>
      <c r="OUV5" s="484"/>
      <c r="OUW5" s="484"/>
      <c r="OUX5" s="484"/>
      <c r="OUY5" s="484"/>
      <c r="OUZ5" s="484"/>
      <c r="OVA5" s="484"/>
      <c r="OVB5" s="484"/>
      <c r="OVC5" s="484"/>
      <c r="OVD5" s="484"/>
      <c r="OVE5" s="484"/>
      <c r="OVF5" s="484"/>
      <c r="OVG5" s="484"/>
      <c r="OVH5" s="484"/>
      <c r="OVI5" s="484"/>
      <c r="OVJ5" s="484"/>
      <c r="OVK5" s="484"/>
      <c r="OVL5" s="484"/>
      <c r="OVM5" s="484"/>
      <c r="OVN5" s="484"/>
      <c r="OVO5" s="484"/>
      <c r="OVP5" s="484"/>
      <c r="OVQ5" s="484"/>
      <c r="OVR5" s="484"/>
      <c r="OVS5" s="484"/>
      <c r="OVT5" s="484"/>
      <c r="OVU5" s="484"/>
      <c r="OVV5" s="484"/>
      <c r="OVW5" s="484"/>
      <c r="OVX5" s="484"/>
      <c r="OVY5" s="484"/>
      <c r="OVZ5" s="484"/>
      <c r="OWA5" s="484"/>
      <c r="OWB5" s="484"/>
      <c r="OWC5" s="484"/>
      <c r="OWD5" s="484"/>
      <c r="OWE5" s="484"/>
      <c r="OWF5" s="484"/>
      <c r="OWG5" s="484"/>
      <c r="OWH5" s="484"/>
      <c r="OWI5" s="484"/>
      <c r="OWJ5" s="484"/>
      <c r="OWK5" s="484"/>
      <c r="OWL5" s="484"/>
      <c r="OWM5" s="484"/>
      <c r="OWN5" s="484"/>
      <c r="OWO5" s="484"/>
      <c r="OWP5" s="484"/>
      <c r="OWQ5" s="484"/>
      <c r="OWR5" s="484"/>
      <c r="OWS5" s="484"/>
      <c r="OWT5" s="484"/>
      <c r="OWU5" s="484"/>
      <c r="OWV5" s="484"/>
      <c r="OWW5" s="484"/>
      <c r="OWX5" s="484"/>
      <c r="OWY5" s="484"/>
      <c r="OWZ5" s="484"/>
      <c r="OXA5" s="484"/>
      <c r="OXB5" s="484"/>
      <c r="OXC5" s="484"/>
      <c r="OXD5" s="484"/>
      <c r="OXE5" s="484"/>
      <c r="OXF5" s="484"/>
      <c r="OXG5" s="484"/>
      <c r="OXH5" s="484"/>
      <c r="OXI5" s="484"/>
      <c r="OXJ5" s="484"/>
      <c r="OXK5" s="484"/>
      <c r="OXL5" s="484"/>
      <c r="OXM5" s="484"/>
      <c r="OXN5" s="484"/>
      <c r="OXO5" s="484"/>
      <c r="OXP5" s="484"/>
      <c r="OXQ5" s="484"/>
      <c r="OXR5" s="484"/>
      <c r="OXS5" s="484"/>
      <c r="OXT5" s="484"/>
      <c r="OXU5" s="484"/>
      <c r="OXV5" s="484"/>
      <c r="OXW5" s="484"/>
      <c r="OXX5" s="484"/>
      <c r="OXY5" s="484"/>
      <c r="OXZ5" s="484"/>
      <c r="OYA5" s="484"/>
      <c r="OYB5" s="484"/>
      <c r="OYC5" s="484"/>
      <c r="OYD5" s="484"/>
      <c r="OYE5" s="484"/>
      <c r="OYF5" s="484"/>
      <c r="OYG5" s="484"/>
      <c r="OYH5" s="484"/>
      <c r="OYI5" s="484"/>
      <c r="OYJ5" s="484"/>
      <c r="OYK5" s="484"/>
      <c r="OYL5" s="484"/>
      <c r="OYM5" s="484"/>
      <c r="OYN5" s="484"/>
      <c r="OYO5" s="484"/>
      <c r="OYP5" s="484"/>
      <c r="OYQ5" s="484"/>
      <c r="OYR5" s="484"/>
      <c r="OYS5" s="484"/>
      <c r="OYT5" s="484"/>
      <c r="OYU5" s="484"/>
      <c r="OYV5" s="484"/>
      <c r="OYW5" s="484"/>
      <c r="OYX5" s="484"/>
      <c r="OYY5" s="484"/>
      <c r="OYZ5" s="484"/>
      <c r="OZA5" s="484"/>
      <c r="OZB5" s="484"/>
      <c r="OZC5" s="484"/>
      <c r="OZD5" s="484"/>
      <c r="OZE5" s="484"/>
      <c r="OZF5" s="484"/>
      <c r="OZG5" s="484"/>
      <c r="OZH5" s="484"/>
      <c r="OZI5" s="484"/>
      <c r="OZJ5" s="484"/>
      <c r="OZK5" s="484"/>
      <c r="OZL5" s="484"/>
      <c r="OZM5" s="484"/>
      <c r="OZN5" s="484"/>
      <c r="OZO5" s="484"/>
      <c r="OZP5" s="484"/>
      <c r="OZQ5" s="484"/>
      <c r="OZR5" s="484"/>
      <c r="OZS5" s="484"/>
      <c r="OZT5" s="484"/>
      <c r="OZU5" s="484"/>
      <c r="OZV5" s="484"/>
      <c r="OZW5" s="484"/>
      <c r="OZX5" s="484"/>
      <c r="OZY5" s="484"/>
      <c r="OZZ5" s="484"/>
      <c r="PAA5" s="484"/>
      <c r="PAB5" s="484"/>
      <c r="PAC5" s="484"/>
      <c r="PAD5" s="484"/>
      <c r="PAE5" s="484"/>
      <c r="PAF5" s="484"/>
      <c r="PAG5" s="484"/>
      <c r="PAH5" s="484"/>
      <c r="PAI5" s="484"/>
      <c r="PAJ5" s="484"/>
      <c r="PAK5" s="484"/>
      <c r="PAL5" s="484"/>
      <c r="PAM5" s="484"/>
      <c r="PAN5" s="484"/>
      <c r="PAO5" s="484"/>
      <c r="PAP5" s="484"/>
      <c r="PAQ5" s="484"/>
      <c r="PAR5" s="484"/>
      <c r="PAS5" s="484"/>
      <c r="PAT5" s="484"/>
      <c r="PAU5" s="484"/>
      <c r="PAV5" s="484"/>
      <c r="PAW5" s="484"/>
      <c r="PAX5" s="484"/>
      <c r="PAY5" s="484"/>
      <c r="PAZ5" s="484"/>
      <c r="PBA5" s="484"/>
      <c r="PBB5" s="484"/>
      <c r="PBC5" s="484"/>
      <c r="PBD5" s="484"/>
      <c r="PBE5" s="484"/>
      <c r="PBF5" s="484"/>
      <c r="PBG5" s="484"/>
      <c r="PBH5" s="484"/>
      <c r="PBI5" s="484"/>
      <c r="PBJ5" s="484"/>
      <c r="PBK5" s="484"/>
      <c r="PBL5" s="484"/>
      <c r="PBM5" s="484"/>
      <c r="PBN5" s="484"/>
      <c r="PBO5" s="484"/>
      <c r="PBP5" s="484"/>
      <c r="PBQ5" s="484"/>
      <c r="PBR5" s="484"/>
      <c r="PBS5" s="484"/>
      <c r="PBT5" s="484"/>
      <c r="PBU5" s="484"/>
      <c r="PBV5" s="484"/>
      <c r="PBW5" s="484"/>
      <c r="PBX5" s="484"/>
      <c r="PBY5" s="484"/>
      <c r="PBZ5" s="484"/>
      <c r="PCA5" s="484"/>
      <c r="PCB5" s="484"/>
      <c r="PCC5" s="484"/>
      <c r="PCD5" s="484"/>
      <c r="PCE5" s="484"/>
      <c r="PCF5" s="484"/>
      <c r="PCG5" s="484"/>
      <c r="PCH5" s="484"/>
      <c r="PCI5" s="484"/>
      <c r="PCJ5" s="484"/>
      <c r="PCK5" s="484"/>
      <c r="PCL5" s="484"/>
      <c r="PCM5" s="484"/>
      <c r="PCN5" s="484"/>
      <c r="PCO5" s="484"/>
      <c r="PCP5" s="484"/>
      <c r="PCQ5" s="484"/>
      <c r="PCR5" s="484"/>
      <c r="PCS5" s="484"/>
      <c r="PCT5" s="484"/>
      <c r="PCU5" s="484"/>
      <c r="PCV5" s="484"/>
      <c r="PCW5" s="484"/>
      <c r="PCX5" s="484"/>
      <c r="PCY5" s="484"/>
      <c r="PCZ5" s="484"/>
      <c r="PDA5" s="484"/>
      <c r="PDB5" s="484"/>
      <c r="PDC5" s="484"/>
      <c r="PDD5" s="484"/>
      <c r="PDE5" s="484"/>
      <c r="PDF5" s="484"/>
      <c r="PDG5" s="484"/>
      <c r="PDH5" s="484"/>
      <c r="PDI5" s="484"/>
      <c r="PDJ5" s="484"/>
      <c r="PDK5" s="484"/>
      <c r="PDL5" s="484"/>
      <c r="PDM5" s="484"/>
      <c r="PDN5" s="484"/>
      <c r="PDO5" s="484"/>
      <c r="PDP5" s="484"/>
      <c r="PDQ5" s="484"/>
      <c r="PDR5" s="484"/>
      <c r="PDS5" s="484"/>
      <c r="PDT5" s="484"/>
      <c r="PDU5" s="484"/>
      <c r="PDV5" s="484"/>
      <c r="PDW5" s="484"/>
      <c r="PDX5" s="484"/>
      <c r="PDY5" s="484"/>
      <c r="PDZ5" s="484"/>
      <c r="PEA5" s="484"/>
      <c r="PEB5" s="484"/>
      <c r="PEC5" s="484"/>
      <c r="PED5" s="484"/>
      <c r="PEE5" s="484"/>
      <c r="PEF5" s="484"/>
      <c r="PEG5" s="484"/>
      <c r="PEH5" s="484"/>
      <c r="PEI5" s="484"/>
      <c r="PEJ5" s="484"/>
      <c r="PEK5" s="484"/>
      <c r="PEL5" s="484"/>
      <c r="PEM5" s="484"/>
      <c r="PEN5" s="484"/>
      <c r="PEO5" s="484"/>
      <c r="PEP5" s="484"/>
      <c r="PEQ5" s="484"/>
      <c r="PER5" s="484"/>
      <c r="PES5" s="484"/>
      <c r="PET5" s="484"/>
      <c r="PEU5" s="484"/>
      <c r="PEV5" s="484"/>
      <c r="PEW5" s="484"/>
      <c r="PEX5" s="484"/>
      <c r="PEY5" s="484"/>
      <c r="PEZ5" s="484"/>
      <c r="PFA5" s="484"/>
      <c r="PFB5" s="484"/>
      <c r="PFC5" s="484"/>
      <c r="PFD5" s="484"/>
      <c r="PFE5" s="484"/>
      <c r="PFF5" s="484"/>
      <c r="PFG5" s="484"/>
      <c r="PFH5" s="484"/>
      <c r="PFI5" s="484"/>
      <c r="PFJ5" s="484"/>
      <c r="PFK5" s="484"/>
      <c r="PFL5" s="484"/>
      <c r="PFM5" s="484"/>
      <c r="PFN5" s="484"/>
      <c r="PFO5" s="484"/>
      <c r="PFP5" s="484"/>
      <c r="PFQ5" s="484"/>
      <c r="PFR5" s="484"/>
      <c r="PFS5" s="484"/>
      <c r="PFT5" s="484"/>
      <c r="PFU5" s="484"/>
      <c r="PFV5" s="484"/>
      <c r="PFW5" s="484"/>
      <c r="PFX5" s="484"/>
      <c r="PFY5" s="484"/>
      <c r="PFZ5" s="484"/>
      <c r="PGA5" s="484"/>
      <c r="PGB5" s="484"/>
      <c r="PGC5" s="484"/>
      <c r="PGD5" s="484"/>
      <c r="PGE5" s="484"/>
      <c r="PGF5" s="484"/>
      <c r="PGG5" s="484"/>
      <c r="PGH5" s="484"/>
      <c r="PGI5" s="484"/>
      <c r="PGJ5" s="484"/>
      <c r="PGK5" s="484"/>
      <c r="PGL5" s="484"/>
      <c r="PGM5" s="484"/>
      <c r="PGN5" s="484"/>
      <c r="PGO5" s="484"/>
      <c r="PGP5" s="484"/>
      <c r="PGQ5" s="484"/>
      <c r="PGR5" s="484"/>
      <c r="PGS5" s="484"/>
      <c r="PGT5" s="484"/>
      <c r="PGU5" s="484"/>
      <c r="PGV5" s="484"/>
      <c r="PGW5" s="484"/>
      <c r="PGX5" s="484"/>
      <c r="PGY5" s="484"/>
      <c r="PGZ5" s="484"/>
      <c r="PHA5" s="484"/>
      <c r="PHB5" s="484"/>
      <c r="PHC5" s="484"/>
      <c r="PHD5" s="484"/>
      <c r="PHE5" s="484"/>
      <c r="PHF5" s="484"/>
      <c r="PHG5" s="484"/>
      <c r="PHH5" s="484"/>
      <c r="PHI5" s="484"/>
      <c r="PHJ5" s="484"/>
      <c r="PHK5" s="484"/>
      <c r="PHL5" s="484"/>
      <c r="PHM5" s="484"/>
      <c r="PHN5" s="484"/>
      <c r="PHO5" s="484"/>
      <c r="PHP5" s="484"/>
      <c r="PHQ5" s="484"/>
      <c r="PHR5" s="484"/>
      <c r="PHS5" s="484"/>
      <c r="PHT5" s="484"/>
      <c r="PHU5" s="484"/>
      <c r="PHV5" s="484"/>
      <c r="PHW5" s="484"/>
      <c r="PHX5" s="484"/>
      <c r="PHY5" s="484"/>
      <c r="PHZ5" s="484"/>
      <c r="PIA5" s="484"/>
      <c r="PIB5" s="484"/>
      <c r="PIC5" s="484"/>
      <c r="PID5" s="484"/>
      <c r="PIE5" s="484"/>
      <c r="PIF5" s="484"/>
      <c r="PIG5" s="484"/>
      <c r="PIH5" s="484"/>
      <c r="PII5" s="484"/>
      <c r="PIJ5" s="484"/>
      <c r="PIK5" s="484"/>
      <c r="PIL5" s="484"/>
      <c r="PIM5" s="484"/>
      <c r="PIN5" s="484"/>
      <c r="PIO5" s="484"/>
      <c r="PIP5" s="484"/>
      <c r="PIQ5" s="484"/>
      <c r="PIR5" s="484"/>
      <c r="PIS5" s="484"/>
      <c r="PIT5" s="484"/>
      <c r="PIU5" s="484"/>
      <c r="PIV5" s="484"/>
      <c r="PIW5" s="484"/>
      <c r="PIX5" s="484"/>
      <c r="PIY5" s="484"/>
      <c r="PIZ5" s="484"/>
      <c r="PJA5" s="484"/>
      <c r="PJB5" s="484"/>
      <c r="PJC5" s="484"/>
      <c r="PJD5" s="484"/>
      <c r="PJE5" s="484"/>
      <c r="PJF5" s="484"/>
      <c r="PJG5" s="484"/>
      <c r="PJH5" s="484"/>
      <c r="PJI5" s="484"/>
      <c r="PJJ5" s="484"/>
      <c r="PJK5" s="484"/>
      <c r="PJL5" s="484"/>
      <c r="PJM5" s="484"/>
      <c r="PJN5" s="484"/>
      <c r="PJO5" s="484"/>
      <c r="PJP5" s="484"/>
      <c r="PJQ5" s="484"/>
      <c r="PJR5" s="484"/>
      <c r="PJS5" s="484"/>
      <c r="PJT5" s="484"/>
      <c r="PJU5" s="484"/>
      <c r="PJV5" s="484"/>
      <c r="PJW5" s="484"/>
      <c r="PJX5" s="484"/>
      <c r="PJY5" s="484"/>
      <c r="PJZ5" s="484"/>
      <c r="PKA5" s="484"/>
      <c r="PKB5" s="484"/>
      <c r="PKC5" s="484"/>
      <c r="PKD5" s="484"/>
      <c r="PKE5" s="484"/>
      <c r="PKF5" s="484"/>
      <c r="PKG5" s="484"/>
      <c r="PKH5" s="484"/>
      <c r="PKI5" s="484"/>
      <c r="PKJ5" s="484"/>
      <c r="PKK5" s="484"/>
      <c r="PKL5" s="484"/>
      <c r="PKM5" s="484"/>
      <c r="PKN5" s="484"/>
      <c r="PKO5" s="484"/>
      <c r="PKP5" s="484"/>
      <c r="PKQ5" s="484"/>
      <c r="PKR5" s="484"/>
      <c r="PKS5" s="484"/>
      <c r="PKT5" s="484"/>
      <c r="PKU5" s="484"/>
      <c r="PKV5" s="484"/>
      <c r="PKW5" s="484"/>
      <c r="PKX5" s="484"/>
      <c r="PKY5" s="484"/>
      <c r="PKZ5" s="484"/>
      <c r="PLA5" s="484"/>
      <c r="PLB5" s="484"/>
      <c r="PLC5" s="484"/>
      <c r="PLD5" s="484"/>
      <c r="PLE5" s="484"/>
      <c r="PLF5" s="484"/>
      <c r="PLG5" s="484"/>
      <c r="PLH5" s="484"/>
      <c r="PLI5" s="484"/>
      <c r="PLJ5" s="484"/>
      <c r="PLK5" s="484"/>
      <c r="PLL5" s="484"/>
      <c r="PLM5" s="484"/>
      <c r="PLN5" s="484"/>
      <c r="PLO5" s="484"/>
      <c r="PLP5" s="484"/>
      <c r="PLQ5" s="484"/>
      <c r="PLR5" s="484"/>
      <c r="PLS5" s="484"/>
      <c r="PLT5" s="484"/>
      <c r="PLU5" s="484"/>
      <c r="PLV5" s="484"/>
      <c r="PLW5" s="484"/>
      <c r="PLX5" s="484"/>
      <c r="PLY5" s="484"/>
      <c r="PLZ5" s="484"/>
      <c r="PMA5" s="484"/>
      <c r="PMB5" s="484"/>
      <c r="PMC5" s="484"/>
      <c r="PMD5" s="484"/>
      <c r="PME5" s="484"/>
      <c r="PMF5" s="484"/>
      <c r="PMG5" s="484"/>
      <c r="PMH5" s="484"/>
      <c r="PMI5" s="484"/>
      <c r="PMJ5" s="484"/>
      <c r="PMK5" s="484"/>
      <c r="PML5" s="484"/>
      <c r="PMM5" s="484"/>
      <c r="PMN5" s="484"/>
      <c r="PMO5" s="484"/>
      <c r="PMP5" s="484"/>
      <c r="PMQ5" s="484"/>
      <c r="PMR5" s="484"/>
      <c r="PMS5" s="484"/>
      <c r="PMT5" s="484"/>
      <c r="PMU5" s="484"/>
      <c r="PMV5" s="484"/>
      <c r="PMW5" s="484"/>
      <c r="PMX5" s="484"/>
      <c r="PMY5" s="484"/>
      <c r="PMZ5" s="484"/>
      <c r="PNA5" s="484"/>
      <c r="PNB5" s="484"/>
      <c r="PNC5" s="484"/>
      <c r="PND5" s="484"/>
      <c r="PNE5" s="484"/>
      <c r="PNF5" s="484"/>
      <c r="PNG5" s="484"/>
      <c r="PNH5" s="484"/>
      <c r="PNI5" s="484"/>
      <c r="PNJ5" s="484"/>
      <c r="PNK5" s="484"/>
      <c r="PNL5" s="484"/>
      <c r="PNM5" s="484"/>
      <c r="PNN5" s="484"/>
      <c r="PNO5" s="484"/>
      <c r="PNP5" s="484"/>
      <c r="PNQ5" s="484"/>
      <c r="PNR5" s="484"/>
      <c r="PNS5" s="484"/>
      <c r="PNT5" s="484"/>
      <c r="PNU5" s="484"/>
      <c r="PNV5" s="484"/>
      <c r="PNW5" s="484"/>
      <c r="PNX5" s="484"/>
      <c r="PNY5" s="484"/>
      <c r="PNZ5" s="484"/>
      <c r="POA5" s="484"/>
      <c r="POB5" s="484"/>
      <c r="POC5" s="484"/>
      <c r="POD5" s="484"/>
      <c r="POE5" s="484"/>
      <c r="POF5" s="484"/>
      <c r="POG5" s="484"/>
      <c r="POH5" s="484"/>
      <c r="POI5" s="484"/>
      <c r="POJ5" s="484"/>
      <c r="POK5" s="484"/>
      <c r="POL5" s="484"/>
      <c r="POM5" s="484"/>
      <c r="PON5" s="484"/>
      <c r="POO5" s="484"/>
      <c r="POP5" s="484"/>
      <c r="POQ5" s="484"/>
      <c r="POR5" s="484"/>
      <c r="POS5" s="484"/>
      <c r="POT5" s="484"/>
      <c r="POU5" s="484"/>
      <c r="POV5" s="484"/>
      <c r="POW5" s="484"/>
      <c r="POX5" s="484"/>
      <c r="POY5" s="484"/>
      <c r="POZ5" s="484"/>
      <c r="PPA5" s="484"/>
      <c r="PPB5" s="484"/>
      <c r="PPC5" s="484"/>
      <c r="PPD5" s="484"/>
      <c r="PPE5" s="484"/>
      <c r="PPF5" s="484"/>
      <c r="PPG5" s="484"/>
      <c r="PPH5" s="484"/>
      <c r="PPI5" s="484"/>
      <c r="PPJ5" s="484"/>
      <c r="PPK5" s="484"/>
      <c r="PPL5" s="484"/>
      <c r="PPM5" s="484"/>
      <c r="PPN5" s="484"/>
      <c r="PPO5" s="484"/>
      <c r="PPP5" s="484"/>
      <c r="PPQ5" s="484"/>
      <c r="PPR5" s="484"/>
      <c r="PPS5" s="484"/>
      <c r="PPT5" s="484"/>
      <c r="PPU5" s="484"/>
      <c r="PPV5" s="484"/>
      <c r="PPW5" s="484"/>
      <c r="PPX5" s="484"/>
      <c r="PPY5" s="484"/>
      <c r="PPZ5" s="484"/>
      <c r="PQA5" s="484"/>
      <c r="PQB5" s="484"/>
      <c r="PQC5" s="484"/>
      <c r="PQD5" s="484"/>
      <c r="PQE5" s="484"/>
      <c r="PQF5" s="484"/>
      <c r="PQG5" s="484"/>
      <c r="PQH5" s="484"/>
      <c r="PQI5" s="484"/>
      <c r="PQJ5" s="484"/>
      <c r="PQK5" s="484"/>
      <c r="PQL5" s="484"/>
      <c r="PQM5" s="484"/>
      <c r="PQN5" s="484"/>
      <c r="PQO5" s="484"/>
      <c r="PQP5" s="484"/>
      <c r="PQQ5" s="484"/>
      <c r="PQR5" s="484"/>
      <c r="PQS5" s="484"/>
      <c r="PQT5" s="484"/>
      <c r="PQU5" s="484"/>
      <c r="PQV5" s="484"/>
      <c r="PQW5" s="484"/>
      <c r="PQX5" s="484"/>
      <c r="PQY5" s="484"/>
      <c r="PQZ5" s="484"/>
      <c r="PRA5" s="484"/>
      <c r="PRB5" s="484"/>
      <c r="PRC5" s="484"/>
      <c r="PRD5" s="484"/>
      <c r="PRE5" s="484"/>
      <c r="PRF5" s="484"/>
      <c r="PRG5" s="484"/>
      <c r="PRH5" s="484"/>
      <c r="PRI5" s="484"/>
      <c r="PRJ5" s="484"/>
      <c r="PRK5" s="484"/>
      <c r="PRL5" s="484"/>
      <c r="PRM5" s="484"/>
      <c r="PRN5" s="484"/>
      <c r="PRO5" s="484"/>
      <c r="PRP5" s="484"/>
      <c r="PRQ5" s="484"/>
      <c r="PRR5" s="484"/>
      <c r="PRS5" s="484"/>
      <c r="PRT5" s="484"/>
      <c r="PRU5" s="484"/>
      <c r="PRV5" s="484"/>
      <c r="PRW5" s="484"/>
      <c r="PRX5" s="484"/>
      <c r="PRY5" s="484"/>
      <c r="PRZ5" s="484"/>
      <c r="PSA5" s="484"/>
      <c r="PSB5" s="484"/>
      <c r="PSC5" s="484"/>
      <c r="PSD5" s="484"/>
      <c r="PSE5" s="484"/>
      <c r="PSF5" s="484"/>
      <c r="PSG5" s="484"/>
      <c r="PSH5" s="484"/>
      <c r="PSI5" s="484"/>
      <c r="PSJ5" s="484"/>
      <c r="PSK5" s="484"/>
      <c r="PSL5" s="484"/>
      <c r="PSM5" s="484"/>
      <c r="PSN5" s="484"/>
      <c r="PSO5" s="484"/>
      <c r="PSP5" s="484"/>
      <c r="PSQ5" s="484"/>
      <c r="PSR5" s="484"/>
      <c r="PSS5" s="484"/>
      <c r="PST5" s="484"/>
      <c r="PSU5" s="484"/>
      <c r="PSV5" s="484"/>
      <c r="PSW5" s="484"/>
      <c r="PSX5" s="484"/>
      <c r="PSY5" s="484"/>
      <c r="PSZ5" s="484"/>
      <c r="PTA5" s="484"/>
      <c r="PTB5" s="484"/>
      <c r="PTC5" s="484"/>
      <c r="PTD5" s="484"/>
      <c r="PTE5" s="484"/>
      <c r="PTF5" s="484"/>
      <c r="PTG5" s="484"/>
      <c r="PTH5" s="484"/>
      <c r="PTI5" s="484"/>
      <c r="PTJ5" s="484"/>
      <c r="PTK5" s="484"/>
      <c r="PTL5" s="484"/>
      <c r="PTM5" s="484"/>
      <c r="PTN5" s="484"/>
      <c r="PTO5" s="484"/>
      <c r="PTP5" s="484"/>
      <c r="PTQ5" s="484"/>
      <c r="PTR5" s="484"/>
      <c r="PTS5" s="484"/>
      <c r="PTT5" s="484"/>
      <c r="PTU5" s="484"/>
      <c r="PTV5" s="484"/>
      <c r="PTW5" s="484"/>
      <c r="PTX5" s="484"/>
      <c r="PTY5" s="484"/>
      <c r="PTZ5" s="484"/>
      <c r="PUA5" s="484"/>
      <c r="PUB5" s="484"/>
      <c r="PUC5" s="484"/>
      <c r="PUD5" s="484"/>
      <c r="PUE5" s="484"/>
      <c r="PUF5" s="484"/>
      <c r="PUG5" s="484"/>
      <c r="PUH5" s="484"/>
      <c r="PUI5" s="484"/>
      <c r="PUJ5" s="484"/>
      <c r="PUK5" s="484"/>
      <c r="PUL5" s="484"/>
      <c r="PUM5" s="484"/>
      <c r="PUN5" s="484"/>
      <c r="PUO5" s="484"/>
      <c r="PUP5" s="484"/>
      <c r="PUQ5" s="484"/>
      <c r="PUR5" s="484"/>
      <c r="PUS5" s="484"/>
      <c r="PUT5" s="484"/>
      <c r="PUU5" s="484"/>
      <c r="PUV5" s="484"/>
      <c r="PUW5" s="484"/>
      <c r="PUX5" s="484"/>
      <c r="PUY5" s="484"/>
      <c r="PUZ5" s="484"/>
      <c r="PVA5" s="484"/>
      <c r="PVB5" s="484"/>
      <c r="PVC5" s="484"/>
      <c r="PVD5" s="484"/>
      <c r="PVE5" s="484"/>
      <c r="PVF5" s="484"/>
      <c r="PVG5" s="484"/>
      <c r="PVH5" s="484"/>
      <c r="PVI5" s="484"/>
      <c r="PVJ5" s="484"/>
      <c r="PVK5" s="484"/>
      <c r="PVL5" s="484"/>
      <c r="PVM5" s="484"/>
      <c r="PVN5" s="484"/>
      <c r="PVO5" s="484"/>
      <c r="PVP5" s="484"/>
      <c r="PVQ5" s="484"/>
      <c r="PVR5" s="484"/>
      <c r="PVS5" s="484"/>
      <c r="PVT5" s="484"/>
      <c r="PVU5" s="484"/>
      <c r="PVV5" s="484"/>
      <c r="PVW5" s="484"/>
      <c r="PVX5" s="484"/>
      <c r="PVY5" s="484"/>
      <c r="PVZ5" s="484"/>
      <c r="PWA5" s="484"/>
      <c r="PWB5" s="484"/>
      <c r="PWC5" s="484"/>
      <c r="PWD5" s="484"/>
      <c r="PWE5" s="484"/>
      <c r="PWF5" s="484"/>
      <c r="PWG5" s="484"/>
      <c r="PWH5" s="484"/>
      <c r="PWI5" s="484"/>
      <c r="PWJ5" s="484"/>
      <c r="PWK5" s="484"/>
      <c r="PWL5" s="484"/>
      <c r="PWM5" s="484"/>
      <c r="PWN5" s="484"/>
      <c r="PWO5" s="484"/>
      <c r="PWP5" s="484"/>
      <c r="PWQ5" s="484"/>
      <c r="PWR5" s="484"/>
      <c r="PWS5" s="484"/>
      <c r="PWT5" s="484"/>
      <c r="PWU5" s="484"/>
      <c r="PWV5" s="484"/>
      <c r="PWW5" s="484"/>
      <c r="PWX5" s="484"/>
      <c r="PWY5" s="484"/>
      <c r="PWZ5" s="484"/>
      <c r="PXA5" s="484"/>
      <c r="PXB5" s="484"/>
      <c r="PXC5" s="484"/>
      <c r="PXD5" s="484"/>
      <c r="PXE5" s="484"/>
      <c r="PXF5" s="484"/>
      <c r="PXG5" s="484"/>
      <c r="PXH5" s="484"/>
      <c r="PXI5" s="484"/>
      <c r="PXJ5" s="484"/>
      <c r="PXK5" s="484"/>
      <c r="PXL5" s="484"/>
      <c r="PXM5" s="484"/>
      <c r="PXN5" s="484"/>
      <c r="PXO5" s="484"/>
      <c r="PXP5" s="484"/>
      <c r="PXQ5" s="484"/>
      <c r="PXR5" s="484"/>
      <c r="PXS5" s="484"/>
      <c r="PXT5" s="484"/>
      <c r="PXU5" s="484"/>
      <c r="PXV5" s="484"/>
      <c r="PXW5" s="484"/>
      <c r="PXX5" s="484"/>
      <c r="PXY5" s="484"/>
      <c r="PXZ5" s="484"/>
      <c r="PYA5" s="484"/>
      <c r="PYB5" s="484"/>
      <c r="PYC5" s="484"/>
      <c r="PYD5" s="484"/>
      <c r="PYE5" s="484"/>
      <c r="PYF5" s="484"/>
      <c r="PYG5" s="484"/>
      <c r="PYH5" s="484"/>
      <c r="PYI5" s="484"/>
      <c r="PYJ5" s="484"/>
      <c r="PYK5" s="484"/>
      <c r="PYL5" s="484"/>
      <c r="PYM5" s="484"/>
      <c r="PYN5" s="484"/>
      <c r="PYO5" s="484"/>
      <c r="PYP5" s="484"/>
      <c r="PYQ5" s="484"/>
      <c r="PYR5" s="484"/>
      <c r="PYS5" s="484"/>
      <c r="PYT5" s="484"/>
      <c r="PYU5" s="484"/>
      <c r="PYV5" s="484"/>
      <c r="PYW5" s="484"/>
      <c r="PYX5" s="484"/>
      <c r="PYY5" s="484"/>
      <c r="PYZ5" s="484"/>
      <c r="PZA5" s="484"/>
      <c r="PZB5" s="484"/>
      <c r="PZC5" s="484"/>
      <c r="PZD5" s="484"/>
      <c r="PZE5" s="484"/>
      <c r="PZF5" s="484"/>
      <c r="PZG5" s="484"/>
      <c r="PZH5" s="484"/>
      <c r="PZI5" s="484"/>
      <c r="PZJ5" s="484"/>
      <c r="PZK5" s="484"/>
      <c r="PZL5" s="484"/>
      <c r="PZM5" s="484"/>
      <c r="PZN5" s="484"/>
      <c r="PZO5" s="484"/>
      <c r="PZP5" s="484"/>
      <c r="PZQ5" s="484"/>
      <c r="PZR5" s="484"/>
      <c r="PZS5" s="484"/>
      <c r="PZT5" s="484"/>
      <c r="PZU5" s="484"/>
      <c r="PZV5" s="484"/>
      <c r="PZW5" s="484"/>
      <c r="PZX5" s="484"/>
      <c r="PZY5" s="484"/>
      <c r="PZZ5" s="484"/>
      <c r="QAA5" s="484"/>
      <c r="QAB5" s="484"/>
      <c r="QAC5" s="484"/>
      <c r="QAD5" s="484"/>
      <c r="QAE5" s="484"/>
      <c r="QAF5" s="484"/>
      <c r="QAG5" s="484"/>
      <c r="QAH5" s="484"/>
      <c r="QAI5" s="484"/>
      <c r="QAJ5" s="484"/>
      <c r="QAK5" s="484"/>
      <c r="QAL5" s="484"/>
      <c r="QAM5" s="484"/>
      <c r="QAN5" s="484"/>
      <c r="QAO5" s="484"/>
      <c r="QAP5" s="484"/>
      <c r="QAQ5" s="484"/>
      <c r="QAR5" s="484"/>
      <c r="QAS5" s="484"/>
      <c r="QAT5" s="484"/>
      <c r="QAU5" s="484"/>
      <c r="QAV5" s="484"/>
      <c r="QAW5" s="484"/>
      <c r="QAX5" s="484"/>
      <c r="QAY5" s="484"/>
      <c r="QAZ5" s="484"/>
      <c r="QBA5" s="484"/>
      <c r="QBB5" s="484"/>
      <c r="QBC5" s="484"/>
      <c r="QBD5" s="484"/>
      <c r="QBE5" s="484"/>
      <c r="QBF5" s="484"/>
      <c r="QBG5" s="484"/>
      <c r="QBH5" s="484"/>
      <c r="QBI5" s="484"/>
      <c r="QBJ5" s="484"/>
      <c r="QBK5" s="484"/>
      <c r="QBL5" s="484"/>
      <c r="QBM5" s="484"/>
      <c r="QBN5" s="484"/>
      <c r="QBO5" s="484"/>
      <c r="QBP5" s="484"/>
      <c r="QBQ5" s="484"/>
      <c r="QBR5" s="484"/>
      <c r="QBS5" s="484"/>
      <c r="QBT5" s="484"/>
      <c r="QBU5" s="484"/>
      <c r="QBV5" s="484"/>
      <c r="QBW5" s="484"/>
      <c r="QBX5" s="484"/>
      <c r="QBY5" s="484"/>
      <c r="QBZ5" s="484"/>
      <c r="QCA5" s="484"/>
      <c r="QCB5" s="484"/>
      <c r="QCC5" s="484"/>
      <c r="QCD5" s="484"/>
      <c r="QCE5" s="484"/>
      <c r="QCF5" s="484"/>
      <c r="QCG5" s="484"/>
      <c r="QCH5" s="484"/>
      <c r="QCI5" s="484"/>
      <c r="QCJ5" s="484"/>
      <c r="QCK5" s="484"/>
      <c r="QCL5" s="484"/>
      <c r="QCM5" s="484"/>
      <c r="QCN5" s="484"/>
      <c r="QCO5" s="484"/>
      <c r="QCP5" s="484"/>
      <c r="QCQ5" s="484"/>
      <c r="QCR5" s="484"/>
      <c r="QCS5" s="484"/>
      <c r="QCT5" s="484"/>
      <c r="QCU5" s="484"/>
      <c r="QCV5" s="484"/>
      <c r="QCW5" s="484"/>
      <c r="QCX5" s="484"/>
      <c r="QCY5" s="484"/>
      <c r="QCZ5" s="484"/>
      <c r="QDA5" s="484"/>
      <c r="QDB5" s="484"/>
      <c r="QDC5" s="484"/>
      <c r="QDD5" s="484"/>
      <c r="QDE5" s="484"/>
      <c r="QDF5" s="484"/>
      <c r="QDG5" s="484"/>
      <c r="QDH5" s="484"/>
      <c r="QDI5" s="484"/>
      <c r="QDJ5" s="484"/>
      <c r="QDK5" s="484"/>
      <c r="QDL5" s="484"/>
      <c r="QDM5" s="484"/>
      <c r="QDN5" s="484"/>
      <c r="QDO5" s="484"/>
      <c r="QDP5" s="484"/>
      <c r="QDQ5" s="484"/>
      <c r="QDR5" s="484"/>
      <c r="QDS5" s="484"/>
      <c r="QDT5" s="484"/>
      <c r="QDU5" s="484"/>
      <c r="QDV5" s="484"/>
      <c r="QDW5" s="484"/>
      <c r="QDX5" s="484"/>
      <c r="QDY5" s="484"/>
      <c r="QDZ5" s="484"/>
      <c r="QEA5" s="484"/>
      <c r="QEB5" s="484"/>
      <c r="QEC5" s="484"/>
      <c r="QED5" s="484"/>
      <c r="QEE5" s="484"/>
      <c r="QEF5" s="484"/>
      <c r="QEG5" s="484"/>
      <c r="QEH5" s="484"/>
      <c r="QEI5" s="484"/>
      <c r="QEJ5" s="484"/>
      <c r="QEK5" s="484"/>
      <c r="QEL5" s="484"/>
      <c r="QEM5" s="484"/>
      <c r="QEN5" s="484"/>
      <c r="QEO5" s="484"/>
      <c r="QEP5" s="484"/>
      <c r="QEQ5" s="484"/>
      <c r="QER5" s="484"/>
      <c r="QES5" s="484"/>
      <c r="QET5" s="484"/>
      <c r="QEU5" s="484"/>
      <c r="QEV5" s="484"/>
      <c r="QEW5" s="484"/>
      <c r="QEX5" s="484"/>
      <c r="QEY5" s="484"/>
      <c r="QEZ5" s="484"/>
      <c r="QFA5" s="484"/>
      <c r="QFB5" s="484"/>
      <c r="QFC5" s="484"/>
      <c r="QFD5" s="484"/>
      <c r="QFE5" s="484"/>
      <c r="QFF5" s="484"/>
      <c r="QFG5" s="484"/>
      <c r="QFH5" s="484"/>
      <c r="QFI5" s="484"/>
      <c r="QFJ5" s="484"/>
      <c r="QFK5" s="484"/>
      <c r="QFL5" s="484"/>
      <c r="QFM5" s="484"/>
      <c r="QFN5" s="484"/>
      <c r="QFO5" s="484"/>
      <c r="QFP5" s="484"/>
      <c r="QFQ5" s="484"/>
      <c r="QFR5" s="484"/>
      <c r="QFS5" s="484"/>
      <c r="QFT5" s="484"/>
      <c r="QFU5" s="484"/>
      <c r="QFV5" s="484"/>
      <c r="QFW5" s="484"/>
      <c r="QFX5" s="484"/>
      <c r="QFY5" s="484"/>
      <c r="QFZ5" s="484"/>
      <c r="QGA5" s="484"/>
      <c r="QGB5" s="484"/>
      <c r="QGC5" s="484"/>
      <c r="QGD5" s="484"/>
      <c r="QGE5" s="484"/>
      <c r="QGF5" s="484"/>
      <c r="QGG5" s="484"/>
      <c r="QGH5" s="484"/>
      <c r="QGI5" s="484"/>
      <c r="QGJ5" s="484"/>
      <c r="QGK5" s="484"/>
      <c r="QGL5" s="484"/>
      <c r="QGM5" s="484"/>
      <c r="QGN5" s="484"/>
      <c r="QGO5" s="484"/>
      <c r="QGP5" s="484"/>
      <c r="QGQ5" s="484"/>
      <c r="QGR5" s="484"/>
      <c r="QGS5" s="484"/>
      <c r="QGT5" s="484"/>
      <c r="QGU5" s="484"/>
      <c r="QGV5" s="484"/>
      <c r="QGW5" s="484"/>
      <c r="QGX5" s="484"/>
      <c r="QGY5" s="484"/>
      <c r="QGZ5" s="484"/>
      <c r="QHA5" s="484"/>
      <c r="QHB5" s="484"/>
      <c r="QHC5" s="484"/>
      <c r="QHD5" s="484"/>
      <c r="QHE5" s="484"/>
      <c r="QHF5" s="484"/>
      <c r="QHG5" s="484"/>
      <c r="QHH5" s="484"/>
      <c r="QHI5" s="484"/>
      <c r="QHJ5" s="484"/>
      <c r="QHK5" s="484"/>
      <c r="QHL5" s="484"/>
      <c r="QHM5" s="484"/>
      <c r="QHN5" s="484"/>
      <c r="QHO5" s="484"/>
      <c r="QHP5" s="484"/>
      <c r="QHQ5" s="484"/>
      <c r="QHR5" s="484"/>
      <c r="QHS5" s="484"/>
      <c r="QHT5" s="484"/>
      <c r="QHU5" s="484"/>
      <c r="QHV5" s="484"/>
      <c r="QHW5" s="484"/>
      <c r="QHX5" s="484"/>
      <c r="QHY5" s="484"/>
      <c r="QHZ5" s="484"/>
      <c r="QIA5" s="484"/>
      <c r="QIB5" s="484"/>
      <c r="QIC5" s="484"/>
      <c r="QID5" s="484"/>
      <c r="QIE5" s="484"/>
      <c r="QIF5" s="484"/>
      <c r="QIG5" s="484"/>
      <c r="QIH5" s="484"/>
      <c r="QII5" s="484"/>
      <c r="QIJ5" s="484"/>
      <c r="QIK5" s="484"/>
      <c r="QIL5" s="484"/>
      <c r="QIM5" s="484"/>
      <c r="QIN5" s="484"/>
      <c r="QIO5" s="484"/>
      <c r="QIP5" s="484"/>
      <c r="QIQ5" s="484"/>
      <c r="QIR5" s="484"/>
      <c r="QIS5" s="484"/>
      <c r="QIT5" s="484"/>
      <c r="QIU5" s="484"/>
      <c r="QIV5" s="484"/>
      <c r="QIW5" s="484"/>
      <c r="QIX5" s="484"/>
      <c r="QIY5" s="484"/>
      <c r="QIZ5" s="484"/>
      <c r="QJA5" s="484"/>
      <c r="QJB5" s="484"/>
      <c r="QJC5" s="484"/>
      <c r="QJD5" s="484"/>
      <c r="QJE5" s="484"/>
      <c r="QJF5" s="484"/>
      <c r="QJG5" s="484"/>
      <c r="QJH5" s="484"/>
      <c r="QJI5" s="484"/>
      <c r="QJJ5" s="484"/>
      <c r="QJK5" s="484"/>
      <c r="QJL5" s="484"/>
      <c r="QJM5" s="484"/>
      <c r="QJN5" s="484"/>
      <c r="QJO5" s="484"/>
      <c r="QJP5" s="484"/>
      <c r="QJQ5" s="484"/>
      <c r="QJR5" s="484"/>
      <c r="QJS5" s="484"/>
      <c r="QJT5" s="484"/>
      <c r="QJU5" s="484"/>
      <c r="QJV5" s="484"/>
      <c r="QJW5" s="484"/>
      <c r="QJX5" s="484"/>
      <c r="QJY5" s="484"/>
      <c r="QJZ5" s="484"/>
      <c r="QKA5" s="484"/>
      <c r="QKB5" s="484"/>
      <c r="QKC5" s="484"/>
      <c r="QKD5" s="484"/>
      <c r="QKE5" s="484"/>
      <c r="QKF5" s="484"/>
      <c r="QKG5" s="484"/>
      <c r="QKH5" s="484"/>
      <c r="QKI5" s="484"/>
      <c r="QKJ5" s="484"/>
      <c r="QKK5" s="484"/>
      <c r="QKL5" s="484"/>
      <c r="QKM5" s="484"/>
      <c r="QKN5" s="484"/>
      <c r="QKO5" s="484"/>
      <c r="QKP5" s="484"/>
      <c r="QKQ5" s="484"/>
      <c r="QKR5" s="484"/>
      <c r="QKS5" s="484"/>
      <c r="QKT5" s="484"/>
      <c r="QKU5" s="484"/>
      <c r="QKV5" s="484"/>
      <c r="QKW5" s="484"/>
      <c r="QKX5" s="484"/>
      <c r="QKY5" s="484"/>
      <c r="QKZ5" s="484"/>
      <c r="QLA5" s="484"/>
      <c r="QLB5" s="484"/>
      <c r="QLC5" s="484"/>
      <c r="QLD5" s="484"/>
      <c r="QLE5" s="484"/>
      <c r="QLF5" s="484"/>
      <c r="QLG5" s="484"/>
      <c r="QLH5" s="484"/>
      <c r="QLI5" s="484"/>
      <c r="QLJ5" s="484"/>
      <c r="QLK5" s="484"/>
      <c r="QLL5" s="484"/>
      <c r="QLM5" s="484"/>
      <c r="QLN5" s="484"/>
      <c r="QLO5" s="484"/>
      <c r="QLP5" s="484"/>
      <c r="QLQ5" s="484"/>
      <c r="QLR5" s="484"/>
      <c r="QLS5" s="484"/>
      <c r="QLT5" s="484"/>
      <c r="QLU5" s="484"/>
      <c r="QLV5" s="484"/>
      <c r="QLW5" s="484"/>
      <c r="QLX5" s="484"/>
      <c r="QLY5" s="484"/>
      <c r="QLZ5" s="484"/>
      <c r="QMA5" s="484"/>
      <c r="QMB5" s="484"/>
      <c r="QMC5" s="484"/>
      <c r="QMD5" s="484"/>
      <c r="QME5" s="484"/>
      <c r="QMF5" s="484"/>
      <c r="QMG5" s="484"/>
      <c r="QMH5" s="484"/>
      <c r="QMI5" s="484"/>
      <c r="QMJ5" s="484"/>
      <c r="QMK5" s="484"/>
      <c r="QML5" s="484"/>
      <c r="QMM5" s="484"/>
      <c r="QMN5" s="484"/>
      <c r="QMO5" s="484"/>
      <c r="QMP5" s="484"/>
      <c r="QMQ5" s="484"/>
      <c r="QMR5" s="484"/>
      <c r="QMS5" s="484"/>
      <c r="QMT5" s="484"/>
      <c r="QMU5" s="484"/>
      <c r="QMV5" s="484"/>
      <c r="QMW5" s="484"/>
      <c r="QMX5" s="484"/>
      <c r="QMY5" s="484"/>
      <c r="QMZ5" s="484"/>
      <c r="QNA5" s="484"/>
      <c r="QNB5" s="484"/>
      <c r="QNC5" s="484"/>
      <c r="QND5" s="484"/>
      <c r="QNE5" s="484"/>
      <c r="QNF5" s="484"/>
      <c r="QNG5" s="484"/>
      <c r="QNH5" s="484"/>
      <c r="QNI5" s="484"/>
      <c r="QNJ5" s="484"/>
      <c r="QNK5" s="484"/>
      <c r="QNL5" s="484"/>
      <c r="QNM5" s="484"/>
      <c r="QNN5" s="484"/>
      <c r="QNO5" s="484"/>
      <c r="QNP5" s="484"/>
      <c r="QNQ5" s="484"/>
      <c r="QNR5" s="484"/>
      <c r="QNS5" s="484"/>
      <c r="QNT5" s="484"/>
      <c r="QNU5" s="484"/>
      <c r="QNV5" s="484"/>
      <c r="QNW5" s="484"/>
      <c r="QNX5" s="484"/>
      <c r="QNY5" s="484"/>
      <c r="QNZ5" s="484"/>
      <c r="QOA5" s="484"/>
      <c r="QOB5" s="484"/>
      <c r="QOC5" s="484"/>
      <c r="QOD5" s="484"/>
      <c r="QOE5" s="484"/>
      <c r="QOF5" s="484"/>
      <c r="QOG5" s="484"/>
      <c r="QOH5" s="484"/>
      <c r="QOI5" s="484"/>
      <c r="QOJ5" s="484"/>
      <c r="QOK5" s="484"/>
      <c r="QOL5" s="484"/>
      <c r="QOM5" s="484"/>
      <c r="QON5" s="484"/>
      <c r="QOO5" s="484"/>
      <c r="QOP5" s="484"/>
      <c r="QOQ5" s="484"/>
      <c r="QOR5" s="484"/>
      <c r="QOS5" s="484"/>
      <c r="QOT5" s="484"/>
      <c r="QOU5" s="484"/>
      <c r="QOV5" s="484"/>
      <c r="QOW5" s="484"/>
      <c r="QOX5" s="484"/>
      <c r="QOY5" s="484"/>
      <c r="QOZ5" s="484"/>
      <c r="QPA5" s="484"/>
      <c r="QPB5" s="484"/>
      <c r="QPC5" s="484"/>
      <c r="QPD5" s="484"/>
      <c r="QPE5" s="484"/>
      <c r="QPF5" s="484"/>
      <c r="QPG5" s="484"/>
      <c r="QPH5" s="484"/>
      <c r="QPI5" s="484"/>
      <c r="QPJ5" s="484"/>
      <c r="QPK5" s="484"/>
      <c r="QPL5" s="484"/>
      <c r="QPM5" s="484"/>
      <c r="QPN5" s="484"/>
      <c r="QPO5" s="484"/>
      <c r="QPP5" s="484"/>
      <c r="QPQ5" s="484"/>
      <c r="QPR5" s="484"/>
      <c r="QPS5" s="484"/>
      <c r="QPT5" s="484"/>
      <c r="QPU5" s="484"/>
      <c r="QPV5" s="484"/>
      <c r="QPW5" s="484"/>
      <c r="QPX5" s="484"/>
      <c r="QPY5" s="484"/>
      <c r="QPZ5" s="484"/>
      <c r="QQA5" s="484"/>
      <c r="QQB5" s="484"/>
      <c r="QQC5" s="484"/>
      <c r="QQD5" s="484"/>
      <c r="QQE5" s="484"/>
      <c r="QQF5" s="484"/>
      <c r="QQG5" s="484"/>
      <c r="QQH5" s="484"/>
      <c r="QQI5" s="484"/>
      <c r="QQJ5" s="484"/>
      <c r="QQK5" s="484"/>
      <c r="QQL5" s="484"/>
      <c r="QQM5" s="484"/>
      <c r="QQN5" s="484"/>
      <c r="QQO5" s="484"/>
      <c r="QQP5" s="484"/>
      <c r="QQQ5" s="484"/>
      <c r="QQR5" s="484"/>
      <c r="QQS5" s="484"/>
      <c r="QQT5" s="484"/>
      <c r="QQU5" s="484"/>
      <c r="QQV5" s="484"/>
      <c r="QQW5" s="484"/>
      <c r="QQX5" s="484"/>
      <c r="QQY5" s="484"/>
      <c r="QQZ5" s="484"/>
      <c r="QRA5" s="484"/>
      <c r="QRB5" s="484"/>
      <c r="QRC5" s="484"/>
      <c r="QRD5" s="484"/>
      <c r="QRE5" s="484"/>
      <c r="QRF5" s="484"/>
      <c r="QRG5" s="484"/>
      <c r="QRH5" s="484"/>
      <c r="QRI5" s="484"/>
      <c r="QRJ5" s="484"/>
      <c r="QRK5" s="484"/>
      <c r="QRL5" s="484"/>
      <c r="QRM5" s="484"/>
      <c r="QRN5" s="484"/>
      <c r="QRO5" s="484"/>
      <c r="QRP5" s="484"/>
      <c r="QRQ5" s="484"/>
      <c r="QRR5" s="484"/>
      <c r="QRS5" s="484"/>
      <c r="QRT5" s="484"/>
      <c r="QRU5" s="484"/>
      <c r="QRV5" s="484"/>
      <c r="QRW5" s="484"/>
      <c r="QRX5" s="484"/>
      <c r="QRY5" s="484"/>
      <c r="QRZ5" s="484"/>
      <c r="QSA5" s="484"/>
      <c r="QSB5" s="484"/>
      <c r="QSC5" s="484"/>
      <c r="QSD5" s="484"/>
      <c r="QSE5" s="484"/>
      <c r="QSF5" s="484"/>
      <c r="QSG5" s="484"/>
      <c r="QSH5" s="484"/>
      <c r="QSI5" s="484"/>
      <c r="QSJ5" s="484"/>
      <c r="QSK5" s="484"/>
      <c r="QSL5" s="484"/>
      <c r="QSM5" s="484"/>
      <c r="QSN5" s="484"/>
      <c r="QSO5" s="484"/>
      <c r="QSP5" s="484"/>
      <c r="QSQ5" s="484"/>
      <c r="QSR5" s="484"/>
      <c r="QSS5" s="484"/>
      <c r="QST5" s="484"/>
      <c r="QSU5" s="484"/>
      <c r="QSV5" s="484"/>
      <c r="QSW5" s="484"/>
      <c r="QSX5" s="484"/>
      <c r="QSY5" s="484"/>
      <c r="QSZ5" s="484"/>
      <c r="QTA5" s="484"/>
      <c r="QTB5" s="484"/>
      <c r="QTC5" s="484"/>
      <c r="QTD5" s="484"/>
      <c r="QTE5" s="484"/>
      <c r="QTF5" s="484"/>
      <c r="QTG5" s="484"/>
      <c r="QTH5" s="484"/>
      <c r="QTI5" s="484"/>
      <c r="QTJ5" s="484"/>
      <c r="QTK5" s="484"/>
      <c r="QTL5" s="484"/>
      <c r="QTM5" s="484"/>
      <c r="QTN5" s="484"/>
      <c r="QTO5" s="484"/>
      <c r="QTP5" s="484"/>
      <c r="QTQ5" s="484"/>
      <c r="QTR5" s="484"/>
      <c r="QTS5" s="484"/>
      <c r="QTT5" s="484"/>
      <c r="QTU5" s="484"/>
      <c r="QTV5" s="484"/>
      <c r="QTW5" s="484"/>
      <c r="QTX5" s="484"/>
      <c r="QTY5" s="484"/>
      <c r="QTZ5" s="484"/>
      <c r="QUA5" s="484"/>
      <c r="QUB5" s="484"/>
      <c r="QUC5" s="484"/>
      <c r="QUD5" s="484"/>
      <c r="QUE5" s="484"/>
      <c r="QUF5" s="484"/>
      <c r="QUG5" s="484"/>
      <c r="QUH5" s="484"/>
      <c r="QUI5" s="484"/>
      <c r="QUJ5" s="484"/>
      <c r="QUK5" s="484"/>
      <c r="QUL5" s="484"/>
      <c r="QUM5" s="484"/>
      <c r="QUN5" s="484"/>
      <c r="QUO5" s="484"/>
      <c r="QUP5" s="484"/>
      <c r="QUQ5" s="484"/>
      <c r="QUR5" s="484"/>
      <c r="QUS5" s="484"/>
      <c r="QUT5" s="484"/>
      <c r="QUU5" s="484"/>
      <c r="QUV5" s="484"/>
      <c r="QUW5" s="484"/>
      <c r="QUX5" s="484"/>
      <c r="QUY5" s="484"/>
      <c r="QUZ5" s="484"/>
      <c r="QVA5" s="484"/>
      <c r="QVB5" s="484"/>
      <c r="QVC5" s="484"/>
      <c r="QVD5" s="484"/>
      <c r="QVE5" s="484"/>
      <c r="QVF5" s="484"/>
      <c r="QVG5" s="484"/>
      <c r="QVH5" s="484"/>
      <c r="QVI5" s="484"/>
      <c r="QVJ5" s="484"/>
      <c r="QVK5" s="484"/>
      <c r="QVL5" s="484"/>
      <c r="QVM5" s="484"/>
      <c r="QVN5" s="484"/>
      <c r="QVO5" s="484"/>
      <c r="QVP5" s="484"/>
      <c r="QVQ5" s="484"/>
      <c r="QVR5" s="484"/>
      <c r="QVS5" s="484"/>
      <c r="QVT5" s="484"/>
      <c r="QVU5" s="484"/>
      <c r="QVV5" s="484"/>
      <c r="QVW5" s="484"/>
      <c r="QVX5" s="484"/>
      <c r="QVY5" s="484"/>
      <c r="QVZ5" s="484"/>
      <c r="QWA5" s="484"/>
      <c r="QWB5" s="484"/>
      <c r="QWC5" s="484"/>
      <c r="QWD5" s="484"/>
      <c r="QWE5" s="484"/>
      <c r="QWF5" s="484"/>
      <c r="QWG5" s="484"/>
      <c r="QWH5" s="484"/>
      <c r="QWI5" s="484"/>
      <c r="QWJ5" s="484"/>
      <c r="QWK5" s="484"/>
      <c r="QWL5" s="484"/>
      <c r="QWM5" s="484"/>
      <c r="QWN5" s="484"/>
      <c r="QWO5" s="484"/>
      <c r="QWP5" s="484"/>
      <c r="QWQ5" s="484"/>
      <c r="QWR5" s="484"/>
      <c r="QWS5" s="484"/>
      <c r="QWT5" s="484"/>
      <c r="QWU5" s="484"/>
      <c r="QWV5" s="484"/>
      <c r="QWW5" s="484"/>
      <c r="QWX5" s="484"/>
      <c r="QWY5" s="484"/>
      <c r="QWZ5" s="484"/>
      <c r="QXA5" s="484"/>
      <c r="QXB5" s="484"/>
      <c r="QXC5" s="484"/>
      <c r="QXD5" s="484"/>
      <c r="QXE5" s="484"/>
      <c r="QXF5" s="484"/>
      <c r="QXG5" s="484"/>
      <c r="QXH5" s="484"/>
      <c r="QXI5" s="484"/>
      <c r="QXJ5" s="484"/>
      <c r="QXK5" s="484"/>
      <c r="QXL5" s="484"/>
      <c r="QXM5" s="484"/>
      <c r="QXN5" s="484"/>
      <c r="QXO5" s="484"/>
      <c r="QXP5" s="484"/>
      <c r="QXQ5" s="484"/>
      <c r="QXR5" s="484"/>
      <c r="QXS5" s="484"/>
      <c r="QXT5" s="484"/>
      <c r="QXU5" s="484"/>
      <c r="QXV5" s="484"/>
      <c r="QXW5" s="484"/>
      <c r="QXX5" s="484"/>
      <c r="QXY5" s="484"/>
      <c r="QXZ5" s="484"/>
      <c r="QYA5" s="484"/>
      <c r="QYB5" s="484"/>
      <c r="QYC5" s="484"/>
      <c r="QYD5" s="484"/>
      <c r="QYE5" s="484"/>
      <c r="QYF5" s="484"/>
      <c r="QYG5" s="484"/>
      <c r="QYH5" s="484"/>
      <c r="QYI5" s="484"/>
      <c r="QYJ5" s="484"/>
      <c r="QYK5" s="484"/>
      <c r="QYL5" s="484"/>
      <c r="QYM5" s="484"/>
      <c r="QYN5" s="484"/>
      <c r="QYO5" s="484"/>
      <c r="QYP5" s="484"/>
      <c r="QYQ5" s="484"/>
      <c r="QYR5" s="484"/>
      <c r="QYS5" s="484"/>
      <c r="QYT5" s="484"/>
      <c r="QYU5" s="484"/>
      <c r="QYV5" s="484"/>
      <c r="QYW5" s="484"/>
      <c r="QYX5" s="484"/>
      <c r="QYY5" s="484"/>
      <c r="QYZ5" s="484"/>
      <c r="QZA5" s="484"/>
      <c r="QZB5" s="484"/>
      <c r="QZC5" s="484"/>
      <c r="QZD5" s="484"/>
      <c r="QZE5" s="484"/>
      <c r="QZF5" s="484"/>
      <c r="QZG5" s="484"/>
      <c r="QZH5" s="484"/>
      <c r="QZI5" s="484"/>
      <c r="QZJ5" s="484"/>
      <c r="QZK5" s="484"/>
      <c r="QZL5" s="484"/>
      <c r="QZM5" s="484"/>
      <c r="QZN5" s="484"/>
      <c r="QZO5" s="484"/>
      <c r="QZP5" s="484"/>
      <c r="QZQ5" s="484"/>
      <c r="QZR5" s="484"/>
      <c r="QZS5" s="484"/>
      <c r="QZT5" s="484"/>
      <c r="QZU5" s="484"/>
      <c r="QZV5" s="484"/>
      <c r="QZW5" s="484"/>
      <c r="QZX5" s="484"/>
      <c r="QZY5" s="484"/>
      <c r="QZZ5" s="484"/>
      <c r="RAA5" s="484"/>
      <c r="RAB5" s="484"/>
      <c r="RAC5" s="484"/>
      <c r="RAD5" s="484"/>
      <c r="RAE5" s="484"/>
      <c r="RAF5" s="484"/>
      <c r="RAG5" s="484"/>
      <c r="RAH5" s="484"/>
      <c r="RAI5" s="484"/>
      <c r="RAJ5" s="484"/>
      <c r="RAK5" s="484"/>
      <c r="RAL5" s="484"/>
      <c r="RAM5" s="484"/>
      <c r="RAN5" s="484"/>
      <c r="RAO5" s="484"/>
      <c r="RAP5" s="484"/>
      <c r="RAQ5" s="484"/>
      <c r="RAR5" s="484"/>
      <c r="RAS5" s="484"/>
      <c r="RAT5" s="484"/>
      <c r="RAU5" s="484"/>
      <c r="RAV5" s="484"/>
      <c r="RAW5" s="484"/>
      <c r="RAX5" s="484"/>
      <c r="RAY5" s="484"/>
      <c r="RAZ5" s="484"/>
      <c r="RBA5" s="484"/>
      <c r="RBB5" s="484"/>
      <c r="RBC5" s="484"/>
      <c r="RBD5" s="484"/>
      <c r="RBE5" s="484"/>
      <c r="RBF5" s="484"/>
      <c r="RBG5" s="484"/>
      <c r="RBH5" s="484"/>
      <c r="RBI5" s="484"/>
      <c r="RBJ5" s="484"/>
      <c r="RBK5" s="484"/>
      <c r="RBL5" s="484"/>
      <c r="RBM5" s="484"/>
      <c r="RBN5" s="484"/>
      <c r="RBO5" s="484"/>
      <c r="RBP5" s="484"/>
      <c r="RBQ5" s="484"/>
      <c r="RBR5" s="484"/>
      <c r="RBS5" s="484"/>
      <c r="RBT5" s="484"/>
      <c r="RBU5" s="484"/>
      <c r="RBV5" s="484"/>
      <c r="RBW5" s="484"/>
      <c r="RBX5" s="484"/>
      <c r="RBY5" s="484"/>
      <c r="RBZ5" s="484"/>
      <c r="RCA5" s="484"/>
      <c r="RCB5" s="484"/>
      <c r="RCC5" s="484"/>
      <c r="RCD5" s="484"/>
      <c r="RCE5" s="484"/>
      <c r="RCF5" s="484"/>
      <c r="RCG5" s="484"/>
      <c r="RCH5" s="484"/>
      <c r="RCI5" s="484"/>
      <c r="RCJ5" s="484"/>
      <c r="RCK5" s="484"/>
      <c r="RCL5" s="484"/>
      <c r="RCM5" s="484"/>
      <c r="RCN5" s="484"/>
      <c r="RCO5" s="484"/>
      <c r="RCP5" s="484"/>
      <c r="RCQ5" s="484"/>
      <c r="RCR5" s="484"/>
      <c r="RCS5" s="484"/>
      <c r="RCT5" s="484"/>
      <c r="RCU5" s="484"/>
      <c r="RCV5" s="484"/>
      <c r="RCW5" s="484"/>
      <c r="RCX5" s="484"/>
      <c r="RCY5" s="484"/>
      <c r="RCZ5" s="484"/>
      <c r="RDA5" s="484"/>
      <c r="RDB5" s="484"/>
      <c r="RDC5" s="484"/>
      <c r="RDD5" s="484"/>
      <c r="RDE5" s="484"/>
      <c r="RDF5" s="484"/>
      <c r="RDG5" s="484"/>
      <c r="RDH5" s="484"/>
      <c r="RDI5" s="484"/>
      <c r="RDJ5" s="484"/>
      <c r="RDK5" s="484"/>
      <c r="RDL5" s="484"/>
      <c r="RDM5" s="484"/>
      <c r="RDN5" s="484"/>
      <c r="RDO5" s="484"/>
      <c r="RDP5" s="484"/>
      <c r="RDQ5" s="484"/>
      <c r="RDR5" s="484"/>
      <c r="RDS5" s="484"/>
      <c r="RDT5" s="484"/>
      <c r="RDU5" s="484"/>
      <c r="RDV5" s="484"/>
      <c r="RDW5" s="484"/>
      <c r="RDX5" s="484"/>
      <c r="RDY5" s="484"/>
      <c r="RDZ5" s="484"/>
      <c r="REA5" s="484"/>
      <c r="REB5" s="484"/>
      <c r="REC5" s="484"/>
      <c r="RED5" s="484"/>
      <c r="REE5" s="484"/>
      <c r="REF5" s="484"/>
      <c r="REG5" s="484"/>
      <c r="REH5" s="484"/>
      <c r="REI5" s="484"/>
      <c r="REJ5" s="484"/>
      <c r="REK5" s="484"/>
      <c r="REL5" s="484"/>
      <c r="REM5" s="484"/>
      <c r="REN5" s="484"/>
      <c r="REO5" s="484"/>
      <c r="REP5" s="484"/>
      <c r="REQ5" s="484"/>
      <c r="RER5" s="484"/>
      <c r="RES5" s="484"/>
      <c r="RET5" s="484"/>
      <c r="REU5" s="484"/>
      <c r="REV5" s="484"/>
      <c r="REW5" s="484"/>
      <c r="REX5" s="484"/>
      <c r="REY5" s="484"/>
      <c r="REZ5" s="484"/>
      <c r="RFA5" s="484"/>
      <c r="RFB5" s="484"/>
      <c r="RFC5" s="484"/>
      <c r="RFD5" s="484"/>
      <c r="RFE5" s="484"/>
      <c r="RFF5" s="484"/>
      <c r="RFG5" s="484"/>
      <c r="RFH5" s="484"/>
      <c r="RFI5" s="484"/>
      <c r="RFJ5" s="484"/>
      <c r="RFK5" s="484"/>
      <c r="RFL5" s="484"/>
      <c r="RFM5" s="484"/>
      <c r="RFN5" s="484"/>
      <c r="RFO5" s="484"/>
      <c r="RFP5" s="484"/>
      <c r="RFQ5" s="484"/>
      <c r="RFR5" s="484"/>
      <c r="RFS5" s="484"/>
      <c r="RFT5" s="484"/>
      <c r="RFU5" s="484"/>
      <c r="RFV5" s="484"/>
      <c r="RFW5" s="484"/>
      <c r="RFX5" s="484"/>
      <c r="RFY5" s="484"/>
      <c r="RFZ5" s="484"/>
      <c r="RGA5" s="484"/>
      <c r="RGB5" s="484"/>
      <c r="RGC5" s="484"/>
      <c r="RGD5" s="484"/>
      <c r="RGE5" s="484"/>
      <c r="RGF5" s="484"/>
      <c r="RGG5" s="484"/>
      <c r="RGH5" s="484"/>
      <c r="RGI5" s="484"/>
      <c r="RGJ5" s="484"/>
      <c r="RGK5" s="484"/>
      <c r="RGL5" s="484"/>
      <c r="RGM5" s="484"/>
      <c r="RGN5" s="484"/>
      <c r="RGO5" s="484"/>
      <c r="RGP5" s="484"/>
      <c r="RGQ5" s="484"/>
      <c r="RGR5" s="484"/>
      <c r="RGS5" s="484"/>
      <c r="RGT5" s="484"/>
      <c r="RGU5" s="484"/>
      <c r="RGV5" s="484"/>
      <c r="RGW5" s="484"/>
      <c r="RGX5" s="484"/>
      <c r="RGY5" s="484"/>
      <c r="RGZ5" s="484"/>
      <c r="RHA5" s="484"/>
      <c r="RHB5" s="484"/>
      <c r="RHC5" s="484"/>
      <c r="RHD5" s="484"/>
      <c r="RHE5" s="484"/>
      <c r="RHF5" s="484"/>
      <c r="RHG5" s="484"/>
      <c r="RHH5" s="484"/>
      <c r="RHI5" s="484"/>
      <c r="RHJ5" s="484"/>
      <c r="RHK5" s="484"/>
      <c r="RHL5" s="484"/>
      <c r="RHM5" s="484"/>
      <c r="RHN5" s="484"/>
      <c r="RHO5" s="484"/>
      <c r="RHP5" s="484"/>
      <c r="RHQ5" s="484"/>
      <c r="RHR5" s="484"/>
      <c r="RHS5" s="484"/>
      <c r="RHT5" s="484"/>
      <c r="RHU5" s="484"/>
      <c r="RHV5" s="484"/>
      <c r="RHW5" s="484"/>
      <c r="RHX5" s="484"/>
      <c r="RHY5" s="484"/>
      <c r="RHZ5" s="484"/>
      <c r="RIA5" s="484"/>
      <c r="RIB5" s="484"/>
      <c r="RIC5" s="484"/>
      <c r="RID5" s="484"/>
      <c r="RIE5" s="484"/>
      <c r="RIF5" s="484"/>
      <c r="RIG5" s="484"/>
      <c r="RIH5" s="484"/>
      <c r="RII5" s="484"/>
      <c r="RIJ5" s="484"/>
      <c r="RIK5" s="484"/>
      <c r="RIL5" s="484"/>
      <c r="RIM5" s="484"/>
      <c r="RIN5" s="484"/>
      <c r="RIO5" s="484"/>
      <c r="RIP5" s="484"/>
      <c r="RIQ5" s="484"/>
      <c r="RIR5" s="484"/>
      <c r="RIS5" s="484"/>
      <c r="RIT5" s="484"/>
      <c r="RIU5" s="484"/>
      <c r="RIV5" s="484"/>
      <c r="RIW5" s="484"/>
      <c r="RIX5" s="484"/>
      <c r="RIY5" s="484"/>
      <c r="RIZ5" s="484"/>
      <c r="RJA5" s="484"/>
      <c r="RJB5" s="484"/>
      <c r="RJC5" s="484"/>
      <c r="RJD5" s="484"/>
      <c r="RJE5" s="484"/>
      <c r="RJF5" s="484"/>
      <c r="RJG5" s="484"/>
      <c r="RJH5" s="484"/>
      <c r="RJI5" s="484"/>
      <c r="RJJ5" s="484"/>
      <c r="RJK5" s="484"/>
      <c r="RJL5" s="484"/>
      <c r="RJM5" s="484"/>
      <c r="RJN5" s="484"/>
      <c r="RJO5" s="484"/>
      <c r="RJP5" s="484"/>
      <c r="RJQ5" s="484"/>
      <c r="RJR5" s="484"/>
      <c r="RJS5" s="484"/>
      <c r="RJT5" s="484"/>
      <c r="RJU5" s="484"/>
      <c r="RJV5" s="484"/>
      <c r="RJW5" s="484"/>
      <c r="RJX5" s="484"/>
      <c r="RJY5" s="484"/>
      <c r="RJZ5" s="484"/>
      <c r="RKA5" s="484"/>
      <c r="RKB5" s="484"/>
      <c r="RKC5" s="484"/>
      <c r="RKD5" s="484"/>
      <c r="RKE5" s="484"/>
      <c r="RKF5" s="484"/>
      <c r="RKG5" s="484"/>
      <c r="RKH5" s="484"/>
      <c r="RKI5" s="484"/>
      <c r="RKJ5" s="484"/>
      <c r="RKK5" s="484"/>
      <c r="RKL5" s="484"/>
      <c r="RKM5" s="484"/>
      <c r="RKN5" s="484"/>
      <c r="RKO5" s="484"/>
      <c r="RKP5" s="484"/>
      <c r="RKQ5" s="484"/>
      <c r="RKR5" s="484"/>
      <c r="RKS5" s="484"/>
      <c r="RKT5" s="484"/>
      <c r="RKU5" s="484"/>
      <c r="RKV5" s="484"/>
      <c r="RKW5" s="484"/>
      <c r="RKX5" s="484"/>
      <c r="RKY5" s="484"/>
      <c r="RKZ5" s="484"/>
      <c r="RLA5" s="484"/>
      <c r="RLB5" s="484"/>
      <c r="RLC5" s="484"/>
      <c r="RLD5" s="484"/>
      <c r="RLE5" s="484"/>
      <c r="RLF5" s="484"/>
      <c r="RLG5" s="484"/>
      <c r="RLH5" s="484"/>
      <c r="RLI5" s="484"/>
      <c r="RLJ5" s="484"/>
      <c r="RLK5" s="484"/>
      <c r="RLL5" s="484"/>
      <c r="RLM5" s="484"/>
      <c r="RLN5" s="484"/>
      <c r="RLO5" s="484"/>
      <c r="RLP5" s="484"/>
      <c r="RLQ5" s="484"/>
      <c r="RLR5" s="484"/>
      <c r="RLS5" s="484"/>
      <c r="RLT5" s="484"/>
      <c r="RLU5" s="484"/>
      <c r="RLV5" s="484"/>
      <c r="RLW5" s="484"/>
      <c r="RLX5" s="484"/>
      <c r="RLY5" s="484"/>
      <c r="RLZ5" s="484"/>
      <c r="RMA5" s="484"/>
      <c r="RMB5" s="484"/>
      <c r="RMC5" s="484"/>
      <c r="RMD5" s="484"/>
      <c r="RME5" s="484"/>
      <c r="RMF5" s="484"/>
      <c r="RMG5" s="484"/>
      <c r="RMH5" s="484"/>
      <c r="RMI5" s="484"/>
      <c r="RMJ5" s="484"/>
      <c r="RMK5" s="484"/>
      <c r="RML5" s="484"/>
      <c r="RMM5" s="484"/>
      <c r="RMN5" s="484"/>
      <c r="RMO5" s="484"/>
      <c r="RMP5" s="484"/>
      <c r="RMQ5" s="484"/>
      <c r="RMR5" s="484"/>
      <c r="RMS5" s="484"/>
      <c r="RMT5" s="484"/>
      <c r="RMU5" s="484"/>
      <c r="RMV5" s="484"/>
      <c r="RMW5" s="484"/>
      <c r="RMX5" s="484"/>
      <c r="RMY5" s="484"/>
      <c r="RMZ5" s="484"/>
      <c r="RNA5" s="484"/>
      <c r="RNB5" s="484"/>
      <c r="RNC5" s="484"/>
      <c r="RND5" s="484"/>
      <c r="RNE5" s="484"/>
      <c r="RNF5" s="484"/>
      <c r="RNG5" s="484"/>
      <c r="RNH5" s="484"/>
      <c r="RNI5" s="484"/>
      <c r="RNJ5" s="484"/>
      <c r="RNK5" s="484"/>
      <c r="RNL5" s="484"/>
      <c r="RNM5" s="484"/>
      <c r="RNN5" s="484"/>
      <c r="RNO5" s="484"/>
      <c r="RNP5" s="484"/>
      <c r="RNQ5" s="484"/>
      <c r="RNR5" s="484"/>
      <c r="RNS5" s="484"/>
      <c r="RNT5" s="484"/>
      <c r="RNU5" s="484"/>
      <c r="RNV5" s="484"/>
      <c r="RNW5" s="484"/>
      <c r="RNX5" s="484"/>
      <c r="RNY5" s="484"/>
      <c r="RNZ5" s="484"/>
      <c r="ROA5" s="484"/>
      <c r="ROB5" s="484"/>
      <c r="ROC5" s="484"/>
      <c r="ROD5" s="484"/>
      <c r="ROE5" s="484"/>
      <c r="ROF5" s="484"/>
      <c r="ROG5" s="484"/>
      <c r="ROH5" s="484"/>
      <c r="ROI5" s="484"/>
      <c r="ROJ5" s="484"/>
      <c r="ROK5" s="484"/>
      <c r="ROL5" s="484"/>
      <c r="ROM5" s="484"/>
      <c r="RON5" s="484"/>
      <c r="ROO5" s="484"/>
      <c r="ROP5" s="484"/>
      <c r="ROQ5" s="484"/>
      <c r="ROR5" s="484"/>
      <c r="ROS5" s="484"/>
      <c r="ROT5" s="484"/>
      <c r="ROU5" s="484"/>
      <c r="ROV5" s="484"/>
      <c r="ROW5" s="484"/>
      <c r="ROX5" s="484"/>
      <c r="ROY5" s="484"/>
      <c r="ROZ5" s="484"/>
      <c r="RPA5" s="484"/>
      <c r="RPB5" s="484"/>
      <c r="RPC5" s="484"/>
      <c r="RPD5" s="484"/>
      <c r="RPE5" s="484"/>
      <c r="RPF5" s="484"/>
      <c r="RPG5" s="484"/>
      <c r="RPH5" s="484"/>
      <c r="RPI5" s="484"/>
      <c r="RPJ5" s="484"/>
      <c r="RPK5" s="484"/>
      <c r="RPL5" s="484"/>
      <c r="RPM5" s="484"/>
      <c r="RPN5" s="484"/>
      <c r="RPO5" s="484"/>
      <c r="RPP5" s="484"/>
      <c r="RPQ5" s="484"/>
      <c r="RPR5" s="484"/>
      <c r="RPS5" s="484"/>
      <c r="RPT5" s="484"/>
      <c r="RPU5" s="484"/>
      <c r="RPV5" s="484"/>
      <c r="RPW5" s="484"/>
      <c r="RPX5" s="484"/>
      <c r="RPY5" s="484"/>
      <c r="RPZ5" s="484"/>
      <c r="RQA5" s="484"/>
      <c r="RQB5" s="484"/>
      <c r="RQC5" s="484"/>
      <c r="RQD5" s="484"/>
      <c r="RQE5" s="484"/>
      <c r="RQF5" s="484"/>
      <c r="RQG5" s="484"/>
      <c r="RQH5" s="484"/>
      <c r="RQI5" s="484"/>
      <c r="RQJ5" s="484"/>
      <c r="RQK5" s="484"/>
      <c r="RQL5" s="484"/>
      <c r="RQM5" s="484"/>
      <c r="RQN5" s="484"/>
      <c r="RQO5" s="484"/>
      <c r="RQP5" s="484"/>
      <c r="RQQ5" s="484"/>
      <c r="RQR5" s="484"/>
      <c r="RQS5" s="484"/>
      <c r="RQT5" s="484"/>
      <c r="RQU5" s="484"/>
      <c r="RQV5" s="484"/>
      <c r="RQW5" s="484"/>
      <c r="RQX5" s="484"/>
      <c r="RQY5" s="484"/>
      <c r="RQZ5" s="484"/>
      <c r="RRA5" s="484"/>
      <c r="RRB5" s="484"/>
      <c r="RRC5" s="484"/>
      <c r="RRD5" s="484"/>
      <c r="RRE5" s="484"/>
      <c r="RRF5" s="484"/>
      <c r="RRG5" s="484"/>
      <c r="RRH5" s="484"/>
      <c r="RRI5" s="484"/>
      <c r="RRJ5" s="484"/>
      <c r="RRK5" s="484"/>
      <c r="RRL5" s="484"/>
      <c r="RRM5" s="484"/>
      <c r="RRN5" s="484"/>
      <c r="RRO5" s="484"/>
      <c r="RRP5" s="484"/>
      <c r="RRQ5" s="484"/>
      <c r="RRR5" s="484"/>
      <c r="RRS5" s="484"/>
      <c r="RRT5" s="484"/>
      <c r="RRU5" s="484"/>
      <c r="RRV5" s="484"/>
      <c r="RRW5" s="484"/>
      <c r="RRX5" s="484"/>
      <c r="RRY5" s="484"/>
      <c r="RRZ5" s="484"/>
      <c r="RSA5" s="484"/>
      <c r="RSB5" s="484"/>
      <c r="RSC5" s="484"/>
      <c r="RSD5" s="484"/>
      <c r="RSE5" s="484"/>
      <c r="RSF5" s="484"/>
      <c r="RSG5" s="484"/>
      <c r="RSH5" s="484"/>
      <c r="RSI5" s="484"/>
      <c r="RSJ5" s="484"/>
      <c r="RSK5" s="484"/>
      <c r="RSL5" s="484"/>
      <c r="RSM5" s="484"/>
      <c r="RSN5" s="484"/>
      <c r="RSO5" s="484"/>
      <c r="RSP5" s="484"/>
      <c r="RSQ5" s="484"/>
      <c r="RSR5" s="484"/>
      <c r="RSS5" s="484"/>
      <c r="RST5" s="484"/>
      <c r="RSU5" s="484"/>
      <c r="RSV5" s="484"/>
      <c r="RSW5" s="484"/>
      <c r="RSX5" s="484"/>
      <c r="RSY5" s="484"/>
      <c r="RSZ5" s="484"/>
      <c r="RTA5" s="484"/>
      <c r="RTB5" s="484"/>
      <c r="RTC5" s="484"/>
      <c r="RTD5" s="484"/>
      <c r="RTE5" s="484"/>
      <c r="RTF5" s="484"/>
      <c r="RTG5" s="484"/>
      <c r="RTH5" s="484"/>
      <c r="RTI5" s="484"/>
      <c r="RTJ5" s="484"/>
      <c r="RTK5" s="484"/>
      <c r="RTL5" s="484"/>
      <c r="RTM5" s="484"/>
      <c r="RTN5" s="484"/>
      <c r="RTO5" s="484"/>
      <c r="RTP5" s="484"/>
      <c r="RTQ5" s="484"/>
      <c r="RTR5" s="484"/>
      <c r="RTS5" s="484"/>
      <c r="RTT5" s="484"/>
      <c r="RTU5" s="484"/>
      <c r="RTV5" s="484"/>
      <c r="RTW5" s="484"/>
      <c r="RTX5" s="484"/>
      <c r="RTY5" s="484"/>
      <c r="RTZ5" s="484"/>
      <c r="RUA5" s="484"/>
      <c r="RUB5" s="484"/>
      <c r="RUC5" s="484"/>
      <c r="RUD5" s="484"/>
      <c r="RUE5" s="484"/>
      <c r="RUF5" s="484"/>
      <c r="RUG5" s="484"/>
      <c r="RUH5" s="484"/>
      <c r="RUI5" s="484"/>
      <c r="RUJ5" s="484"/>
      <c r="RUK5" s="484"/>
      <c r="RUL5" s="484"/>
      <c r="RUM5" s="484"/>
      <c r="RUN5" s="484"/>
      <c r="RUO5" s="484"/>
      <c r="RUP5" s="484"/>
      <c r="RUQ5" s="484"/>
      <c r="RUR5" s="484"/>
      <c r="RUS5" s="484"/>
      <c r="RUT5" s="484"/>
      <c r="RUU5" s="484"/>
      <c r="RUV5" s="484"/>
      <c r="RUW5" s="484"/>
      <c r="RUX5" s="484"/>
      <c r="RUY5" s="484"/>
      <c r="RUZ5" s="484"/>
      <c r="RVA5" s="484"/>
      <c r="RVB5" s="484"/>
      <c r="RVC5" s="484"/>
      <c r="RVD5" s="484"/>
      <c r="RVE5" s="484"/>
      <c r="RVF5" s="484"/>
      <c r="RVG5" s="484"/>
      <c r="RVH5" s="484"/>
      <c r="RVI5" s="484"/>
      <c r="RVJ5" s="484"/>
      <c r="RVK5" s="484"/>
      <c r="RVL5" s="484"/>
      <c r="RVM5" s="484"/>
      <c r="RVN5" s="484"/>
      <c r="RVO5" s="484"/>
      <c r="RVP5" s="484"/>
      <c r="RVQ5" s="484"/>
      <c r="RVR5" s="484"/>
      <c r="RVS5" s="484"/>
      <c r="RVT5" s="484"/>
      <c r="RVU5" s="484"/>
      <c r="RVV5" s="484"/>
      <c r="RVW5" s="484"/>
      <c r="RVX5" s="484"/>
      <c r="RVY5" s="484"/>
      <c r="RVZ5" s="484"/>
      <c r="RWA5" s="484"/>
      <c r="RWB5" s="484"/>
      <c r="RWC5" s="484"/>
      <c r="RWD5" s="484"/>
      <c r="RWE5" s="484"/>
      <c r="RWF5" s="484"/>
      <c r="RWG5" s="484"/>
      <c r="RWH5" s="484"/>
      <c r="RWI5" s="484"/>
      <c r="RWJ5" s="484"/>
      <c r="RWK5" s="484"/>
      <c r="RWL5" s="484"/>
      <c r="RWM5" s="484"/>
      <c r="RWN5" s="484"/>
      <c r="RWO5" s="484"/>
      <c r="RWP5" s="484"/>
      <c r="RWQ5" s="484"/>
      <c r="RWR5" s="484"/>
      <c r="RWS5" s="484"/>
      <c r="RWT5" s="484"/>
      <c r="RWU5" s="484"/>
      <c r="RWV5" s="484"/>
      <c r="RWW5" s="484"/>
      <c r="RWX5" s="484"/>
      <c r="RWY5" s="484"/>
      <c r="RWZ5" s="484"/>
      <c r="RXA5" s="484"/>
      <c r="RXB5" s="484"/>
      <c r="RXC5" s="484"/>
      <c r="RXD5" s="484"/>
      <c r="RXE5" s="484"/>
      <c r="RXF5" s="484"/>
      <c r="RXG5" s="484"/>
      <c r="RXH5" s="484"/>
      <c r="RXI5" s="484"/>
      <c r="RXJ5" s="484"/>
      <c r="RXK5" s="484"/>
      <c r="RXL5" s="484"/>
      <c r="RXM5" s="484"/>
      <c r="RXN5" s="484"/>
      <c r="RXO5" s="484"/>
      <c r="RXP5" s="484"/>
      <c r="RXQ5" s="484"/>
      <c r="RXR5" s="484"/>
      <c r="RXS5" s="484"/>
      <c r="RXT5" s="484"/>
      <c r="RXU5" s="484"/>
      <c r="RXV5" s="484"/>
      <c r="RXW5" s="484"/>
      <c r="RXX5" s="484"/>
      <c r="RXY5" s="484"/>
      <c r="RXZ5" s="484"/>
      <c r="RYA5" s="484"/>
      <c r="RYB5" s="484"/>
      <c r="RYC5" s="484"/>
      <c r="RYD5" s="484"/>
      <c r="RYE5" s="484"/>
      <c r="RYF5" s="484"/>
      <c r="RYG5" s="484"/>
      <c r="RYH5" s="484"/>
      <c r="RYI5" s="484"/>
      <c r="RYJ5" s="484"/>
      <c r="RYK5" s="484"/>
      <c r="RYL5" s="484"/>
      <c r="RYM5" s="484"/>
      <c r="RYN5" s="484"/>
      <c r="RYO5" s="484"/>
      <c r="RYP5" s="484"/>
      <c r="RYQ5" s="484"/>
      <c r="RYR5" s="484"/>
      <c r="RYS5" s="484"/>
      <c r="RYT5" s="484"/>
      <c r="RYU5" s="484"/>
      <c r="RYV5" s="484"/>
      <c r="RYW5" s="484"/>
      <c r="RYX5" s="484"/>
      <c r="RYY5" s="484"/>
      <c r="RYZ5" s="484"/>
      <c r="RZA5" s="484"/>
      <c r="RZB5" s="484"/>
      <c r="RZC5" s="484"/>
      <c r="RZD5" s="484"/>
      <c r="RZE5" s="484"/>
      <c r="RZF5" s="484"/>
      <c r="RZG5" s="484"/>
      <c r="RZH5" s="484"/>
      <c r="RZI5" s="484"/>
      <c r="RZJ5" s="484"/>
      <c r="RZK5" s="484"/>
      <c r="RZL5" s="484"/>
      <c r="RZM5" s="484"/>
      <c r="RZN5" s="484"/>
      <c r="RZO5" s="484"/>
      <c r="RZP5" s="484"/>
      <c r="RZQ5" s="484"/>
      <c r="RZR5" s="484"/>
      <c r="RZS5" s="484"/>
      <c r="RZT5" s="484"/>
      <c r="RZU5" s="484"/>
      <c r="RZV5" s="484"/>
      <c r="RZW5" s="484"/>
      <c r="RZX5" s="484"/>
      <c r="RZY5" s="484"/>
      <c r="RZZ5" s="484"/>
      <c r="SAA5" s="484"/>
      <c r="SAB5" s="484"/>
      <c r="SAC5" s="484"/>
      <c r="SAD5" s="484"/>
      <c r="SAE5" s="484"/>
      <c r="SAF5" s="484"/>
      <c r="SAG5" s="484"/>
      <c r="SAH5" s="484"/>
      <c r="SAI5" s="484"/>
      <c r="SAJ5" s="484"/>
      <c r="SAK5" s="484"/>
      <c r="SAL5" s="484"/>
      <c r="SAM5" s="484"/>
      <c r="SAN5" s="484"/>
      <c r="SAO5" s="484"/>
      <c r="SAP5" s="484"/>
      <c r="SAQ5" s="484"/>
      <c r="SAR5" s="484"/>
      <c r="SAS5" s="484"/>
      <c r="SAT5" s="484"/>
      <c r="SAU5" s="484"/>
      <c r="SAV5" s="484"/>
      <c r="SAW5" s="484"/>
      <c r="SAX5" s="484"/>
      <c r="SAY5" s="484"/>
      <c r="SAZ5" s="484"/>
      <c r="SBA5" s="484"/>
      <c r="SBB5" s="484"/>
      <c r="SBC5" s="484"/>
      <c r="SBD5" s="484"/>
      <c r="SBE5" s="484"/>
      <c r="SBF5" s="484"/>
      <c r="SBG5" s="484"/>
      <c r="SBH5" s="484"/>
      <c r="SBI5" s="484"/>
      <c r="SBJ5" s="484"/>
      <c r="SBK5" s="484"/>
      <c r="SBL5" s="484"/>
      <c r="SBM5" s="484"/>
      <c r="SBN5" s="484"/>
      <c r="SBO5" s="484"/>
      <c r="SBP5" s="484"/>
      <c r="SBQ5" s="484"/>
      <c r="SBR5" s="484"/>
      <c r="SBS5" s="484"/>
      <c r="SBT5" s="484"/>
      <c r="SBU5" s="484"/>
      <c r="SBV5" s="484"/>
      <c r="SBW5" s="484"/>
      <c r="SBX5" s="484"/>
      <c r="SBY5" s="484"/>
      <c r="SBZ5" s="484"/>
      <c r="SCA5" s="484"/>
      <c r="SCB5" s="484"/>
      <c r="SCC5" s="484"/>
      <c r="SCD5" s="484"/>
      <c r="SCE5" s="484"/>
      <c r="SCF5" s="484"/>
      <c r="SCG5" s="484"/>
      <c r="SCH5" s="484"/>
      <c r="SCI5" s="484"/>
      <c r="SCJ5" s="484"/>
      <c r="SCK5" s="484"/>
      <c r="SCL5" s="484"/>
      <c r="SCM5" s="484"/>
      <c r="SCN5" s="484"/>
      <c r="SCO5" s="484"/>
      <c r="SCP5" s="484"/>
      <c r="SCQ5" s="484"/>
      <c r="SCR5" s="484"/>
      <c r="SCS5" s="484"/>
      <c r="SCT5" s="484"/>
      <c r="SCU5" s="484"/>
      <c r="SCV5" s="484"/>
      <c r="SCW5" s="484"/>
      <c r="SCX5" s="484"/>
      <c r="SCY5" s="484"/>
      <c r="SCZ5" s="484"/>
      <c r="SDA5" s="484"/>
      <c r="SDB5" s="484"/>
      <c r="SDC5" s="484"/>
      <c r="SDD5" s="484"/>
      <c r="SDE5" s="484"/>
      <c r="SDF5" s="484"/>
      <c r="SDG5" s="484"/>
      <c r="SDH5" s="484"/>
      <c r="SDI5" s="484"/>
      <c r="SDJ5" s="484"/>
      <c r="SDK5" s="484"/>
      <c r="SDL5" s="484"/>
      <c r="SDM5" s="484"/>
      <c r="SDN5" s="484"/>
      <c r="SDO5" s="484"/>
      <c r="SDP5" s="484"/>
      <c r="SDQ5" s="484"/>
      <c r="SDR5" s="484"/>
      <c r="SDS5" s="484"/>
      <c r="SDT5" s="484"/>
      <c r="SDU5" s="484"/>
      <c r="SDV5" s="484"/>
      <c r="SDW5" s="484"/>
      <c r="SDX5" s="484"/>
      <c r="SDY5" s="484"/>
      <c r="SDZ5" s="484"/>
      <c r="SEA5" s="484"/>
      <c r="SEB5" s="484"/>
      <c r="SEC5" s="484"/>
      <c r="SED5" s="484"/>
      <c r="SEE5" s="484"/>
      <c r="SEF5" s="484"/>
      <c r="SEG5" s="484"/>
      <c r="SEH5" s="484"/>
      <c r="SEI5" s="484"/>
      <c r="SEJ5" s="484"/>
      <c r="SEK5" s="484"/>
      <c r="SEL5" s="484"/>
      <c r="SEM5" s="484"/>
      <c r="SEN5" s="484"/>
      <c r="SEO5" s="484"/>
      <c r="SEP5" s="484"/>
      <c r="SEQ5" s="484"/>
      <c r="SER5" s="484"/>
      <c r="SES5" s="484"/>
      <c r="SET5" s="484"/>
      <c r="SEU5" s="484"/>
      <c r="SEV5" s="484"/>
      <c r="SEW5" s="484"/>
      <c r="SEX5" s="484"/>
      <c r="SEY5" s="484"/>
      <c r="SEZ5" s="484"/>
      <c r="SFA5" s="484"/>
      <c r="SFB5" s="484"/>
      <c r="SFC5" s="484"/>
      <c r="SFD5" s="484"/>
      <c r="SFE5" s="484"/>
      <c r="SFF5" s="484"/>
      <c r="SFG5" s="484"/>
      <c r="SFH5" s="484"/>
      <c r="SFI5" s="484"/>
      <c r="SFJ5" s="484"/>
      <c r="SFK5" s="484"/>
      <c r="SFL5" s="484"/>
      <c r="SFM5" s="484"/>
      <c r="SFN5" s="484"/>
      <c r="SFO5" s="484"/>
      <c r="SFP5" s="484"/>
      <c r="SFQ5" s="484"/>
      <c r="SFR5" s="484"/>
      <c r="SFS5" s="484"/>
      <c r="SFT5" s="484"/>
      <c r="SFU5" s="484"/>
      <c r="SFV5" s="484"/>
      <c r="SFW5" s="484"/>
      <c r="SFX5" s="484"/>
      <c r="SFY5" s="484"/>
      <c r="SFZ5" s="484"/>
      <c r="SGA5" s="484"/>
      <c r="SGB5" s="484"/>
      <c r="SGC5" s="484"/>
      <c r="SGD5" s="484"/>
      <c r="SGE5" s="484"/>
      <c r="SGF5" s="484"/>
      <c r="SGG5" s="484"/>
      <c r="SGH5" s="484"/>
      <c r="SGI5" s="484"/>
      <c r="SGJ5" s="484"/>
      <c r="SGK5" s="484"/>
      <c r="SGL5" s="484"/>
      <c r="SGM5" s="484"/>
      <c r="SGN5" s="484"/>
      <c r="SGO5" s="484"/>
      <c r="SGP5" s="484"/>
      <c r="SGQ5" s="484"/>
      <c r="SGR5" s="484"/>
      <c r="SGS5" s="484"/>
      <c r="SGT5" s="484"/>
      <c r="SGU5" s="484"/>
      <c r="SGV5" s="484"/>
      <c r="SGW5" s="484"/>
      <c r="SGX5" s="484"/>
      <c r="SGY5" s="484"/>
      <c r="SGZ5" s="484"/>
      <c r="SHA5" s="484"/>
      <c r="SHB5" s="484"/>
      <c r="SHC5" s="484"/>
      <c r="SHD5" s="484"/>
      <c r="SHE5" s="484"/>
      <c r="SHF5" s="484"/>
      <c r="SHG5" s="484"/>
      <c r="SHH5" s="484"/>
      <c r="SHI5" s="484"/>
      <c r="SHJ5" s="484"/>
      <c r="SHK5" s="484"/>
      <c r="SHL5" s="484"/>
      <c r="SHM5" s="484"/>
      <c r="SHN5" s="484"/>
      <c r="SHO5" s="484"/>
      <c r="SHP5" s="484"/>
      <c r="SHQ5" s="484"/>
      <c r="SHR5" s="484"/>
      <c r="SHS5" s="484"/>
      <c r="SHT5" s="484"/>
      <c r="SHU5" s="484"/>
      <c r="SHV5" s="484"/>
      <c r="SHW5" s="484"/>
      <c r="SHX5" s="484"/>
      <c r="SHY5" s="484"/>
      <c r="SHZ5" s="484"/>
      <c r="SIA5" s="484"/>
      <c r="SIB5" s="484"/>
      <c r="SIC5" s="484"/>
      <c r="SID5" s="484"/>
      <c r="SIE5" s="484"/>
      <c r="SIF5" s="484"/>
      <c r="SIG5" s="484"/>
      <c r="SIH5" s="484"/>
      <c r="SII5" s="484"/>
      <c r="SIJ5" s="484"/>
      <c r="SIK5" s="484"/>
      <c r="SIL5" s="484"/>
      <c r="SIM5" s="484"/>
      <c r="SIN5" s="484"/>
      <c r="SIO5" s="484"/>
      <c r="SIP5" s="484"/>
      <c r="SIQ5" s="484"/>
      <c r="SIR5" s="484"/>
      <c r="SIS5" s="484"/>
      <c r="SIT5" s="484"/>
      <c r="SIU5" s="484"/>
      <c r="SIV5" s="484"/>
      <c r="SIW5" s="484"/>
      <c r="SIX5" s="484"/>
      <c r="SIY5" s="484"/>
      <c r="SIZ5" s="484"/>
      <c r="SJA5" s="484"/>
      <c r="SJB5" s="484"/>
      <c r="SJC5" s="484"/>
      <c r="SJD5" s="484"/>
      <c r="SJE5" s="484"/>
      <c r="SJF5" s="484"/>
      <c r="SJG5" s="484"/>
      <c r="SJH5" s="484"/>
      <c r="SJI5" s="484"/>
      <c r="SJJ5" s="484"/>
      <c r="SJK5" s="484"/>
      <c r="SJL5" s="484"/>
      <c r="SJM5" s="484"/>
      <c r="SJN5" s="484"/>
      <c r="SJO5" s="484"/>
      <c r="SJP5" s="484"/>
      <c r="SJQ5" s="484"/>
      <c r="SJR5" s="484"/>
      <c r="SJS5" s="484"/>
      <c r="SJT5" s="484"/>
      <c r="SJU5" s="484"/>
      <c r="SJV5" s="484"/>
      <c r="SJW5" s="484"/>
      <c r="SJX5" s="484"/>
      <c r="SJY5" s="484"/>
      <c r="SJZ5" s="484"/>
      <c r="SKA5" s="484"/>
      <c r="SKB5" s="484"/>
      <c r="SKC5" s="484"/>
      <c r="SKD5" s="484"/>
      <c r="SKE5" s="484"/>
      <c r="SKF5" s="484"/>
      <c r="SKG5" s="484"/>
      <c r="SKH5" s="484"/>
      <c r="SKI5" s="484"/>
      <c r="SKJ5" s="484"/>
      <c r="SKK5" s="484"/>
      <c r="SKL5" s="484"/>
      <c r="SKM5" s="484"/>
      <c r="SKN5" s="484"/>
      <c r="SKO5" s="484"/>
      <c r="SKP5" s="484"/>
      <c r="SKQ5" s="484"/>
      <c r="SKR5" s="484"/>
      <c r="SKS5" s="484"/>
      <c r="SKT5" s="484"/>
      <c r="SKU5" s="484"/>
      <c r="SKV5" s="484"/>
      <c r="SKW5" s="484"/>
      <c r="SKX5" s="484"/>
      <c r="SKY5" s="484"/>
      <c r="SKZ5" s="484"/>
      <c r="SLA5" s="484"/>
      <c r="SLB5" s="484"/>
      <c r="SLC5" s="484"/>
      <c r="SLD5" s="484"/>
      <c r="SLE5" s="484"/>
      <c r="SLF5" s="484"/>
      <c r="SLG5" s="484"/>
      <c r="SLH5" s="484"/>
      <c r="SLI5" s="484"/>
      <c r="SLJ5" s="484"/>
      <c r="SLK5" s="484"/>
      <c r="SLL5" s="484"/>
      <c r="SLM5" s="484"/>
      <c r="SLN5" s="484"/>
      <c r="SLO5" s="484"/>
      <c r="SLP5" s="484"/>
      <c r="SLQ5" s="484"/>
      <c r="SLR5" s="484"/>
      <c r="SLS5" s="484"/>
      <c r="SLT5" s="484"/>
      <c r="SLU5" s="484"/>
      <c r="SLV5" s="484"/>
      <c r="SLW5" s="484"/>
      <c r="SLX5" s="484"/>
      <c r="SLY5" s="484"/>
      <c r="SLZ5" s="484"/>
      <c r="SMA5" s="484"/>
      <c r="SMB5" s="484"/>
      <c r="SMC5" s="484"/>
      <c r="SMD5" s="484"/>
      <c r="SME5" s="484"/>
      <c r="SMF5" s="484"/>
      <c r="SMG5" s="484"/>
      <c r="SMH5" s="484"/>
      <c r="SMI5" s="484"/>
      <c r="SMJ5" s="484"/>
      <c r="SMK5" s="484"/>
      <c r="SML5" s="484"/>
      <c r="SMM5" s="484"/>
      <c r="SMN5" s="484"/>
      <c r="SMO5" s="484"/>
      <c r="SMP5" s="484"/>
      <c r="SMQ5" s="484"/>
      <c r="SMR5" s="484"/>
      <c r="SMS5" s="484"/>
      <c r="SMT5" s="484"/>
      <c r="SMU5" s="484"/>
      <c r="SMV5" s="484"/>
      <c r="SMW5" s="484"/>
      <c r="SMX5" s="484"/>
      <c r="SMY5" s="484"/>
      <c r="SMZ5" s="484"/>
      <c r="SNA5" s="484"/>
      <c r="SNB5" s="484"/>
      <c r="SNC5" s="484"/>
      <c r="SND5" s="484"/>
      <c r="SNE5" s="484"/>
      <c r="SNF5" s="484"/>
      <c r="SNG5" s="484"/>
      <c r="SNH5" s="484"/>
      <c r="SNI5" s="484"/>
      <c r="SNJ5" s="484"/>
      <c r="SNK5" s="484"/>
      <c r="SNL5" s="484"/>
      <c r="SNM5" s="484"/>
      <c r="SNN5" s="484"/>
      <c r="SNO5" s="484"/>
      <c r="SNP5" s="484"/>
      <c r="SNQ5" s="484"/>
      <c r="SNR5" s="484"/>
      <c r="SNS5" s="484"/>
      <c r="SNT5" s="484"/>
      <c r="SNU5" s="484"/>
      <c r="SNV5" s="484"/>
      <c r="SNW5" s="484"/>
      <c r="SNX5" s="484"/>
      <c r="SNY5" s="484"/>
      <c r="SNZ5" s="484"/>
      <c r="SOA5" s="484"/>
      <c r="SOB5" s="484"/>
      <c r="SOC5" s="484"/>
      <c r="SOD5" s="484"/>
      <c r="SOE5" s="484"/>
      <c r="SOF5" s="484"/>
      <c r="SOG5" s="484"/>
      <c r="SOH5" s="484"/>
      <c r="SOI5" s="484"/>
      <c r="SOJ5" s="484"/>
      <c r="SOK5" s="484"/>
      <c r="SOL5" s="484"/>
      <c r="SOM5" s="484"/>
      <c r="SON5" s="484"/>
      <c r="SOO5" s="484"/>
      <c r="SOP5" s="484"/>
      <c r="SOQ5" s="484"/>
      <c r="SOR5" s="484"/>
      <c r="SOS5" s="484"/>
      <c r="SOT5" s="484"/>
      <c r="SOU5" s="484"/>
      <c r="SOV5" s="484"/>
      <c r="SOW5" s="484"/>
      <c r="SOX5" s="484"/>
      <c r="SOY5" s="484"/>
      <c r="SOZ5" s="484"/>
      <c r="SPA5" s="484"/>
      <c r="SPB5" s="484"/>
      <c r="SPC5" s="484"/>
      <c r="SPD5" s="484"/>
      <c r="SPE5" s="484"/>
      <c r="SPF5" s="484"/>
      <c r="SPG5" s="484"/>
      <c r="SPH5" s="484"/>
      <c r="SPI5" s="484"/>
      <c r="SPJ5" s="484"/>
      <c r="SPK5" s="484"/>
      <c r="SPL5" s="484"/>
      <c r="SPM5" s="484"/>
      <c r="SPN5" s="484"/>
      <c r="SPO5" s="484"/>
      <c r="SPP5" s="484"/>
      <c r="SPQ5" s="484"/>
      <c r="SPR5" s="484"/>
      <c r="SPS5" s="484"/>
      <c r="SPT5" s="484"/>
      <c r="SPU5" s="484"/>
      <c r="SPV5" s="484"/>
      <c r="SPW5" s="484"/>
      <c r="SPX5" s="484"/>
      <c r="SPY5" s="484"/>
      <c r="SPZ5" s="484"/>
      <c r="SQA5" s="484"/>
      <c r="SQB5" s="484"/>
      <c r="SQC5" s="484"/>
      <c r="SQD5" s="484"/>
      <c r="SQE5" s="484"/>
      <c r="SQF5" s="484"/>
      <c r="SQG5" s="484"/>
      <c r="SQH5" s="484"/>
      <c r="SQI5" s="484"/>
      <c r="SQJ5" s="484"/>
      <c r="SQK5" s="484"/>
      <c r="SQL5" s="484"/>
      <c r="SQM5" s="484"/>
      <c r="SQN5" s="484"/>
      <c r="SQO5" s="484"/>
      <c r="SQP5" s="484"/>
      <c r="SQQ5" s="484"/>
      <c r="SQR5" s="484"/>
      <c r="SQS5" s="484"/>
      <c r="SQT5" s="484"/>
      <c r="SQU5" s="484"/>
      <c r="SQV5" s="484"/>
      <c r="SQW5" s="484"/>
      <c r="SQX5" s="484"/>
      <c r="SQY5" s="484"/>
      <c r="SQZ5" s="484"/>
      <c r="SRA5" s="484"/>
      <c r="SRB5" s="484"/>
      <c r="SRC5" s="484"/>
      <c r="SRD5" s="484"/>
      <c r="SRE5" s="484"/>
      <c r="SRF5" s="484"/>
      <c r="SRG5" s="484"/>
      <c r="SRH5" s="484"/>
      <c r="SRI5" s="484"/>
      <c r="SRJ5" s="484"/>
      <c r="SRK5" s="484"/>
      <c r="SRL5" s="484"/>
      <c r="SRM5" s="484"/>
      <c r="SRN5" s="484"/>
      <c r="SRO5" s="484"/>
      <c r="SRP5" s="484"/>
      <c r="SRQ5" s="484"/>
      <c r="SRR5" s="484"/>
      <c r="SRS5" s="484"/>
      <c r="SRT5" s="484"/>
      <c r="SRU5" s="484"/>
      <c r="SRV5" s="484"/>
      <c r="SRW5" s="484"/>
      <c r="SRX5" s="484"/>
      <c r="SRY5" s="484"/>
      <c r="SRZ5" s="484"/>
      <c r="SSA5" s="484"/>
      <c r="SSB5" s="484"/>
      <c r="SSC5" s="484"/>
      <c r="SSD5" s="484"/>
      <c r="SSE5" s="484"/>
      <c r="SSF5" s="484"/>
      <c r="SSG5" s="484"/>
      <c r="SSH5" s="484"/>
      <c r="SSI5" s="484"/>
      <c r="SSJ5" s="484"/>
      <c r="SSK5" s="484"/>
      <c r="SSL5" s="484"/>
      <c r="SSM5" s="484"/>
      <c r="SSN5" s="484"/>
      <c r="SSO5" s="484"/>
      <c r="SSP5" s="484"/>
      <c r="SSQ5" s="484"/>
      <c r="SSR5" s="484"/>
      <c r="SSS5" s="484"/>
      <c r="SST5" s="484"/>
      <c r="SSU5" s="484"/>
      <c r="SSV5" s="484"/>
      <c r="SSW5" s="484"/>
      <c r="SSX5" s="484"/>
      <c r="SSY5" s="484"/>
      <c r="SSZ5" s="484"/>
      <c r="STA5" s="484"/>
      <c r="STB5" s="484"/>
      <c r="STC5" s="484"/>
      <c r="STD5" s="484"/>
      <c r="STE5" s="484"/>
      <c r="STF5" s="484"/>
      <c r="STG5" s="484"/>
      <c r="STH5" s="484"/>
      <c r="STI5" s="484"/>
      <c r="STJ5" s="484"/>
      <c r="STK5" s="484"/>
      <c r="STL5" s="484"/>
      <c r="STM5" s="484"/>
      <c r="STN5" s="484"/>
      <c r="STO5" s="484"/>
      <c r="STP5" s="484"/>
      <c r="STQ5" s="484"/>
      <c r="STR5" s="484"/>
      <c r="STS5" s="484"/>
      <c r="STT5" s="484"/>
      <c r="STU5" s="484"/>
      <c r="STV5" s="484"/>
      <c r="STW5" s="484"/>
      <c r="STX5" s="484"/>
      <c r="STY5" s="484"/>
      <c r="STZ5" s="484"/>
      <c r="SUA5" s="484"/>
      <c r="SUB5" s="484"/>
      <c r="SUC5" s="484"/>
      <c r="SUD5" s="484"/>
      <c r="SUE5" s="484"/>
      <c r="SUF5" s="484"/>
      <c r="SUG5" s="484"/>
      <c r="SUH5" s="484"/>
      <c r="SUI5" s="484"/>
      <c r="SUJ5" s="484"/>
      <c r="SUK5" s="484"/>
      <c r="SUL5" s="484"/>
      <c r="SUM5" s="484"/>
      <c r="SUN5" s="484"/>
      <c r="SUO5" s="484"/>
      <c r="SUP5" s="484"/>
      <c r="SUQ5" s="484"/>
      <c r="SUR5" s="484"/>
      <c r="SUS5" s="484"/>
      <c r="SUT5" s="484"/>
      <c r="SUU5" s="484"/>
      <c r="SUV5" s="484"/>
      <c r="SUW5" s="484"/>
      <c r="SUX5" s="484"/>
      <c r="SUY5" s="484"/>
      <c r="SUZ5" s="484"/>
      <c r="SVA5" s="484"/>
      <c r="SVB5" s="484"/>
      <c r="SVC5" s="484"/>
      <c r="SVD5" s="484"/>
      <c r="SVE5" s="484"/>
      <c r="SVF5" s="484"/>
      <c r="SVG5" s="484"/>
      <c r="SVH5" s="484"/>
      <c r="SVI5" s="484"/>
      <c r="SVJ5" s="484"/>
      <c r="SVK5" s="484"/>
      <c r="SVL5" s="484"/>
      <c r="SVM5" s="484"/>
      <c r="SVN5" s="484"/>
      <c r="SVO5" s="484"/>
      <c r="SVP5" s="484"/>
      <c r="SVQ5" s="484"/>
      <c r="SVR5" s="484"/>
      <c r="SVS5" s="484"/>
      <c r="SVT5" s="484"/>
      <c r="SVU5" s="484"/>
      <c r="SVV5" s="484"/>
      <c r="SVW5" s="484"/>
      <c r="SVX5" s="484"/>
      <c r="SVY5" s="484"/>
      <c r="SVZ5" s="484"/>
      <c r="SWA5" s="484"/>
      <c r="SWB5" s="484"/>
      <c r="SWC5" s="484"/>
      <c r="SWD5" s="484"/>
      <c r="SWE5" s="484"/>
      <c r="SWF5" s="484"/>
      <c r="SWG5" s="484"/>
      <c r="SWH5" s="484"/>
      <c r="SWI5" s="484"/>
      <c r="SWJ5" s="484"/>
      <c r="SWK5" s="484"/>
      <c r="SWL5" s="484"/>
      <c r="SWM5" s="484"/>
      <c r="SWN5" s="484"/>
      <c r="SWO5" s="484"/>
      <c r="SWP5" s="484"/>
      <c r="SWQ5" s="484"/>
      <c r="SWR5" s="484"/>
      <c r="SWS5" s="484"/>
      <c r="SWT5" s="484"/>
      <c r="SWU5" s="484"/>
      <c r="SWV5" s="484"/>
      <c r="SWW5" s="484"/>
      <c r="SWX5" s="484"/>
      <c r="SWY5" s="484"/>
      <c r="SWZ5" s="484"/>
      <c r="SXA5" s="484"/>
      <c r="SXB5" s="484"/>
      <c r="SXC5" s="484"/>
      <c r="SXD5" s="484"/>
      <c r="SXE5" s="484"/>
      <c r="SXF5" s="484"/>
      <c r="SXG5" s="484"/>
      <c r="SXH5" s="484"/>
      <c r="SXI5" s="484"/>
      <c r="SXJ5" s="484"/>
      <c r="SXK5" s="484"/>
      <c r="SXL5" s="484"/>
      <c r="SXM5" s="484"/>
      <c r="SXN5" s="484"/>
      <c r="SXO5" s="484"/>
      <c r="SXP5" s="484"/>
      <c r="SXQ5" s="484"/>
      <c r="SXR5" s="484"/>
      <c r="SXS5" s="484"/>
      <c r="SXT5" s="484"/>
      <c r="SXU5" s="484"/>
      <c r="SXV5" s="484"/>
      <c r="SXW5" s="484"/>
      <c r="SXX5" s="484"/>
      <c r="SXY5" s="484"/>
      <c r="SXZ5" s="484"/>
      <c r="SYA5" s="484"/>
      <c r="SYB5" s="484"/>
      <c r="SYC5" s="484"/>
      <c r="SYD5" s="484"/>
      <c r="SYE5" s="484"/>
      <c r="SYF5" s="484"/>
      <c r="SYG5" s="484"/>
      <c r="SYH5" s="484"/>
      <c r="SYI5" s="484"/>
      <c r="SYJ5" s="484"/>
      <c r="SYK5" s="484"/>
      <c r="SYL5" s="484"/>
      <c r="SYM5" s="484"/>
      <c r="SYN5" s="484"/>
      <c r="SYO5" s="484"/>
      <c r="SYP5" s="484"/>
      <c r="SYQ5" s="484"/>
      <c r="SYR5" s="484"/>
      <c r="SYS5" s="484"/>
      <c r="SYT5" s="484"/>
      <c r="SYU5" s="484"/>
      <c r="SYV5" s="484"/>
      <c r="SYW5" s="484"/>
      <c r="SYX5" s="484"/>
      <c r="SYY5" s="484"/>
      <c r="SYZ5" s="484"/>
      <c r="SZA5" s="484"/>
      <c r="SZB5" s="484"/>
      <c r="SZC5" s="484"/>
      <c r="SZD5" s="484"/>
      <c r="SZE5" s="484"/>
      <c r="SZF5" s="484"/>
      <c r="SZG5" s="484"/>
      <c r="SZH5" s="484"/>
      <c r="SZI5" s="484"/>
      <c r="SZJ5" s="484"/>
      <c r="SZK5" s="484"/>
      <c r="SZL5" s="484"/>
      <c r="SZM5" s="484"/>
      <c r="SZN5" s="484"/>
      <c r="SZO5" s="484"/>
      <c r="SZP5" s="484"/>
      <c r="SZQ5" s="484"/>
      <c r="SZR5" s="484"/>
      <c r="SZS5" s="484"/>
      <c r="SZT5" s="484"/>
      <c r="SZU5" s="484"/>
      <c r="SZV5" s="484"/>
      <c r="SZW5" s="484"/>
      <c r="SZX5" s="484"/>
      <c r="SZY5" s="484"/>
      <c r="SZZ5" s="484"/>
      <c r="TAA5" s="484"/>
      <c r="TAB5" s="484"/>
      <c r="TAC5" s="484"/>
      <c r="TAD5" s="484"/>
      <c r="TAE5" s="484"/>
      <c r="TAF5" s="484"/>
      <c r="TAG5" s="484"/>
      <c r="TAH5" s="484"/>
      <c r="TAI5" s="484"/>
      <c r="TAJ5" s="484"/>
      <c r="TAK5" s="484"/>
      <c r="TAL5" s="484"/>
      <c r="TAM5" s="484"/>
      <c r="TAN5" s="484"/>
      <c r="TAO5" s="484"/>
      <c r="TAP5" s="484"/>
      <c r="TAQ5" s="484"/>
      <c r="TAR5" s="484"/>
      <c r="TAS5" s="484"/>
      <c r="TAT5" s="484"/>
      <c r="TAU5" s="484"/>
      <c r="TAV5" s="484"/>
      <c r="TAW5" s="484"/>
      <c r="TAX5" s="484"/>
      <c r="TAY5" s="484"/>
      <c r="TAZ5" s="484"/>
      <c r="TBA5" s="484"/>
      <c r="TBB5" s="484"/>
      <c r="TBC5" s="484"/>
      <c r="TBD5" s="484"/>
      <c r="TBE5" s="484"/>
      <c r="TBF5" s="484"/>
      <c r="TBG5" s="484"/>
      <c r="TBH5" s="484"/>
      <c r="TBI5" s="484"/>
      <c r="TBJ5" s="484"/>
      <c r="TBK5" s="484"/>
      <c r="TBL5" s="484"/>
      <c r="TBM5" s="484"/>
      <c r="TBN5" s="484"/>
      <c r="TBO5" s="484"/>
      <c r="TBP5" s="484"/>
      <c r="TBQ5" s="484"/>
      <c r="TBR5" s="484"/>
      <c r="TBS5" s="484"/>
      <c r="TBT5" s="484"/>
      <c r="TBU5" s="484"/>
      <c r="TBV5" s="484"/>
      <c r="TBW5" s="484"/>
      <c r="TBX5" s="484"/>
      <c r="TBY5" s="484"/>
      <c r="TBZ5" s="484"/>
      <c r="TCA5" s="484"/>
      <c r="TCB5" s="484"/>
      <c r="TCC5" s="484"/>
      <c r="TCD5" s="484"/>
      <c r="TCE5" s="484"/>
      <c r="TCF5" s="484"/>
      <c r="TCG5" s="484"/>
      <c r="TCH5" s="484"/>
      <c r="TCI5" s="484"/>
      <c r="TCJ5" s="484"/>
      <c r="TCK5" s="484"/>
      <c r="TCL5" s="484"/>
      <c r="TCM5" s="484"/>
      <c r="TCN5" s="484"/>
      <c r="TCO5" s="484"/>
      <c r="TCP5" s="484"/>
      <c r="TCQ5" s="484"/>
      <c r="TCR5" s="484"/>
      <c r="TCS5" s="484"/>
      <c r="TCT5" s="484"/>
      <c r="TCU5" s="484"/>
      <c r="TCV5" s="484"/>
      <c r="TCW5" s="484"/>
      <c r="TCX5" s="484"/>
      <c r="TCY5" s="484"/>
      <c r="TCZ5" s="484"/>
      <c r="TDA5" s="484"/>
      <c r="TDB5" s="484"/>
      <c r="TDC5" s="484"/>
      <c r="TDD5" s="484"/>
      <c r="TDE5" s="484"/>
      <c r="TDF5" s="484"/>
      <c r="TDG5" s="484"/>
      <c r="TDH5" s="484"/>
      <c r="TDI5" s="484"/>
      <c r="TDJ5" s="484"/>
      <c r="TDK5" s="484"/>
      <c r="TDL5" s="484"/>
      <c r="TDM5" s="484"/>
      <c r="TDN5" s="484"/>
      <c r="TDO5" s="484"/>
      <c r="TDP5" s="484"/>
      <c r="TDQ5" s="484"/>
      <c r="TDR5" s="484"/>
      <c r="TDS5" s="484"/>
      <c r="TDT5" s="484"/>
      <c r="TDU5" s="484"/>
      <c r="TDV5" s="484"/>
      <c r="TDW5" s="484"/>
      <c r="TDX5" s="484"/>
      <c r="TDY5" s="484"/>
      <c r="TDZ5" s="484"/>
      <c r="TEA5" s="484"/>
      <c r="TEB5" s="484"/>
      <c r="TEC5" s="484"/>
      <c r="TED5" s="484"/>
      <c r="TEE5" s="484"/>
      <c r="TEF5" s="484"/>
      <c r="TEG5" s="484"/>
      <c r="TEH5" s="484"/>
      <c r="TEI5" s="484"/>
      <c r="TEJ5" s="484"/>
      <c r="TEK5" s="484"/>
      <c r="TEL5" s="484"/>
      <c r="TEM5" s="484"/>
      <c r="TEN5" s="484"/>
      <c r="TEO5" s="484"/>
      <c r="TEP5" s="484"/>
      <c r="TEQ5" s="484"/>
      <c r="TER5" s="484"/>
      <c r="TES5" s="484"/>
      <c r="TET5" s="484"/>
      <c r="TEU5" s="484"/>
      <c r="TEV5" s="484"/>
      <c r="TEW5" s="484"/>
      <c r="TEX5" s="484"/>
      <c r="TEY5" s="484"/>
      <c r="TEZ5" s="484"/>
      <c r="TFA5" s="484"/>
      <c r="TFB5" s="484"/>
      <c r="TFC5" s="484"/>
      <c r="TFD5" s="484"/>
      <c r="TFE5" s="484"/>
      <c r="TFF5" s="484"/>
      <c r="TFG5" s="484"/>
      <c r="TFH5" s="484"/>
      <c r="TFI5" s="484"/>
      <c r="TFJ5" s="484"/>
      <c r="TFK5" s="484"/>
      <c r="TFL5" s="484"/>
      <c r="TFM5" s="484"/>
      <c r="TFN5" s="484"/>
      <c r="TFO5" s="484"/>
      <c r="TFP5" s="484"/>
      <c r="TFQ5" s="484"/>
      <c r="TFR5" s="484"/>
      <c r="TFS5" s="484"/>
      <c r="TFT5" s="484"/>
      <c r="TFU5" s="484"/>
      <c r="TFV5" s="484"/>
      <c r="TFW5" s="484"/>
      <c r="TFX5" s="484"/>
      <c r="TFY5" s="484"/>
      <c r="TFZ5" s="484"/>
      <c r="TGA5" s="484"/>
      <c r="TGB5" s="484"/>
      <c r="TGC5" s="484"/>
      <c r="TGD5" s="484"/>
      <c r="TGE5" s="484"/>
      <c r="TGF5" s="484"/>
      <c r="TGG5" s="484"/>
      <c r="TGH5" s="484"/>
      <c r="TGI5" s="484"/>
      <c r="TGJ5" s="484"/>
      <c r="TGK5" s="484"/>
      <c r="TGL5" s="484"/>
      <c r="TGM5" s="484"/>
      <c r="TGN5" s="484"/>
      <c r="TGO5" s="484"/>
      <c r="TGP5" s="484"/>
      <c r="TGQ5" s="484"/>
      <c r="TGR5" s="484"/>
      <c r="TGS5" s="484"/>
      <c r="TGT5" s="484"/>
      <c r="TGU5" s="484"/>
      <c r="TGV5" s="484"/>
      <c r="TGW5" s="484"/>
      <c r="TGX5" s="484"/>
      <c r="TGY5" s="484"/>
      <c r="TGZ5" s="484"/>
      <c r="THA5" s="484"/>
      <c r="THB5" s="484"/>
      <c r="THC5" s="484"/>
      <c r="THD5" s="484"/>
      <c r="THE5" s="484"/>
      <c r="THF5" s="484"/>
      <c r="THG5" s="484"/>
      <c r="THH5" s="484"/>
      <c r="THI5" s="484"/>
      <c r="THJ5" s="484"/>
      <c r="THK5" s="484"/>
      <c r="THL5" s="484"/>
      <c r="THM5" s="484"/>
      <c r="THN5" s="484"/>
      <c r="THO5" s="484"/>
      <c r="THP5" s="484"/>
      <c r="THQ5" s="484"/>
      <c r="THR5" s="484"/>
      <c r="THS5" s="484"/>
      <c r="THT5" s="484"/>
      <c r="THU5" s="484"/>
      <c r="THV5" s="484"/>
      <c r="THW5" s="484"/>
      <c r="THX5" s="484"/>
      <c r="THY5" s="484"/>
      <c r="THZ5" s="484"/>
      <c r="TIA5" s="484"/>
      <c r="TIB5" s="484"/>
      <c r="TIC5" s="484"/>
      <c r="TID5" s="484"/>
      <c r="TIE5" s="484"/>
      <c r="TIF5" s="484"/>
      <c r="TIG5" s="484"/>
      <c r="TIH5" s="484"/>
      <c r="TII5" s="484"/>
      <c r="TIJ5" s="484"/>
      <c r="TIK5" s="484"/>
      <c r="TIL5" s="484"/>
      <c r="TIM5" s="484"/>
      <c r="TIN5" s="484"/>
      <c r="TIO5" s="484"/>
      <c r="TIP5" s="484"/>
      <c r="TIQ5" s="484"/>
      <c r="TIR5" s="484"/>
      <c r="TIS5" s="484"/>
      <c r="TIT5" s="484"/>
      <c r="TIU5" s="484"/>
      <c r="TIV5" s="484"/>
      <c r="TIW5" s="484"/>
      <c r="TIX5" s="484"/>
      <c r="TIY5" s="484"/>
      <c r="TIZ5" s="484"/>
      <c r="TJA5" s="484"/>
      <c r="TJB5" s="484"/>
      <c r="TJC5" s="484"/>
      <c r="TJD5" s="484"/>
      <c r="TJE5" s="484"/>
      <c r="TJF5" s="484"/>
      <c r="TJG5" s="484"/>
      <c r="TJH5" s="484"/>
      <c r="TJI5" s="484"/>
      <c r="TJJ5" s="484"/>
      <c r="TJK5" s="484"/>
      <c r="TJL5" s="484"/>
      <c r="TJM5" s="484"/>
      <c r="TJN5" s="484"/>
      <c r="TJO5" s="484"/>
      <c r="TJP5" s="484"/>
      <c r="TJQ5" s="484"/>
      <c r="TJR5" s="484"/>
      <c r="TJS5" s="484"/>
      <c r="TJT5" s="484"/>
      <c r="TJU5" s="484"/>
      <c r="TJV5" s="484"/>
      <c r="TJW5" s="484"/>
      <c r="TJX5" s="484"/>
      <c r="TJY5" s="484"/>
      <c r="TJZ5" s="484"/>
      <c r="TKA5" s="484"/>
      <c r="TKB5" s="484"/>
      <c r="TKC5" s="484"/>
      <c r="TKD5" s="484"/>
      <c r="TKE5" s="484"/>
      <c r="TKF5" s="484"/>
      <c r="TKG5" s="484"/>
      <c r="TKH5" s="484"/>
      <c r="TKI5" s="484"/>
      <c r="TKJ5" s="484"/>
      <c r="TKK5" s="484"/>
      <c r="TKL5" s="484"/>
      <c r="TKM5" s="484"/>
      <c r="TKN5" s="484"/>
      <c r="TKO5" s="484"/>
      <c r="TKP5" s="484"/>
      <c r="TKQ5" s="484"/>
      <c r="TKR5" s="484"/>
      <c r="TKS5" s="484"/>
      <c r="TKT5" s="484"/>
      <c r="TKU5" s="484"/>
      <c r="TKV5" s="484"/>
      <c r="TKW5" s="484"/>
      <c r="TKX5" s="484"/>
      <c r="TKY5" s="484"/>
      <c r="TKZ5" s="484"/>
      <c r="TLA5" s="484"/>
      <c r="TLB5" s="484"/>
      <c r="TLC5" s="484"/>
      <c r="TLD5" s="484"/>
      <c r="TLE5" s="484"/>
      <c r="TLF5" s="484"/>
      <c r="TLG5" s="484"/>
      <c r="TLH5" s="484"/>
      <c r="TLI5" s="484"/>
      <c r="TLJ5" s="484"/>
      <c r="TLK5" s="484"/>
      <c r="TLL5" s="484"/>
      <c r="TLM5" s="484"/>
      <c r="TLN5" s="484"/>
      <c r="TLO5" s="484"/>
      <c r="TLP5" s="484"/>
      <c r="TLQ5" s="484"/>
      <c r="TLR5" s="484"/>
      <c r="TLS5" s="484"/>
      <c r="TLT5" s="484"/>
      <c r="TLU5" s="484"/>
      <c r="TLV5" s="484"/>
      <c r="TLW5" s="484"/>
      <c r="TLX5" s="484"/>
      <c r="TLY5" s="484"/>
      <c r="TLZ5" s="484"/>
      <c r="TMA5" s="484"/>
      <c r="TMB5" s="484"/>
      <c r="TMC5" s="484"/>
      <c r="TMD5" s="484"/>
      <c r="TME5" s="484"/>
      <c r="TMF5" s="484"/>
      <c r="TMG5" s="484"/>
      <c r="TMH5" s="484"/>
      <c r="TMI5" s="484"/>
      <c r="TMJ5" s="484"/>
      <c r="TMK5" s="484"/>
      <c r="TML5" s="484"/>
      <c r="TMM5" s="484"/>
      <c r="TMN5" s="484"/>
      <c r="TMO5" s="484"/>
      <c r="TMP5" s="484"/>
      <c r="TMQ5" s="484"/>
      <c r="TMR5" s="484"/>
      <c r="TMS5" s="484"/>
      <c r="TMT5" s="484"/>
      <c r="TMU5" s="484"/>
      <c r="TMV5" s="484"/>
      <c r="TMW5" s="484"/>
      <c r="TMX5" s="484"/>
      <c r="TMY5" s="484"/>
      <c r="TMZ5" s="484"/>
      <c r="TNA5" s="484"/>
      <c r="TNB5" s="484"/>
      <c r="TNC5" s="484"/>
      <c r="TND5" s="484"/>
      <c r="TNE5" s="484"/>
      <c r="TNF5" s="484"/>
      <c r="TNG5" s="484"/>
      <c r="TNH5" s="484"/>
      <c r="TNI5" s="484"/>
      <c r="TNJ5" s="484"/>
      <c r="TNK5" s="484"/>
      <c r="TNL5" s="484"/>
      <c r="TNM5" s="484"/>
      <c r="TNN5" s="484"/>
      <c r="TNO5" s="484"/>
      <c r="TNP5" s="484"/>
      <c r="TNQ5" s="484"/>
      <c r="TNR5" s="484"/>
      <c r="TNS5" s="484"/>
      <c r="TNT5" s="484"/>
      <c r="TNU5" s="484"/>
      <c r="TNV5" s="484"/>
      <c r="TNW5" s="484"/>
      <c r="TNX5" s="484"/>
      <c r="TNY5" s="484"/>
      <c r="TNZ5" s="484"/>
      <c r="TOA5" s="484"/>
      <c r="TOB5" s="484"/>
      <c r="TOC5" s="484"/>
      <c r="TOD5" s="484"/>
      <c r="TOE5" s="484"/>
      <c r="TOF5" s="484"/>
      <c r="TOG5" s="484"/>
      <c r="TOH5" s="484"/>
      <c r="TOI5" s="484"/>
      <c r="TOJ5" s="484"/>
      <c r="TOK5" s="484"/>
      <c r="TOL5" s="484"/>
      <c r="TOM5" s="484"/>
      <c r="TON5" s="484"/>
      <c r="TOO5" s="484"/>
      <c r="TOP5" s="484"/>
      <c r="TOQ5" s="484"/>
      <c r="TOR5" s="484"/>
      <c r="TOS5" s="484"/>
      <c r="TOT5" s="484"/>
      <c r="TOU5" s="484"/>
      <c r="TOV5" s="484"/>
      <c r="TOW5" s="484"/>
      <c r="TOX5" s="484"/>
      <c r="TOY5" s="484"/>
      <c r="TOZ5" s="484"/>
      <c r="TPA5" s="484"/>
      <c r="TPB5" s="484"/>
      <c r="TPC5" s="484"/>
      <c r="TPD5" s="484"/>
      <c r="TPE5" s="484"/>
      <c r="TPF5" s="484"/>
      <c r="TPG5" s="484"/>
      <c r="TPH5" s="484"/>
      <c r="TPI5" s="484"/>
      <c r="TPJ5" s="484"/>
      <c r="TPK5" s="484"/>
      <c r="TPL5" s="484"/>
      <c r="TPM5" s="484"/>
      <c r="TPN5" s="484"/>
      <c r="TPO5" s="484"/>
      <c r="TPP5" s="484"/>
      <c r="TPQ5" s="484"/>
      <c r="TPR5" s="484"/>
      <c r="TPS5" s="484"/>
      <c r="TPT5" s="484"/>
      <c r="TPU5" s="484"/>
      <c r="TPV5" s="484"/>
      <c r="TPW5" s="484"/>
      <c r="TPX5" s="484"/>
      <c r="TPY5" s="484"/>
      <c r="TPZ5" s="484"/>
      <c r="TQA5" s="484"/>
      <c r="TQB5" s="484"/>
      <c r="TQC5" s="484"/>
      <c r="TQD5" s="484"/>
      <c r="TQE5" s="484"/>
      <c r="TQF5" s="484"/>
      <c r="TQG5" s="484"/>
      <c r="TQH5" s="484"/>
      <c r="TQI5" s="484"/>
      <c r="TQJ5" s="484"/>
      <c r="TQK5" s="484"/>
      <c r="TQL5" s="484"/>
      <c r="TQM5" s="484"/>
      <c r="TQN5" s="484"/>
      <c r="TQO5" s="484"/>
      <c r="TQP5" s="484"/>
      <c r="TQQ5" s="484"/>
      <c r="TQR5" s="484"/>
      <c r="TQS5" s="484"/>
      <c r="TQT5" s="484"/>
      <c r="TQU5" s="484"/>
      <c r="TQV5" s="484"/>
      <c r="TQW5" s="484"/>
      <c r="TQX5" s="484"/>
      <c r="TQY5" s="484"/>
      <c r="TQZ5" s="484"/>
      <c r="TRA5" s="484"/>
      <c r="TRB5" s="484"/>
      <c r="TRC5" s="484"/>
      <c r="TRD5" s="484"/>
      <c r="TRE5" s="484"/>
      <c r="TRF5" s="484"/>
      <c r="TRG5" s="484"/>
      <c r="TRH5" s="484"/>
      <c r="TRI5" s="484"/>
      <c r="TRJ5" s="484"/>
      <c r="TRK5" s="484"/>
      <c r="TRL5" s="484"/>
      <c r="TRM5" s="484"/>
      <c r="TRN5" s="484"/>
      <c r="TRO5" s="484"/>
      <c r="TRP5" s="484"/>
      <c r="TRQ5" s="484"/>
      <c r="TRR5" s="484"/>
      <c r="TRS5" s="484"/>
      <c r="TRT5" s="484"/>
      <c r="TRU5" s="484"/>
      <c r="TRV5" s="484"/>
      <c r="TRW5" s="484"/>
      <c r="TRX5" s="484"/>
      <c r="TRY5" s="484"/>
      <c r="TRZ5" s="484"/>
      <c r="TSA5" s="484"/>
      <c r="TSB5" s="484"/>
      <c r="TSC5" s="484"/>
      <c r="TSD5" s="484"/>
      <c r="TSE5" s="484"/>
      <c r="TSF5" s="484"/>
      <c r="TSG5" s="484"/>
      <c r="TSH5" s="484"/>
      <c r="TSI5" s="484"/>
      <c r="TSJ5" s="484"/>
      <c r="TSK5" s="484"/>
      <c r="TSL5" s="484"/>
      <c r="TSM5" s="484"/>
      <c r="TSN5" s="484"/>
      <c r="TSO5" s="484"/>
      <c r="TSP5" s="484"/>
      <c r="TSQ5" s="484"/>
      <c r="TSR5" s="484"/>
      <c r="TSS5" s="484"/>
      <c r="TST5" s="484"/>
      <c r="TSU5" s="484"/>
      <c r="TSV5" s="484"/>
      <c r="TSW5" s="484"/>
      <c r="TSX5" s="484"/>
      <c r="TSY5" s="484"/>
      <c r="TSZ5" s="484"/>
      <c r="TTA5" s="484"/>
      <c r="TTB5" s="484"/>
      <c r="TTC5" s="484"/>
      <c r="TTD5" s="484"/>
      <c r="TTE5" s="484"/>
      <c r="TTF5" s="484"/>
      <c r="TTG5" s="484"/>
      <c r="TTH5" s="484"/>
      <c r="TTI5" s="484"/>
      <c r="TTJ5" s="484"/>
      <c r="TTK5" s="484"/>
      <c r="TTL5" s="484"/>
      <c r="TTM5" s="484"/>
      <c r="TTN5" s="484"/>
      <c r="TTO5" s="484"/>
      <c r="TTP5" s="484"/>
      <c r="TTQ5" s="484"/>
      <c r="TTR5" s="484"/>
      <c r="TTS5" s="484"/>
      <c r="TTT5" s="484"/>
      <c r="TTU5" s="484"/>
      <c r="TTV5" s="484"/>
      <c r="TTW5" s="484"/>
      <c r="TTX5" s="484"/>
      <c r="TTY5" s="484"/>
      <c r="TTZ5" s="484"/>
      <c r="TUA5" s="484"/>
      <c r="TUB5" s="484"/>
      <c r="TUC5" s="484"/>
      <c r="TUD5" s="484"/>
      <c r="TUE5" s="484"/>
      <c r="TUF5" s="484"/>
      <c r="TUG5" s="484"/>
      <c r="TUH5" s="484"/>
      <c r="TUI5" s="484"/>
      <c r="TUJ5" s="484"/>
      <c r="TUK5" s="484"/>
      <c r="TUL5" s="484"/>
      <c r="TUM5" s="484"/>
      <c r="TUN5" s="484"/>
      <c r="TUO5" s="484"/>
      <c r="TUP5" s="484"/>
      <c r="TUQ5" s="484"/>
      <c r="TUR5" s="484"/>
      <c r="TUS5" s="484"/>
      <c r="TUT5" s="484"/>
      <c r="TUU5" s="484"/>
      <c r="TUV5" s="484"/>
      <c r="TUW5" s="484"/>
      <c r="TUX5" s="484"/>
      <c r="TUY5" s="484"/>
      <c r="TUZ5" s="484"/>
      <c r="TVA5" s="484"/>
      <c r="TVB5" s="484"/>
      <c r="TVC5" s="484"/>
      <c r="TVD5" s="484"/>
      <c r="TVE5" s="484"/>
      <c r="TVF5" s="484"/>
      <c r="TVG5" s="484"/>
      <c r="TVH5" s="484"/>
      <c r="TVI5" s="484"/>
      <c r="TVJ5" s="484"/>
      <c r="TVK5" s="484"/>
      <c r="TVL5" s="484"/>
      <c r="TVM5" s="484"/>
      <c r="TVN5" s="484"/>
      <c r="TVO5" s="484"/>
      <c r="TVP5" s="484"/>
      <c r="TVQ5" s="484"/>
      <c r="TVR5" s="484"/>
      <c r="TVS5" s="484"/>
      <c r="TVT5" s="484"/>
      <c r="TVU5" s="484"/>
      <c r="TVV5" s="484"/>
      <c r="TVW5" s="484"/>
      <c r="TVX5" s="484"/>
      <c r="TVY5" s="484"/>
      <c r="TVZ5" s="484"/>
      <c r="TWA5" s="484"/>
      <c r="TWB5" s="484"/>
      <c r="TWC5" s="484"/>
      <c r="TWD5" s="484"/>
      <c r="TWE5" s="484"/>
      <c r="TWF5" s="484"/>
      <c r="TWG5" s="484"/>
      <c r="TWH5" s="484"/>
      <c r="TWI5" s="484"/>
      <c r="TWJ5" s="484"/>
      <c r="TWK5" s="484"/>
      <c r="TWL5" s="484"/>
      <c r="TWM5" s="484"/>
      <c r="TWN5" s="484"/>
      <c r="TWO5" s="484"/>
      <c r="TWP5" s="484"/>
      <c r="TWQ5" s="484"/>
      <c r="TWR5" s="484"/>
      <c r="TWS5" s="484"/>
      <c r="TWT5" s="484"/>
      <c r="TWU5" s="484"/>
      <c r="TWV5" s="484"/>
      <c r="TWW5" s="484"/>
      <c r="TWX5" s="484"/>
      <c r="TWY5" s="484"/>
      <c r="TWZ5" s="484"/>
      <c r="TXA5" s="484"/>
      <c r="TXB5" s="484"/>
      <c r="TXC5" s="484"/>
      <c r="TXD5" s="484"/>
      <c r="TXE5" s="484"/>
      <c r="TXF5" s="484"/>
      <c r="TXG5" s="484"/>
      <c r="TXH5" s="484"/>
      <c r="TXI5" s="484"/>
      <c r="TXJ5" s="484"/>
      <c r="TXK5" s="484"/>
      <c r="TXL5" s="484"/>
      <c r="TXM5" s="484"/>
      <c r="TXN5" s="484"/>
      <c r="TXO5" s="484"/>
      <c r="TXP5" s="484"/>
      <c r="TXQ5" s="484"/>
      <c r="TXR5" s="484"/>
      <c r="TXS5" s="484"/>
      <c r="TXT5" s="484"/>
      <c r="TXU5" s="484"/>
      <c r="TXV5" s="484"/>
      <c r="TXW5" s="484"/>
      <c r="TXX5" s="484"/>
      <c r="TXY5" s="484"/>
      <c r="TXZ5" s="484"/>
      <c r="TYA5" s="484"/>
      <c r="TYB5" s="484"/>
      <c r="TYC5" s="484"/>
      <c r="TYD5" s="484"/>
      <c r="TYE5" s="484"/>
      <c r="TYF5" s="484"/>
      <c r="TYG5" s="484"/>
      <c r="TYH5" s="484"/>
      <c r="TYI5" s="484"/>
      <c r="TYJ5" s="484"/>
      <c r="TYK5" s="484"/>
      <c r="TYL5" s="484"/>
      <c r="TYM5" s="484"/>
      <c r="TYN5" s="484"/>
      <c r="TYO5" s="484"/>
      <c r="TYP5" s="484"/>
      <c r="TYQ5" s="484"/>
      <c r="TYR5" s="484"/>
      <c r="TYS5" s="484"/>
      <c r="TYT5" s="484"/>
      <c r="TYU5" s="484"/>
      <c r="TYV5" s="484"/>
      <c r="TYW5" s="484"/>
      <c r="TYX5" s="484"/>
      <c r="TYY5" s="484"/>
      <c r="TYZ5" s="484"/>
      <c r="TZA5" s="484"/>
      <c r="TZB5" s="484"/>
      <c r="TZC5" s="484"/>
      <c r="TZD5" s="484"/>
      <c r="TZE5" s="484"/>
      <c r="TZF5" s="484"/>
      <c r="TZG5" s="484"/>
      <c r="TZH5" s="484"/>
      <c r="TZI5" s="484"/>
      <c r="TZJ5" s="484"/>
      <c r="TZK5" s="484"/>
      <c r="TZL5" s="484"/>
      <c r="TZM5" s="484"/>
      <c r="TZN5" s="484"/>
      <c r="TZO5" s="484"/>
      <c r="TZP5" s="484"/>
      <c r="TZQ5" s="484"/>
      <c r="TZR5" s="484"/>
      <c r="TZS5" s="484"/>
      <c r="TZT5" s="484"/>
      <c r="TZU5" s="484"/>
      <c r="TZV5" s="484"/>
      <c r="TZW5" s="484"/>
      <c r="TZX5" s="484"/>
      <c r="TZY5" s="484"/>
      <c r="TZZ5" s="484"/>
      <c r="UAA5" s="484"/>
      <c r="UAB5" s="484"/>
      <c r="UAC5" s="484"/>
      <c r="UAD5" s="484"/>
      <c r="UAE5" s="484"/>
      <c r="UAF5" s="484"/>
      <c r="UAG5" s="484"/>
      <c r="UAH5" s="484"/>
      <c r="UAI5" s="484"/>
      <c r="UAJ5" s="484"/>
      <c r="UAK5" s="484"/>
      <c r="UAL5" s="484"/>
      <c r="UAM5" s="484"/>
      <c r="UAN5" s="484"/>
      <c r="UAO5" s="484"/>
      <c r="UAP5" s="484"/>
      <c r="UAQ5" s="484"/>
      <c r="UAR5" s="484"/>
      <c r="UAS5" s="484"/>
      <c r="UAT5" s="484"/>
      <c r="UAU5" s="484"/>
      <c r="UAV5" s="484"/>
      <c r="UAW5" s="484"/>
      <c r="UAX5" s="484"/>
      <c r="UAY5" s="484"/>
      <c r="UAZ5" s="484"/>
      <c r="UBA5" s="484"/>
      <c r="UBB5" s="484"/>
      <c r="UBC5" s="484"/>
      <c r="UBD5" s="484"/>
      <c r="UBE5" s="484"/>
      <c r="UBF5" s="484"/>
      <c r="UBG5" s="484"/>
      <c r="UBH5" s="484"/>
      <c r="UBI5" s="484"/>
      <c r="UBJ5" s="484"/>
      <c r="UBK5" s="484"/>
      <c r="UBL5" s="484"/>
      <c r="UBM5" s="484"/>
      <c r="UBN5" s="484"/>
      <c r="UBO5" s="484"/>
      <c r="UBP5" s="484"/>
      <c r="UBQ5" s="484"/>
      <c r="UBR5" s="484"/>
      <c r="UBS5" s="484"/>
      <c r="UBT5" s="484"/>
      <c r="UBU5" s="484"/>
      <c r="UBV5" s="484"/>
      <c r="UBW5" s="484"/>
      <c r="UBX5" s="484"/>
      <c r="UBY5" s="484"/>
      <c r="UBZ5" s="484"/>
      <c r="UCA5" s="484"/>
      <c r="UCB5" s="484"/>
      <c r="UCC5" s="484"/>
      <c r="UCD5" s="484"/>
      <c r="UCE5" s="484"/>
      <c r="UCF5" s="484"/>
      <c r="UCG5" s="484"/>
      <c r="UCH5" s="484"/>
      <c r="UCI5" s="484"/>
      <c r="UCJ5" s="484"/>
      <c r="UCK5" s="484"/>
      <c r="UCL5" s="484"/>
      <c r="UCM5" s="484"/>
      <c r="UCN5" s="484"/>
      <c r="UCO5" s="484"/>
      <c r="UCP5" s="484"/>
      <c r="UCQ5" s="484"/>
      <c r="UCR5" s="484"/>
      <c r="UCS5" s="484"/>
      <c r="UCT5" s="484"/>
      <c r="UCU5" s="484"/>
      <c r="UCV5" s="484"/>
      <c r="UCW5" s="484"/>
      <c r="UCX5" s="484"/>
      <c r="UCY5" s="484"/>
      <c r="UCZ5" s="484"/>
      <c r="UDA5" s="484"/>
      <c r="UDB5" s="484"/>
      <c r="UDC5" s="484"/>
      <c r="UDD5" s="484"/>
      <c r="UDE5" s="484"/>
      <c r="UDF5" s="484"/>
      <c r="UDG5" s="484"/>
      <c r="UDH5" s="484"/>
      <c r="UDI5" s="484"/>
      <c r="UDJ5" s="484"/>
      <c r="UDK5" s="484"/>
      <c r="UDL5" s="484"/>
      <c r="UDM5" s="484"/>
      <c r="UDN5" s="484"/>
      <c r="UDO5" s="484"/>
      <c r="UDP5" s="484"/>
      <c r="UDQ5" s="484"/>
      <c r="UDR5" s="484"/>
      <c r="UDS5" s="484"/>
      <c r="UDT5" s="484"/>
      <c r="UDU5" s="484"/>
      <c r="UDV5" s="484"/>
      <c r="UDW5" s="484"/>
      <c r="UDX5" s="484"/>
      <c r="UDY5" s="484"/>
      <c r="UDZ5" s="484"/>
      <c r="UEA5" s="484"/>
      <c r="UEB5" s="484"/>
      <c r="UEC5" s="484"/>
      <c r="UED5" s="484"/>
      <c r="UEE5" s="484"/>
      <c r="UEF5" s="484"/>
      <c r="UEG5" s="484"/>
      <c r="UEH5" s="484"/>
      <c r="UEI5" s="484"/>
      <c r="UEJ5" s="484"/>
      <c r="UEK5" s="484"/>
      <c r="UEL5" s="484"/>
      <c r="UEM5" s="484"/>
      <c r="UEN5" s="484"/>
      <c r="UEO5" s="484"/>
      <c r="UEP5" s="484"/>
      <c r="UEQ5" s="484"/>
      <c r="UER5" s="484"/>
      <c r="UES5" s="484"/>
      <c r="UET5" s="484"/>
      <c r="UEU5" s="484"/>
      <c r="UEV5" s="484"/>
      <c r="UEW5" s="484"/>
      <c r="UEX5" s="484"/>
      <c r="UEY5" s="484"/>
      <c r="UEZ5" s="484"/>
      <c r="UFA5" s="484"/>
      <c r="UFB5" s="484"/>
      <c r="UFC5" s="484"/>
      <c r="UFD5" s="484"/>
      <c r="UFE5" s="484"/>
      <c r="UFF5" s="484"/>
      <c r="UFG5" s="484"/>
      <c r="UFH5" s="484"/>
      <c r="UFI5" s="484"/>
      <c r="UFJ5" s="484"/>
      <c r="UFK5" s="484"/>
      <c r="UFL5" s="484"/>
      <c r="UFM5" s="484"/>
      <c r="UFN5" s="484"/>
      <c r="UFO5" s="484"/>
      <c r="UFP5" s="484"/>
      <c r="UFQ5" s="484"/>
      <c r="UFR5" s="484"/>
      <c r="UFS5" s="484"/>
      <c r="UFT5" s="484"/>
      <c r="UFU5" s="484"/>
      <c r="UFV5" s="484"/>
      <c r="UFW5" s="484"/>
      <c r="UFX5" s="484"/>
      <c r="UFY5" s="484"/>
      <c r="UFZ5" s="484"/>
      <c r="UGA5" s="484"/>
      <c r="UGB5" s="484"/>
      <c r="UGC5" s="484"/>
      <c r="UGD5" s="484"/>
      <c r="UGE5" s="484"/>
      <c r="UGF5" s="484"/>
      <c r="UGG5" s="484"/>
      <c r="UGH5" s="484"/>
      <c r="UGI5" s="484"/>
      <c r="UGJ5" s="484"/>
      <c r="UGK5" s="484"/>
      <c r="UGL5" s="484"/>
      <c r="UGM5" s="484"/>
      <c r="UGN5" s="484"/>
      <c r="UGO5" s="484"/>
      <c r="UGP5" s="484"/>
      <c r="UGQ5" s="484"/>
      <c r="UGR5" s="484"/>
      <c r="UGS5" s="484"/>
      <c r="UGT5" s="484"/>
      <c r="UGU5" s="484"/>
      <c r="UGV5" s="484"/>
      <c r="UGW5" s="484"/>
      <c r="UGX5" s="484"/>
      <c r="UGY5" s="484"/>
      <c r="UGZ5" s="484"/>
      <c r="UHA5" s="484"/>
      <c r="UHB5" s="484"/>
      <c r="UHC5" s="484"/>
      <c r="UHD5" s="484"/>
      <c r="UHE5" s="484"/>
      <c r="UHF5" s="484"/>
      <c r="UHG5" s="484"/>
      <c r="UHH5" s="484"/>
      <c r="UHI5" s="484"/>
      <c r="UHJ5" s="484"/>
      <c r="UHK5" s="484"/>
      <c r="UHL5" s="484"/>
      <c r="UHM5" s="484"/>
      <c r="UHN5" s="484"/>
      <c r="UHO5" s="484"/>
      <c r="UHP5" s="484"/>
      <c r="UHQ5" s="484"/>
      <c r="UHR5" s="484"/>
      <c r="UHS5" s="484"/>
      <c r="UHT5" s="484"/>
      <c r="UHU5" s="484"/>
      <c r="UHV5" s="484"/>
      <c r="UHW5" s="484"/>
      <c r="UHX5" s="484"/>
      <c r="UHY5" s="484"/>
      <c r="UHZ5" s="484"/>
      <c r="UIA5" s="484"/>
      <c r="UIB5" s="484"/>
      <c r="UIC5" s="484"/>
      <c r="UID5" s="484"/>
      <c r="UIE5" s="484"/>
      <c r="UIF5" s="484"/>
      <c r="UIG5" s="484"/>
      <c r="UIH5" s="484"/>
      <c r="UII5" s="484"/>
      <c r="UIJ5" s="484"/>
      <c r="UIK5" s="484"/>
      <c r="UIL5" s="484"/>
      <c r="UIM5" s="484"/>
      <c r="UIN5" s="484"/>
      <c r="UIO5" s="484"/>
      <c r="UIP5" s="484"/>
      <c r="UIQ5" s="484"/>
      <c r="UIR5" s="484"/>
      <c r="UIS5" s="484"/>
      <c r="UIT5" s="484"/>
      <c r="UIU5" s="484"/>
      <c r="UIV5" s="484"/>
      <c r="UIW5" s="484"/>
      <c r="UIX5" s="484"/>
      <c r="UIY5" s="484"/>
      <c r="UIZ5" s="484"/>
      <c r="UJA5" s="484"/>
      <c r="UJB5" s="484"/>
      <c r="UJC5" s="484"/>
      <c r="UJD5" s="484"/>
      <c r="UJE5" s="484"/>
      <c r="UJF5" s="484"/>
      <c r="UJG5" s="484"/>
      <c r="UJH5" s="484"/>
      <c r="UJI5" s="484"/>
      <c r="UJJ5" s="484"/>
      <c r="UJK5" s="484"/>
      <c r="UJL5" s="484"/>
      <c r="UJM5" s="484"/>
      <c r="UJN5" s="484"/>
      <c r="UJO5" s="484"/>
      <c r="UJP5" s="484"/>
      <c r="UJQ5" s="484"/>
      <c r="UJR5" s="484"/>
      <c r="UJS5" s="484"/>
      <c r="UJT5" s="484"/>
      <c r="UJU5" s="484"/>
      <c r="UJV5" s="484"/>
      <c r="UJW5" s="484"/>
      <c r="UJX5" s="484"/>
      <c r="UJY5" s="484"/>
      <c r="UJZ5" s="484"/>
      <c r="UKA5" s="484"/>
      <c r="UKB5" s="484"/>
      <c r="UKC5" s="484"/>
      <c r="UKD5" s="484"/>
      <c r="UKE5" s="484"/>
      <c r="UKF5" s="484"/>
      <c r="UKG5" s="484"/>
      <c r="UKH5" s="484"/>
      <c r="UKI5" s="484"/>
      <c r="UKJ5" s="484"/>
      <c r="UKK5" s="484"/>
      <c r="UKL5" s="484"/>
      <c r="UKM5" s="484"/>
      <c r="UKN5" s="484"/>
      <c r="UKO5" s="484"/>
      <c r="UKP5" s="484"/>
      <c r="UKQ5" s="484"/>
      <c r="UKR5" s="484"/>
      <c r="UKS5" s="484"/>
      <c r="UKT5" s="484"/>
      <c r="UKU5" s="484"/>
      <c r="UKV5" s="484"/>
      <c r="UKW5" s="484"/>
      <c r="UKX5" s="484"/>
      <c r="UKY5" s="484"/>
      <c r="UKZ5" s="484"/>
      <c r="ULA5" s="484"/>
      <c r="ULB5" s="484"/>
      <c r="ULC5" s="484"/>
      <c r="ULD5" s="484"/>
      <c r="ULE5" s="484"/>
      <c r="ULF5" s="484"/>
      <c r="ULG5" s="484"/>
      <c r="ULH5" s="484"/>
      <c r="ULI5" s="484"/>
      <c r="ULJ5" s="484"/>
      <c r="ULK5" s="484"/>
      <c r="ULL5" s="484"/>
      <c r="ULM5" s="484"/>
      <c r="ULN5" s="484"/>
      <c r="ULO5" s="484"/>
      <c r="ULP5" s="484"/>
      <c r="ULQ5" s="484"/>
      <c r="ULR5" s="484"/>
      <c r="ULS5" s="484"/>
      <c r="ULT5" s="484"/>
      <c r="ULU5" s="484"/>
      <c r="ULV5" s="484"/>
      <c r="ULW5" s="484"/>
      <c r="ULX5" s="484"/>
      <c r="ULY5" s="484"/>
      <c r="ULZ5" s="484"/>
      <c r="UMA5" s="484"/>
      <c r="UMB5" s="484"/>
      <c r="UMC5" s="484"/>
      <c r="UMD5" s="484"/>
      <c r="UME5" s="484"/>
      <c r="UMF5" s="484"/>
      <c r="UMG5" s="484"/>
      <c r="UMH5" s="484"/>
      <c r="UMI5" s="484"/>
      <c r="UMJ5" s="484"/>
      <c r="UMK5" s="484"/>
      <c r="UML5" s="484"/>
      <c r="UMM5" s="484"/>
      <c r="UMN5" s="484"/>
      <c r="UMO5" s="484"/>
      <c r="UMP5" s="484"/>
      <c r="UMQ5" s="484"/>
      <c r="UMR5" s="484"/>
      <c r="UMS5" s="484"/>
      <c r="UMT5" s="484"/>
      <c r="UMU5" s="484"/>
      <c r="UMV5" s="484"/>
      <c r="UMW5" s="484"/>
      <c r="UMX5" s="484"/>
      <c r="UMY5" s="484"/>
      <c r="UMZ5" s="484"/>
      <c r="UNA5" s="484"/>
      <c r="UNB5" s="484"/>
      <c r="UNC5" s="484"/>
      <c r="UND5" s="484"/>
      <c r="UNE5" s="484"/>
      <c r="UNF5" s="484"/>
      <c r="UNG5" s="484"/>
      <c r="UNH5" s="484"/>
      <c r="UNI5" s="484"/>
      <c r="UNJ5" s="484"/>
      <c r="UNK5" s="484"/>
      <c r="UNL5" s="484"/>
      <c r="UNM5" s="484"/>
      <c r="UNN5" s="484"/>
      <c r="UNO5" s="484"/>
      <c r="UNP5" s="484"/>
      <c r="UNQ5" s="484"/>
      <c r="UNR5" s="484"/>
      <c r="UNS5" s="484"/>
      <c r="UNT5" s="484"/>
      <c r="UNU5" s="484"/>
      <c r="UNV5" s="484"/>
      <c r="UNW5" s="484"/>
      <c r="UNX5" s="484"/>
      <c r="UNY5" s="484"/>
      <c r="UNZ5" s="484"/>
      <c r="UOA5" s="484"/>
      <c r="UOB5" s="484"/>
      <c r="UOC5" s="484"/>
      <c r="UOD5" s="484"/>
      <c r="UOE5" s="484"/>
      <c r="UOF5" s="484"/>
      <c r="UOG5" s="484"/>
      <c r="UOH5" s="484"/>
      <c r="UOI5" s="484"/>
      <c r="UOJ5" s="484"/>
      <c r="UOK5" s="484"/>
      <c r="UOL5" s="484"/>
      <c r="UOM5" s="484"/>
      <c r="UON5" s="484"/>
      <c r="UOO5" s="484"/>
      <c r="UOP5" s="484"/>
      <c r="UOQ5" s="484"/>
      <c r="UOR5" s="484"/>
      <c r="UOS5" s="484"/>
      <c r="UOT5" s="484"/>
      <c r="UOU5" s="484"/>
      <c r="UOV5" s="484"/>
      <c r="UOW5" s="484"/>
      <c r="UOX5" s="484"/>
      <c r="UOY5" s="484"/>
      <c r="UOZ5" s="484"/>
      <c r="UPA5" s="484"/>
      <c r="UPB5" s="484"/>
      <c r="UPC5" s="484"/>
      <c r="UPD5" s="484"/>
      <c r="UPE5" s="484"/>
      <c r="UPF5" s="484"/>
      <c r="UPG5" s="484"/>
      <c r="UPH5" s="484"/>
      <c r="UPI5" s="484"/>
      <c r="UPJ5" s="484"/>
      <c r="UPK5" s="484"/>
      <c r="UPL5" s="484"/>
      <c r="UPM5" s="484"/>
      <c r="UPN5" s="484"/>
      <c r="UPO5" s="484"/>
      <c r="UPP5" s="484"/>
      <c r="UPQ5" s="484"/>
      <c r="UPR5" s="484"/>
      <c r="UPS5" s="484"/>
      <c r="UPT5" s="484"/>
      <c r="UPU5" s="484"/>
      <c r="UPV5" s="484"/>
      <c r="UPW5" s="484"/>
      <c r="UPX5" s="484"/>
      <c r="UPY5" s="484"/>
      <c r="UPZ5" s="484"/>
      <c r="UQA5" s="484"/>
      <c r="UQB5" s="484"/>
      <c r="UQC5" s="484"/>
      <c r="UQD5" s="484"/>
      <c r="UQE5" s="484"/>
      <c r="UQF5" s="484"/>
      <c r="UQG5" s="484"/>
      <c r="UQH5" s="484"/>
      <c r="UQI5" s="484"/>
      <c r="UQJ5" s="484"/>
      <c r="UQK5" s="484"/>
      <c r="UQL5" s="484"/>
      <c r="UQM5" s="484"/>
      <c r="UQN5" s="484"/>
      <c r="UQO5" s="484"/>
      <c r="UQP5" s="484"/>
      <c r="UQQ5" s="484"/>
      <c r="UQR5" s="484"/>
      <c r="UQS5" s="484"/>
      <c r="UQT5" s="484"/>
      <c r="UQU5" s="484"/>
      <c r="UQV5" s="484"/>
      <c r="UQW5" s="484"/>
      <c r="UQX5" s="484"/>
      <c r="UQY5" s="484"/>
      <c r="UQZ5" s="484"/>
      <c r="URA5" s="484"/>
      <c r="URB5" s="484"/>
      <c r="URC5" s="484"/>
      <c r="URD5" s="484"/>
      <c r="URE5" s="484"/>
      <c r="URF5" s="484"/>
      <c r="URG5" s="484"/>
      <c r="URH5" s="484"/>
      <c r="URI5" s="484"/>
      <c r="URJ5" s="484"/>
      <c r="URK5" s="484"/>
      <c r="URL5" s="484"/>
      <c r="URM5" s="484"/>
      <c r="URN5" s="484"/>
      <c r="URO5" s="484"/>
      <c r="URP5" s="484"/>
      <c r="URQ5" s="484"/>
      <c r="URR5" s="484"/>
      <c r="URS5" s="484"/>
      <c r="URT5" s="484"/>
      <c r="URU5" s="484"/>
      <c r="URV5" s="484"/>
      <c r="URW5" s="484"/>
      <c r="URX5" s="484"/>
      <c r="URY5" s="484"/>
      <c r="URZ5" s="484"/>
      <c r="USA5" s="484"/>
      <c r="USB5" s="484"/>
      <c r="USC5" s="484"/>
      <c r="USD5" s="484"/>
      <c r="USE5" s="484"/>
      <c r="USF5" s="484"/>
      <c r="USG5" s="484"/>
      <c r="USH5" s="484"/>
      <c r="USI5" s="484"/>
      <c r="USJ5" s="484"/>
      <c r="USK5" s="484"/>
      <c r="USL5" s="484"/>
      <c r="USM5" s="484"/>
      <c r="USN5" s="484"/>
      <c r="USO5" s="484"/>
      <c r="USP5" s="484"/>
      <c r="USQ5" s="484"/>
      <c r="USR5" s="484"/>
      <c r="USS5" s="484"/>
      <c r="UST5" s="484"/>
      <c r="USU5" s="484"/>
      <c r="USV5" s="484"/>
      <c r="USW5" s="484"/>
      <c r="USX5" s="484"/>
      <c r="USY5" s="484"/>
      <c r="USZ5" s="484"/>
      <c r="UTA5" s="484"/>
      <c r="UTB5" s="484"/>
      <c r="UTC5" s="484"/>
      <c r="UTD5" s="484"/>
      <c r="UTE5" s="484"/>
      <c r="UTF5" s="484"/>
      <c r="UTG5" s="484"/>
      <c r="UTH5" s="484"/>
      <c r="UTI5" s="484"/>
      <c r="UTJ5" s="484"/>
      <c r="UTK5" s="484"/>
      <c r="UTL5" s="484"/>
      <c r="UTM5" s="484"/>
      <c r="UTN5" s="484"/>
      <c r="UTO5" s="484"/>
      <c r="UTP5" s="484"/>
      <c r="UTQ5" s="484"/>
      <c r="UTR5" s="484"/>
      <c r="UTS5" s="484"/>
      <c r="UTT5" s="484"/>
      <c r="UTU5" s="484"/>
      <c r="UTV5" s="484"/>
      <c r="UTW5" s="484"/>
      <c r="UTX5" s="484"/>
      <c r="UTY5" s="484"/>
      <c r="UTZ5" s="484"/>
      <c r="UUA5" s="484"/>
      <c r="UUB5" s="484"/>
      <c r="UUC5" s="484"/>
      <c r="UUD5" s="484"/>
      <c r="UUE5" s="484"/>
      <c r="UUF5" s="484"/>
      <c r="UUG5" s="484"/>
      <c r="UUH5" s="484"/>
      <c r="UUI5" s="484"/>
      <c r="UUJ5" s="484"/>
      <c r="UUK5" s="484"/>
      <c r="UUL5" s="484"/>
      <c r="UUM5" s="484"/>
      <c r="UUN5" s="484"/>
      <c r="UUO5" s="484"/>
      <c r="UUP5" s="484"/>
      <c r="UUQ5" s="484"/>
      <c r="UUR5" s="484"/>
      <c r="UUS5" s="484"/>
      <c r="UUT5" s="484"/>
      <c r="UUU5" s="484"/>
      <c r="UUV5" s="484"/>
      <c r="UUW5" s="484"/>
      <c r="UUX5" s="484"/>
      <c r="UUY5" s="484"/>
      <c r="UUZ5" s="484"/>
      <c r="UVA5" s="484"/>
      <c r="UVB5" s="484"/>
      <c r="UVC5" s="484"/>
      <c r="UVD5" s="484"/>
      <c r="UVE5" s="484"/>
      <c r="UVF5" s="484"/>
      <c r="UVG5" s="484"/>
      <c r="UVH5" s="484"/>
      <c r="UVI5" s="484"/>
      <c r="UVJ5" s="484"/>
      <c r="UVK5" s="484"/>
      <c r="UVL5" s="484"/>
      <c r="UVM5" s="484"/>
      <c r="UVN5" s="484"/>
      <c r="UVO5" s="484"/>
      <c r="UVP5" s="484"/>
      <c r="UVQ5" s="484"/>
      <c r="UVR5" s="484"/>
      <c r="UVS5" s="484"/>
      <c r="UVT5" s="484"/>
      <c r="UVU5" s="484"/>
      <c r="UVV5" s="484"/>
      <c r="UVW5" s="484"/>
      <c r="UVX5" s="484"/>
      <c r="UVY5" s="484"/>
      <c r="UVZ5" s="484"/>
      <c r="UWA5" s="484"/>
      <c r="UWB5" s="484"/>
      <c r="UWC5" s="484"/>
      <c r="UWD5" s="484"/>
      <c r="UWE5" s="484"/>
      <c r="UWF5" s="484"/>
      <c r="UWG5" s="484"/>
      <c r="UWH5" s="484"/>
      <c r="UWI5" s="484"/>
      <c r="UWJ5" s="484"/>
      <c r="UWK5" s="484"/>
      <c r="UWL5" s="484"/>
      <c r="UWM5" s="484"/>
      <c r="UWN5" s="484"/>
      <c r="UWO5" s="484"/>
      <c r="UWP5" s="484"/>
      <c r="UWQ5" s="484"/>
      <c r="UWR5" s="484"/>
      <c r="UWS5" s="484"/>
      <c r="UWT5" s="484"/>
      <c r="UWU5" s="484"/>
      <c r="UWV5" s="484"/>
      <c r="UWW5" s="484"/>
      <c r="UWX5" s="484"/>
      <c r="UWY5" s="484"/>
      <c r="UWZ5" s="484"/>
      <c r="UXA5" s="484"/>
      <c r="UXB5" s="484"/>
      <c r="UXC5" s="484"/>
      <c r="UXD5" s="484"/>
      <c r="UXE5" s="484"/>
      <c r="UXF5" s="484"/>
      <c r="UXG5" s="484"/>
      <c r="UXH5" s="484"/>
      <c r="UXI5" s="484"/>
      <c r="UXJ5" s="484"/>
      <c r="UXK5" s="484"/>
      <c r="UXL5" s="484"/>
      <c r="UXM5" s="484"/>
      <c r="UXN5" s="484"/>
      <c r="UXO5" s="484"/>
      <c r="UXP5" s="484"/>
      <c r="UXQ5" s="484"/>
      <c r="UXR5" s="484"/>
      <c r="UXS5" s="484"/>
      <c r="UXT5" s="484"/>
      <c r="UXU5" s="484"/>
      <c r="UXV5" s="484"/>
      <c r="UXW5" s="484"/>
      <c r="UXX5" s="484"/>
      <c r="UXY5" s="484"/>
      <c r="UXZ5" s="484"/>
      <c r="UYA5" s="484"/>
      <c r="UYB5" s="484"/>
      <c r="UYC5" s="484"/>
      <c r="UYD5" s="484"/>
      <c r="UYE5" s="484"/>
      <c r="UYF5" s="484"/>
      <c r="UYG5" s="484"/>
      <c r="UYH5" s="484"/>
      <c r="UYI5" s="484"/>
      <c r="UYJ5" s="484"/>
      <c r="UYK5" s="484"/>
      <c r="UYL5" s="484"/>
      <c r="UYM5" s="484"/>
      <c r="UYN5" s="484"/>
      <c r="UYO5" s="484"/>
      <c r="UYP5" s="484"/>
      <c r="UYQ5" s="484"/>
      <c r="UYR5" s="484"/>
      <c r="UYS5" s="484"/>
      <c r="UYT5" s="484"/>
      <c r="UYU5" s="484"/>
      <c r="UYV5" s="484"/>
      <c r="UYW5" s="484"/>
      <c r="UYX5" s="484"/>
      <c r="UYY5" s="484"/>
      <c r="UYZ5" s="484"/>
      <c r="UZA5" s="484"/>
      <c r="UZB5" s="484"/>
      <c r="UZC5" s="484"/>
      <c r="UZD5" s="484"/>
      <c r="UZE5" s="484"/>
      <c r="UZF5" s="484"/>
      <c r="UZG5" s="484"/>
      <c r="UZH5" s="484"/>
      <c r="UZI5" s="484"/>
      <c r="UZJ5" s="484"/>
      <c r="UZK5" s="484"/>
      <c r="UZL5" s="484"/>
      <c r="UZM5" s="484"/>
      <c r="UZN5" s="484"/>
      <c r="UZO5" s="484"/>
      <c r="UZP5" s="484"/>
      <c r="UZQ5" s="484"/>
      <c r="UZR5" s="484"/>
      <c r="UZS5" s="484"/>
      <c r="UZT5" s="484"/>
      <c r="UZU5" s="484"/>
      <c r="UZV5" s="484"/>
      <c r="UZW5" s="484"/>
      <c r="UZX5" s="484"/>
      <c r="UZY5" s="484"/>
      <c r="UZZ5" s="484"/>
      <c r="VAA5" s="484"/>
      <c r="VAB5" s="484"/>
      <c r="VAC5" s="484"/>
      <c r="VAD5" s="484"/>
      <c r="VAE5" s="484"/>
      <c r="VAF5" s="484"/>
      <c r="VAG5" s="484"/>
      <c r="VAH5" s="484"/>
      <c r="VAI5" s="484"/>
      <c r="VAJ5" s="484"/>
      <c r="VAK5" s="484"/>
      <c r="VAL5" s="484"/>
      <c r="VAM5" s="484"/>
      <c r="VAN5" s="484"/>
      <c r="VAO5" s="484"/>
      <c r="VAP5" s="484"/>
      <c r="VAQ5" s="484"/>
      <c r="VAR5" s="484"/>
      <c r="VAS5" s="484"/>
      <c r="VAT5" s="484"/>
      <c r="VAU5" s="484"/>
      <c r="VAV5" s="484"/>
      <c r="VAW5" s="484"/>
      <c r="VAX5" s="484"/>
      <c r="VAY5" s="484"/>
      <c r="VAZ5" s="484"/>
      <c r="VBA5" s="484"/>
      <c r="VBB5" s="484"/>
      <c r="VBC5" s="484"/>
      <c r="VBD5" s="484"/>
      <c r="VBE5" s="484"/>
      <c r="VBF5" s="484"/>
      <c r="VBG5" s="484"/>
      <c r="VBH5" s="484"/>
      <c r="VBI5" s="484"/>
      <c r="VBJ5" s="484"/>
      <c r="VBK5" s="484"/>
      <c r="VBL5" s="484"/>
      <c r="VBM5" s="484"/>
      <c r="VBN5" s="484"/>
      <c r="VBO5" s="484"/>
      <c r="VBP5" s="484"/>
      <c r="VBQ5" s="484"/>
      <c r="VBR5" s="484"/>
      <c r="VBS5" s="484"/>
      <c r="VBT5" s="484"/>
      <c r="VBU5" s="484"/>
      <c r="VBV5" s="484"/>
      <c r="VBW5" s="484"/>
      <c r="VBX5" s="484"/>
      <c r="VBY5" s="484"/>
      <c r="VBZ5" s="484"/>
      <c r="VCA5" s="484"/>
      <c r="VCB5" s="484"/>
      <c r="VCC5" s="484"/>
      <c r="VCD5" s="484"/>
      <c r="VCE5" s="484"/>
      <c r="VCF5" s="484"/>
      <c r="VCG5" s="484"/>
      <c r="VCH5" s="484"/>
      <c r="VCI5" s="484"/>
      <c r="VCJ5" s="484"/>
      <c r="VCK5" s="484"/>
      <c r="VCL5" s="484"/>
      <c r="VCM5" s="484"/>
      <c r="VCN5" s="484"/>
      <c r="VCO5" s="484"/>
      <c r="VCP5" s="484"/>
      <c r="VCQ5" s="484"/>
      <c r="VCR5" s="484"/>
      <c r="VCS5" s="484"/>
      <c r="VCT5" s="484"/>
      <c r="VCU5" s="484"/>
      <c r="VCV5" s="484"/>
      <c r="VCW5" s="484"/>
      <c r="VCX5" s="484"/>
      <c r="VCY5" s="484"/>
      <c r="VCZ5" s="484"/>
      <c r="VDA5" s="484"/>
      <c r="VDB5" s="484"/>
      <c r="VDC5" s="484"/>
      <c r="VDD5" s="484"/>
      <c r="VDE5" s="484"/>
      <c r="VDF5" s="484"/>
      <c r="VDG5" s="484"/>
      <c r="VDH5" s="484"/>
      <c r="VDI5" s="484"/>
      <c r="VDJ5" s="484"/>
      <c r="VDK5" s="484"/>
      <c r="VDL5" s="484"/>
      <c r="VDM5" s="484"/>
      <c r="VDN5" s="484"/>
      <c r="VDO5" s="484"/>
      <c r="VDP5" s="484"/>
      <c r="VDQ5" s="484"/>
      <c r="VDR5" s="484"/>
      <c r="VDS5" s="484"/>
      <c r="VDT5" s="484"/>
      <c r="VDU5" s="484"/>
      <c r="VDV5" s="484"/>
      <c r="VDW5" s="484"/>
      <c r="VDX5" s="484"/>
      <c r="VDY5" s="484"/>
      <c r="VDZ5" s="484"/>
      <c r="VEA5" s="484"/>
      <c r="VEB5" s="484"/>
      <c r="VEC5" s="484"/>
      <c r="VED5" s="484"/>
      <c r="VEE5" s="484"/>
      <c r="VEF5" s="484"/>
      <c r="VEG5" s="484"/>
      <c r="VEH5" s="484"/>
      <c r="VEI5" s="484"/>
      <c r="VEJ5" s="484"/>
      <c r="VEK5" s="484"/>
      <c r="VEL5" s="484"/>
      <c r="VEM5" s="484"/>
      <c r="VEN5" s="484"/>
      <c r="VEO5" s="484"/>
      <c r="VEP5" s="484"/>
      <c r="VEQ5" s="484"/>
      <c r="VER5" s="484"/>
      <c r="VES5" s="484"/>
      <c r="VET5" s="484"/>
      <c r="VEU5" s="484"/>
      <c r="VEV5" s="484"/>
      <c r="VEW5" s="484"/>
      <c r="VEX5" s="484"/>
      <c r="VEY5" s="484"/>
      <c r="VEZ5" s="484"/>
      <c r="VFA5" s="484"/>
      <c r="VFB5" s="484"/>
      <c r="VFC5" s="484"/>
      <c r="VFD5" s="484"/>
      <c r="VFE5" s="484"/>
      <c r="VFF5" s="484"/>
      <c r="VFG5" s="484"/>
      <c r="VFH5" s="484"/>
      <c r="VFI5" s="484"/>
      <c r="VFJ5" s="484"/>
      <c r="VFK5" s="484"/>
      <c r="VFL5" s="484"/>
      <c r="VFM5" s="484"/>
      <c r="VFN5" s="484"/>
      <c r="VFO5" s="484"/>
      <c r="VFP5" s="484"/>
      <c r="VFQ5" s="484"/>
      <c r="VFR5" s="484"/>
      <c r="VFS5" s="484"/>
      <c r="VFT5" s="484"/>
      <c r="VFU5" s="484"/>
      <c r="VFV5" s="484"/>
      <c r="VFW5" s="484"/>
      <c r="VFX5" s="484"/>
      <c r="VFY5" s="484"/>
      <c r="VFZ5" s="484"/>
      <c r="VGA5" s="484"/>
      <c r="VGB5" s="484"/>
      <c r="VGC5" s="484"/>
      <c r="VGD5" s="484"/>
      <c r="VGE5" s="484"/>
      <c r="VGF5" s="484"/>
      <c r="VGG5" s="484"/>
      <c r="VGH5" s="484"/>
      <c r="VGI5" s="484"/>
      <c r="VGJ5" s="484"/>
      <c r="VGK5" s="484"/>
      <c r="VGL5" s="484"/>
      <c r="VGM5" s="484"/>
      <c r="VGN5" s="484"/>
      <c r="VGO5" s="484"/>
      <c r="VGP5" s="484"/>
      <c r="VGQ5" s="484"/>
      <c r="VGR5" s="484"/>
      <c r="VGS5" s="484"/>
      <c r="VGT5" s="484"/>
      <c r="VGU5" s="484"/>
      <c r="VGV5" s="484"/>
      <c r="VGW5" s="484"/>
      <c r="VGX5" s="484"/>
      <c r="VGY5" s="484"/>
      <c r="VGZ5" s="484"/>
      <c r="VHA5" s="484"/>
      <c r="VHB5" s="484"/>
      <c r="VHC5" s="484"/>
      <c r="VHD5" s="484"/>
      <c r="VHE5" s="484"/>
      <c r="VHF5" s="484"/>
      <c r="VHG5" s="484"/>
      <c r="VHH5" s="484"/>
      <c r="VHI5" s="484"/>
      <c r="VHJ5" s="484"/>
      <c r="VHK5" s="484"/>
      <c r="VHL5" s="484"/>
      <c r="VHM5" s="484"/>
      <c r="VHN5" s="484"/>
      <c r="VHO5" s="484"/>
      <c r="VHP5" s="484"/>
      <c r="VHQ5" s="484"/>
      <c r="VHR5" s="484"/>
      <c r="VHS5" s="484"/>
      <c r="VHT5" s="484"/>
      <c r="VHU5" s="484"/>
      <c r="VHV5" s="484"/>
      <c r="VHW5" s="484"/>
      <c r="VHX5" s="484"/>
      <c r="VHY5" s="484"/>
      <c r="VHZ5" s="484"/>
      <c r="VIA5" s="484"/>
      <c r="VIB5" s="484"/>
      <c r="VIC5" s="484"/>
      <c r="VID5" s="484"/>
      <c r="VIE5" s="484"/>
      <c r="VIF5" s="484"/>
      <c r="VIG5" s="484"/>
      <c r="VIH5" s="484"/>
      <c r="VII5" s="484"/>
      <c r="VIJ5" s="484"/>
      <c r="VIK5" s="484"/>
      <c r="VIL5" s="484"/>
      <c r="VIM5" s="484"/>
      <c r="VIN5" s="484"/>
      <c r="VIO5" s="484"/>
      <c r="VIP5" s="484"/>
      <c r="VIQ5" s="484"/>
      <c r="VIR5" s="484"/>
      <c r="VIS5" s="484"/>
      <c r="VIT5" s="484"/>
      <c r="VIU5" s="484"/>
      <c r="VIV5" s="484"/>
      <c r="VIW5" s="484"/>
      <c r="VIX5" s="484"/>
      <c r="VIY5" s="484"/>
      <c r="VIZ5" s="484"/>
      <c r="VJA5" s="484"/>
      <c r="VJB5" s="484"/>
      <c r="VJC5" s="484"/>
      <c r="VJD5" s="484"/>
      <c r="VJE5" s="484"/>
      <c r="VJF5" s="484"/>
      <c r="VJG5" s="484"/>
      <c r="VJH5" s="484"/>
      <c r="VJI5" s="484"/>
      <c r="VJJ5" s="484"/>
      <c r="VJK5" s="484"/>
      <c r="VJL5" s="484"/>
      <c r="VJM5" s="484"/>
      <c r="VJN5" s="484"/>
      <c r="VJO5" s="484"/>
      <c r="VJP5" s="484"/>
      <c r="VJQ5" s="484"/>
      <c r="VJR5" s="484"/>
      <c r="VJS5" s="484"/>
      <c r="VJT5" s="484"/>
      <c r="VJU5" s="484"/>
      <c r="VJV5" s="484"/>
      <c r="VJW5" s="484"/>
      <c r="VJX5" s="484"/>
      <c r="VJY5" s="484"/>
      <c r="VJZ5" s="484"/>
      <c r="VKA5" s="484"/>
      <c r="VKB5" s="484"/>
      <c r="VKC5" s="484"/>
      <c r="VKD5" s="484"/>
      <c r="VKE5" s="484"/>
      <c r="VKF5" s="484"/>
      <c r="VKG5" s="484"/>
      <c r="VKH5" s="484"/>
      <c r="VKI5" s="484"/>
      <c r="VKJ5" s="484"/>
      <c r="VKK5" s="484"/>
      <c r="VKL5" s="484"/>
      <c r="VKM5" s="484"/>
      <c r="VKN5" s="484"/>
      <c r="VKO5" s="484"/>
      <c r="VKP5" s="484"/>
      <c r="VKQ5" s="484"/>
      <c r="VKR5" s="484"/>
      <c r="VKS5" s="484"/>
      <c r="VKT5" s="484"/>
      <c r="VKU5" s="484"/>
      <c r="VKV5" s="484"/>
      <c r="VKW5" s="484"/>
      <c r="VKX5" s="484"/>
      <c r="VKY5" s="484"/>
      <c r="VKZ5" s="484"/>
      <c r="VLA5" s="484"/>
      <c r="VLB5" s="484"/>
      <c r="VLC5" s="484"/>
      <c r="VLD5" s="484"/>
      <c r="VLE5" s="484"/>
      <c r="VLF5" s="484"/>
      <c r="VLG5" s="484"/>
      <c r="VLH5" s="484"/>
      <c r="VLI5" s="484"/>
      <c r="VLJ5" s="484"/>
      <c r="VLK5" s="484"/>
      <c r="VLL5" s="484"/>
      <c r="VLM5" s="484"/>
      <c r="VLN5" s="484"/>
      <c r="VLO5" s="484"/>
      <c r="VLP5" s="484"/>
      <c r="VLQ5" s="484"/>
      <c r="VLR5" s="484"/>
      <c r="VLS5" s="484"/>
      <c r="VLT5" s="484"/>
      <c r="VLU5" s="484"/>
      <c r="VLV5" s="484"/>
      <c r="VLW5" s="484"/>
      <c r="VLX5" s="484"/>
      <c r="VLY5" s="484"/>
      <c r="VLZ5" s="484"/>
      <c r="VMA5" s="484"/>
      <c r="VMB5" s="484"/>
      <c r="VMC5" s="484"/>
      <c r="VMD5" s="484"/>
      <c r="VME5" s="484"/>
      <c r="VMF5" s="484"/>
      <c r="VMG5" s="484"/>
      <c r="VMH5" s="484"/>
      <c r="VMI5" s="484"/>
      <c r="VMJ5" s="484"/>
      <c r="VMK5" s="484"/>
      <c r="VML5" s="484"/>
      <c r="VMM5" s="484"/>
      <c r="VMN5" s="484"/>
      <c r="VMO5" s="484"/>
      <c r="VMP5" s="484"/>
      <c r="VMQ5" s="484"/>
      <c r="VMR5" s="484"/>
      <c r="VMS5" s="484"/>
      <c r="VMT5" s="484"/>
      <c r="VMU5" s="484"/>
      <c r="VMV5" s="484"/>
      <c r="VMW5" s="484"/>
      <c r="VMX5" s="484"/>
      <c r="VMY5" s="484"/>
      <c r="VMZ5" s="484"/>
      <c r="VNA5" s="484"/>
      <c r="VNB5" s="484"/>
      <c r="VNC5" s="484"/>
      <c r="VND5" s="484"/>
      <c r="VNE5" s="484"/>
      <c r="VNF5" s="484"/>
      <c r="VNG5" s="484"/>
      <c r="VNH5" s="484"/>
      <c r="VNI5" s="484"/>
      <c r="VNJ5" s="484"/>
      <c r="VNK5" s="484"/>
      <c r="VNL5" s="484"/>
      <c r="VNM5" s="484"/>
      <c r="VNN5" s="484"/>
      <c r="VNO5" s="484"/>
      <c r="VNP5" s="484"/>
      <c r="VNQ5" s="484"/>
      <c r="VNR5" s="484"/>
      <c r="VNS5" s="484"/>
      <c r="VNT5" s="484"/>
      <c r="VNU5" s="484"/>
      <c r="VNV5" s="484"/>
      <c r="VNW5" s="484"/>
      <c r="VNX5" s="484"/>
      <c r="VNY5" s="484"/>
      <c r="VNZ5" s="484"/>
      <c r="VOA5" s="484"/>
      <c r="VOB5" s="484"/>
      <c r="VOC5" s="484"/>
      <c r="VOD5" s="484"/>
      <c r="VOE5" s="484"/>
      <c r="VOF5" s="484"/>
      <c r="VOG5" s="484"/>
      <c r="VOH5" s="484"/>
      <c r="VOI5" s="484"/>
      <c r="VOJ5" s="484"/>
      <c r="VOK5" s="484"/>
      <c r="VOL5" s="484"/>
      <c r="VOM5" s="484"/>
      <c r="VON5" s="484"/>
      <c r="VOO5" s="484"/>
      <c r="VOP5" s="484"/>
      <c r="VOQ5" s="484"/>
      <c r="VOR5" s="484"/>
      <c r="VOS5" s="484"/>
      <c r="VOT5" s="484"/>
      <c r="VOU5" s="484"/>
      <c r="VOV5" s="484"/>
      <c r="VOW5" s="484"/>
      <c r="VOX5" s="484"/>
      <c r="VOY5" s="484"/>
      <c r="VOZ5" s="484"/>
      <c r="VPA5" s="484"/>
      <c r="VPB5" s="484"/>
      <c r="VPC5" s="484"/>
      <c r="VPD5" s="484"/>
      <c r="VPE5" s="484"/>
      <c r="VPF5" s="484"/>
      <c r="VPG5" s="484"/>
      <c r="VPH5" s="484"/>
      <c r="VPI5" s="484"/>
      <c r="VPJ5" s="484"/>
      <c r="VPK5" s="484"/>
      <c r="VPL5" s="484"/>
      <c r="VPM5" s="484"/>
      <c r="VPN5" s="484"/>
      <c r="VPO5" s="484"/>
      <c r="VPP5" s="484"/>
      <c r="VPQ5" s="484"/>
      <c r="VPR5" s="484"/>
      <c r="VPS5" s="484"/>
      <c r="VPT5" s="484"/>
      <c r="VPU5" s="484"/>
      <c r="VPV5" s="484"/>
      <c r="VPW5" s="484"/>
      <c r="VPX5" s="484"/>
      <c r="VPY5" s="484"/>
      <c r="VPZ5" s="484"/>
      <c r="VQA5" s="484"/>
      <c r="VQB5" s="484"/>
      <c r="VQC5" s="484"/>
      <c r="VQD5" s="484"/>
      <c r="VQE5" s="484"/>
      <c r="VQF5" s="484"/>
      <c r="VQG5" s="484"/>
      <c r="VQH5" s="484"/>
      <c r="VQI5" s="484"/>
      <c r="VQJ5" s="484"/>
      <c r="VQK5" s="484"/>
      <c r="VQL5" s="484"/>
      <c r="VQM5" s="484"/>
      <c r="VQN5" s="484"/>
      <c r="VQO5" s="484"/>
      <c r="VQP5" s="484"/>
      <c r="VQQ5" s="484"/>
      <c r="VQR5" s="484"/>
      <c r="VQS5" s="484"/>
      <c r="VQT5" s="484"/>
      <c r="VQU5" s="484"/>
      <c r="VQV5" s="484"/>
      <c r="VQW5" s="484"/>
      <c r="VQX5" s="484"/>
      <c r="VQY5" s="484"/>
      <c r="VQZ5" s="484"/>
      <c r="VRA5" s="484"/>
      <c r="VRB5" s="484"/>
      <c r="VRC5" s="484"/>
      <c r="VRD5" s="484"/>
      <c r="VRE5" s="484"/>
      <c r="VRF5" s="484"/>
      <c r="VRG5" s="484"/>
      <c r="VRH5" s="484"/>
      <c r="VRI5" s="484"/>
      <c r="VRJ5" s="484"/>
      <c r="VRK5" s="484"/>
      <c r="VRL5" s="484"/>
      <c r="VRM5" s="484"/>
      <c r="VRN5" s="484"/>
      <c r="VRO5" s="484"/>
      <c r="VRP5" s="484"/>
      <c r="VRQ5" s="484"/>
      <c r="VRR5" s="484"/>
      <c r="VRS5" s="484"/>
      <c r="VRT5" s="484"/>
      <c r="VRU5" s="484"/>
      <c r="VRV5" s="484"/>
      <c r="VRW5" s="484"/>
      <c r="VRX5" s="484"/>
      <c r="VRY5" s="484"/>
      <c r="VRZ5" s="484"/>
      <c r="VSA5" s="484"/>
      <c r="VSB5" s="484"/>
      <c r="VSC5" s="484"/>
      <c r="VSD5" s="484"/>
      <c r="VSE5" s="484"/>
      <c r="VSF5" s="484"/>
      <c r="VSG5" s="484"/>
      <c r="VSH5" s="484"/>
      <c r="VSI5" s="484"/>
      <c r="VSJ5" s="484"/>
      <c r="VSK5" s="484"/>
      <c r="VSL5" s="484"/>
      <c r="VSM5" s="484"/>
      <c r="VSN5" s="484"/>
      <c r="VSO5" s="484"/>
      <c r="VSP5" s="484"/>
      <c r="VSQ5" s="484"/>
      <c r="VSR5" s="484"/>
      <c r="VSS5" s="484"/>
      <c r="VST5" s="484"/>
      <c r="VSU5" s="484"/>
      <c r="VSV5" s="484"/>
      <c r="VSW5" s="484"/>
      <c r="VSX5" s="484"/>
      <c r="VSY5" s="484"/>
      <c r="VSZ5" s="484"/>
      <c r="VTA5" s="484"/>
      <c r="VTB5" s="484"/>
      <c r="VTC5" s="484"/>
      <c r="VTD5" s="484"/>
      <c r="VTE5" s="484"/>
      <c r="VTF5" s="484"/>
      <c r="VTG5" s="484"/>
      <c r="VTH5" s="484"/>
      <c r="VTI5" s="484"/>
      <c r="VTJ5" s="484"/>
      <c r="VTK5" s="484"/>
      <c r="VTL5" s="484"/>
      <c r="VTM5" s="484"/>
      <c r="VTN5" s="484"/>
      <c r="VTO5" s="484"/>
      <c r="VTP5" s="484"/>
      <c r="VTQ5" s="484"/>
      <c r="VTR5" s="484"/>
      <c r="VTS5" s="484"/>
      <c r="VTT5" s="484"/>
      <c r="VTU5" s="484"/>
      <c r="VTV5" s="484"/>
      <c r="VTW5" s="484"/>
      <c r="VTX5" s="484"/>
      <c r="VTY5" s="484"/>
      <c r="VTZ5" s="484"/>
      <c r="VUA5" s="484"/>
      <c r="VUB5" s="484"/>
      <c r="VUC5" s="484"/>
      <c r="VUD5" s="484"/>
      <c r="VUE5" s="484"/>
      <c r="VUF5" s="484"/>
      <c r="VUG5" s="484"/>
      <c r="VUH5" s="484"/>
      <c r="VUI5" s="484"/>
      <c r="VUJ5" s="484"/>
      <c r="VUK5" s="484"/>
      <c r="VUL5" s="484"/>
      <c r="VUM5" s="484"/>
      <c r="VUN5" s="484"/>
      <c r="VUO5" s="484"/>
      <c r="VUP5" s="484"/>
      <c r="VUQ5" s="484"/>
      <c r="VUR5" s="484"/>
      <c r="VUS5" s="484"/>
      <c r="VUT5" s="484"/>
      <c r="VUU5" s="484"/>
      <c r="VUV5" s="484"/>
      <c r="VUW5" s="484"/>
      <c r="VUX5" s="484"/>
      <c r="VUY5" s="484"/>
      <c r="VUZ5" s="484"/>
      <c r="VVA5" s="484"/>
      <c r="VVB5" s="484"/>
      <c r="VVC5" s="484"/>
      <c r="VVD5" s="484"/>
      <c r="VVE5" s="484"/>
      <c r="VVF5" s="484"/>
      <c r="VVG5" s="484"/>
      <c r="VVH5" s="484"/>
      <c r="VVI5" s="484"/>
      <c r="VVJ5" s="484"/>
      <c r="VVK5" s="484"/>
      <c r="VVL5" s="484"/>
      <c r="VVM5" s="484"/>
      <c r="VVN5" s="484"/>
      <c r="VVO5" s="484"/>
      <c r="VVP5" s="484"/>
      <c r="VVQ5" s="484"/>
      <c r="VVR5" s="484"/>
      <c r="VVS5" s="484"/>
      <c r="VVT5" s="484"/>
      <c r="VVU5" s="484"/>
      <c r="VVV5" s="484"/>
      <c r="VVW5" s="484"/>
      <c r="VVX5" s="484"/>
      <c r="VVY5" s="484"/>
      <c r="VVZ5" s="484"/>
      <c r="VWA5" s="484"/>
      <c r="VWB5" s="484"/>
      <c r="VWC5" s="484"/>
      <c r="VWD5" s="484"/>
      <c r="VWE5" s="484"/>
      <c r="VWF5" s="484"/>
      <c r="VWG5" s="484"/>
      <c r="VWH5" s="484"/>
      <c r="VWI5" s="484"/>
      <c r="VWJ5" s="484"/>
      <c r="VWK5" s="484"/>
      <c r="VWL5" s="484"/>
      <c r="VWM5" s="484"/>
      <c r="VWN5" s="484"/>
      <c r="VWO5" s="484"/>
      <c r="VWP5" s="484"/>
      <c r="VWQ5" s="484"/>
      <c r="VWR5" s="484"/>
      <c r="VWS5" s="484"/>
      <c r="VWT5" s="484"/>
      <c r="VWU5" s="484"/>
      <c r="VWV5" s="484"/>
      <c r="VWW5" s="484"/>
      <c r="VWX5" s="484"/>
      <c r="VWY5" s="484"/>
      <c r="VWZ5" s="484"/>
      <c r="VXA5" s="484"/>
      <c r="VXB5" s="484"/>
      <c r="VXC5" s="484"/>
      <c r="VXD5" s="484"/>
      <c r="VXE5" s="484"/>
      <c r="VXF5" s="484"/>
      <c r="VXG5" s="484"/>
      <c r="VXH5" s="484"/>
      <c r="VXI5" s="484"/>
      <c r="VXJ5" s="484"/>
      <c r="VXK5" s="484"/>
      <c r="VXL5" s="484"/>
      <c r="VXM5" s="484"/>
      <c r="VXN5" s="484"/>
      <c r="VXO5" s="484"/>
      <c r="VXP5" s="484"/>
      <c r="VXQ5" s="484"/>
      <c r="VXR5" s="484"/>
      <c r="VXS5" s="484"/>
      <c r="VXT5" s="484"/>
      <c r="VXU5" s="484"/>
      <c r="VXV5" s="484"/>
      <c r="VXW5" s="484"/>
      <c r="VXX5" s="484"/>
      <c r="VXY5" s="484"/>
      <c r="VXZ5" s="484"/>
      <c r="VYA5" s="484"/>
      <c r="VYB5" s="484"/>
      <c r="VYC5" s="484"/>
      <c r="VYD5" s="484"/>
      <c r="VYE5" s="484"/>
      <c r="VYF5" s="484"/>
      <c r="VYG5" s="484"/>
      <c r="VYH5" s="484"/>
      <c r="VYI5" s="484"/>
      <c r="VYJ5" s="484"/>
      <c r="VYK5" s="484"/>
      <c r="VYL5" s="484"/>
      <c r="VYM5" s="484"/>
      <c r="VYN5" s="484"/>
      <c r="VYO5" s="484"/>
      <c r="VYP5" s="484"/>
      <c r="VYQ5" s="484"/>
      <c r="VYR5" s="484"/>
      <c r="VYS5" s="484"/>
      <c r="VYT5" s="484"/>
      <c r="VYU5" s="484"/>
      <c r="VYV5" s="484"/>
      <c r="VYW5" s="484"/>
      <c r="VYX5" s="484"/>
      <c r="VYY5" s="484"/>
      <c r="VYZ5" s="484"/>
      <c r="VZA5" s="484"/>
      <c r="VZB5" s="484"/>
      <c r="VZC5" s="484"/>
      <c r="VZD5" s="484"/>
      <c r="VZE5" s="484"/>
      <c r="VZF5" s="484"/>
      <c r="VZG5" s="484"/>
      <c r="VZH5" s="484"/>
      <c r="VZI5" s="484"/>
      <c r="VZJ5" s="484"/>
      <c r="VZK5" s="484"/>
      <c r="VZL5" s="484"/>
      <c r="VZM5" s="484"/>
      <c r="VZN5" s="484"/>
      <c r="VZO5" s="484"/>
      <c r="VZP5" s="484"/>
      <c r="VZQ5" s="484"/>
      <c r="VZR5" s="484"/>
      <c r="VZS5" s="484"/>
      <c r="VZT5" s="484"/>
      <c r="VZU5" s="484"/>
      <c r="VZV5" s="484"/>
      <c r="VZW5" s="484"/>
      <c r="VZX5" s="484"/>
      <c r="VZY5" s="484"/>
      <c r="VZZ5" s="484"/>
      <c r="WAA5" s="484"/>
      <c r="WAB5" s="484"/>
      <c r="WAC5" s="484"/>
      <c r="WAD5" s="484"/>
      <c r="WAE5" s="484"/>
      <c r="WAF5" s="484"/>
      <c r="WAG5" s="484"/>
      <c r="WAH5" s="484"/>
      <c r="WAI5" s="484"/>
      <c r="WAJ5" s="484"/>
      <c r="WAK5" s="484"/>
      <c r="WAL5" s="484"/>
      <c r="WAM5" s="484"/>
      <c r="WAN5" s="484"/>
      <c r="WAO5" s="484"/>
      <c r="WAP5" s="484"/>
      <c r="WAQ5" s="484"/>
      <c r="WAR5" s="484"/>
      <c r="WAS5" s="484"/>
      <c r="WAT5" s="484"/>
      <c r="WAU5" s="484"/>
      <c r="WAV5" s="484"/>
      <c r="WAW5" s="484"/>
      <c r="WAX5" s="484"/>
      <c r="WAY5" s="484"/>
      <c r="WAZ5" s="484"/>
      <c r="WBA5" s="484"/>
      <c r="WBB5" s="484"/>
      <c r="WBC5" s="484"/>
      <c r="WBD5" s="484"/>
      <c r="WBE5" s="484"/>
      <c r="WBF5" s="484"/>
      <c r="WBG5" s="484"/>
      <c r="WBH5" s="484"/>
      <c r="WBI5" s="484"/>
      <c r="WBJ5" s="484"/>
      <c r="WBK5" s="484"/>
      <c r="WBL5" s="484"/>
      <c r="WBM5" s="484"/>
      <c r="WBN5" s="484"/>
      <c r="WBO5" s="484"/>
      <c r="WBP5" s="484"/>
      <c r="WBQ5" s="484"/>
      <c r="WBR5" s="484"/>
      <c r="WBS5" s="484"/>
      <c r="WBT5" s="484"/>
      <c r="WBU5" s="484"/>
      <c r="WBV5" s="484"/>
      <c r="WBW5" s="484"/>
      <c r="WBX5" s="484"/>
      <c r="WBY5" s="484"/>
      <c r="WBZ5" s="484"/>
      <c r="WCA5" s="484"/>
      <c r="WCB5" s="484"/>
      <c r="WCC5" s="484"/>
      <c r="WCD5" s="484"/>
      <c r="WCE5" s="484"/>
      <c r="WCF5" s="484"/>
      <c r="WCG5" s="484"/>
      <c r="WCH5" s="484"/>
      <c r="WCI5" s="484"/>
      <c r="WCJ5" s="484"/>
      <c r="WCK5" s="484"/>
      <c r="WCL5" s="484"/>
      <c r="WCM5" s="484"/>
      <c r="WCN5" s="484"/>
      <c r="WCO5" s="484"/>
      <c r="WCP5" s="484"/>
      <c r="WCQ5" s="484"/>
      <c r="WCR5" s="484"/>
      <c r="WCS5" s="484"/>
      <c r="WCT5" s="484"/>
      <c r="WCU5" s="484"/>
      <c r="WCV5" s="484"/>
      <c r="WCW5" s="484"/>
      <c r="WCX5" s="484"/>
      <c r="WCY5" s="484"/>
      <c r="WCZ5" s="484"/>
      <c r="WDA5" s="484"/>
      <c r="WDB5" s="484"/>
      <c r="WDC5" s="484"/>
      <c r="WDD5" s="484"/>
      <c r="WDE5" s="484"/>
      <c r="WDF5" s="484"/>
      <c r="WDG5" s="484"/>
      <c r="WDH5" s="484"/>
      <c r="WDI5" s="484"/>
      <c r="WDJ5" s="484"/>
      <c r="WDK5" s="484"/>
      <c r="WDL5" s="484"/>
      <c r="WDM5" s="484"/>
      <c r="WDN5" s="484"/>
      <c r="WDO5" s="484"/>
      <c r="WDP5" s="484"/>
      <c r="WDQ5" s="484"/>
      <c r="WDR5" s="484"/>
      <c r="WDS5" s="484"/>
      <c r="WDT5" s="484"/>
      <c r="WDU5" s="484"/>
      <c r="WDV5" s="484"/>
      <c r="WDW5" s="484"/>
      <c r="WDX5" s="484"/>
      <c r="WDY5" s="484"/>
      <c r="WDZ5" s="484"/>
      <c r="WEA5" s="484"/>
      <c r="WEB5" s="484"/>
      <c r="WEC5" s="484"/>
      <c r="WED5" s="484"/>
      <c r="WEE5" s="484"/>
      <c r="WEF5" s="484"/>
      <c r="WEG5" s="484"/>
      <c r="WEH5" s="484"/>
      <c r="WEI5" s="484"/>
      <c r="WEJ5" s="484"/>
      <c r="WEK5" s="484"/>
      <c r="WEL5" s="484"/>
      <c r="WEM5" s="484"/>
      <c r="WEN5" s="484"/>
      <c r="WEO5" s="484"/>
      <c r="WEP5" s="484"/>
      <c r="WEQ5" s="484"/>
      <c r="WER5" s="484"/>
      <c r="WES5" s="484"/>
      <c r="WET5" s="484"/>
      <c r="WEU5" s="484"/>
      <c r="WEV5" s="484"/>
      <c r="WEW5" s="484"/>
      <c r="WEX5" s="484"/>
      <c r="WEY5" s="484"/>
      <c r="WEZ5" s="484"/>
      <c r="WFA5" s="484"/>
      <c r="WFB5" s="484"/>
      <c r="WFC5" s="484"/>
      <c r="WFD5" s="484"/>
      <c r="WFE5" s="484"/>
      <c r="WFF5" s="484"/>
      <c r="WFG5" s="484"/>
      <c r="WFH5" s="484"/>
      <c r="WFI5" s="484"/>
      <c r="WFJ5" s="484"/>
      <c r="WFK5" s="484"/>
      <c r="WFL5" s="484"/>
      <c r="WFM5" s="484"/>
      <c r="WFN5" s="484"/>
      <c r="WFO5" s="484"/>
      <c r="WFP5" s="484"/>
      <c r="WFQ5" s="484"/>
      <c r="WFR5" s="484"/>
      <c r="WFS5" s="484"/>
      <c r="WFT5" s="484"/>
      <c r="WFU5" s="484"/>
      <c r="WFV5" s="484"/>
      <c r="WFW5" s="484"/>
      <c r="WFX5" s="484"/>
      <c r="WFY5" s="484"/>
      <c r="WFZ5" s="484"/>
      <c r="WGA5" s="484"/>
      <c r="WGB5" s="484"/>
      <c r="WGC5" s="484"/>
      <c r="WGD5" s="484"/>
      <c r="WGE5" s="484"/>
      <c r="WGF5" s="484"/>
      <c r="WGG5" s="484"/>
      <c r="WGH5" s="484"/>
      <c r="WGI5" s="484"/>
      <c r="WGJ5" s="484"/>
      <c r="WGK5" s="484"/>
      <c r="WGL5" s="484"/>
      <c r="WGM5" s="484"/>
      <c r="WGN5" s="484"/>
      <c r="WGO5" s="484"/>
      <c r="WGP5" s="484"/>
      <c r="WGQ5" s="484"/>
      <c r="WGR5" s="484"/>
      <c r="WGS5" s="484"/>
      <c r="WGT5" s="484"/>
      <c r="WGU5" s="484"/>
      <c r="WGV5" s="484"/>
      <c r="WGW5" s="484"/>
      <c r="WGX5" s="484"/>
      <c r="WGY5" s="484"/>
      <c r="WGZ5" s="484"/>
      <c r="WHA5" s="484"/>
      <c r="WHB5" s="484"/>
      <c r="WHC5" s="484"/>
      <c r="WHD5" s="484"/>
      <c r="WHE5" s="484"/>
      <c r="WHF5" s="484"/>
      <c r="WHG5" s="484"/>
      <c r="WHH5" s="484"/>
      <c r="WHI5" s="484"/>
      <c r="WHJ5" s="484"/>
      <c r="WHK5" s="484"/>
      <c r="WHL5" s="484"/>
      <c r="WHM5" s="484"/>
      <c r="WHN5" s="484"/>
      <c r="WHO5" s="484"/>
      <c r="WHP5" s="484"/>
      <c r="WHQ5" s="484"/>
      <c r="WHR5" s="484"/>
      <c r="WHS5" s="484"/>
      <c r="WHT5" s="484"/>
      <c r="WHU5" s="484"/>
      <c r="WHV5" s="484"/>
      <c r="WHW5" s="484"/>
      <c r="WHX5" s="484"/>
      <c r="WHY5" s="484"/>
      <c r="WHZ5" s="484"/>
      <c r="WIA5" s="484"/>
      <c r="WIB5" s="484"/>
      <c r="WIC5" s="484"/>
      <c r="WID5" s="484"/>
      <c r="WIE5" s="484"/>
      <c r="WIF5" s="484"/>
      <c r="WIG5" s="484"/>
      <c r="WIH5" s="484"/>
      <c r="WII5" s="484"/>
      <c r="WIJ5" s="484"/>
      <c r="WIK5" s="484"/>
      <c r="WIL5" s="484"/>
      <c r="WIM5" s="484"/>
      <c r="WIN5" s="484"/>
      <c r="WIO5" s="484"/>
      <c r="WIP5" s="484"/>
      <c r="WIQ5" s="484"/>
      <c r="WIR5" s="484"/>
      <c r="WIS5" s="484"/>
      <c r="WIT5" s="484"/>
      <c r="WIU5" s="484"/>
      <c r="WIV5" s="484"/>
      <c r="WIW5" s="484"/>
      <c r="WIX5" s="484"/>
      <c r="WIY5" s="484"/>
      <c r="WIZ5" s="484"/>
      <c r="WJA5" s="484"/>
      <c r="WJB5" s="484"/>
      <c r="WJC5" s="484"/>
      <c r="WJD5" s="484"/>
      <c r="WJE5" s="484"/>
      <c r="WJF5" s="484"/>
      <c r="WJG5" s="484"/>
      <c r="WJH5" s="484"/>
      <c r="WJI5" s="484"/>
      <c r="WJJ5" s="484"/>
      <c r="WJK5" s="484"/>
      <c r="WJL5" s="484"/>
      <c r="WJM5" s="484"/>
      <c r="WJN5" s="484"/>
      <c r="WJO5" s="484"/>
      <c r="WJP5" s="484"/>
      <c r="WJQ5" s="484"/>
      <c r="WJR5" s="484"/>
      <c r="WJS5" s="484"/>
      <c r="WJT5" s="484"/>
      <c r="WJU5" s="484"/>
      <c r="WJV5" s="484"/>
      <c r="WJW5" s="484"/>
      <c r="WJX5" s="484"/>
      <c r="WJY5" s="484"/>
      <c r="WJZ5" s="484"/>
      <c r="WKA5" s="484"/>
      <c r="WKB5" s="484"/>
      <c r="WKC5" s="484"/>
      <c r="WKD5" s="484"/>
      <c r="WKE5" s="484"/>
      <c r="WKF5" s="484"/>
      <c r="WKG5" s="484"/>
      <c r="WKH5" s="484"/>
      <c r="WKI5" s="484"/>
      <c r="WKJ5" s="484"/>
      <c r="WKK5" s="484"/>
      <c r="WKL5" s="484"/>
      <c r="WKM5" s="484"/>
      <c r="WKN5" s="484"/>
      <c r="WKO5" s="484"/>
      <c r="WKP5" s="484"/>
      <c r="WKQ5" s="484"/>
      <c r="WKR5" s="484"/>
      <c r="WKS5" s="484"/>
      <c r="WKT5" s="484"/>
      <c r="WKU5" s="484"/>
      <c r="WKV5" s="484"/>
      <c r="WKW5" s="484"/>
      <c r="WKX5" s="484"/>
      <c r="WKY5" s="484"/>
      <c r="WKZ5" s="484"/>
      <c r="WLA5" s="484"/>
      <c r="WLB5" s="484"/>
      <c r="WLC5" s="484"/>
      <c r="WLD5" s="484"/>
      <c r="WLE5" s="484"/>
      <c r="WLF5" s="484"/>
      <c r="WLG5" s="484"/>
      <c r="WLH5" s="484"/>
      <c r="WLI5" s="484"/>
      <c r="WLJ5" s="484"/>
      <c r="WLK5" s="484"/>
      <c r="WLL5" s="484"/>
      <c r="WLM5" s="484"/>
      <c r="WLN5" s="484"/>
      <c r="WLO5" s="484"/>
      <c r="WLP5" s="484"/>
      <c r="WLQ5" s="484"/>
      <c r="WLR5" s="484"/>
      <c r="WLS5" s="484"/>
      <c r="WLT5" s="484"/>
      <c r="WLU5" s="484"/>
      <c r="WLV5" s="484"/>
      <c r="WLW5" s="484"/>
      <c r="WLX5" s="484"/>
      <c r="WLY5" s="484"/>
      <c r="WLZ5" s="484"/>
      <c r="WMA5" s="484"/>
      <c r="WMB5" s="484"/>
      <c r="WMC5" s="484"/>
      <c r="WMD5" s="484"/>
      <c r="WME5" s="484"/>
      <c r="WMF5" s="484"/>
      <c r="WMG5" s="484"/>
      <c r="WMH5" s="484"/>
      <c r="WMI5" s="484"/>
      <c r="WMJ5" s="484"/>
      <c r="WMK5" s="484"/>
      <c r="WML5" s="484"/>
      <c r="WMM5" s="484"/>
      <c r="WMN5" s="484"/>
      <c r="WMO5" s="484"/>
      <c r="WMP5" s="484"/>
      <c r="WMQ5" s="484"/>
      <c r="WMR5" s="484"/>
      <c r="WMS5" s="484"/>
      <c r="WMT5" s="484"/>
      <c r="WMU5" s="484"/>
      <c r="WMV5" s="484"/>
      <c r="WMW5" s="484"/>
      <c r="WMX5" s="484"/>
      <c r="WMY5" s="484"/>
      <c r="WMZ5" s="484"/>
      <c r="WNA5" s="484"/>
      <c r="WNB5" s="484"/>
      <c r="WNC5" s="484"/>
      <c r="WND5" s="484"/>
      <c r="WNE5" s="484"/>
      <c r="WNF5" s="484"/>
      <c r="WNG5" s="484"/>
      <c r="WNH5" s="484"/>
      <c r="WNI5" s="484"/>
      <c r="WNJ5" s="484"/>
      <c r="WNK5" s="484"/>
      <c r="WNL5" s="484"/>
      <c r="WNM5" s="484"/>
      <c r="WNN5" s="484"/>
      <c r="WNO5" s="484"/>
      <c r="WNP5" s="484"/>
      <c r="WNQ5" s="484"/>
      <c r="WNR5" s="484"/>
      <c r="WNS5" s="484"/>
      <c r="WNT5" s="484"/>
      <c r="WNU5" s="484"/>
      <c r="WNV5" s="484"/>
      <c r="WNW5" s="484"/>
      <c r="WNX5" s="484"/>
      <c r="WNY5" s="484"/>
      <c r="WNZ5" s="484"/>
      <c r="WOA5" s="484"/>
      <c r="WOB5" s="484"/>
      <c r="WOC5" s="484"/>
      <c r="WOD5" s="484"/>
      <c r="WOE5" s="484"/>
      <c r="WOF5" s="484"/>
      <c r="WOG5" s="484"/>
      <c r="WOH5" s="484"/>
      <c r="WOI5" s="484"/>
      <c r="WOJ5" s="484"/>
      <c r="WOK5" s="484"/>
      <c r="WOL5" s="484"/>
      <c r="WOM5" s="484"/>
      <c r="WON5" s="484"/>
      <c r="WOO5" s="484"/>
      <c r="WOP5" s="484"/>
      <c r="WOQ5" s="484"/>
      <c r="WOR5" s="484"/>
      <c r="WOS5" s="484"/>
      <c r="WOT5" s="484"/>
      <c r="WOU5" s="484"/>
      <c r="WOV5" s="484"/>
      <c r="WOW5" s="484"/>
      <c r="WOX5" s="484"/>
      <c r="WOY5" s="484"/>
      <c r="WOZ5" s="484"/>
      <c r="WPA5" s="484"/>
      <c r="WPB5" s="484"/>
      <c r="WPC5" s="484"/>
      <c r="WPD5" s="484"/>
      <c r="WPE5" s="484"/>
      <c r="WPF5" s="484"/>
      <c r="WPG5" s="484"/>
      <c r="WPH5" s="484"/>
      <c r="WPI5" s="484"/>
      <c r="WPJ5" s="484"/>
      <c r="WPK5" s="484"/>
      <c r="WPL5" s="484"/>
      <c r="WPM5" s="484"/>
      <c r="WPN5" s="484"/>
      <c r="WPO5" s="484"/>
      <c r="WPP5" s="484"/>
      <c r="WPQ5" s="484"/>
      <c r="WPR5" s="484"/>
      <c r="WPS5" s="484"/>
      <c r="WPT5" s="484"/>
      <c r="WPU5" s="484"/>
      <c r="WPV5" s="484"/>
      <c r="WPW5" s="484"/>
      <c r="WPX5" s="484"/>
      <c r="WPY5" s="484"/>
      <c r="WPZ5" s="484"/>
      <c r="WQA5" s="484"/>
      <c r="WQB5" s="484"/>
      <c r="WQC5" s="484"/>
      <c r="WQD5" s="484"/>
      <c r="WQE5" s="484"/>
      <c r="WQF5" s="484"/>
      <c r="WQG5" s="484"/>
      <c r="WQH5" s="484"/>
      <c r="WQI5" s="484"/>
      <c r="WQJ5" s="484"/>
      <c r="WQK5" s="484"/>
      <c r="WQL5" s="484"/>
      <c r="WQM5" s="484"/>
      <c r="WQN5" s="484"/>
      <c r="WQO5" s="484"/>
      <c r="WQP5" s="484"/>
      <c r="WQQ5" s="484"/>
      <c r="WQR5" s="484"/>
      <c r="WQS5" s="484"/>
      <c r="WQT5" s="484"/>
      <c r="WQU5" s="484"/>
      <c r="WQV5" s="484"/>
      <c r="WQW5" s="484"/>
      <c r="WQX5" s="484"/>
      <c r="WQY5" s="484"/>
      <c r="WQZ5" s="484"/>
      <c r="WRA5" s="484"/>
      <c r="WRB5" s="484"/>
      <c r="WRC5" s="484"/>
      <c r="WRD5" s="484"/>
      <c r="WRE5" s="484"/>
      <c r="WRF5" s="484"/>
      <c r="WRG5" s="484"/>
      <c r="WRH5" s="484"/>
      <c r="WRI5" s="484"/>
      <c r="WRJ5" s="484"/>
      <c r="WRK5" s="484"/>
      <c r="WRL5" s="484"/>
      <c r="WRM5" s="484"/>
      <c r="WRN5" s="484"/>
      <c r="WRO5" s="484"/>
      <c r="WRP5" s="484"/>
      <c r="WRQ5" s="484"/>
      <c r="WRR5" s="484"/>
      <c r="WRS5" s="484"/>
      <c r="WRT5" s="484"/>
      <c r="WRU5" s="484"/>
      <c r="WRV5" s="484"/>
      <c r="WRW5" s="484"/>
      <c r="WRX5" s="484"/>
      <c r="WRY5" s="484"/>
      <c r="WRZ5" s="484"/>
      <c r="WSA5" s="484"/>
      <c r="WSB5" s="484"/>
      <c r="WSC5" s="484"/>
      <c r="WSD5" s="484"/>
      <c r="WSE5" s="484"/>
      <c r="WSF5" s="484"/>
      <c r="WSG5" s="484"/>
      <c r="WSH5" s="484"/>
      <c r="WSI5" s="484"/>
      <c r="WSJ5" s="484"/>
      <c r="WSK5" s="484"/>
      <c r="WSL5" s="484"/>
      <c r="WSM5" s="484"/>
      <c r="WSN5" s="484"/>
      <c r="WSO5" s="484"/>
      <c r="WSP5" s="484"/>
      <c r="WSQ5" s="484"/>
      <c r="WSR5" s="484"/>
      <c r="WSS5" s="484"/>
      <c r="WST5" s="484"/>
      <c r="WSU5" s="484"/>
      <c r="WSV5" s="484"/>
      <c r="WSW5" s="484"/>
      <c r="WSX5" s="484"/>
      <c r="WSY5" s="484"/>
      <c r="WSZ5" s="484"/>
      <c r="WTA5" s="484"/>
      <c r="WTB5" s="484"/>
      <c r="WTC5" s="484"/>
      <c r="WTD5" s="484"/>
      <c r="WTE5" s="484"/>
      <c r="WTF5" s="484"/>
      <c r="WTG5" s="484"/>
      <c r="WTH5" s="484"/>
      <c r="WTI5" s="484"/>
      <c r="WTJ5" s="484"/>
      <c r="WTK5" s="484"/>
      <c r="WTL5" s="484"/>
      <c r="WTM5" s="484"/>
      <c r="WTN5" s="484"/>
      <c r="WTO5" s="484"/>
      <c r="WTP5" s="484"/>
      <c r="WTQ5" s="484"/>
      <c r="WTR5" s="484"/>
      <c r="WTS5" s="484"/>
      <c r="WTT5" s="484"/>
      <c r="WTU5" s="484"/>
      <c r="WTV5" s="484"/>
      <c r="WTW5" s="484"/>
      <c r="WTX5" s="484"/>
      <c r="WTY5" s="484"/>
      <c r="WTZ5" s="484"/>
      <c r="WUA5" s="484"/>
      <c r="WUB5" s="484"/>
      <c r="WUC5" s="484"/>
      <c r="WUD5" s="484"/>
      <c r="WUE5" s="484"/>
      <c r="WUF5" s="484"/>
      <c r="WUG5" s="484"/>
      <c r="WUH5" s="484"/>
      <c r="WUI5" s="484"/>
      <c r="WUJ5" s="484"/>
      <c r="WUK5" s="484"/>
      <c r="WUL5" s="484"/>
      <c r="WUM5" s="484"/>
      <c r="WUN5" s="484"/>
      <c r="WUO5" s="484"/>
      <c r="WUP5" s="484"/>
      <c r="WUQ5" s="484"/>
      <c r="WUR5" s="484"/>
      <c r="WUS5" s="484"/>
      <c r="WUT5" s="484"/>
      <c r="WUU5" s="484"/>
      <c r="WUV5" s="484"/>
      <c r="WUW5" s="484"/>
      <c r="WUX5" s="484"/>
      <c r="WUY5" s="484"/>
      <c r="WUZ5" s="484"/>
      <c r="WVA5" s="484"/>
      <c r="WVB5" s="484"/>
      <c r="WVC5" s="484"/>
      <c r="WVD5" s="484"/>
      <c r="WVE5" s="484"/>
      <c r="WVF5" s="484"/>
      <c r="WVG5" s="484"/>
      <c r="WVH5" s="484"/>
      <c r="WVI5" s="484"/>
      <c r="WVJ5" s="484"/>
      <c r="WVK5" s="484"/>
      <c r="WVL5" s="484"/>
      <c r="WVM5" s="484"/>
      <c r="WVN5" s="484"/>
      <c r="WVO5" s="484"/>
      <c r="WVP5" s="484"/>
      <c r="WVQ5" s="484"/>
      <c r="WVR5" s="484"/>
      <c r="WVS5" s="484"/>
      <c r="WVT5" s="484"/>
      <c r="WVU5" s="484"/>
      <c r="WVV5" s="484"/>
      <c r="WVW5" s="484"/>
      <c r="WVX5" s="484"/>
      <c r="WVY5" s="484"/>
      <c r="WVZ5" s="484"/>
      <c r="WWA5" s="484"/>
      <c r="WWB5" s="484"/>
      <c r="WWC5" s="484"/>
      <c r="WWD5" s="484"/>
      <c r="WWE5" s="484"/>
      <c r="WWF5" s="484"/>
      <c r="WWG5" s="484"/>
      <c r="WWH5" s="484"/>
      <c r="WWI5" s="484"/>
      <c r="WWJ5" s="484"/>
      <c r="WWK5" s="484"/>
      <c r="WWL5" s="484"/>
      <c r="WWM5" s="484"/>
      <c r="WWN5" s="484"/>
      <c r="WWO5" s="484"/>
      <c r="WWP5" s="484"/>
      <c r="WWQ5" s="484"/>
      <c r="WWR5" s="484"/>
      <c r="WWS5" s="484"/>
      <c r="WWT5" s="484"/>
      <c r="WWU5" s="484"/>
      <c r="WWV5" s="484"/>
      <c r="WWW5" s="484"/>
      <c r="WWX5" s="484"/>
      <c r="WWY5" s="484"/>
      <c r="WWZ5" s="484"/>
      <c r="WXA5" s="484"/>
      <c r="WXB5" s="484"/>
      <c r="WXC5" s="484"/>
      <c r="WXD5" s="484"/>
      <c r="WXE5" s="484"/>
      <c r="WXF5" s="484"/>
      <c r="WXG5" s="484"/>
      <c r="WXH5" s="484"/>
      <c r="WXI5" s="484"/>
      <c r="WXJ5" s="484"/>
      <c r="WXK5" s="484"/>
      <c r="WXL5" s="484"/>
      <c r="WXM5" s="484"/>
      <c r="WXN5" s="484"/>
      <c r="WXO5" s="484"/>
      <c r="WXP5" s="484"/>
      <c r="WXQ5" s="484"/>
      <c r="WXR5" s="484"/>
      <c r="WXS5" s="484"/>
      <c r="WXT5" s="484"/>
      <c r="WXU5" s="484"/>
      <c r="WXV5" s="484"/>
      <c r="WXW5" s="484"/>
      <c r="WXX5" s="484"/>
      <c r="WXY5" s="484"/>
      <c r="WXZ5" s="484"/>
      <c r="WYA5" s="484"/>
      <c r="WYB5" s="484"/>
      <c r="WYC5" s="484"/>
      <c r="WYD5" s="484"/>
      <c r="WYE5" s="484"/>
      <c r="WYF5" s="484"/>
      <c r="WYG5" s="484"/>
      <c r="WYH5" s="484"/>
      <c r="WYI5" s="484"/>
      <c r="WYJ5" s="484"/>
      <c r="WYK5" s="484"/>
      <c r="WYL5" s="484"/>
      <c r="WYM5" s="484"/>
      <c r="WYN5" s="484"/>
      <c r="WYO5" s="484"/>
      <c r="WYP5" s="484"/>
      <c r="WYQ5" s="484"/>
      <c r="WYR5" s="484"/>
      <c r="WYS5" s="484"/>
      <c r="WYT5" s="484"/>
      <c r="WYU5" s="484"/>
      <c r="WYV5" s="484"/>
      <c r="WYW5" s="484"/>
      <c r="WYX5" s="484"/>
      <c r="WYY5" s="484"/>
      <c r="WYZ5" s="484"/>
      <c r="WZA5" s="484"/>
      <c r="WZB5" s="484"/>
      <c r="WZC5" s="484"/>
      <c r="WZD5" s="484"/>
      <c r="WZE5" s="484"/>
      <c r="WZF5" s="484"/>
      <c r="WZG5" s="484"/>
      <c r="WZH5" s="484"/>
      <c r="WZI5" s="484"/>
      <c r="WZJ5" s="484"/>
      <c r="WZK5" s="484"/>
      <c r="WZL5" s="484"/>
      <c r="WZM5" s="484"/>
      <c r="WZN5" s="484"/>
      <c r="WZO5" s="484"/>
      <c r="WZP5" s="484"/>
      <c r="WZQ5" s="484"/>
      <c r="WZR5" s="484"/>
      <c r="WZS5" s="484"/>
      <c r="WZT5" s="484"/>
      <c r="WZU5" s="484"/>
      <c r="WZV5" s="484"/>
      <c r="WZW5" s="484"/>
      <c r="WZX5" s="484"/>
      <c r="WZY5" s="484"/>
      <c r="WZZ5" s="484"/>
      <c r="XAA5" s="484"/>
      <c r="XAB5" s="484"/>
      <c r="XAC5" s="484"/>
      <c r="XAD5" s="484"/>
      <c r="XAE5" s="484"/>
      <c r="XAF5" s="484"/>
      <c r="XAG5" s="484"/>
      <c r="XAH5" s="484"/>
      <c r="XAI5" s="484"/>
      <c r="XAJ5" s="484"/>
      <c r="XAK5" s="484"/>
      <c r="XAL5" s="484"/>
      <c r="XAM5" s="484"/>
      <c r="XAN5" s="484"/>
      <c r="XAO5" s="484"/>
      <c r="XAP5" s="484"/>
      <c r="XAQ5" s="484"/>
      <c r="XAR5" s="484"/>
      <c r="XAS5" s="484"/>
      <c r="XAT5" s="484"/>
      <c r="XAU5" s="484"/>
      <c r="XAV5" s="484"/>
      <c r="XAW5" s="484"/>
      <c r="XAX5" s="484"/>
      <c r="XAY5" s="484"/>
      <c r="XAZ5" s="484"/>
      <c r="XBA5" s="484"/>
      <c r="XBB5" s="484"/>
      <c r="XBC5" s="484"/>
      <c r="XBD5" s="484"/>
      <c r="XBE5" s="484"/>
      <c r="XBF5" s="484"/>
      <c r="XBG5" s="484"/>
      <c r="XBH5" s="484"/>
      <c r="XBI5" s="484"/>
      <c r="XBJ5" s="484"/>
      <c r="XBK5" s="484"/>
      <c r="XBL5" s="484"/>
      <c r="XBM5" s="484"/>
      <c r="XBN5" s="484"/>
      <c r="XBO5" s="484"/>
      <c r="XBP5" s="484"/>
      <c r="XBQ5" s="484"/>
      <c r="XBR5" s="484"/>
      <c r="XBS5" s="484"/>
      <c r="XBT5" s="484"/>
      <c r="XBU5" s="484"/>
      <c r="XBV5" s="484"/>
      <c r="XBW5" s="484"/>
      <c r="XBX5" s="484"/>
      <c r="XBY5" s="484"/>
      <c r="XBZ5" s="484"/>
      <c r="XCA5" s="484"/>
      <c r="XCB5" s="484"/>
      <c r="XCC5" s="484"/>
      <c r="XCD5" s="484"/>
      <c r="XCE5" s="484"/>
      <c r="XCF5" s="484"/>
      <c r="XCG5" s="484"/>
      <c r="XCH5" s="484"/>
      <c r="XCI5" s="484"/>
      <c r="XCJ5" s="484"/>
      <c r="XCK5" s="484"/>
      <c r="XCL5" s="484"/>
      <c r="XCM5" s="484"/>
      <c r="XCN5" s="484"/>
      <c r="XCO5" s="484"/>
      <c r="XCP5" s="484"/>
      <c r="XCQ5" s="484"/>
      <c r="XCR5" s="484"/>
      <c r="XCS5" s="484"/>
      <c r="XCT5" s="484"/>
      <c r="XCU5" s="484"/>
      <c r="XCV5" s="484"/>
      <c r="XCW5" s="484"/>
      <c r="XCX5" s="484"/>
      <c r="XCY5" s="484"/>
      <c r="XCZ5" s="484"/>
      <c r="XDA5" s="484"/>
      <c r="XDB5" s="484"/>
      <c r="XDC5" s="484"/>
      <c r="XDD5" s="484"/>
      <c r="XDE5" s="484"/>
      <c r="XDF5" s="484"/>
      <c r="XDG5" s="484"/>
      <c r="XDH5" s="484"/>
      <c r="XDI5" s="484"/>
      <c r="XDJ5" s="484"/>
      <c r="XDK5" s="484"/>
      <c r="XDL5" s="484"/>
      <c r="XDM5" s="484"/>
      <c r="XDN5" s="484"/>
      <c r="XDO5" s="484"/>
      <c r="XDP5" s="484"/>
      <c r="XDQ5" s="484"/>
      <c r="XDR5" s="484"/>
      <c r="XDS5" s="484"/>
      <c r="XDT5" s="484"/>
      <c r="XDU5" s="484"/>
      <c r="XDV5" s="484"/>
      <c r="XDW5" s="484"/>
      <c r="XDX5" s="484"/>
      <c r="XDY5" s="484"/>
      <c r="XDZ5" s="484"/>
      <c r="XEA5" s="484"/>
      <c r="XEB5" s="484"/>
      <c r="XEC5" s="484"/>
      <c r="XED5" s="484"/>
      <c r="XEE5" s="484"/>
      <c r="XEF5" s="484"/>
      <c r="XEG5" s="484"/>
      <c r="XEH5" s="484"/>
      <c r="XEI5" s="484"/>
      <c r="XEJ5" s="484"/>
      <c r="XEK5" s="484"/>
      <c r="XEL5" s="484"/>
      <c r="XEM5" s="484"/>
      <c r="XEN5" s="484"/>
      <c r="XEO5" s="484"/>
      <c r="XEP5" s="484"/>
      <c r="XEQ5" s="484"/>
      <c r="XER5" s="484"/>
      <c r="XES5" s="484"/>
      <c r="XET5" s="484"/>
      <c r="XEU5" s="484"/>
      <c r="XEV5" s="484"/>
      <c r="XEW5" s="484"/>
      <c r="XEX5" s="484"/>
      <c r="XEY5" s="484"/>
      <c r="XEZ5" s="484"/>
      <c r="XFA5" s="484"/>
      <c r="XFB5" s="484"/>
      <c r="XFC5" s="484"/>
      <c r="XFD5" s="4"/>
    </row>
    <row r="6" spans="1:16384" x14ac:dyDescent="0.25">
      <c r="A6" s="485"/>
      <c r="B6" s="485"/>
      <c r="C6" s="485"/>
      <c r="D6" s="484"/>
      <c r="E6" s="484"/>
      <c r="F6" s="484"/>
      <c r="G6" s="484"/>
      <c r="H6" s="484"/>
      <c r="I6" s="484"/>
      <c r="J6" s="484"/>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4"/>
      <c r="AP6" s="484"/>
      <c r="AQ6" s="484"/>
      <c r="AR6" s="484"/>
      <c r="AS6" s="484"/>
      <c r="AT6" s="484"/>
      <c r="AU6" s="484"/>
      <c r="AV6" s="484"/>
      <c r="AW6" s="484"/>
      <c r="AX6" s="484"/>
      <c r="AY6" s="484"/>
      <c r="AZ6" s="484"/>
      <c r="BA6" s="484"/>
      <c r="BB6" s="484"/>
      <c r="BC6" s="484"/>
      <c r="BD6" s="484"/>
      <c r="BE6" s="484"/>
      <c r="BF6" s="484"/>
      <c r="BG6" s="484"/>
      <c r="BH6" s="484"/>
      <c r="BI6" s="484"/>
      <c r="BJ6" s="484"/>
      <c r="BK6" s="484"/>
      <c r="BL6" s="484"/>
      <c r="BM6" s="484"/>
      <c r="BN6" s="484"/>
      <c r="BO6" s="484"/>
      <c r="BP6" s="484"/>
      <c r="BQ6" s="484"/>
      <c r="BR6" s="484"/>
      <c r="BS6" s="484"/>
      <c r="BT6" s="484"/>
      <c r="BU6" s="484"/>
      <c r="BV6" s="484"/>
      <c r="BW6" s="484"/>
      <c r="BX6" s="484"/>
      <c r="BY6" s="484"/>
      <c r="BZ6" s="484"/>
      <c r="CA6" s="484"/>
      <c r="CB6" s="484"/>
      <c r="CC6" s="484"/>
      <c r="CD6" s="484"/>
      <c r="CE6" s="484"/>
      <c r="CF6" s="484"/>
      <c r="CG6" s="484"/>
      <c r="CH6" s="484"/>
      <c r="CI6" s="484"/>
      <c r="CJ6" s="484"/>
      <c r="CK6" s="484"/>
      <c r="CL6" s="484"/>
      <c r="CM6" s="484"/>
      <c r="CN6" s="484"/>
      <c r="CO6" s="484"/>
      <c r="CP6" s="484"/>
      <c r="CQ6" s="484"/>
      <c r="CR6" s="484"/>
      <c r="CS6" s="484"/>
      <c r="CT6" s="484"/>
      <c r="CU6" s="484"/>
      <c r="CV6" s="484"/>
      <c r="CW6" s="484"/>
      <c r="CX6" s="484"/>
      <c r="CY6" s="484"/>
      <c r="CZ6" s="484"/>
      <c r="DA6" s="484"/>
      <c r="DB6" s="484"/>
      <c r="DC6" s="484"/>
      <c r="DD6" s="484"/>
      <c r="DE6" s="484"/>
      <c r="DF6" s="484"/>
      <c r="DG6" s="484"/>
      <c r="DH6" s="484"/>
      <c r="DI6" s="484"/>
      <c r="DJ6" s="484"/>
      <c r="DK6" s="484"/>
      <c r="DL6" s="484"/>
      <c r="DM6" s="484"/>
      <c r="DN6" s="484"/>
      <c r="DO6" s="484"/>
      <c r="DP6" s="484"/>
      <c r="DQ6" s="484"/>
      <c r="DR6" s="484"/>
      <c r="DS6" s="484"/>
      <c r="DT6" s="484"/>
      <c r="DU6" s="484"/>
      <c r="DV6" s="484"/>
      <c r="DW6" s="484"/>
      <c r="DX6" s="484"/>
      <c r="DY6" s="484"/>
      <c r="DZ6" s="484"/>
      <c r="EA6" s="484"/>
      <c r="EB6" s="484"/>
      <c r="EC6" s="484"/>
      <c r="ED6" s="484"/>
      <c r="EE6" s="484"/>
      <c r="EF6" s="484"/>
      <c r="EG6" s="484"/>
      <c r="EH6" s="484"/>
      <c r="EI6" s="484"/>
      <c r="EJ6" s="484"/>
      <c r="EK6" s="484"/>
      <c r="EL6" s="484"/>
      <c r="EM6" s="484"/>
      <c r="EN6" s="484"/>
      <c r="EO6" s="484"/>
      <c r="EP6" s="484"/>
      <c r="EQ6" s="484"/>
      <c r="ER6" s="484"/>
      <c r="ES6" s="484"/>
      <c r="ET6" s="484"/>
      <c r="EU6" s="484"/>
      <c r="EV6" s="484"/>
      <c r="EW6" s="484"/>
      <c r="EX6" s="484"/>
      <c r="EY6" s="484"/>
      <c r="EZ6" s="484"/>
      <c r="FA6" s="484"/>
      <c r="FB6" s="484"/>
      <c r="FC6" s="484"/>
      <c r="FD6" s="484"/>
      <c r="FE6" s="484"/>
      <c r="FF6" s="484"/>
      <c r="FG6" s="484"/>
      <c r="FH6" s="484"/>
      <c r="FI6" s="484"/>
      <c r="FJ6" s="484"/>
      <c r="FK6" s="484"/>
      <c r="FL6" s="484"/>
      <c r="FM6" s="484"/>
      <c r="FN6" s="484"/>
      <c r="FO6" s="484"/>
      <c r="FP6" s="484"/>
      <c r="FQ6" s="484"/>
      <c r="FR6" s="484"/>
      <c r="FS6" s="484"/>
      <c r="FT6" s="484"/>
      <c r="FU6" s="484"/>
      <c r="FV6" s="484"/>
      <c r="FW6" s="484"/>
      <c r="FX6" s="484"/>
      <c r="FY6" s="484"/>
      <c r="FZ6" s="484"/>
      <c r="GA6" s="484"/>
      <c r="GB6" s="484"/>
      <c r="GC6" s="484"/>
      <c r="GD6" s="484"/>
      <c r="GE6" s="484"/>
      <c r="GF6" s="484"/>
      <c r="GG6" s="484"/>
      <c r="GH6" s="484"/>
      <c r="GI6" s="484"/>
      <c r="GJ6" s="484"/>
      <c r="GK6" s="484"/>
      <c r="GL6" s="484"/>
      <c r="GM6" s="484"/>
      <c r="GN6" s="484"/>
      <c r="GO6" s="484"/>
      <c r="GP6" s="484"/>
      <c r="GQ6" s="484"/>
      <c r="GR6" s="484"/>
      <c r="GS6" s="484"/>
      <c r="GT6" s="484"/>
      <c r="GU6" s="484"/>
      <c r="GV6" s="484"/>
      <c r="GW6" s="484"/>
      <c r="GX6" s="484"/>
      <c r="GY6" s="484"/>
      <c r="GZ6" s="484"/>
      <c r="HA6" s="484"/>
      <c r="HB6" s="484"/>
      <c r="HC6" s="484"/>
      <c r="HD6" s="484"/>
      <c r="HE6" s="484"/>
      <c r="HF6" s="484"/>
      <c r="HG6" s="484"/>
      <c r="HH6" s="484"/>
      <c r="HI6" s="484"/>
      <c r="HJ6" s="484"/>
      <c r="HK6" s="484"/>
      <c r="HL6" s="484"/>
      <c r="HM6" s="484"/>
      <c r="HN6" s="484"/>
      <c r="HO6" s="484"/>
      <c r="HP6" s="484"/>
      <c r="HQ6" s="484"/>
      <c r="HR6" s="484"/>
      <c r="HS6" s="484"/>
      <c r="HT6" s="484"/>
      <c r="HU6" s="484"/>
      <c r="HV6" s="484"/>
      <c r="HW6" s="484"/>
      <c r="HX6" s="484"/>
      <c r="HY6" s="484"/>
      <c r="HZ6" s="484"/>
      <c r="IA6" s="484"/>
      <c r="IB6" s="484"/>
      <c r="IC6" s="484"/>
      <c r="ID6" s="484"/>
      <c r="IE6" s="484"/>
      <c r="IF6" s="484"/>
      <c r="IG6" s="484"/>
      <c r="IH6" s="484"/>
      <c r="II6" s="484"/>
      <c r="IJ6" s="484"/>
      <c r="IK6" s="484"/>
      <c r="IL6" s="484"/>
      <c r="IM6" s="484"/>
      <c r="IN6" s="484"/>
      <c r="IO6" s="484"/>
      <c r="IP6" s="484"/>
      <c r="IQ6" s="484"/>
      <c r="IR6" s="484"/>
      <c r="IS6" s="484"/>
      <c r="IT6" s="484"/>
      <c r="IU6" s="484"/>
      <c r="IV6" s="484"/>
      <c r="IW6" s="484"/>
      <c r="IX6" s="484"/>
      <c r="IY6" s="484"/>
      <c r="IZ6" s="484"/>
      <c r="JA6" s="484"/>
      <c r="JB6" s="484"/>
      <c r="JC6" s="484"/>
      <c r="JD6" s="484"/>
      <c r="JE6" s="484"/>
      <c r="JF6" s="484"/>
      <c r="JG6" s="484"/>
      <c r="JH6" s="484"/>
      <c r="JI6" s="484"/>
      <c r="JJ6" s="484"/>
      <c r="JK6" s="484"/>
      <c r="JL6" s="484"/>
      <c r="JM6" s="484"/>
      <c r="JN6" s="484"/>
      <c r="JO6" s="484"/>
      <c r="JP6" s="484"/>
      <c r="JQ6" s="484"/>
      <c r="JR6" s="484"/>
      <c r="JS6" s="484"/>
      <c r="JT6" s="484"/>
      <c r="JU6" s="484"/>
      <c r="JV6" s="484"/>
      <c r="JW6" s="484"/>
      <c r="JX6" s="484"/>
      <c r="JY6" s="484"/>
      <c r="JZ6" s="484"/>
      <c r="KA6" s="484"/>
      <c r="KB6" s="484"/>
      <c r="KC6" s="484"/>
      <c r="KD6" s="484"/>
      <c r="KE6" s="484"/>
      <c r="KF6" s="484"/>
      <c r="KG6" s="484"/>
      <c r="KH6" s="484"/>
      <c r="KI6" s="484"/>
      <c r="KJ6" s="484"/>
      <c r="KK6" s="484"/>
      <c r="KL6" s="484"/>
      <c r="KM6" s="484"/>
      <c r="KN6" s="484"/>
      <c r="KO6" s="484"/>
      <c r="KP6" s="484"/>
      <c r="KQ6" s="484"/>
      <c r="KR6" s="484"/>
      <c r="KS6" s="484"/>
      <c r="KT6" s="484"/>
      <c r="KU6" s="484"/>
      <c r="KV6" s="484"/>
      <c r="KW6" s="484"/>
      <c r="KX6" s="484"/>
      <c r="KY6" s="484"/>
      <c r="KZ6" s="484"/>
      <c r="LA6" s="484"/>
      <c r="LB6" s="484"/>
      <c r="LC6" s="484"/>
      <c r="LD6" s="484"/>
      <c r="LE6" s="484"/>
      <c r="LF6" s="484"/>
      <c r="LG6" s="484"/>
      <c r="LH6" s="484"/>
      <c r="LI6" s="484"/>
      <c r="LJ6" s="484"/>
      <c r="LK6" s="484"/>
      <c r="LL6" s="484"/>
      <c r="LM6" s="484"/>
      <c r="LN6" s="484"/>
      <c r="LO6" s="484"/>
      <c r="LP6" s="484"/>
      <c r="LQ6" s="484"/>
      <c r="LR6" s="484"/>
      <c r="LS6" s="484"/>
      <c r="LT6" s="484"/>
      <c r="LU6" s="484"/>
      <c r="LV6" s="484"/>
      <c r="LW6" s="484"/>
      <c r="LX6" s="484"/>
      <c r="LY6" s="484"/>
      <c r="LZ6" s="484"/>
      <c r="MA6" s="484"/>
      <c r="MB6" s="484"/>
      <c r="MC6" s="484"/>
      <c r="MD6" s="484"/>
      <c r="ME6" s="484"/>
      <c r="MF6" s="484"/>
      <c r="MG6" s="484"/>
      <c r="MH6" s="484"/>
      <c r="MI6" s="484"/>
      <c r="MJ6" s="484"/>
      <c r="MK6" s="484"/>
      <c r="ML6" s="484"/>
      <c r="MM6" s="484"/>
      <c r="MN6" s="484"/>
      <c r="MO6" s="484"/>
      <c r="MP6" s="484"/>
      <c r="MQ6" s="484"/>
      <c r="MR6" s="484"/>
      <c r="MS6" s="484"/>
      <c r="MT6" s="484"/>
      <c r="MU6" s="484"/>
      <c r="MV6" s="484"/>
      <c r="MW6" s="484"/>
      <c r="MX6" s="484"/>
      <c r="MY6" s="484"/>
      <c r="MZ6" s="484"/>
      <c r="NA6" s="484"/>
      <c r="NB6" s="484"/>
      <c r="NC6" s="484"/>
      <c r="ND6" s="484"/>
      <c r="NE6" s="484"/>
      <c r="NF6" s="484"/>
      <c r="NG6" s="484"/>
      <c r="NH6" s="484"/>
      <c r="NI6" s="484"/>
      <c r="NJ6" s="484"/>
      <c r="NK6" s="484"/>
      <c r="NL6" s="484"/>
      <c r="NM6" s="484"/>
      <c r="NN6" s="484"/>
      <c r="NO6" s="484"/>
      <c r="NP6" s="484"/>
      <c r="NQ6" s="484"/>
      <c r="NR6" s="484"/>
      <c r="NS6" s="484"/>
      <c r="NT6" s="484"/>
      <c r="NU6" s="484"/>
      <c r="NV6" s="484"/>
      <c r="NW6" s="484"/>
      <c r="NX6" s="484"/>
      <c r="NY6" s="484"/>
      <c r="NZ6" s="484"/>
      <c r="OA6" s="484"/>
      <c r="OB6" s="484"/>
      <c r="OC6" s="484"/>
      <c r="OD6" s="484"/>
      <c r="OE6" s="484"/>
      <c r="OF6" s="484"/>
      <c r="OG6" s="484"/>
      <c r="OH6" s="484"/>
      <c r="OI6" s="484"/>
      <c r="OJ6" s="484"/>
      <c r="OK6" s="484"/>
      <c r="OL6" s="484"/>
      <c r="OM6" s="484"/>
      <c r="ON6" s="484"/>
      <c r="OO6" s="484"/>
      <c r="OP6" s="484"/>
      <c r="OQ6" s="484"/>
      <c r="OR6" s="484"/>
      <c r="OS6" s="484"/>
      <c r="OT6" s="484"/>
      <c r="OU6" s="484"/>
      <c r="OV6" s="484"/>
      <c r="OW6" s="484"/>
      <c r="OX6" s="484"/>
      <c r="OY6" s="484"/>
      <c r="OZ6" s="484"/>
      <c r="PA6" s="484"/>
      <c r="PB6" s="484"/>
      <c r="PC6" s="484"/>
      <c r="PD6" s="484"/>
      <c r="PE6" s="484"/>
      <c r="PF6" s="484"/>
      <c r="PG6" s="484"/>
      <c r="PH6" s="484"/>
      <c r="PI6" s="484"/>
      <c r="PJ6" s="484"/>
      <c r="PK6" s="484"/>
      <c r="PL6" s="484"/>
      <c r="PM6" s="484"/>
      <c r="PN6" s="484"/>
      <c r="PO6" s="484"/>
      <c r="PP6" s="484"/>
      <c r="PQ6" s="484"/>
      <c r="PR6" s="484"/>
      <c r="PS6" s="484"/>
      <c r="PT6" s="484"/>
      <c r="PU6" s="484"/>
      <c r="PV6" s="484"/>
      <c r="PW6" s="484"/>
      <c r="PX6" s="484"/>
      <c r="PY6" s="484"/>
      <c r="PZ6" s="484"/>
      <c r="QA6" s="484"/>
      <c r="QB6" s="484"/>
      <c r="QC6" s="484"/>
      <c r="QD6" s="484"/>
      <c r="QE6" s="484"/>
      <c r="QF6" s="484"/>
      <c r="QG6" s="484"/>
      <c r="QH6" s="484"/>
      <c r="QI6" s="484"/>
      <c r="QJ6" s="484"/>
      <c r="QK6" s="484"/>
      <c r="QL6" s="484"/>
      <c r="QM6" s="484"/>
      <c r="QN6" s="484"/>
      <c r="QO6" s="484"/>
      <c r="QP6" s="484"/>
      <c r="QQ6" s="484"/>
      <c r="QR6" s="484"/>
      <c r="QS6" s="484"/>
      <c r="QT6" s="484"/>
      <c r="QU6" s="484"/>
      <c r="QV6" s="484"/>
      <c r="QW6" s="484"/>
      <c r="QX6" s="484"/>
      <c r="QY6" s="484"/>
      <c r="QZ6" s="484"/>
      <c r="RA6" s="484"/>
      <c r="RB6" s="484"/>
      <c r="RC6" s="484"/>
      <c r="RD6" s="484"/>
      <c r="RE6" s="484"/>
      <c r="RF6" s="484"/>
      <c r="RG6" s="484"/>
      <c r="RH6" s="484"/>
      <c r="RI6" s="484"/>
      <c r="RJ6" s="484"/>
      <c r="RK6" s="484"/>
      <c r="RL6" s="484"/>
      <c r="RM6" s="484"/>
      <c r="RN6" s="484"/>
      <c r="RO6" s="484"/>
      <c r="RP6" s="484"/>
      <c r="RQ6" s="484"/>
      <c r="RR6" s="484"/>
      <c r="RS6" s="484"/>
      <c r="RT6" s="484"/>
      <c r="RU6" s="484"/>
      <c r="RV6" s="484"/>
      <c r="RW6" s="484"/>
      <c r="RX6" s="484"/>
      <c r="RY6" s="484"/>
      <c r="RZ6" s="484"/>
      <c r="SA6" s="484"/>
      <c r="SB6" s="484"/>
      <c r="SC6" s="484"/>
      <c r="SD6" s="484"/>
      <c r="SE6" s="484"/>
      <c r="SF6" s="484"/>
      <c r="SG6" s="484"/>
      <c r="SH6" s="484"/>
      <c r="SI6" s="484"/>
      <c r="SJ6" s="484"/>
      <c r="SK6" s="484"/>
      <c r="SL6" s="484"/>
      <c r="SM6" s="484"/>
      <c r="SN6" s="484"/>
      <c r="SO6" s="484"/>
      <c r="SP6" s="484"/>
      <c r="SQ6" s="484"/>
      <c r="SR6" s="484"/>
      <c r="SS6" s="484"/>
      <c r="ST6" s="484"/>
      <c r="SU6" s="484"/>
      <c r="SV6" s="484"/>
      <c r="SW6" s="484"/>
      <c r="SX6" s="484"/>
      <c r="SY6" s="484"/>
      <c r="SZ6" s="484"/>
      <c r="TA6" s="484"/>
      <c r="TB6" s="484"/>
      <c r="TC6" s="484"/>
      <c r="TD6" s="484"/>
      <c r="TE6" s="484"/>
      <c r="TF6" s="484"/>
      <c r="TG6" s="484"/>
      <c r="TH6" s="484"/>
      <c r="TI6" s="484"/>
      <c r="TJ6" s="484"/>
      <c r="TK6" s="484"/>
      <c r="TL6" s="484"/>
      <c r="TM6" s="484"/>
      <c r="TN6" s="484"/>
      <c r="TO6" s="484"/>
      <c r="TP6" s="484"/>
      <c r="TQ6" s="484"/>
      <c r="TR6" s="484"/>
      <c r="TS6" s="484"/>
      <c r="TT6" s="484"/>
      <c r="TU6" s="484"/>
      <c r="TV6" s="484"/>
      <c r="TW6" s="484"/>
      <c r="TX6" s="484"/>
      <c r="TY6" s="484"/>
      <c r="TZ6" s="484"/>
      <c r="UA6" s="484"/>
      <c r="UB6" s="484"/>
      <c r="UC6" s="484"/>
      <c r="UD6" s="484"/>
      <c r="UE6" s="484"/>
      <c r="UF6" s="484"/>
      <c r="UG6" s="484"/>
      <c r="UH6" s="484"/>
      <c r="UI6" s="484"/>
      <c r="UJ6" s="484"/>
      <c r="UK6" s="484"/>
      <c r="UL6" s="484"/>
      <c r="UM6" s="484"/>
      <c r="UN6" s="484"/>
      <c r="UO6" s="484"/>
      <c r="UP6" s="484"/>
      <c r="UQ6" s="484"/>
      <c r="UR6" s="484"/>
      <c r="US6" s="484"/>
      <c r="UT6" s="484"/>
      <c r="UU6" s="484"/>
      <c r="UV6" s="484"/>
      <c r="UW6" s="484"/>
      <c r="UX6" s="484"/>
      <c r="UY6" s="484"/>
      <c r="UZ6" s="484"/>
      <c r="VA6" s="484"/>
      <c r="VB6" s="484"/>
      <c r="VC6" s="484"/>
      <c r="VD6" s="484"/>
      <c r="VE6" s="484"/>
      <c r="VF6" s="484"/>
      <c r="VG6" s="484"/>
      <c r="VH6" s="484"/>
      <c r="VI6" s="484"/>
      <c r="VJ6" s="484"/>
      <c r="VK6" s="484"/>
      <c r="VL6" s="484"/>
      <c r="VM6" s="484"/>
      <c r="VN6" s="484"/>
      <c r="VO6" s="484"/>
      <c r="VP6" s="484"/>
      <c r="VQ6" s="484"/>
      <c r="VR6" s="484"/>
      <c r="VS6" s="484"/>
      <c r="VT6" s="484"/>
      <c r="VU6" s="484"/>
      <c r="VV6" s="484"/>
      <c r="VW6" s="484"/>
      <c r="VX6" s="484"/>
      <c r="VY6" s="484"/>
      <c r="VZ6" s="484"/>
      <c r="WA6" s="484"/>
      <c r="WB6" s="484"/>
      <c r="WC6" s="484"/>
      <c r="WD6" s="484"/>
      <c r="WE6" s="484"/>
      <c r="WF6" s="484"/>
      <c r="WG6" s="484"/>
      <c r="WH6" s="484"/>
      <c r="WI6" s="484"/>
      <c r="WJ6" s="484"/>
      <c r="WK6" s="484"/>
      <c r="WL6" s="484"/>
      <c r="WM6" s="484"/>
      <c r="WN6" s="484"/>
      <c r="WO6" s="484"/>
      <c r="WP6" s="484"/>
      <c r="WQ6" s="484"/>
      <c r="WR6" s="484"/>
      <c r="WS6" s="484"/>
      <c r="WT6" s="484"/>
      <c r="WU6" s="484"/>
      <c r="WV6" s="484"/>
      <c r="WW6" s="484"/>
      <c r="WX6" s="484"/>
      <c r="WY6" s="484"/>
      <c r="WZ6" s="484"/>
      <c r="XA6" s="484"/>
      <c r="XB6" s="484"/>
      <c r="XC6" s="484"/>
      <c r="XD6" s="484"/>
      <c r="XE6" s="484"/>
      <c r="XF6" s="484"/>
      <c r="XG6" s="484"/>
      <c r="XH6" s="484"/>
      <c r="XI6" s="484"/>
      <c r="XJ6" s="484"/>
      <c r="XK6" s="484"/>
      <c r="XL6" s="484"/>
      <c r="XM6" s="484"/>
      <c r="XN6" s="484"/>
      <c r="XO6" s="484"/>
      <c r="XP6" s="484"/>
      <c r="XQ6" s="484"/>
      <c r="XR6" s="484"/>
      <c r="XS6" s="484"/>
      <c r="XT6" s="484"/>
      <c r="XU6" s="484"/>
      <c r="XV6" s="484"/>
      <c r="XW6" s="484"/>
      <c r="XX6" s="484"/>
      <c r="XY6" s="484"/>
      <c r="XZ6" s="484"/>
      <c r="YA6" s="484"/>
      <c r="YB6" s="484"/>
      <c r="YC6" s="484"/>
      <c r="YD6" s="484"/>
      <c r="YE6" s="484"/>
      <c r="YF6" s="484"/>
      <c r="YG6" s="484"/>
      <c r="YH6" s="484"/>
      <c r="YI6" s="484"/>
      <c r="YJ6" s="484"/>
      <c r="YK6" s="484"/>
      <c r="YL6" s="484"/>
      <c r="YM6" s="484"/>
      <c r="YN6" s="484"/>
      <c r="YO6" s="484"/>
      <c r="YP6" s="484"/>
      <c r="YQ6" s="484"/>
      <c r="YR6" s="484"/>
      <c r="YS6" s="484"/>
      <c r="YT6" s="484"/>
      <c r="YU6" s="484"/>
      <c r="YV6" s="484"/>
      <c r="YW6" s="484"/>
      <c r="YX6" s="484"/>
      <c r="YY6" s="484"/>
      <c r="YZ6" s="484"/>
      <c r="ZA6" s="484"/>
      <c r="ZB6" s="484"/>
      <c r="ZC6" s="484"/>
      <c r="ZD6" s="484"/>
      <c r="ZE6" s="484"/>
      <c r="ZF6" s="484"/>
      <c r="ZG6" s="484"/>
      <c r="ZH6" s="484"/>
      <c r="ZI6" s="484"/>
      <c r="ZJ6" s="484"/>
      <c r="ZK6" s="484"/>
      <c r="ZL6" s="484"/>
      <c r="ZM6" s="484"/>
      <c r="ZN6" s="484"/>
      <c r="ZO6" s="484"/>
      <c r="ZP6" s="484"/>
      <c r="ZQ6" s="484"/>
      <c r="ZR6" s="484"/>
      <c r="ZS6" s="484"/>
      <c r="ZT6" s="484"/>
      <c r="ZU6" s="484"/>
      <c r="ZV6" s="484"/>
      <c r="ZW6" s="484"/>
      <c r="ZX6" s="484"/>
      <c r="ZY6" s="484"/>
      <c r="ZZ6" s="484"/>
      <c r="AAA6" s="484"/>
      <c r="AAB6" s="484"/>
      <c r="AAC6" s="484"/>
      <c r="AAD6" s="484"/>
      <c r="AAE6" s="484"/>
      <c r="AAF6" s="484"/>
      <c r="AAG6" s="484"/>
      <c r="AAH6" s="484"/>
      <c r="AAI6" s="484"/>
      <c r="AAJ6" s="484"/>
      <c r="AAK6" s="484"/>
      <c r="AAL6" s="484"/>
      <c r="AAM6" s="484"/>
      <c r="AAN6" s="484"/>
      <c r="AAO6" s="484"/>
      <c r="AAP6" s="484"/>
      <c r="AAQ6" s="484"/>
      <c r="AAR6" s="484"/>
      <c r="AAS6" s="484"/>
      <c r="AAT6" s="484"/>
      <c r="AAU6" s="484"/>
      <c r="AAV6" s="484"/>
      <c r="AAW6" s="484"/>
      <c r="AAX6" s="484"/>
      <c r="AAY6" s="484"/>
      <c r="AAZ6" s="484"/>
      <c r="ABA6" s="484"/>
      <c r="ABB6" s="484"/>
      <c r="ABC6" s="484"/>
      <c r="ABD6" s="484"/>
      <c r="ABE6" s="484"/>
      <c r="ABF6" s="484"/>
      <c r="ABG6" s="484"/>
      <c r="ABH6" s="484"/>
      <c r="ABI6" s="484"/>
      <c r="ABJ6" s="484"/>
      <c r="ABK6" s="484"/>
      <c r="ABL6" s="484"/>
      <c r="ABM6" s="484"/>
      <c r="ABN6" s="484"/>
      <c r="ABO6" s="484"/>
      <c r="ABP6" s="484"/>
      <c r="ABQ6" s="484"/>
      <c r="ABR6" s="484"/>
      <c r="ABS6" s="484"/>
      <c r="ABT6" s="484"/>
      <c r="ABU6" s="484"/>
      <c r="ABV6" s="484"/>
      <c r="ABW6" s="484"/>
      <c r="ABX6" s="484"/>
      <c r="ABY6" s="484"/>
      <c r="ABZ6" s="484"/>
      <c r="ACA6" s="484"/>
      <c r="ACB6" s="484"/>
      <c r="ACC6" s="484"/>
      <c r="ACD6" s="484"/>
      <c r="ACE6" s="484"/>
      <c r="ACF6" s="484"/>
      <c r="ACG6" s="484"/>
      <c r="ACH6" s="484"/>
      <c r="ACI6" s="484"/>
      <c r="ACJ6" s="484"/>
      <c r="ACK6" s="484"/>
      <c r="ACL6" s="484"/>
      <c r="ACM6" s="484"/>
      <c r="ACN6" s="484"/>
      <c r="ACO6" s="484"/>
      <c r="ACP6" s="484"/>
      <c r="ACQ6" s="484"/>
      <c r="ACR6" s="484"/>
      <c r="ACS6" s="484"/>
      <c r="ACT6" s="484"/>
      <c r="ACU6" s="484"/>
      <c r="ACV6" s="484"/>
      <c r="ACW6" s="484"/>
      <c r="ACX6" s="484"/>
      <c r="ACY6" s="484"/>
      <c r="ACZ6" s="484"/>
      <c r="ADA6" s="484"/>
      <c r="ADB6" s="484"/>
      <c r="ADC6" s="484"/>
      <c r="ADD6" s="484"/>
      <c r="ADE6" s="484"/>
      <c r="ADF6" s="484"/>
      <c r="ADG6" s="484"/>
      <c r="ADH6" s="484"/>
      <c r="ADI6" s="484"/>
      <c r="ADJ6" s="484"/>
      <c r="ADK6" s="484"/>
      <c r="ADL6" s="484"/>
      <c r="ADM6" s="484"/>
      <c r="ADN6" s="484"/>
      <c r="ADO6" s="484"/>
      <c r="ADP6" s="484"/>
      <c r="ADQ6" s="484"/>
      <c r="ADR6" s="484"/>
      <c r="ADS6" s="484"/>
      <c r="ADT6" s="484"/>
      <c r="ADU6" s="484"/>
      <c r="ADV6" s="484"/>
      <c r="ADW6" s="484"/>
      <c r="ADX6" s="484"/>
      <c r="ADY6" s="484"/>
      <c r="ADZ6" s="484"/>
      <c r="AEA6" s="484"/>
      <c r="AEB6" s="484"/>
      <c r="AEC6" s="484"/>
      <c r="AED6" s="484"/>
      <c r="AEE6" s="484"/>
      <c r="AEF6" s="484"/>
      <c r="AEG6" s="484"/>
      <c r="AEH6" s="484"/>
      <c r="AEI6" s="484"/>
      <c r="AEJ6" s="484"/>
      <c r="AEK6" s="484"/>
      <c r="AEL6" s="484"/>
      <c r="AEM6" s="484"/>
      <c r="AEN6" s="484"/>
      <c r="AEO6" s="484"/>
      <c r="AEP6" s="484"/>
      <c r="AEQ6" s="484"/>
      <c r="AER6" s="484"/>
      <c r="AES6" s="484"/>
      <c r="AET6" s="484"/>
      <c r="AEU6" s="484"/>
      <c r="AEV6" s="484"/>
      <c r="AEW6" s="484"/>
      <c r="AEX6" s="484"/>
      <c r="AEY6" s="484"/>
      <c r="AEZ6" s="484"/>
      <c r="AFA6" s="484"/>
      <c r="AFB6" s="484"/>
      <c r="AFC6" s="484"/>
      <c r="AFD6" s="484"/>
      <c r="AFE6" s="484"/>
      <c r="AFF6" s="484"/>
      <c r="AFG6" s="484"/>
      <c r="AFH6" s="484"/>
      <c r="AFI6" s="484"/>
      <c r="AFJ6" s="484"/>
      <c r="AFK6" s="484"/>
      <c r="AFL6" s="484"/>
      <c r="AFM6" s="484"/>
      <c r="AFN6" s="484"/>
      <c r="AFO6" s="484"/>
      <c r="AFP6" s="484"/>
      <c r="AFQ6" s="484"/>
      <c r="AFR6" s="484"/>
      <c r="AFS6" s="484"/>
      <c r="AFT6" s="484"/>
      <c r="AFU6" s="484"/>
      <c r="AFV6" s="484"/>
      <c r="AFW6" s="484"/>
      <c r="AFX6" s="484"/>
      <c r="AFY6" s="484"/>
      <c r="AFZ6" s="484"/>
      <c r="AGA6" s="484"/>
      <c r="AGB6" s="484"/>
      <c r="AGC6" s="484"/>
      <c r="AGD6" s="484"/>
      <c r="AGE6" s="484"/>
      <c r="AGF6" s="484"/>
      <c r="AGG6" s="484"/>
      <c r="AGH6" s="484"/>
      <c r="AGI6" s="484"/>
      <c r="AGJ6" s="484"/>
      <c r="AGK6" s="484"/>
      <c r="AGL6" s="484"/>
      <c r="AGM6" s="484"/>
      <c r="AGN6" s="484"/>
      <c r="AGO6" s="484"/>
      <c r="AGP6" s="484"/>
      <c r="AGQ6" s="484"/>
      <c r="AGR6" s="484"/>
      <c r="AGS6" s="484"/>
      <c r="AGT6" s="484"/>
      <c r="AGU6" s="484"/>
      <c r="AGV6" s="484"/>
      <c r="AGW6" s="484"/>
      <c r="AGX6" s="484"/>
      <c r="AGY6" s="484"/>
      <c r="AGZ6" s="484"/>
      <c r="AHA6" s="484"/>
      <c r="AHB6" s="484"/>
      <c r="AHC6" s="484"/>
      <c r="AHD6" s="484"/>
      <c r="AHE6" s="484"/>
      <c r="AHF6" s="484"/>
      <c r="AHG6" s="484"/>
      <c r="AHH6" s="484"/>
      <c r="AHI6" s="484"/>
      <c r="AHJ6" s="484"/>
      <c r="AHK6" s="484"/>
      <c r="AHL6" s="484"/>
      <c r="AHM6" s="484"/>
      <c r="AHN6" s="484"/>
      <c r="AHO6" s="484"/>
      <c r="AHP6" s="484"/>
      <c r="AHQ6" s="484"/>
      <c r="AHR6" s="484"/>
      <c r="AHS6" s="484"/>
      <c r="AHT6" s="484"/>
      <c r="AHU6" s="484"/>
      <c r="AHV6" s="484"/>
      <c r="AHW6" s="484"/>
      <c r="AHX6" s="484"/>
      <c r="AHY6" s="484"/>
      <c r="AHZ6" s="484"/>
      <c r="AIA6" s="484"/>
      <c r="AIB6" s="484"/>
      <c r="AIC6" s="484"/>
      <c r="AID6" s="484"/>
      <c r="AIE6" s="484"/>
      <c r="AIF6" s="484"/>
      <c r="AIG6" s="484"/>
      <c r="AIH6" s="484"/>
      <c r="AII6" s="484"/>
      <c r="AIJ6" s="484"/>
      <c r="AIK6" s="484"/>
      <c r="AIL6" s="484"/>
      <c r="AIM6" s="484"/>
      <c r="AIN6" s="484"/>
      <c r="AIO6" s="484"/>
      <c r="AIP6" s="484"/>
      <c r="AIQ6" s="484"/>
      <c r="AIR6" s="484"/>
      <c r="AIS6" s="484"/>
      <c r="AIT6" s="484"/>
      <c r="AIU6" s="484"/>
      <c r="AIV6" s="484"/>
      <c r="AIW6" s="484"/>
      <c r="AIX6" s="484"/>
      <c r="AIY6" s="484"/>
      <c r="AIZ6" s="484"/>
      <c r="AJA6" s="484"/>
      <c r="AJB6" s="484"/>
      <c r="AJC6" s="484"/>
      <c r="AJD6" s="484"/>
      <c r="AJE6" s="484"/>
      <c r="AJF6" s="484"/>
      <c r="AJG6" s="484"/>
      <c r="AJH6" s="484"/>
      <c r="AJI6" s="484"/>
      <c r="AJJ6" s="484"/>
      <c r="AJK6" s="484"/>
      <c r="AJL6" s="484"/>
      <c r="AJM6" s="484"/>
      <c r="AJN6" s="484"/>
      <c r="AJO6" s="484"/>
      <c r="AJP6" s="484"/>
      <c r="AJQ6" s="484"/>
      <c r="AJR6" s="484"/>
      <c r="AJS6" s="484"/>
      <c r="AJT6" s="484"/>
      <c r="AJU6" s="484"/>
      <c r="AJV6" s="484"/>
      <c r="AJW6" s="484"/>
      <c r="AJX6" s="484"/>
      <c r="AJY6" s="484"/>
      <c r="AJZ6" s="484"/>
      <c r="AKA6" s="484"/>
      <c r="AKB6" s="484"/>
      <c r="AKC6" s="484"/>
      <c r="AKD6" s="484"/>
      <c r="AKE6" s="484"/>
      <c r="AKF6" s="484"/>
      <c r="AKG6" s="484"/>
      <c r="AKH6" s="484"/>
      <c r="AKI6" s="484"/>
      <c r="AKJ6" s="484"/>
      <c r="AKK6" s="484"/>
      <c r="AKL6" s="484"/>
      <c r="AKM6" s="484"/>
      <c r="AKN6" s="484"/>
      <c r="AKO6" s="484"/>
      <c r="AKP6" s="484"/>
      <c r="AKQ6" s="484"/>
      <c r="AKR6" s="484"/>
      <c r="AKS6" s="484"/>
      <c r="AKT6" s="484"/>
      <c r="AKU6" s="484"/>
      <c r="AKV6" s="484"/>
      <c r="AKW6" s="484"/>
      <c r="AKX6" s="484"/>
      <c r="AKY6" s="484"/>
      <c r="AKZ6" s="484"/>
      <c r="ALA6" s="484"/>
      <c r="ALB6" s="484"/>
      <c r="ALC6" s="484"/>
      <c r="ALD6" s="484"/>
      <c r="ALE6" s="484"/>
      <c r="ALF6" s="484"/>
      <c r="ALG6" s="484"/>
      <c r="ALH6" s="484"/>
      <c r="ALI6" s="484"/>
      <c r="ALJ6" s="484"/>
      <c r="ALK6" s="484"/>
      <c r="ALL6" s="484"/>
      <c r="ALM6" s="484"/>
      <c r="ALN6" s="484"/>
      <c r="ALO6" s="484"/>
      <c r="ALP6" s="484"/>
      <c r="ALQ6" s="484"/>
      <c r="ALR6" s="484"/>
      <c r="ALS6" s="484"/>
      <c r="ALT6" s="484"/>
      <c r="ALU6" s="484"/>
      <c r="ALV6" s="484"/>
      <c r="ALW6" s="484"/>
      <c r="ALX6" s="484"/>
      <c r="ALY6" s="484"/>
      <c r="ALZ6" s="484"/>
      <c r="AMA6" s="484"/>
      <c r="AMB6" s="484"/>
      <c r="AMC6" s="484"/>
      <c r="AMD6" s="484"/>
      <c r="AME6" s="484"/>
      <c r="AMF6" s="484"/>
      <c r="AMG6" s="484"/>
      <c r="AMH6" s="484"/>
      <c r="AMI6" s="484"/>
      <c r="AMJ6" s="484"/>
      <c r="AMK6" s="484"/>
      <c r="AML6" s="484"/>
      <c r="AMM6" s="484"/>
      <c r="AMN6" s="484"/>
      <c r="AMO6" s="484"/>
      <c r="AMP6" s="484"/>
      <c r="AMQ6" s="484"/>
      <c r="AMR6" s="484"/>
      <c r="AMS6" s="484"/>
      <c r="AMT6" s="484"/>
      <c r="AMU6" s="484"/>
      <c r="AMV6" s="484"/>
      <c r="AMW6" s="484"/>
      <c r="AMX6" s="484"/>
      <c r="AMY6" s="484"/>
      <c r="AMZ6" s="484"/>
      <c r="ANA6" s="484"/>
      <c r="ANB6" s="484"/>
      <c r="ANC6" s="484"/>
      <c r="AND6" s="484"/>
      <c r="ANE6" s="484"/>
      <c r="ANF6" s="484"/>
      <c r="ANG6" s="484"/>
      <c r="ANH6" s="484"/>
      <c r="ANI6" s="484"/>
      <c r="ANJ6" s="484"/>
      <c r="ANK6" s="484"/>
      <c r="ANL6" s="484"/>
      <c r="ANM6" s="484"/>
      <c r="ANN6" s="484"/>
      <c r="ANO6" s="484"/>
      <c r="ANP6" s="484"/>
      <c r="ANQ6" s="484"/>
      <c r="ANR6" s="484"/>
      <c r="ANS6" s="484"/>
      <c r="ANT6" s="484"/>
      <c r="ANU6" s="484"/>
      <c r="ANV6" s="484"/>
      <c r="ANW6" s="484"/>
      <c r="ANX6" s="484"/>
      <c r="ANY6" s="484"/>
      <c r="ANZ6" s="484"/>
      <c r="AOA6" s="484"/>
      <c r="AOB6" s="484"/>
      <c r="AOC6" s="484"/>
      <c r="AOD6" s="484"/>
      <c r="AOE6" s="484"/>
      <c r="AOF6" s="484"/>
      <c r="AOG6" s="484"/>
      <c r="AOH6" s="484"/>
      <c r="AOI6" s="484"/>
      <c r="AOJ6" s="484"/>
      <c r="AOK6" s="484"/>
      <c r="AOL6" s="484"/>
      <c r="AOM6" s="484"/>
      <c r="AON6" s="484"/>
      <c r="AOO6" s="484"/>
      <c r="AOP6" s="484"/>
      <c r="AOQ6" s="484"/>
      <c r="AOR6" s="484"/>
      <c r="AOS6" s="484"/>
      <c r="AOT6" s="484"/>
      <c r="AOU6" s="484"/>
      <c r="AOV6" s="484"/>
      <c r="AOW6" s="484"/>
      <c r="AOX6" s="484"/>
      <c r="AOY6" s="484"/>
      <c r="AOZ6" s="484"/>
      <c r="APA6" s="484"/>
      <c r="APB6" s="484"/>
      <c r="APC6" s="484"/>
      <c r="APD6" s="484"/>
      <c r="APE6" s="484"/>
      <c r="APF6" s="484"/>
      <c r="APG6" s="484"/>
      <c r="APH6" s="484"/>
      <c r="API6" s="484"/>
      <c r="APJ6" s="484"/>
      <c r="APK6" s="484"/>
      <c r="APL6" s="484"/>
      <c r="APM6" s="484"/>
      <c r="APN6" s="484"/>
      <c r="APO6" s="484"/>
      <c r="APP6" s="484"/>
      <c r="APQ6" s="484"/>
      <c r="APR6" s="484"/>
      <c r="APS6" s="484"/>
      <c r="APT6" s="484"/>
      <c r="APU6" s="484"/>
      <c r="APV6" s="484"/>
      <c r="APW6" s="484"/>
      <c r="APX6" s="484"/>
      <c r="APY6" s="484"/>
      <c r="APZ6" s="484"/>
      <c r="AQA6" s="484"/>
      <c r="AQB6" s="484"/>
      <c r="AQC6" s="484"/>
      <c r="AQD6" s="484"/>
      <c r="AQE6" s="484"/>
      <c r="AQF6" s="484"/>
      <c r="AQG6" s="484"/>
      <c r="AQH6" s="484"/>
      <c r="AQI6" s="484"/>
      <c r="AQJ6" s="484"/>
      <c r="AQK6" s="484"/>
      <c r="AQL6" s="484"/>
      <c r="AQM6" s="484"/>
      <c r="AQN6" s="484"/>
      <c r="AQO6" s="484"/>
      <c r="AQP6" s="484"/>
      <c r="AQQ6" s="484"/>
      <c r="AQR6" s="484"/>
      <c r="AQS6" s="484"/>
      <c r="AQT6" s="484"/>
      <c r="AQU6" s="484"/>
      <c r="AQV6" s="484"/>
      <c r="AQW6" s="484"/>
      <c r="AQX6" s="484"/>
      <c r="AQY6" s="484"/>
      <c r="AQZ6" s="484"/>
      <c r="ARA6" s="484"/>
      <c r="ARB6" s="484"/>
      <c r="ARC6" s="484"/>
      <c r="ARD6" s="484"/>
      <c r="ARE6" s="484"/>
      <c r="ARF6" s="484"/>
      <c r="ARG6" s="484"/>
      <c r="ARH6" s="484"/>
      <c r="ARI6" s="484"/>
      <c r="ARJ6" s="484"/>
      <c r="ARK6" s="484"/>
      <c r="ARL6" s="484"/>
      <c r="ARM6" s="484"/>
      <c r="ARN6" s="484"/>
      <c r="ARO6" s="484"/>
      <c r="ARP6" s="484"/>
      <c r="ARQ6" s="484"/>
      <c r="ARR6" s="484"/>
      <c r="ARS6" s="484"/>
      <c r="ART6" s="484"/>
      <c r="ARU6" s="484"/>
      <c r="ARV6" s="484"/>
      <c r="ARW6" s="484"/>
      <c r="ARX6" s="484"/>
      <c r="ARY6" s="484"/>
      <c r="ARZ6" s="484"/>
      <c r="ASA6" s="484"/>
      <c r="ASB6" s="484"/>
      <c r="ASC6" s="484"/>
      <c r="ASD6" s="484"/>
      <c r="ASE6" s="484"/>
      <c r="ASF6" s="484"/>
      <c r="ASG6" s="484"/>
      <c r="ASH6" s="484"/>
      <c r="ASI6" s="484"/>
      <c r="ASJ6" s="484"/>
      <c r="ASK6" s="484"/>
      <c r="ASL6" s="484"/>
      <c r="ASM6" s="484"/>
      <c r="ASN6" s="484"/>
      <c r="ASO6" s="484"/>
      <c r="ASP6" s="484"/>
      <c r="ASQ6" s="484"/>
      <c r="ASR6" s="484"/>
      <c r="ASS6" s="484"/>
      <c r="AST6" s="484"/>
      <c r="ASU6" s="484"/>
      <c r="ASV6" s="484"/>
      <c r="ASW6" s="484"/>
      <c r="ASX6" s="484"/>
      <c r="ASY6" s="484"/>
      <c r="ASZ6" s="484"/>
      <c r="ATA6" s="484"/>
      <c r="ATB6" s="484"/>
      <c r="ATC6" s="484"/>
      <c r="ATD6" s="484"/>
      <c r="ATE6" s="484"/>
      <c r="ATF6" s="484"/>
      <c r="ATG6" s="484"/>
      <c r="ATH6" s="484"/>
      <c r="ATI6" s="484"/>
      <c r="ATJ6" s="484"/>
      <c r="ATK6" s="484"/>
      <c r="ATL6" s="484"/>
      <c r="ATM6" s="484"/>
      <c r="ATN6" s="484"/>
      <c r="ATO6" s="484"/>
      <c r="ATP6" s="484"/>
      <c r="ATQ6" s="484"/>
      <c r="ATR6" s="484"/>
      <c r="ATS6" s="484"/>
      <c r="ATT6" s="484"/>
      <c r="ATU6" s="484"/>
      <c r="ATV6" s="484"/>
      <c r="ATW6" s="484"/>
      <c r="ATX6" s="484"/>
      <c r="ATY6" s="484"/>
      <c r="ATZ6" s="484"/>
      <c r="AUA6" s="484"/>
      <c r="AUB6" s="484"/>
      <c r="AUC6" s="484"/>
      <c r="AUD6" s="484"/>
      <c r="AUE6" s="484"/>
      <c r="AUF6" s="484"/>
      <c r="AUG6" s="484"/>
      <c r="AUH6" s="484"/>
      <c r="AUI6" s="484"/>
      <c r="AUJ6" s="484"/>
      <c r="AUK6" s="484"/>
      <c r="AUL6" s="484"/>
      <c r="AUM6" s="484"/>
      <c r="AUN6" s="484"/>
      <c r="AUO6" s="484"/>
      <c r="AUP6" s="484"/>
      <c r="AUQ6" s="484"/>
      <c r="AUR6" s="484"/>
      <c r="AUS6" s="484"/>
      <c r="AUT6" s="484"/>
      <c r="AUU6" s="484"/>
      <c r="AUV6" s="484"/>
      <c r="AUW6" s="484"/>
      <c r="AUX6" s="484"/>
      <c r="AUY6" s="484"/>
      <c r="AUZ6" s="484"/>
      <c r="AVA6" s="484"/>
      <c r="AVB6" s="484"/>
      <c r="AVC6" s="484"/>
      <c r="AVD6" s="484"/>
      <c r="AVE6" s="484"/>
      <c r="AVF6" s="484"/>
      <c r="AVG6" s="484"/>
      <c r="AVH6" s="484"/>
      <c r="AVI6" s="484"/>
      <c r="AVJ6" s="484"/>
      <c r="AVK6" s="484"/>
      <c r="AVL6" s="484"/>
      <c r="AVM6" s="484"/>
      <c r="AVN6" s="484"/>
      <c r="AVO6" s="484"/>
      <c r="AVP6" s="484"/>
      <c r="AVQ6" s="484"/>
      <c r="AVR6" s="484"/>
      <c r="AVS6" s="484"/>
      <c r="AVT6" s="484"/>
      <c r="AVU6" s="484"/>
      <c r="AVV6" s="484"/>
      <c r="AVW6" s="484"/>
      <c r="AVX6" s="484"/>
      <c r="AVY6" s="484"/>
      <c r="AVZ6" s="484"/>
      <c r="AWA6" s="484"/>
      <c r="AWB6" s="484"/>
      <c r="AWC6" s="484"/>
      <c r="AWD6" s="484"/>
      <c r="AWE6" s="484"/>
      <c r="AWF6" s="484"/>
      <c r="AWG6" s="484"/>
      <c r="AWH6" s="484"/>
      <c r="AWI6" s="484"/>
      <c r="AWJ6" s="484"/>
      <c r="AWK6" s="484"/>
      <c r="AWL6" s="484"/>
      <c r="AWM6" s="484"/>
      <c r="AWN6" s="484"/>
      <c r="AWO6" s="484"/>
      <c r="AWP6" s="484"/>
      <c r="AWQ6" s="484"/>
      <c r="AWR6" s="484"/>
      <c r="AWS6" s="484"/>
      <c r="AWT6" s="484"/>
      <c r="AWU6" s="484"/>
      <c r="AWV6" s="484"/>
      <c r="AWW6" s="484"/>
      <c r="AWX6" s="484"/>
      <c r="AWY6" s="484"/>
      <c r="AWZ6" s="484"/>
      <c r="AXA6" s="484"/>
      <c r="AXB6" s="484"/>
      <c r="AXC6" s="484"/>
      <c r="AXD6" s="484"/>
      <c r="AXE6" s="484"/>
      <c r="AXF6" s="484"/>
      <c r="AXG6" s="484"/>
      <c r="AXH6" s="484"/>
      <c r="AXI6" s="484"/>
      <c r="AXJ6" s="484"/>
      <c r="AXK6" s="484"/>
      <c r="AXL6" s="484"/>
      <c r="AXM6" s="484"/>
      <c r="AXN6" s="484"/>
      <c r="AXO6" s="484"/>
      <c r="AXP6" s="484"/>
      <c r="AXQ6" s="484"/>
      <c r="AXR6" s="484"/>
      <c r="AXS6" s="484"/>
      <c r="AXT6" s="484"/>
      <c r="AXU6" s="484"/>
      <c r="AXV6" s="484"/>
      <c r="AXW6" s="484"/>
      <c r="AXX6" s="484"/>
      <c r="AXY6" s="484"/>
      <c r="AXZ6" s="484"/>
      <c r="AYA6" s="484"/>
      <c r="AYB6" s="484"/>
      <c r="AYC6" s="484"/>
      <c r="AYD6" s="484"/>
      <c r="AYE6" s="484"/>
      <c r="AYF6" s="484"/>
      <c r="AYG6" s="484"/>
      <c r="AYH6" s="484"/>
      <c r="AYI6" s="484"/>
      <c r="AYJ6" s="484"/>
      <c r="AYK6" s="484"/>
      <c r="AYL6" s="484"/>
      <c r="AYM6" s="484"/>
      <c r="AYN6" s="484"/>
      <c r="AYO6" s="484"/>
      <c r="AYP6" s="484"/>
      <c r="AYQ6" s="484"/>
      <c r="AYR6" s="484"/>
      <c r="AYS6" s="484"/>
      <c r="AYT6" s="484"/>
      <c r="AYU6" s="484"/>
      <c r="AYV6" s="484"/>
      <c r="AYW6" s="484"/>
      <c r="AYX6" s="484"/>
      <c r="AYY6" s="484"/>
      <c r="AYZ6" s="484"/>
      <c r="AZA6" s="484"/>
      <c r="AZB6" s="484"/>
      <c r="AZC6" s="484"/>
      <c r="AZD6" s="484"/>
      <c r="AZE6" s="484"/>
      <c r="AZF6" s="484"/>
      <c r="AZG6" s="484"/>
      <c r="AZH6" s="484"/>
      <c r="AZI6" s="484"/>
      <c r="AZJ6" s="484"/>
      <c r="AZK6" s="484"/>
      <c r="AZL6" s="484"/>
      <c r="AZM6" s="484"/>
      <c r="AZN6" s="484"/>
      <c r="AZO6" s="484"/>
      <c r="AZP6" s="484"/>
      <c r="AZQ6" s="484"/>
      <c r="AZR6" s="484"/>
      <c r="AZS6" s="484"/>
      <c r="AZT6" s="484"/>
      <c r="AZU6" s="484"/>
      <c r="AZV6" s="484"/>
      <c r="AZW6" s="484"/>
      <c r="AZX6" s="484"/>
      <c r="AZY6" s="484"/>
      <c r="AZZ6" s="484"/>
      <c r="BAA6" s="484"/>
      <c r="BAB6" s="484"/>
      <c r="BAC6" s="484"/>
      <c r="BAD6" s="484"/>
      <c r="BAE6" s="484"/>
      <c r="BAF6" s="484"/>
      <c r="BAG6" s="484"/>
      <c r="BAH6" s="484"/>
      <c r="BAI6" s="484"/>
      <c r="BAJ6" s="484"/>
      <c r="BAK6" s="484"/>
      <c r="BAL6" s="484"/>
      <c r="BAM6" s="484"/>
      <c r="BAN6" s="484"/>
      <c r="BAO6" s="484"/>
      <c r="BAP6" s="484"/>
      <c r="BAQ6" s="484"/>
      <c r="BAR6" s="484"/>
      <c r="BAS6" s="484"/>
      <c r="BAT6" s="484"/>
      <c r="BAU6" s="484"/>
      <c r="BAV6" s="484"/>
      <c r="BAW6" s="484"/>
      <c r="BAX6" s="484"/>
      <c r="BAY6" s="484"/>
      <c r="BAZ6" s="484"/>
      <c r="BBA6" s="484"/>
      <c r="BBB6" s="484"/>
      <c r="BBC6" s="484"/>
      <c r="BBD6" s="484"/>
      <c r="BBE6" s="484"/>
      <c r="BBF6" s="484"/>
      <c r="BBG6" s="484"/>
      <c r="BBH6" s="484"/>
      <c r="BBI6" s="484"/>
      <c r="BBJ6" s="484"/>
      <c r="BBK6" s="484"/>
      <c r="BBL6" s="484"/>
      <c r="BBM6" s="484"/>
      <c r="BBN6" s="484"/>
      <c r="BBO6" s="484"/>
      <c r="BBP6" s="484"/>
      <c r="BBQ6" s="484"/>
      <c r="BBR6" s="484"/>
      <c r="BBS6" s="484"/>
      <c r="BBT6" s="484"/>
      <c r="BBU6" s="484"/>
      <c r="BBV6" s="484"/>
      <c r="BBW6" s="484"/>
      <c r="BBX6" s="484"/>
      <c r="BBY6" s="484"/>
      <c r="BBZ6" s="484"/>
      <c r="BCA6" s="484"/>
      <c r="BCB6" s="484"/>
      <c r="BCC6" s="484"/>
      <c r="BCD6" s="484"/>
      <c r="BCE6" s="484"/>
      <c r="BCF6" s="484"/>
      <c r="BCG6" s="484"/>
      <c r="BCH6" s="484"/>
      <c r="BCI6" s="484"/>
      <c r="BCJ6" s="484"/>
      <c r="BCK6" s="484"/>
      <c r="BCL6" s="484"/>
      <c r="BCM6" s="484"/>
      <c r="BCN6" s="484"/>
      <c r="BCO6" s="484"/>
      <c r="BCP6" s="484"/>
      <c r="BCQ6" s="484"/>
      <c r="BCR6" s="484"/>
      <c r="BCS6" s="484"/>
      <c r="BCT6" s="484"/>
      <c r="BCU6" s="484"/>
      <c r="BCV6" s="484"/>
      <c r="BCW6" s="484"/>
      <c r="BCX6" s="484"/>
      <c r="BCY6" s="484"/>
      <c r="BCZ6" s="484"/>
      <c r="BDA6" s="484"/>
      <c r="BDB6" s="484"/>
      <c r="BDC6" s="484"/>
      <c r="BDD6" s="484"/>
      <c r="BDE6" s="484"/>
      <c r="BDF6" s="484"/>
      <c r="BDG6" s="484"/>
      <c r="BDH6" s="484"/>
      <c r="BDI6" s="484"/>
      <c r="BDJ6" s="484"/>
      <c r="BDK6" s="484"/>
      <c r="BDL6" s="484"/>
      <c r="BDM6" s="484"/>
      <c r="BDN6" s="484"/>
      <c r="BDO6" s="484"/>
      <c r="BDP6" s="484"/>
      <c r="BDQ6" s="484"/>
      <c r="BDR6" s="484"/>
      <c r="BDS6" s="484"/>
      <c r="BDT6" s="484"/>
      <c r="BDU6" s="484"/>
      <c r="BDV6" s="484"/>
      <c r="BDW6" s="484"/>
      <c r="BDX6" s="484"/>
      <c r="BDY6" s="484"/>
      <c r="BDZ6" s="484"/>
      <c r="BEA6" s="484"/>
      <c r="BEB6" s="484"/>
      <c r="BEC6" s="484"/>
      <c r="BED6" s="484"/>
      <c r="BEE6" s="484"/>
      <c r="BEF6" s="484"/>
      <c r="BEG6" s="484"/>
      <c r="BEH6" s="484"/>
      <c r="BEI6" s="484"/>
      <c r="BEJ6" s="484"/>
      <c r="BEK6" s="484"/>
      <c r="BEL6" s="484"/>
      <c r="BEM6" s="484"/>
      <c r="BEN6" s="484"/>
      <c r="BEO6" s="484"/>
      <c r="BEP6" s="484"/>
      <c r="BEQ6" s="484"/>
      <c r="BER6" s="484"/>
      <c r="BES6" s="484"/>
      <c r="BET6" s="484"/>
      <c r="BEU6" s="484"/>
      <c r="BEV6" s="484"/>
      <c r="BEW6" s="484"/>
      <c r="BEX6" s="484"/>
      <c r="BEY6" s="484"/>
      <c r="BEZ6" s="484"/>
      <c r="BFA6" s="484"/>
      <c r="BFB6" s="484"/>
      <c r="BFC6" s="484"/>
      <c r="BFD6" s="484"/>
      <c r="BFE6" s="484"/>
      <c r="BFF6" s="484"/>
      <c r="BFG6" s="484"/>
      <c r="BFH6" s="484"/>
      <c r="BFI6" s="484"/>
      <c r="BFJ6" s="484"/>
      <c r="BFK6" s="484"/>
      <c r="BFL6" s="484"/>
      <c r="BFM6" s="484"/>
      <c r="BFN6" s="484"/>
      <c r="BFO6" s="484"/>
      <c r="BFP6" s="484"/>
      <c r="BFQ6" s="484"/>
      <c r="BFR6" s="484"/>
      <c r="BFS6" s="484"/>
      <c r="BFT6" s="484"/>
      <c r="BFU6" s="484"/>
      <c r="BFV6" s="484"/>
      <c r="BFW6" s="484"/>
      <c r="BFX6" s="484"/>
      <c r="BFY6" s="484"/>
      <c r="BFZ6" s="484"/>
      <c r="BGA6" s="484"/>
      <c r="BGB6" s="484"/>
      <c r="BGC6" s="484"/>
      <c r="BGD6" s="484"/>
      <c r="BGE6" s="484"/>
      <c r="BGF6" s="484"/>
      <c r="BGG6" s="484"/>
      <c r="BGH6" s="484"/>
      <c r="BGI6" s="484"/>
      <c r="BGJ6" s="484"/>
      <c r="BGK6" s="484"/>
      <c r="BGL6" s="484"/>
      <c r="BGM6" s="484"/>
      <c r="BGN6" s="484"/>
      <c r="BGO6" s="484"/>
      <c r="BGP6" s="484"/>
      <c r="BGQ6" s="484"/>
      <c r="BGR6" s="484"/>
      <c r="BGS6" s="484"/>
      <c r="BGT6" s="484"/>
      <c r="BGU6" s="484"/>
      <c r="BGV6" s="484"/>
      <c r="BGW6" s="484"/>
      <c r="BGX6" s="484"/>
      <c r="BGY6" s="484"/>
      <c r="BGZ6" s="484"/>
      <c r="BHA6" s="484"/>
      <c r="BHB6" s="484"/>
      <c r="BHC6" s="484"/>
      <c r="BHD6" s="484"/>
      <c r="BHE6" s="484"/>
      <c r="BHF6" s="484"/>
      <c r="BHG6" s="484"/>
      <c r="BHH6" s="484"/>
      <c r="BHI6" s="484"/>
      <c r="BHJ6" s="484"/>
      <c r="BHK6" s="484"/>
      <c r="BHL6" s="484"/>
      <c r="BHM6" s="484"/>
      <c r="BHN6" s="484"/>
      <c r="BHO6" s="484"/>
      <c r="BHP6" s="484"/>
      <c r="BHQ6" s="484"/>
      <c r="BHR6" s="484"/>
      <c r="BHS6" s="484"/>
      <c r="BHT6" s="484"/>
      <c r="BHU6" s="484"/>
      <c r="BHV6" s="484"/>
      <c r="BHW6" s="484"/>
      <c r="BHX6" s="484"/>
      <c r="BHY6" s="484"/>
      <c r="BHZ6" s="484"/>
      <c r="BIA6" s="484"/>
      <c r="BIB6" s="484"/>
      <c r="BIC6" s="484"/>
      <c r="BID6" s="484"/>
      <c r="BIE6" s="484"/>
      <c r="BIF6" s="484"/>
      <c r="BIG6" s="484"/>
      <c r="BIH6" s="484"/>
      <c r="BII6" s="484"/>
      <c r="BIJ6" s="484"/>
      <c r="BIK6" s="484"/>
      <c r="BIL6" s="484"/>
      <c r="BIM6" s="484"/>
      <c r="BIN6" s="484"/>
      <c r="BIO6" s="484"/>
      <c r="BIP6" s="484"/>
      <c r="BIQ6" s="484"/>
      <c r="BIR6" s="484"/>
      <c r="BIS6" s="484"/>
      <c r="BIT6" s="484"/>
      <c r="BIU6" s="484"/>
      <c r="BIV6" s="484"/>
      <c r="BIW6" s="484"/>
      <c r="BIX6" s="484"/>
      <c r="BIY6" s="484"/>
      <c r="BIZ6" s="484"/>
      <c r="BJA6" s="484"/>
      <c r="BJB6" s="484"/>
      <c r="BJC6" s="484"/>
      <c r="BJD6" s="484"/>
      <c r="BJE6" s="484"/>
      <c r="BJF6" s="484"/>
      <c r="BJG6" s="484"/>
      <c r="BJH6" s="484"/>
      <c r="BJI6" s="484"/>
      <c r="BJJ6" s="484"/>
      <c r="BJK6" s="484"/>
      <c r="BJL6" s="484"/>
      <c r="BJM6" s="484"/>
      <c r="BJN6" s="484"/>
      <c r="BJO6" s="484"/>
      <c r="BJP6" s="484"/>
      <c r="BJQ6" s="484"/>
      <c r="BJR6" s="484"/>
      <c r="BJS6" s="484"/>
      <c r="BJT6" s="484"/>
      <c r="BJU6" s="484"/>
      <c r="BJV6" s="484"/>
      <c r="BJW6" s="484"/>
      <c r="BJX6" s="484"/>
      <c r="BJY6" s="484"/>
      <c r="BJZ6" s="484"/>
      <c r="BKA6" s="484"/>
      <c r="BKB6" s="484"/>
      <c r="BKC6" s="484"/>
      <c r="BKD6" s="484"/>
      <c r="BKE6" s="484"/>
      <c r="BKF6" s="484"/>
      <c r="BKG6" s="484"/>
      <c r="BKH6" s="484"/>
      <c r="BKI6" s="484"/>
      <c r="BKJ6" s="484"/>
      <c r="BKK6" s="484"/>
      <c r="BKL6" s="484"/>
      <c r="BKM6" s="484"/>
      <c r="BKN6" s="484"/>
      <c r="BKO6" s="484"/>
      <c r="BKP6" s="484"/>
      <c r="BKQ6" s="484"/>
      <c r="BKR6" s="484"/>
      <c r="BKS6" s="484"/>
      <c r="BKT6" s="484"/>
      <c r="BKU6" s="484"/>
      <c r="BKV6" s="484"/>
      <c r="BKW6" s="484"/>
      <c r="BKX6" s="484"/>
      <c r="BKY6" s="484"/>
      <c r="BKZ6" s="484"/>
      <c r="BLA6" s="484"/>
      <c r="BLB6" s="484"/>
      <c r="BLC6" s="484"/>
      <c r="BLD6" s="484"/>
      <c r="BLE6" s="484"/>
      <c r="BLF6" s="484"/>
      <c r="BLG6" s="484"/>
      <c r="BLH6" s="484"/>
      <c r="BLI6" s="484"/>
      <c r="BLJ6" s="484"/>
      <c r="BLK6" s="484"/>
      <c r="BLL6" s="484"/>
      <c r="BLM6" s="484"/>
      <c r="BLN6" s="484"/>
      <c r="BLO6" s="484"/>
      <c r="BLP6" s="484"/>
      <c r="BLQ6" s="484"/>
      <c r="BLR6" s="484"/>
      <c r="BLS6" s="484"/>
      <c r="BLT6" s="484"/>
      <c r="BLU6" s="484"/>
      <c r="BLV6" s="484"/>
      <c r="BLW6" s="484"/>
      <c r="BLX6" s="484"/>
      <c r="BLY6" s="484"/>
      <c r="BLZ6" s="484"/>
      <c r="BMA6" s="484"/>
      <c r="BMB6" s="484"/>
      <c r="BMC6" s="484"/>
      <c r="BMD6" s="484"/>
      <c r="BME6" s="484"/>
      <c r="BMF6" s="484"/>
      <c r="BMG6" s="484"/>
      <c r="BMH6" s="484"/>
      <c r="BMI6" s="484"/>
      <c r="BMJ6" s="484"/>
      <c r="BMK6" s="484"/>
      <c r="BML6" s="484"/>
      <c r="BMM6" s="484"/>
      <c r="BMN6" s="484"/>
      <c r="BMO6" s="484"/>
      <c r="BMP6" s="484"/>
      <c r="BMQ6" s="484"/>
      <c r="BMR6" s="484"/>
      <c r="BMS6" s="484"/>
      <c r="BMT6" s="484"/>
      <c r="BMU6" s="484"/>
      <c r="BMV6" s="484"/>
      <c r="BMW6" s="484"/>
      <c r="BMX6" s="484"/>
      <c r="BMY6" s="484"/>
      <c r="BMZ6" s="484"/>
      <c r="BNA6" s="484"/>
      <c r="BNB6" s="484"/>
      <c r="BNC6" s="484"/>
      <c r="BND6" s="484"/>
      <c r="BNE6" s="484"/>
      <c r="BNF6" s="484"/>
      <c r="BNG6" s="484"/>
      <c r="BNH6" s="484"/>
      <c r="BNI6" s="484"/>
      <c r="BNJ6" s="484"/>
      <c r="BNK6" s="484"/>
      <c r="BNL6" s="484"/>
      <c r="BNM6" s="484"/>
      <c r="BNN6" s="484"/>
      <c r="BNO6" s="484"/>
      <c r="BNP6" s="484"/>
      <c r="BNQ6" s="484"/>
      <c r="BNR6" s="484"/>
      <c r="BNS6" s="484"/>
      <c r="BNT6" s="484"/>
      <c r="BNU6" s="484"/>
      <c r="BNV6" s="484"/>
      <c r="BNW6" s="484"/>
      <c r="BNX6" s="484"/>
      <c r="BNY6" s="484"/>
      <c r="BNZ6" s="484"/>
      <c r="BOA6" s="484"/>
      <c r="BOB6" s="484"/>
      <c r="BOC6" s="484"/>
      <c r="BOD6" s="484"/>
      <c r="BOE6" s="484"/>
      <c r="BOF6" s="484"/>
      <c r="BOG6" s="484"/>
      <c r="BOH6" s="484"/>
      <c r="BOI6" s="484"/>
      <c r="BOJ6" s="484"/>
      <c r="BOK6" s="484"/>
      <c r="BOL6" s="484"/>
      <c r="BOM6" s="484"/>
      <c r="BON6" s="484"/>
      <c r="BOO6" s="484"/>
      <c r="BOP6" s="484"/>
      <c r="BOQ6" s="484"/>
      <c r="BOR6" s="484"/>
      <c r="BOS6" s="484"/>
      <c r="BOT6" s="484"/>
      <c r="BOU6" s="484"/>
      <c r="BOV6" s="484"/>
      <c r="BOW6" s="484"/>
      <c r="BOX6" s="484"/>
      <c r="BOY6" s="484"/>
      <c r="BOZ6" s="484"/>
      <c r="BPA6" s="484"/>
      <c r="BPB6" s="484"/>
      <c r="BPC6" s="484"/>
      <c r="BPD6" s="484"/>
      <c r="BPE6" s="484"/>
      <c r="BPF6" s="484"/>
      <c r="BPG6" s="484"/>
      <c r="BPH6" s="484"/>
      <c r="BPI6" s="484"/>
      <c r="BPJ6" s="484"/>
      <c r="BPK6" s="484"/>
      <c r="BPL6" s="484"/>
      <c r="BPM6" s="484"/>
      <c r="BPN6" s="484"/>
      <c r="BPO6" s="484"/>
      <c r="BPP6" s="484"/>
      <c r="BPQ6" s="484"/>
      <c r="BPR6" s="484"/>
      <c r="BPS6" s="484"/>
      <c r="BPT6" s="484"/>
      <c r="BPU6" s="484"/>
      <c r="BPV6" s="484"/>
      <c r="BPW6" s="484"/>
      <c r="BPX6" s="484"/>
      <c r="BPY6" s="484"/>
      <c r="BPZ6" s="484"/>
      <c r="BQA6" s="484"/>
      <c r="BQB6" s="484"/>
      <c r="BQC6" s="484"/>
      <c r="BQD6" s="484"/>
      <c r="BQE6" s="484"/>
      <c r="BQF6" s="484"/>
      <c r="BQG6" s="484"/>
      <c r="BQH6" s="484"/>
      <c r="BQI6" s="484"/>
      <c r="BQJ6" s="484"/>
      <c r="BQK6" s="484"/>
      <c r="BQL6" s="484"/>
      <c r="BQM6" s="484"/>
      <c r="BQN6" s="484"/>
      <c r="BQO6" s="484"/>
      <c r="BQP6" s="484"/>
      <c r="BQQ6" s="484"/>
      <c r="BQR6" s="484"/>
      <c r="BQS6" s="484"/>
      <c r="BQT6" s="484"/>
      <c r="BQU6" s="484"/>
      <c r="BQV6" s="484"/>
      <c r="BQW6" s="484"/>
      <c r="BQX6" s="484"/>
      <c r="BQY6" s="484"/>
      <c r="BQZ6" s="484"/>
      <c r="BRA6" s="484"/>
      <c r="BRB6" s="484"/>
      <c r="BRC6" s="484"/>
      <c r="BRD6" s="484"/>
      <c r="BRE6" s="484"/>
      <c r="BRF6" s="484"/>
      <c r="BRG6" s="484"/>
      <c r="BRH6" s="484"/>
      <c r="BRI6" s="484"/>
      <c r="BRJ6" s="484"/>
      <c r="BRK6" s="484"/>
      <c r="BRL6" s="484"/>
      <c r="BRM6" s="484"/>
      <c r="BRN6" s="484"/>
      <c r="BRO6" s="484"/>
      <c r="BRP6" s="484"/>
      <c r="BRQ6" s="484"/>
      <c r="BRR6" s="484"/>
      <c r="BRS6" s="484"/>
      <c r="BRT6" s="484"/>
      <c r="BRU6" s="484"/>
      <c r="BRV6" s="484"/>
      <c r="BRW6" s="484"/>
      <c r="BRX6" s="484"/>
      <c r="BRY6" s="484"/>
      <c r="BRZ6" s="484"/>
      <c r="BSA6" s="484"/>
      <c r="BSB6" s="484"/>
      <c r="BSC6" s="484"/>
      <c r="BSD6" s="484"/>
      <c r="BSE6" s="484"/>
      <c r="BSF6" s="484"/>
      <c r="BSG6" s="484"/>
      <c r="BSH6" s="484"/>
      <c r="BSI6" s="484"/>
      <c r="BSJ6" s="484"/>
      <c r="BSK6" s="484"/>
      <c r="BSL6" s="484"/>
      <c r="BSM6" s="484"/>
      <c r="BSN6" s="484"/>
      <c r="BSO6" s="484"/>
      <c r="BSP6" s="484"/>
      <c r="BSQ6" s="484"/>
      <c r="BSR6" s="484"/>
      <c r="BSS6" s="484"/>
      <c r="BST6" s="484"/>
      <c r="BSU6" s="484"/>
      <c r="BSV6" s="484"/>
      <c r="BSW6" s="484"/>
      <c r="BSX6" s="484"/>
      <c r="BSY6" s="484"/>
      <c r="BSZ6" s="484"/>
      <c r="BTA6" s="484"/>
      <c r="BTB6" s="484"/>
      <c r="BTC6" s="484"/>
      <c r="BTD6" s="484"/>
      <c r="BTE6" s="484"/>
      <c r="BTF6" s="484"/>
      <c r="BTG6" s="484"/>
      <c r="BTH6" s="484"/>
      <c r="BTI6" s="484"/>
      <c r="BTJ6" s="484"/>
      <c r="BTK6" s="484"/>
      <c r="BTL6" s="484"/>
      <c r="BTM6" s="484"/>
      <c r="BTN6" s="484"/>
      <c r="BTO6" s="484"/>
      <c r="BTP6" s="484"/>
      <c r="BTQ6" s="484"/>
      <c r="BTR6" s="484"/>
      <c r="BTS6" s="484"/>
      <c r="BTT6" s="484"/>
      <c r="BTU6" s="484"/>
      <c r="BTV6" s="484"/>
      <c r="BTW6" s="484"/>
      <c r="BTX6" s="484"/>
      <c r="BTY6" s="484"/>
      <c r="BTZ6" s="484"/>
      <c r="BUA6" s="484"/>
      <c r="BUB6" s="484"/>
      <c r="BUC6" s="484"/>
      <c r="BUD6" s="484"/>
      <c r="BUE6" s="484"/>
      <c r="BUF6" s="484"/>
      <c r="BUG6" s="484"/>
      <c r="BUH6" s="484"/>
      <c r="BUI6" s="484"/>
      <c r="BUJ6" s="484"/>
      <c r="BUK6" s="484"/>
      <c r="BUL6" s="484"/>
      <c r="BUM6" s="484"/>
      <c r="BUN6" s="484"/>
      <c r="BUO6" s="484"/>
      <c r="BUP6" s="484"/>
      <c r="BUQ6" s="484"/>
      <c r="BUR6" s="484"/>
      <c r="BUS6" s="484"/>
      <c r="BUT6" s="484"/>
      <c r="BUU6" s="484"/>
      <c r="BUV6" s="484"/>
      <c r="BUW6" s="484"/>
      <c r="BUX6" s="484"/>
      <c r="BUY6" s="484"/>
      <c r="BUZ6" s="484"/>
      <c r="BVA6" s="484"/>
      <c r="BVB6" s="484"/>
      <c r="BVC6" s="484"/>
      <c r="BVD6" s="484"/>
      <c r="BVE6" s="484"/>
      <c r="BVF6" s="484"/>
      <c r="BVG6" s="484"/>
      <c r="BVH6" s="484"/>
      <c r="BVI6" s="484"/>
      <c r="BVJ6" s="484"/>
      <c r="BVK6" s="484"/>
      <c r="BVL6" s="484"/>
      <c r="BVM6" s="484"/>
      <c r="BVN6" s="484"/>
      <c r="BVO6" s="484"/>
      <c r="BVP6" s="484"/>
      <c r="BVQ6" s="484"/>
      <c r="BVR6" s="484"/>
      <c r="BVS6" s="484"/>
      <c r="BVT6" s="484"/>
      <c r="BVU6" s="484"/>
      <c r="BVV6" s="484"/>
      <c r="BVW6" s="484"/>
      <c r="BVX6" s="484"/>
      <c r="BVY6" s="484"/>
      <c r="BVZ6" s="484"/>
      <c r="BWA6" s="484"/>
      <c r="BWB6" s="484"/>
      <c r="BWC6" s="484"/>
      <c r="BWD6" s="484"/>
      <c r="BWE6" s="484"/>
      <c r="BWF6" s="484"/>
      <c r="BWG6" s="484"/>
      <c r="BWH6" s="484"/>
      <c r="BWI6" s="484"/>
      <c r="BWJ6" s="484"/>
      <c r="BWK6" s="484"/>
      <c r="BWL6" s="484"/>
      <c r="BWM6" s="484"/>
      <c r="BWN6" s="484"/>
      <c r="BWO6" s="484"/>
      <c r="BWP6" s="484"/>
      <c r="BWQ6" s="484"/>
      <c r="BWR6" s="484"/>
      <c r="BWS6" s="484"/>
      <c r="BWT6" s="484"/>
      <c r="BWU6" s="484"/>
      <c r="BWV6" s="484"/>
      <c r="BWW6" s="484"/>
      <c r="BWX6" s="484"/>
      <c r="BWY6" s="484"/>
      <c r="BWZ6" s="484"/>
      <c r="BXA6" s="484"/>
      <c r="BXB6" s="484"/>
      <c r="BXC6" s="484"/>
      <c r="BXD6" s="484"/>
      <c r="BXE6" s="484"/>
      <c r="BXF6" s="484"/>
      <c r="BXG6" s="484"/>
      <c r="BXH6" s="484"/>
      <c r="BXI6" s="484"/>
      <c r="BXJ6" s="484"/>
      <c r="BXK6" s="484"/>
      <c r="BXL6" s="484"/>
      <c r="BXM6" s="484"/>
      <c r="BXN6" s="484"/>
      <c r="BXO6" s="484"/>
      <c r="BXP6" s="484"/>
      <c r="BXQ6" s="484"/>
      <c r="BXR6" s="484"/>
      <c r="BXS6" s="484"/>
      <c r="BXT6" s="484"/>
      <c r="BXU6" s="484"/>
      <c r="BXV6" s="484"/>
      <c r="BXW6" s="484"/>
      <c r="BXX6" s="484"/>
      <c r="BXY6" s="484"/>
      <c r="BXZ6" s="484"/>
      <c r="BYA6" s="484"/>
      <c r="BYB6" s="484"/>
      <c r="BYC6" s="484"/>
      <c r="BYD6" s="484"/>
      <c r="BYE6" s="484"/>
      <c r="BYF6" s="484"/>
      <c r="BYG6" s="484"/>
      <c r="BYH6" s="484"/>
      <c r="BYI6" s="484"/>
      <c r="BYJ6" s="484"/>
      <c r="BYK6" s="484"/>
      <c r="BYL6" s="484"/>
      <c r="BYM6" s="484"/>
      <c r="BYN6" s="484"/>
      <c r="BYO6" s="484"/>
      <c r="BYP6" s="484"/>
      <c r="BYQ6" s="484"/>
      <c r="BYR6" s="484"/>
      <c r="BYS6" s="484"/>
      <c r="BYT6" s="484"/>
      <c r="BYU6" s="484"/>
      <c r="BYV6" s="484"/>
      <c r="BYW6" s="484"/>
      <c r="BYX6" s="484"/>
      <c r="BYY6" s="484"/>
      <c r="BYZ6" s="484"/>
      <c r="BZA6" s="484"/>
      <c r="BZB6" s="484"/>
      <c r="BZC6" s="484"/>
      <c r="BZD6" s="484"/>
      <c r="BZE6" s="484"/>
      <c r="BZF6" s="484"/>
      <c r="BZG6" s="484"/>
      <c r="BZH6" s="484"/>
      <c r="BZI6" s="484"/>
      <c r="BZJ6" s="484"/>
      <c r="BZK6" s="484"/>
      <c r="BZL6" s="484"/>
      <c r="BZM6" s="484"/>
      <c r="BZN6" s="484"/>
      <c r="BZO6" s="484"/>
      <c r="BZP6" s="484"/>
      <c r="BZQ6" s="484"/>
      <c r="BZR6" s="484"/>
      <c r="BZS6" s="484"/>
      <c r="BZT6" s="484"/>
      <c r="BZU6" s="484"/>
      <c r="BZV6" s="484"/>
      <c r="BZW6" s="484"/>
      <c r="BZX6" s="484"/>
      <c r="BZY6" s="484"/>
      <c r="BZZ6" s="484"/>
      <c r="CAA6" s="484"/>
      <c r="CAB6" s="484"/>
      <c r="CAC6" s="484"/>
      <c r="CAD6" s="484"/>
      <c r="CAE6" s="484"/>
      <c r="CAF6" s="484"/>
      <c r="CAG6" s="484"/>
      <c r="CAH6" s="484"/>
      <c r="CAI6" s="484"/>
      <c r="CAJ6" s="484"/>
      <c r="CAK6" s="484"/>
      <c r="CAL6" s="484"/>
      <c r="CAM6" s="484"/>
      <c r="CAN6" s="484"/>
      <c r="CAO6" s="484"/>
      <c r="CAP6" s="484"/>
      <c r="CAQ6" s="484"/>
      <c r="CAR6" s="484"/>
      <c r="CAS6" s="484"/>
      <c r="CAT6" s="484"/>
      <c r="CAU6" s="484"/>
      <c r="CAV6" s="484"/>
      <c r="CAW6" s="484"/>
      <c r="CAX6" s="484"/>
      <c r="CAY6" s="484"/>
      <c r="CAZ6" s="484"/>
      <c r="CBA6" s="484"/>
      <c r="CBB6" s="484"/>
      <c r="CBC6" s="484"/>
      <c r="CBD6" s="484"/>
      <c r="CBE6" s="484"/>
      <c r="CBF6" s="484"/>
      <c r="CBG6" s="484"/>
      <c r="CBH6" s="484"/>
      <c r="CBI6" s="484"/>
      <c r="CBJ6" s="484"/>
      <c r="CBK6" s="484"/>
      <c r="CBL6" s="484"/>
      <c r="CBM6" s="484"/>
      <c r="CBN6" s="484"/>
      <c r="CBO6" s="484"/>
      <c r="CBP6" s="484"/>
      <c r="CBQ6" s="484"/>
      <c r="CBR6" s="484"/>
      <c r="CBS6" s="484"/>
      <c r="CBT6" s="484"/>
      <c r="CBU6" s="484"/>
      <c r="CBV6" s="484"/>
      <c r="CBW6" s="484"/>
      <c r="CBX6" s="484"/>
      <c r="CBY6" s="484"/>
      <c r="CBZ6" s="484"/>
      <c r="CCA6" s="484"/>
      <c r="CCB6" s="484"/>
      <c r="CCC6" s="484"/>
      <c r="CCD6" s="484"/>
      <c r="CCE6" s="484"/>
      <c r="CCF6" s="484"/>
      <c r="CCG6" s="484"/>
      <c r="CCH6" s="484"/>
      <c r="CCI6" s="484"/>
      <c r="CCJ6" s="484"/>
      <c r="CCK6" s="484"/>
      <c r="CCL6" s="484"/>
      <c r="CCM6" s="484"/>
      <c r="CCN6" s="484"/>
      <c r="CCO6" s="484"/>
      <c r="CCP6" s="484"/>
      <c r="CCQ6" s="484"/>
      <c r="CCR6" s="484"/>
      <c r="CCS6" s="484"/>
      <c r="CCT6" s="484"/>
      <c r="CCU6" s="484"/>
      <c r="CCV6" s="484"/>
      <c r="CCW6" s="484"/>
      <c r="CCX6" s="484"/>
      <c r="CCY6" s="484"/>
      <c r="CCZ6" s="484"/>
      <c r="CDA6" s="484"/>
      <c r="CDB6" s="484"/>
      <c r="CDC6" s="484"/>
      <c r="CDD6" s="484"/>
      <c r="CDE6" s="484"/>
      <c r="CDF6" s="484"/>
      <c r="CDG6" s="484"/>
      <c r="CDH6" s="484"/>
      <c r="CDI6" s="484"/>
      <c r="CDJ6" s="484"/>
      <c r="CDK6" s="484"/>
      <c r="CDL6" s="484"/>
      <c r="CDM6" s="484"/>
      <c r="CDN6" s="484"/>
      <c r="CDO6" s="484"/>
      <c r="CDP6" s="484"/>
      <c r="CDQ6" s="484"/>
      <c r="CDR6" s="484"/>
      <c r="CDS6" s="484"/>
      <c r="CDT6" s="484"/>
      <c r="CDU6" s="484"/>
      <c r="CDV6" s="484"/>
      <c r="CDW6" s="484"/>
      <c r="CDX6" s="484"/>
      <c r="CDY6" s="484"/>
      <c r="CDZ6" s="484"/>
      <c r="CEA6" s="484"/>
      <c r="CEB6" s="484"/>
      <c r="CEC6" s="484"/>
      <c r="CED6" s="484"/>
      <c r="CEE6" s="484"/>
      <c r="CEF6" s="484"/>
      <c r="CEG6" s="484"/>
      <c r="CEH6" s="484"/>
      <c r="CEI6" s="484"/>
      <c r="CEJ6" s="484"/>
      <c r="CEK6" s="484"/>
      <c r="CEL6" s="484"/>
      <c r="CEM6" s="484"/>
      <c r="CEN6" s="484"/>
      <c r="CEO6" s="484"/>
      <c r="CEP6" s="484"/>
      <c r="CEQ6" s="484"/>
      <c r="CER6" s="484"/>
      <c r="CES6" s="484"/>
      <c r="CET6" s="484"/>
      <c r="CEU6" s="484"/>
      <c r="CEV6" s="484"/>
      <c r="CEW6" s="484"/>
      <c r="CEX6" s="484"/>
      <c r="CEY6" s="484"/>
      <c r="CEZ6" s="484"/>
      <c r="CFA6" s="484"/>
      <c r="CFB6" s="484"/>
      <c r="CFC6" s="484"/>
      <c r="CFD6" s="484"/>
      <c r="CFE6" s="484"/>
      <c r="CFF6" s="484"/>
      <c r="CFG6" s="484"/>
      <c r="CFH6" s="484"/>
      <c r="CFI6" s="484"/>
      <c r="CFJ6" s="484"/>
      <c r="CFK6" s="484"/>
      <c r="CFL6" s="484"/>
      <c r="CFM6" s="484"/>
      <c r="CFN6" s="484"/>
      <c r="CFO6" s="484"/>
      <c r="CFP6" s="484"/>
      <c r="CFQ6" s="484"/>
      <c r="CFR6" s="484"/>
      <c r="CFS6" s="484"/>
      <c r="CFT6" s="484"/>
      <c r="CFU6" s="484"/>
      <c r="CFV6" s="484"/>
      <c r="CFW6" s="484"/>
      <c r="CFX6" s="484"/>
      <c r="CFY6" s="484"/>
      <c r="CFZ6" s="484"/>
      <c r="CGA6" s="484"/>
      <c r="CGB6" s="484"/>
      <c r="CGC6" s="484"/>
      <c r="CGD6" s="484"/>
      <c r="CGE6" s="484"/>
      <c r="CGF6" s="484"/>
      <c r="CGG6" s="484"/>
      <c r="CGH6" s="484"/>
      <c r="CGI6" s="484"/>
      <c r="CGJ6" s="484"/>
      <c r="CGK6" s="484"/>
      <c r="CGL6" s="484"/>
      <c r="CGM6" s="484"/>
      <c r="CGN6" s="484"/>
      <c r="CGO6" s="484"/>
      <c r="CGP6" s="484"/>
      <c r="CGQ6" s="484"/>
      <c r="CGR6" s="484"/>
      <c r="CGS6" s="484"/>
      <c r="CGT6" s="484"/>
      <c r="CGU6" s="484"/>
      <c r="CGV6" s="484"/>
      <c r="CGW6" s="484"/>
      <c r="CGX6" s="484"/>
      <c r="CGY6" s="484"/>
      <c r="CGZ6" s="484"/>
      <c r="CHA6" s="484"/>
      <c r="CHB6" s="484"/>
      <c r="CHC6" s="484"/>
      <c r="CHD6" s="484"/>
      <c r="CHE6" s="484"/>
      <c r="CHF6" s="484"/>
      <c r="CHG6" s="484"/>
      <c r="CHH6" s="484"/>
      <c r="CHI6" s="484"/>
      <c r="CHJ6" s="484"/>
      <c r="CHK6" s="484"/>
      <c r="CHL6" s="484"/>
      <c r="CHM6" s="484"/>
      <c r="CHN6" s="484"/>
      <c r="CHO6" s="484"/>
      <c r="CHP6" s="484"/>
      <c r="CHQ6" s="484"/>
      <c r="CHR6" s="484"/>
      <c r="CHS6" s="484"/>
      <c r="CHT6" s="484"/>
      <c r="CHU6" s="484"/>
      <c r="CHV6" s="484"/>
      <c r="CHW6" s="484"/>
      <c r="CHX6" s="484"/>
      <c r="CHY6" s="484"/>
      <c r="CHZ6" s="484"/>
      <c r="CIA6" s="484"/>
      <c r="CIB6" s="484"/>
      <c r="CIC6" s="484"/>
      <c r="CID6" s="484"/>
      <c r="CIE6" s="484"/>
      <c r="CIF6" s="484"/>
      <c r="CIG6" s="484"/>
      <c r="CIH6" s="484"/>
      <c r="CII6" s="484"/>
      <c r="CIJ6" s="484"/>
      <c r="CIK6" s="484"/>
      <c r="CIL6" s="484"/>
      <c r="CIM6" s="484"/>
      <c r="CIN6" s="484"/>
      <c r="CIO6" s="484"/>
      <c r="CIP6" s="484"/>
      <c r="CIQ6" s="484"/>
      <c r="CIR6" s="484"/>
      <c r="CIS6" s="484"/>
      <c r="CIT6" s="484"/>
      <c r="CIU6" s="484"/>
      <c r="CIV6" s="484"/>
      <c r="CIW6" s="484"/>
      <c r="CIX6" s="484"/>
      <c r="CIY6" s="484"/>
      <c r="CIZ6" s="484"/>
      <c r="CJA6" s="484"/>
      <c r="CJB6" s="484"/>
      <c r="CJC6" s="484"/>
      <c r="CJD6" s="484"/>
      <c r="CJE6" s="484"/>
      <c r="CJF6" s="484"/>
      <c r="CJG6" s="484"/>
      <c r="CJH6" s="484"/>
      <c r="CJI6" s="484"/>
      <c r="CJJ6" s="484"/>
      <c r="CJK6" s="484"/>
      <c r="CJL6" s="484"/>
      <c r="CJM6" s="484"/>
      <c r="CJN6" s="484"/>
      <c r="CJO6" s="484"/>
      <c r="CJP6" s="484"/>
      <c r="CJQ6" s="484"/>
      <c r="CJR6" s="484"/>
      <c r="CJS6" s="484"/>
      <c r="CJT6" s="484"/>
      <c r="CJU6" s="484"/>
      <c r="CJV6" s="484"/>
      <c r="CJW6" s="484"/>
      <c r="CJX6" s="484"/>
      <c r="CJY6" s="484"/>
      <c r="CJZ6" s="484"/>
      <c r="CKA6" s="484"/>
      <c r="CKB6" s="484"/>
      <c r="CKC6" s="484"/>
      <c r="CKD6" s="484"/>
      <c r="CKE6" s="484"/>
      <c r="CKF6" s="484"/>
      <c r="CKG6" s="484"/>
      <c r="CKH6" s="484"/>
      <c r="CKI6" s="484"/>
      <c r="CKJ6" s="484"/>
      <c r="CKK6" s="484"/>
      <c r="CKL6" s="484"/>
      <c r="CKM6" s="484"/>
      <c r="CKN6" s="484"/>
      <c r="CKO6" s="484"/>
      <c r="CKP6" s="484"/>
      <c r="CKQ6" s="484"/>
      <c r="CKR6" s="484"/>
      <c r="CKS6" s="484"/>
      <c r="CKT6" s="484"/>
      <c r="CKU6" s="484"/>
      <c r="CKV6" s="484"/>
      <c r="CKW6" s="484"/>
      <c r="CKX6" s="484"/>
      <c r="CKY6" s="484"/>
      <c r="CKZ6" s="484"/>
      <c r="CLA6" s="484"/>
      <c r="CLB6" s="484"/>
      <c r="CLC6" s="484"/>
      <c r="CLD6" s="484"/>
      <c r="CLE6" s="484"/>
      <c r="CLF6" s="484"/>
      <c r="CLG6" s="484"/>
      <c r="CLH6" s="484"/>
      <c r="CLI6" s="484"/>
      <c r="CLJ6" s="484"/>
      <c r="CLK6" s="484"/>
      <c r="CLL6" s="484"/>
      <c r="CLM6" s="484"/>
      <c r="CLN6" s="484"/>
      <c r="CLO6" s="484"/>
      <c r="CLP6" s="484"/>
      <c r="CLQ6" s="484"/>
      <c r="CLR6" s="484"/>
      <c r="CLS6" s="484"/>
      <c r="CLT6" s="484"/>
      <c r="CLU6" s="484"/>
      <c r="CLV6" s="484"/>
      <c r="CLW6" s="484"/>
      <c r="CLX6" s="484"/>
      <c r="CLY6" s="484"/>
      <c r="CLZ6" s="484"/>
      <c r="CMA6" s="484"/>
      <c r="CMB6" s="484"/>
      <c r="CMC6" s="484"/>
      <c r="CMD6" s="484"/>
      <c r="CME6" s="484"/>
      <c r="CMF6" s="484"/>
      <c r="CMG6" s="484"/>
      <c r="CMH6" s="484"/>
      <c r="CMI6" s="484"/>
      <c r="CMJ6" s="484"/>
      <c r="CMK6" s="484"/>
      <c r="CML6" s="484"/>
      <c r="CMM6" s="484"/>
      <c r="CMN6" s="484"/>
      <c r="CMO6" s="484"/>
      <c r="CMP6" s="484"/>
      <c r="CMQ6" s="484"/>
      <c r="CMR6" s="484"/>
      <c r="CMS6" s="484"/>
      <c r="CMT6" s="484"/>
      <c r="CMU6" s="484"/>
      <c r="CMV6" s="484"/>
      <c r="CMW6" s="484"/>
      <c r="CMX6" s="484"/>
      <c r="CMY6" s="484"/>
      <c r="CMZ6" s="484"/>
      <c r="CNA6" s="484"/>
      <c r="CNB6" s="484"/>
      <c r="CNC6" s="484"/>
      <c r="CND6" s="484"/>
      <c r="CNE6" s="484"/>
      <c r="CNF6" s="484"/>
      <c r="CNG6" s="484"/>
      <c r="CNH6" s="484"/>
      <c r="CNI6" s="484"/>
      <c r="CNJ6" s="484"/>
      <c r="CNK6" s="484"/>
      <c r="CNL6" s="484"/>
      <c r="CNM6" s="484"/>
      <c r="CNN6" s="484"/>
      <c r="CNO6" s="484"/>
      <c r="CNP6" s="484"/>
      <c r="CNQ6" s="484"/>
      <c r="CNR6" s="484"/>
      <c r="CNS6" s="484"/>
      <c r="CNT6" s="484"/>
      <c r="CNU6" s="484"/>
      <c r="CNV6" s="484"/>
      <c r="CNW6" s="484"/>
      <c r="CNX6" s="484"/>
      <c r="CNY6" s="484"/>
      <c r="CNZ6" s="484"/>
      <c r="COA6" s="484"/>
      <c r="COB6" s="484"/>
      <c r="COC6" s="484"/>
      <c r="COD6" s="484"/>
      <c r="COE6" s="484"/>
      <c r="COF6" s="484"/>
      <c r="COG6" s="484"/>
      <c r="COH6" s="484"/>
      <c r="COI6" s="484"/>
      <c r="COJ6" s="484"/>
      <c r="COK6" s="484"/>
      <c r="COL6" s="484"/>
      <c r="COM6" s="484"/>
      <c r="CON6" s="484"/>
      <c r="COO6" s="484"/>
      <c r="COP6" s="484"/>
      <c r="COQ6" s="484"/>
      <c r="COR6" s="484"/>
      <c r="COS6" s="484"/>
      <c r="COT6" s="484"/>
      <c r="COU6" s="484"/>
      <c r="COV6" s="484"/>
      <c r="COW6" s="484"/>
      <c r="COX6" s="484"/>
      <c r="COY6" s="484"/>
      <c r="COZ6" s="484"/>
      <c r="CPA6" s="484"/>
      <c r="CPB6" s="484"/>
      <c r="CPC6" s="484"/>
      <c r="CPD6" s="484"/>
      <c r="CPE6" s="484"/>
      <c r="CPF6" s="484"/>
      <c r="CPG6" s="484"/>
      <c r="CPH6" s="484"/>
      <c r="CPI6" s="484"/>
      <c r="CPJ6" s="484"/>
      <c r="CPK6" s="484"/>
      <c r="CPL6" s="484"/>
      <c r="CPM6" s="484"/>
      <c r="CPN6" s="484"/>
      <c r="CPO6" s="484"/>
      <c r="CPP6" s="484"/>
      <c r="CPQ6" s="484"/>
      <c r="CPR6" s="484"/>
      <c r="CPS6" s="484"/>
      <c r="CPT6" s="484"/>
      <c r="CPU6" s="484"/>
      <c r="CPV6" s="484"/>
      <c r="CPW6" s="484"/>
      <c r="CPX6" s="484"/>
      <c r="CPY6" s="484"/>
      <c r="CPZ6" s="484"/>
      <c r="CQA6" s="484"/>
      <c r="CQB6" s="484"/>
      <c r="CQC6" s="484"/>
      <c r="CQD6" s="484"/>
      <c r="CQE6" s="484"/>
      <c r="CQF6" s="484"/>
      <c r="CQG6" s="484"/>
      <c r="CQH6" s="484"/>
      <c r="CQI6" s="484"/>
      <c r="CQJ6" s="484"/>
      <c r="CQK6" s="484"/>
      <c r="CQL6" s="484"/>
      <c r="CQM6" s="484"/>
      <c r="CQN6" s="484"/>
      <c r="CQO6" s="484"/>
      <c r="CQP6" s="484"/>
      <c r="CQQ6" s="484"/>
      <c r="CQR6" s="484"/>
      <c r="CQS6" s="484"/>
      <c r="CQT6" s="484"/>
      <c r="CQU6" s="484"/>
      <c r="CQV6" s="484"/>
      <c r="CQW6" s="484"/>
      <c r="CQX6" s="484"/>
      <c r="CQY6" s="484"/>
      <c r="CQZ6" s="484"/>
      <c r="CRA6" s="484"/>
      <c r="CRB6" s="484"/>
      <c r="CRC6" s="484"/>
      <c r="CRD6" s="484"/>
      <c r="CRE6" s="484"/>
      <c r="CRF6" s="484"/>
      <c r="CRG6" s="484"/>
      <c r="CRH6" s="484"/>
      <c r="CRI6" s="484"/>
      <c r="CRJ6" s="484"/>
      <c r="CRK6" s="484"/>
      <c r="CRL6" s="484"/>
      <c r="CRM6" s="484"/>
      <c r="CRN6" s="484"/>
      <c r="CRO6" s="484"/>
      <c r="CRP6" s="484"/>
      <c r="CRQ6" s="484"/>
      <c r="CRR6" s="484"/>
      <c r="CRS6" s="484"/>
      <c r="CRT6" s="484"/>
      <c r="CRU6" s="484"/>
      <c r="CRV6" s="484"/>
      <c r="CRW6" s="484"/>
      <c r="CRX6" s="484"/>
      <c r="CRY6" s="484"/>
      <c r="CRZ6" s="484"/>
      <c r="CSA6" s="484"/>
      <c r="CSB6" s="484"/>
      <c r="CSC6" s="484"/>
      <c r="CSD6" s="484"/>
      <c r="CSE6" s="484"/>
      <c r="CSF6" s="484"/>
      <c r="CSG6" s="484"/>
      <c r="CSH6" s="484"/>
      <c r="CSI6" s="484"/>
      <c r="CSJ6" s="484"/>
      <c r="CSK6" s="484"/>
      <c r="CSL6" s="484"/>
      <c r="CSM6" s="484"/>
      <c r="CSN6" s="484"/>
      <c r="CSO6" s="484"/>
      <c r="CSP6" s="484"/>
      <c r="CSQ6" s="484"/>
      <c r="CSR6" s="484"/>
      <c r="CSS6" s="484"/>
      <c r="CST6" s="484"/>
      <c r="CSU6" s="484"/>
      <c r="CSV6" s="484"/>
      <c r="CSW6" s="484"/>
      <c r="CSX6" s="484"/>
      <c r="CSY6" s="484"/>
      <c r="CSZ6" s="484"/>
      <c r="CTA6" s="484"/>
      <c r="CTB6" s="484"/>
      <c r="CTC6" s="484"/>
      <c r="CTD6" s="484"/>
      <c r="CTE6" s="484"/>
      <c r="CTF6" s="484"/>
      <c r="CTG6" s="484"/>
      <c r="CTH6" s="484"/>
      <c r="CTI6" s="484"/>
      <c r="CTJ6" s="484"/>
      <c r="CTK6" s="484"/>
      <c r="CTL6" s="484"/>
      <c r="CTM6" s="484"/>
      <c r="CTN6" s="484"/>
      <c r="CTO6" s="484"/>
      <c r="CTP6" s="484"/>
      <c r="CTQ6" s="484"/>
      <c r="CTR6" s="484"/>
      <c r="CTS6" s="484"/>
      <c r="CTT6" s="484"/>
      <c r="CTU6" s="484"/>
      <c r="CTV6" s="484"/>
      <c r="CTW6" s="484"/>
      <c r="CTX6" s="484"/>
      <c r="CTY6" s="484"/>
      <c r="CTZ6" s="484"/>
      <c r="CUA6" s="484"/>
      <c r="CUB6" s="484"/>
      <c r="CUC6" s="484"/>
      <c r="CUD6" s="484"/>
      <c r="CUE6" s="484"/>
      <c r="CUF6" s="484"/>
      <c r="CUG6" s="484"/>
      <c r="CUH6" s="484"/>
      <c r="CUI6" s="484"/>
      <c r="CUJ6" s="484"/>
      <c r="CUK6" s="484"/>
      <c r="CUL6" s="484"/>
      <c r="CUM6" s="484"/>
      <c r="CUN6" s="484"/>
      <c r="CUO6" s="484"/>
      <c r="CUP6" s="484"/>
      <c r="CUQ6" s="484"/>
      <c r="CUR6" s="484"/>
      <c r="CUS6" s="484"/>
      <c r="CUT6" s="484"/>
      <c r="CUU6" s="484"/>
      <c r="CUV6" s="484"/>
      <c r="CUW6" s="484"/>
      <c r="CUX6" s="484"/>
      <c r="CUY6" s="484"/>
      <c r="CUZ6" s="484"/>
      <c r="CVA6" s="484"/>
      <c r="CVB6" s="484"/>
      <c r="CVC6" s="484"/>
      <c r="CVD6" s="484"/>
      <c r="CVE6" s="484"/>
      <c r="CVF6" s="484"/>
      <c r="CVG6" s="484"/>
      <c r="CVH6" s="484"/>
      <c r="CVI6" s="484"/>
      <c r="CVJ6" s="484"/>
      <c r="CVK6" s="484"/>
      <c r="CVL6" s="484"/>
      <c r="CVM6" s="484"/>
      <c r="CVN6" s="484"/>
      <c r="CVO6" s="484"/>
      <c r="CVP6" s="484"/>
      <c r="CVQ6" s="484"/>
      <c r="CVR6" s="484"/>
      <c r="CVS6" s="484"/>
      <c r="CVT6" s="484"/>
      <c r="CVU6" s="484"/>
      <c r="CVV6" s="484"/>
      <c r="CVW6" s="484"/>
      <c r="CVX6" s="484"/>
      <c r="CVY6" s="484"/>
      <c r="CVZ6" s="484"/>
      <c r="CWA6" s="484"/>
      <c r="CWB6" s="484"/>
      <c r="CWC6" s="484"/>
      <c r="CWD6" s="484"/>
      <c r="CWE6" s="484"/>
      <c r="CWF6" s="484"/>
      <c r="CWG6" s="484"/>
      <c r="CWH6" s="484"/>
      <c r="CWI6" s="484"/>
      <c r="CWJ6" s="484"/>
      <c r="CWK6" s="484"/>
      <c r="CWL6" s="484"/>
      <c r="CWM6" s="484"/>
      <c r="CWN6" s="484"/>
      <c r="CWO6" s="484"/>
      <c r="CWP6" s="484"/>
      <c r="CWQ6" s="484"/>
      <c r="CWR6" s="484"/>
      <c r="CWS6" s="484"/>
      <c r="CWT6" s="484"/>
      <c r="CWU6" s="484"/>
      <c r="CWV6" s="484"/>
      <c r="CWW6" s="484"/>
      <c r="CWX6" s="484"/>
      <c r="CWY6" s="484"/>
      <c r="CWZ6" s="484"/>
      <c r="CXA6" s="484"/>
      <c r="CXB6" s="484"/>
      <c r="CXC6" s="484"/>
      <c r="CXD6" s="484"/>
      <c r="CXE6" s="484"/>
      <c r="CXF6" s="484"/>
      <c r="CXG6" s="484"/>
      <c r="CXH6" s="484"/>
      <c r="CXI6" s="484"/>
      <c r="CXJ6" s="484"/>
      <c r="CXK6" s="484"/>
      <c r="CXL6" s="484"/>
      <c r="CXM6" s="484"/>
      <c r="CXN6" s="484"/>
      <c r="CXO6" s="484"/>
      <c r="CXP6" s="484"/>
      <c r="CXQ6" s="484"/>
      <c r="CXR6" s="484"/>
      <c r="CXS6" s="484"/>
      <c r="CXT6" s="484"/>
      <c r="CXU6" s="484"/>
      <c r="CXV6" s="484"/>
      <c r="CXW6" s="484"/>
      <c r="CXX6" s="484"/>
      <c r="CXY6" s="484"/>
      <c r="CXZ6" s="484"/>
      <c r="CYA6" s="484"/>
      <c r="CYB6" s="484"/>
      <c r="CYC6" s="484"/>
      <c r="CYD6" s="484"/>
      <c r="CYE6" s="484"/>
      <c r="CYF6" s="484"/>
      <c r="CYG6" s="484"/>
      <c r="CYH6" s="484"/>
      <c r="CYI6" s="484"/>
      <c r="CYJ6" s="484"/>
      <c r="CYK6" s="484"/>
      <c r="CYL6" s="484"/>
      <c r="CYM6" s="484"/>
      <c r="CYN6" s="484"/>
      <c r="CYO6" s="484"/>
      <c r="CYP6" s="484"/>
      <c r="CYQ6" s="484"/>
      <c r="CYR6" s="484"/>
      <c r="CYS6" s="484"/>
      <c r="CYT6" s="484"/>
      <c r="CYU6" s="484"/>
      <c r="CYV6" s="484"/>
      <c r="CYW6" s="484"/>
      <c r="CYX6" s="484"/>
      <c r="CYY6" s="484"/>
      <c r="CYZ6" s="484"/>
      <c r="CZA6" s="484"/>
      <c r="CZB6" s="484"/>
      <c r="CZC6" s="484"/>
      <c r="CZD6" s="484"/>
      <c r="CZE6" s="484"/>
      <c r="CZF6" s="484"/>
      <c r="CZG6" s="484"/>
      <c r="CZH6" s="484"/>
      <c r="CZI6" s="484"/>
      <c r="CZJ6" s="484"/>
      <c r="CZK6" s="484"/>
      <c r="CZL6" s="484"/>
      <c r="CZM6" s="484"/>
      <c r="CZN6" s="484"/>
      <c r="CZO6" s="484"/>
      <c r="CZP6" s="484"/>
      <c r="CZQ6" s="484"/>
      <c r="CZR6" s="484"/>
      <c r="CZS6" s="484"/>
      <c r="CZT6" s="484"/>
      <c r="CZU6" s="484"/>
      <c r="CZV6" s="484"/>
      <c r="CZW6" s="484"/>
      <c r="CZX6" s="484"/>
      <c r="CZY6" s="484"/>
      <c r="CZZ6" s="484"/>
      <c r="DAA6" s="484"/>
      <c r="DAB6" s="484"/>
      <c r="DAC6" s="484"/>
      <c r="DAD6" s="484"/>
      <c r="DAE6" s="484"/>
      <c r="DAF6" s="484"/>
      <c r="DAG6" s="484"/>
      <c r="DAH6" s="484"/>
      <c r="DAI6" s="484"/>
      <c r="DAJ6" s="484"/>
      <c r="DAK6" s="484"/>
      <c r="DAL6" s="484"/>
      <c r="DAM6" s="484"/>
      <c r="DAN6" s="484"/>
      <c r="DAO6" s="484"/>
      <c r="DAP6" s="484"/>
      <c r="DAQ6" s="484"/>
      <c r="DAR6" s="484"/>
      <c r="DAS6" s="484"/>
      <c r="DAT6" s="484"/>
      <c r="DAU6" s="484"/>
      <c r="DAV6" s="484"/>
      <c r="DAW6" s="484"/>
      <c r="DAX6" s="484"/>
      <c r="DAY6" s="484"/>
      <c r="DAZ6" s="484"/>
      <c r="DBA6" s="484"/>
      <c r="DBB6" s="484"/>
      <c r="DBC6" s="484"/>
      <c r="DBD6" s="484"/>
      <c r="DBE6" s="484"/>
      <c r="DBF6" s="484"/>
      <c r="DBG6" s="484"/>
      <c r="DBH6" s="484"/>
      <c r="DBI6" s="484"/>
      <c r="DBJ6" s="484"/>
      <c r="DBK6" s="484"/>
      <c r="DBL6" s="484"/>
      <c r="DBM6" s="484"/>
      <c r="DBN6" s="484"/>
      <c r="DBO6" s="484"/>
      <c r="DBP6" s="484"/>
      <c r="DBQ6" s="484"/>
      <c r="DBR6" s="484"/>
      <c r="DBS6" s="484"/>
      <c r="DBT6" s="484"/>
      <c r="DBU6" s="484"/>
      <c r="DBV6" s="484"/>
      <c r="DBW6" s="484"/>
      <c r="DBX6" s="484"/>
      <c r="DBY6" s="484"/>
      <c r="DBZ6" s="484"/>
      <c r="DCA6" s="484"/>
      <c r="DCB6" s="484"/>
      <c r="DCC6" s="484"/>
      <c r="DCD6" s="484"/>
      <c r="DCE6" s="484"/>
      <c r="DCF6" s="484"/>
      <c r="DCG6" s="484"/>
      <c r="DCH6" s="484"/>
      <c r="DCI6" s="484"/>
      <c r="DCJ6" s="484"/>
      <c r="DCK6" s="484"/>
      <c r="DCL6" s="484"/>
      <c r="DCM6" s="484"/>
      <c r="DCN6" s="484"/>
      <c r="DCO6" s="484"/>
      <c r="DCP6" s="484"/>
      <c r="DCQ6" s="484"/>
      <c r="DCR6" s="484"/>
      <c r="DCS6" s="484"/>
      <c r="DCT6" s="484"/>
      <c r="DCU6" s="484"/>
      <c r="DCV6" s="484"/>
      <c r="DCW6" s="484"/>
      <c r="DCX6" s="484"/>
      <c r="DCY6" s="484"/>
      <c r="DCZ6" s="484"/>
      <c r="DDA6" s="484"/>
      <c r="DDB6" s="484"/>
      <c r="DDC6" s="484"/>
      <c r="DDD6" s="484"/>
      <c r="DDE6" s="484"/>
      <c r="DDF6" s="484"/>
      <c r="DDG6" s="484"/>
      <c r="DDH6" s="484"/>
      <c r="DDI6" s="484"/>
      <c r="DDJ6" s="484"/>
      <c r="DDK6" s="484"/>
      <c r="DDL6" s="484"/>
      <c r="DDM6" s="484"/>
      <c r="DDN6" s="484"/>
      <c r="DDO6" s="484"/>
      <c r="DDP6" s="484"/>
      <c r="DDQ6" s="484"/>
      <c r="DDR6" s="484"/>
      <c r="DDS6" s="484"/>
      <c r="DDT6" s="484"/>
      <c r="DDU6" s="484"/>
      <c r="DDV6" s="484"/>
      <c r="DDW6" s="484"/>
      <c r="DDX6" s="484"/>
      <c r="DDY6" s="484"/>
      <c r="DDZ6" s="484"/>
      <c r="DEA6" s="484"/>
      <c r="DEB6" s="484"/>
      <c r="DEC6" s="484"/>
      <c r="DED6" s="484"/>
      <c r="DEE6" s="484"/>
      <c r="DEF6" s="484"/>
      <c r="DEG6" s="484"/>
      <c r="DEH6" s="484"/>
      <c r="DEI6" s="484"/>
      <c r="DEJ6" s="484"/>
      <c r="DEK6" s="484"/>
      <c r="DEL6" s="484"/>
      <c r="DEM6" s="484"/>
      <c r="DEN6" s="484"/>
      <c r="DEO6" s="484"/>
      <c r="DEP6" s="484"/>
      <c r="DEQ6" s="484"/>
      <c r="DER6" s="484"/>
      <c r="DES6" s="484"/>
      <c r="DET6" s="484"/>
      <c r="DEU6" s="484"/>
      <c r="DEV6" s="484"/>
      <c r="DEW6" s="484"/>
      <c r="DEX6" s="484"/>
      <c r="DEY6" s="484"/>
      <c r="DEZ6" s="484"/>
      <c r="DFA6" s="484"/>
      <c r="DFB6" s="484"/>
      <c r="DFC6" s="484"/>
      <c r="DFD6" s="484"/>
      <c r="DFE6" s="484"/>
      <c r="DFF6" s="484"/>
      <c r="DFG6" s="484"/>
      <c r="DFH6" s="484"/>
      <c r="DFI6" s="484"/>
      <c r="DFJ6" s="484"/>
      <c r="DFK6" s="484"/>
      <c r="DFL6" s="484"/>
      <c r="DFM6" s="484"/>
      <c r="DFN6" s="484"/>
      <c r="DFO6" s="484"/>
      <c r="DFP6" s="484"/>
      <c r="DFQ6" s="484"/>
      <c r="DFR6" s="484"/>
      <c r="DFS6" s="484"/>
      <c r="DFT6" s="484"/>
      <c r="DFU6" s="484"/>
      <c r="DFV6" s="484"/>
      <c r="DFW6" s="484"/>
      <c r="DFX6" s="484"/>
      <c r="DFY6" s="484"/>
      <c r="DFZ6" s="484"/>
      <c r="DGA6" s="484"/>
      <c r="DGB6" s="484"/>
      <c r="DGC6" s="484"/>
      <c r="DGD6" s="484"/>
      <c r="DGE6" s="484"/>
      <c r="DGF6" s="484"/>
      <c r="DGG6" s="484"/>
      <c r="DGH6" s="484"/>
      <c r="DGI6" s="484"/>
      <c r="DGJ6" s="484"/>
      <c r="DGK6" s="484"/>
      <c r="DGL6" s="484"/>
      <c r="DGM6" s="484"/>
      <c r="DGN6" s="484"/>
      <c r="DGO6" s="484"/>
      <c r="DGP6" s="484"/>
      <c r="DGQ6" s="484"/>
      <c r="DGR6" s="484"/>
      <c r="DGS6" s="484"/>
      <c r="DGT6" s="484"/>
      <c r="DGU6" s="484"/>
      <c r="DGV6" s="484"/>
      <c r="DGW6" s="484"/>
      <c r="DGX6" s="484"/>
      <c r="DGY6" s="484"/>
      <c r="DGZ6" s="484"/>
      <c r="DHA6" s="484"/>
      <c r="DHB6" s="484"/>
      <c r="DHC6" s="484"/>
      <c r="DHD6" s="484"/>
      <c r="DHE6" s="484"/>
      <c r="DHF6" s="484"/>
      <c r="DHG6" s="484"/>
      <c r="DHH6" s="484"/>
      <c r="DHI6" s="484"/>
      <c r="DHJ6" s="484"/>
      <c r="DHK6" s="484"/>
      <c r="DHL6" s="484"/>
      <c r="DHM6" s="484"/>
      <c r="DHN6" s="484"/>
      <c r="DHO6" s="484"/>
      <c r="DHP6" s="484"/>
      <c r="DHQ6" s="484"/>
      <c r="DHR6" s="484"/>
      <c r="DHS6" s="484"/>
      <c r="DHT6" s="484"/>
      <c r="DHU6" s="484"/>
      <c r="DHV6" s="484"/>
      <c r="DHW6" s="484"/>
      <c r="DHX6" s="484"/>
      <c r="DHY6" s="484"/>
      <c r="DHZ6" s="484"/>
      <c r="DIA6" s="484"/>
      <c r="DIB6" s="484"/>
      <c r="DIC6" s="484"/>
      <c r="DID6" s="484"/>
      <c r="DIE6" s="484"/>
      <c r="DIF6" s="484"/>
      <c r="DIG6" s="484"/>
      <c r="DIH6" s="484"/>
      <c r="DII6" s="484"/>
      <c r="DIJ6" s="484"/>
      <c r="DIK6" s="484"/>
      <c r="DIL6" s="484"/>
      <c r="DIM6" s="484"/>
      <c r="DIN6" s="484"/>
      <c r="DIO6" s="484"/>
      <c r="DIP6" s="484"/>
      <c r="DIQ6" s="484"/>
      <c r="DIR6" s="484"/>
      <c r="DIS6" s="484"/>
      <c r="DIT6" s="484"/>
      <c r="DIU6" s="484"/>
      <c r="DIV6" s="484"/>
      <c r="DIW6" s="484"/>
      <c r="DIX6" s="484"/>
      <c r="DIY6" s="484"/>
      <c r="DIZ6" s="484"/>
      <c r="DJA6" s="484"/>
      <c r="DJB6" s="484"/>
      <c r="DJC6" s="484"/>
      <c r="DJD6" s="484"/>
      <c r="DJE6" s="484"/>
      <c r="DJF6" s="484"/>
      <c r="DJG6" s="484"/>
      <c r="DJH6" s="484"/>
      <c r="DJI6" s="484"/>
      <c r="DJJ6" s="484"/>
      <c r="DJK6" s="484"/>
      <c r="DJL6" s="484"/>
      <c r="DJM6" s="484"/>
      <c r="DJN6" s="484"/>
      <c r="DJO6" s="484"/>
      <c r="DJP6" s="484"/>
      <c r="DJQ6" s="484"/>
      <c r="DJR6" s="484"/>
      <c r="DJS6" s="484"/>
      <c r="DJT6" s="484"/>
      <c r="DJU6" s="484"/>
      <c r="DJV6" s="484"/>
      <c r="DJW6" s="484"/>
      <c r="DJX6" s="484"/>
      <c r="DJY6" s="484"/>
      <c r="DJZ6" s="484"/>
      <c r="DKA6" s="484"/>
      <c r="DKB6" s="484"/>
      <c r="DKC6" s="484"/>
      <c r="DKD6" s="484"/>
      <c r="DKE6" s="484"/>
      <c r="DKF6" s="484"/>
      <c r="DKG6" s="484"/>
      <c r="DKH6" s="484"/>
      <c r="DKI6" s="484"/>
      <c r="DKJ6" s="484"/>
      <c r="DKK6" s="484"/>
      <c r="DKL6" s="484"/>
      <c r="DKM6" s="484"/>
      <c r="DKN6" s="484"/>
      <c r="DKO6" s="484"/>
      <c r="DKP6" s="484"/>
      <c r="DKQ6" s="484"/>
      <c r="DKR6" s="484"/>
      <c r="DKS6" s="484"/>
      <c r="DKT6" s="484"/>
      <c r="DKU6" s="484"/>
      <c r="DKV6" s="484"/>
      <c r="DKW6" s="484"/>
      <c r="DKX6" s="484"/>
      <c r="DKY6" s="484"/>
      <c r="DKZ6" s="484"/>
      <c r="DLA6" s="484"/>
      <c r="DLB6" s="484"/>
      <c r="DLC6" s="484"/>
      <c r="DLD6" s="484"/>
      <c r="DLE6" s="484"/>
      <c r="DLF6" s="484"/>
      <c r="DLG6" s="484"/>
      <c r="DLH6" s="484"/>
      <c r="DLI6" s="484"/>
      <c r="DLJ6" s="484"/>
      <c r="DLK6" s="484"/>
      <c r="DLL6" s="484"/>
      <c r="DLM6" s="484"/>
      <c r="DLN6" s="484"/>
      <c r="DLO6" s="484"/>
      <c r="DLP6" s="484"/>
      <c r="DLQ6" s="484"/>
      <c r="DLR6" s="484"/>
      <c r="DLS6" s="484"/>
      <c r="DLT6" s="484"/>
      <c r="DLU6" s="484"/>
      <c r="DLV6" s="484"/>
      <c r="DLW6" s="484"/>
      <c r="DLX6" s="484"/>
      <c r="DLY6" s="484"/>
      <c r="DLZ6" s="484"/>
      <c r="DMA6" s="484"/>
      <c r="DMB6" s="484"/>
      <c r="DMC6" s="484"/>
      <c r="DMD6" s="484"/>
      <c r="DME6" s="484"/>
      <c r="DMF6" s="484"/>
      <c r="DMG6" s="484"/>
      <c r="DMH6" s="484"/>
      <c r="DMI6" s="484"/>
      <c r="DMJ6" s="484"/>
      <c r="DMK6" s="484"/>
      <c r="DML6" s="484"/>
      <c r="DMM6" s="484"/>
      <c r="DMN6" s="484"/>
      <c r="DMO6" s="484"/>
      <c r="DMP6" s="484"/>
      <c r="DMQ6" s="484"/>
      <c r="DMR6" s="484"/>
      <c r="DMS6" s="484"/>
      <c r="DMT6" s="484"/>
      <c r="DMU6" s="484"/>
      <c r="DMV6" s="484"/>
      <c r="DMW6" s="484"/>
      <c r="DMX6" s="484"/>
      <c r="DMY6" s="484"/>
      <c r="DMZ6" s="484"/>
      <c r="DNA6" s="484"/>
      <c r="DNB6" s="484"/>
      <c r="DNC6" s="484"/>
      <c r="DND6" s="484"/>
      <c r="DNE6" s="484"/>
      <c r="DNF6" s="484"/>
      <c r="DNG6" s="484"/>
      <c r="DNH6" s="484"/>
      <c r="DNI6" s="484"/>
      <c r="DNJ6" s="484"/>
      <c r="DNK6" s="484"/>
      <c r="DNL6" s="484"/>
      <c r="DNM6" s="484"/>
      <c r="DNN6" s="484"/>
      <c r="DNO6" s="484"/>
      <c r="DNP6" s="484"/>
      <c r="DNQ6" s="484"/>
      <c r="DNR6" s="484"/>
      <c r="DNS6" s="484"/>
      <c r="DNT6" s="484"/>
      <c r="DNU6" s="484"/>
      <c r="DNV6" s="484"/>
      <c r="DNW6" s="484"/>
      <c r="DNX6" s="484"/>
      <c r="DNY6" s="484"/>
      <c r="DNZ6" s="484"/>
      <c r="DOA6" s="484"/>
      <c r="DOB6" s="484"/>
      <c r="DOC6" s="484"/>
      <c r="DOD6" s="484"/>
      <c r="DOE6" s="484"/>
      <c r="DOF6" s="484"/>
      <c r="DOG6" s="484"/>
      <c r="DOH6" s="484"/>
      <c r="DOI6" s="484"/>
      <c r="DOJ6" s="484"/>
      <c r="DOK6" s="484"/>
      <c r="DOL6" s="484"/>
      <c r="DOM6" s="484"/>
      <c r="DON6" s="484"/>
      <c r="DOO6" s="484"/>
      <c r="DOP6" s="484"/>
      <c r="DOQ6" s="484"/>
      <c r="DOR6" s="484"/>
      <c r="DOS6" s="484"/>
      <c r="DOT6" s="484"/>
      <c r="DOU6" s="484"/>
      <c r="DOV6" s="484"/>
      <c r="DOW6" s="484"/>
      <c r="DOX6" s="484"/>
      <c r="DOY6" s="484"/>
      <c r="DOZ6" s="484"/>
      <c r="DPA6" s="484"/>
      <c r="DPB6" s="484"/>
      <c r="DPC6" s="484"/>
      <c r="DPD6" s="484"/>
      <c r="DPE6" s="484"/>
      <c r="DPF6" s="484"/>
      <c r="DPG6" s="484"/>
      <c r="DPH6" s="484"/>
      <c r="DPI6" s="484"/>
      <c r="DPJ6" s="484"/>
      <c r="DPK6" s="484"/>
      <c r="DPL6" s="484"/>
      <c r="DPM6" s="484"/>
      <c r="DPN6" s="484"/>
      <c r="DPO6" s="484"/>
      <c r="DPP6" s="484"/>
      <c r="DPQ6" s="484"/>
      <c r="DPR6" s="484"/>
      <c r="DPS6" s="484"/>
      <c r="DPT6" s="484"/>
      <c r="DPU6" s="484"/>
      <c r="DPV6" s="484"/>
      <c r="DPW6" s="484"/>
      <c r="DPX6" s="484"/>
      <c r="DPY6" s="484"/>
      <c r="DPZ6" s="484"/>
      <c r="DQA6" s="484"/>
      <c r="DQB6" s="484"/>
      <c r="DQC6" s="484"/>
      <c r="DQD6" s="484"/>
      <c r="DQE6" s="484"/>
      <c r="DQF6" s="484"/>
      <c r="DQG6" s="484"/>
      <c r="DQH6" s="484"/>
      <c r="DQI6" s="484"/>
      <c r="DQJ6" s="484"/>
      <c r="DQK6" s="484"/>
      <c r="DQL6" s="484"/>
      <c r="DQM6" s="484"/>
      <c r="DQN6" s="484"/>
      <c r="DQO6" s="484"/>
      <c r="DQP6" s="484"/>
      <c r="DQQ6" s="484"/>
      <c r="DQR6" s="484"/>
      <c r="DQS6" s="484"/>
      <c r="DQT6" s="484"/>
      <c r="DQU6" s="484"/>
      <c r="DQV6" s="484"/>
      <c r="DQW6" s="484"/>
      <c r="DQX6" s="484"/>
      <c r="DQY6" s="484"/>
      <c r="DQZ6" s="484"/>
      <c r="DRA6" s="484"/>
      <c r="DRB6" s="484"/>
      <c r="DRC6" s="484"/>
      <c r="DRD6" s="484"/>
      <c r="DRE6" s="484"/>
      <c r="DRF6" s="484"/>
      <c r="DRG6" s="484"/>
      <c r="DRH6" s="484"/>
      <c r="DRI6" s="484"/>
      <c r="DRJ6" s="484"/>
      <c r="DRK6" s="484"/>
      <c r="DRL6" s="484"/>
      <c r="DRM6" s="484"/>
      <c r="DRN6" s="484"/>
      <c r="DRO6" s="484"/>
      <c r="DRP6" s="484"/>
      <c r="DRQ6" s="484"/>
      <c r="DRR6" s="484"/>
      <c r="DRS6" s="484"/>
      <c r="DRT6" s="484"/>
      <c r="DRU6" s="484"/>
      <c r="DRV6" s="484"/>
      <c r="DRW6" s="484"/>
      <c r="DRX6" s="484"/>
      <c r="DRY6" s="484"/>
      <c r="DRZ6" s="484"/>
      <c r="DSA6" s="484"/>
      <c r="DSB6" s="484"/>
      <c r="DSC6" s="484"/>
      <c r="DSD6" s="484"/>
      <c r="DSE6" s="484"/>
      <c r="DSF6" s="484"/>
      <c r="DSG6" s="484"/>
      <c r="DSH6" s="484"/>
      <c r="DSI6" s="484"/>
      <c r="DSJ6" s="484"/>
      <c r="DSK6" s="484"/>
      <c r="DSL6" s="484"/>
      <c r="DSM6" s="484"/>
      <c r="DSN6" s="484"/>
      <c r="DSO6" s="484"/>
      <c r="DSP6" s="484"/>
      <c r="DSQ6" s="484"/>
      <c r="DSR6" s="484"/>
      <c r="DSS6" s="484"/>
      <c r="DST6" s="484"/>
      <c r="DSU6" s="484"/>
      <c r="DSV6" s="484"/>
      <c r="DSW6" s="484"/>
      <c r="DSX6" s="484"/>
      <c r="DSY6" s="484"/>
      <c r="DSZ6" s="484"/>
      <c r="DTA6" s="484"/>
      <c r="DTB6" s="484"/>
      <c r="DTC6" s="484"/>
      <c r="DTD6" s="484"/>
      <c r="DTE6" s="484"/>
      <c r="DTF6" s="484"/>
      <c r="DTG6" s="484"/>
      <c r="DTH6" s="484"/>
      <c r="DTI6" s="484"/>
      <c r="DTJ6" s="484"/>
      <c r="DTK6" s="484"/>
      <c r="DTL6" s="484"/>
      <c r="DTM6" s="484"/>
      <c r="DTN6" s="484"/>
      <c r="DTO6" s="484"/>
      <c r="DTP6" s="484"/>
      <c r="DTQ6" s="484"/>
      <c r="DTR6" s="484"/>
      <c r="DTS6" s="484"/>
      <c r="DTT6" s="484"/>
      <c r="DTU6" s="484"/>
      <c r="DTV6" s="484"/>
      <c r="DTW6" s="484"/>
      <c r="DTX6" s="484"/>
      <c r="DTY6" s="484"/>
      <c r="DTZ6" s="484"/>
      <c r="DUA6" s="484"/>
      <c r="DUB6" s="484"/>
      <c r="DUC6" s="484"/>
      <c r="DUD6" s="484"/>
      <c r="DUE6" s="484"/>
      <c r="DUF6" s="484"/>
      <c r="DUG6" s="484"/>
      <c r="DUH6" s="484"/>
      <c r="DUI6" s="484"/>
      <c r="DUJ6" s="484"/>
      <c r="DUK6" s="484"/>
      <c r="DUL6" s="484"/>
      <c r="DUM6" s="484"/>
      <c r="DUN6" s="484"/>
      <c r="DUO6" s="484"/>
      <c r="DUP6" s="484"/>
      <c r="DUQ6" s="484"/>
      <c r="DUR6" s="484"/>
      <c r="DUS6" s="484"/>
      <c r="DUT6" s="484"/>
      <c r="DUU6" s="484"/>
      <c r="DUV6" s="484"/>
      <c r="DUW6" s="484"/>
      <c r="DUX6" s="484"/>
      <c r="DUY6" s="484"/>
      <c r="DUZ6" s="484"/>
      <c r="DVA6" s="484"/>
      <c r="DVB6" s="484"/>
      <c r="DVC6" s="484"/>
      <c r="DVD6" s="484"/>
      <c r="DVE6" s="484"/>
      <c r="DVF6" s="484"/>
      <c r="DVG6" s="484"/>
      <c r="DVH6" s="484"/>
      <c r="DVI6" s="484"/>
      <c r="DVJ6" s="484"/>
      <c r="DVK6" s="484"/>
      <c r="DVL6" s="484"/>
      <c r="DVM6" s="484"/>
      <c r="DVN6" s="484"/>
      <c r="DVO6" s="484"/>
      <c r="DVP6" s="484"/>
      <c r="DVQ6" s="484"/>
      <c r="DVR6" s="484"/>
      <c r="DVS6" s="484"/>
      <c r="DVT6" s="484"/>
      <c r="DVU6" s="484"/>
      <c r="DVV6" s="484"/>
      <c r="DVW6" s="484"/>
      <c r="DVX6" s="484"/>
      <c r="DVY6" s="484"/>
      <c r="DVZ6" s="484"/>
      <c r="DWA6" s="484"/>
      <c r="DWB6" s="484"/>
      <c r="DWC6" s="484"/>
      <c r="DWD6" s="484"/>
      <c r="DWE6" s="484"/>
      <c r="DWF6" s="484"/>
      <c r="DWG6" s="484"/>
      <c r="DWH6" s="484"/>
      <c r="DWI6" s="484"/>
      <c r="DWJ6" s="484"/>
      <c r="DWK6" s="484"/>
      <c r="DWL6" s="484"/>
      <c r="DWM6" s="484"/>
      <c r="DWN6" s="484"/>
      <c r="DWO6" s="484"/>
      <c r="DWP6" s="484"/>
      <c r="DWQ6" s="484"/>
      <c r="DWR6" s="484"/>
      <c r="DWS6" s="484"/>
      <c r="DWT6" s="484"/>
      <c r="DWU6" s="484"/>
      <c r="DWV6" s="484"/>
      <c r="DWW6" s="484"/>
      <c r="DWX6" s="484"/>
      <c r="DWY6" s="484"/>
      <c r="DWZ6" s="484"/>
      <c r="DXA6" s="484"/>
      <c r="DXB6" s="484"/>
      <c r="DXC6" s="484"/>
      <c r="DXD6" s="484"/>
      <c r="DXE6" s="484"/>
      <c r="DXF6" s="484"/>
      <c r="DXG6" s="484"/>
      <c r="DXH6" s="484"/>
      <c r="DXI6" s="484"/>
      <c r="DXJ6" s="484"/>
      <c r="DXK6" s="484"/>
      <c r="DXL6" s="484"/>
      <c r="DXM6" s="484"/>
      <c r="DXN6" s="484"/>
      <c r="DXO6" s="484"/>
      <c r="DXP6" s="484"/>
      <c r="DXQ6" s="484"/>
      <c r="DXR6" s="484"/>
      <c r="DXS6" s="484"/>
      <c r="DXT6" s="484"/>
      <c r="DXU6" s="484"/>
      <c r="DXV6" s="484"/>
      <c r="DXW6" s="484"/>
      <c r="DXX6" s="484"/>
      <c r="DXY6" s="484"/>
      <c r="DXZ6" s="484"/>
      <c r="DYA6" s="484"/>
      <c r="DYB6" s="484"/>
      <c r="DYC6" s="484"/>
      <c r="DYD6" s="484"/>
      <c r="DYE6" s="484"/>
      <c r="DYF6" s="484"/>
      <c r="DYG6" s="484"/>
      <c r="DYH6" s="484"/>
      <c r="DYI6" s="484"/>
      <c r="DYJ6" s="484"/>
      <c r="DYK6" s="484"/>
      <c r="DYL6" s="484"/>
      <c r="DYM6" s="484"/>
      <c r="DYN6" s="484"/>
      <c r="DYO6" s="484"/>
      <c r="DYP6" s="484"/>
      <c r="DYQ6" s="484"/>
      <c r="DYR6" s="484"/>
      <c r="DYS6" s="484"/>
      <c r="DYT6" s="484"/>
      <c r="DYU6" s="484"/>
      <c r="DYV6" s="484"/>
      <c r="DYW6" s="484"/>
      <c r="DYX6" s="484"/>
      <c r="DYY6" s="484"/>
      <c r="DYZ6" s="484"/>
      <c r="DZA6" s="484"/>
      <c r="DZB6" s="484"/>
      <c r="DZC6" s="484"/>
      <c r="DZD6" s="484"/>
      <c r="DZE6" s="484"/>
      <c r="DZF6" s="484"/>
      <c r="DZG6" s="484"/>
      <c r="DZH6" s="484"/>
      <c r="DZI6" s="484"/>
      <c r="DZJ6" s="484"/>
      <c r="DZK6" s="484"/>
      <c r="DZL6" s="484"/>
      <c r="DZM6" s="484"/>
      <c r="DZN6" s="484"/>
      <c r="DZO6" s="484"/>
      <c r="DZP6" s="484"/>
      <c r="DZQ6" s="484"/>
      <c r="DZR6" s="484"/>
      <c r="DZS6" s="484"/>
      <c r="DZT6" s="484"/>
      <c r="DZU6" s="484"/>
      <c r="DZV6" s="484"/>
      <c r="DZW6" s="484"/>
      <c r="DZX6" s="484"/>
      <c r="DZY6" s="484"/>
      <c r="DZZ6" s="484"/>
      <c r="EAA6" s="484"/>
      <c r="EAB6" s="484"/>
      <c r="EAC6" s="484"/>
      <c r="EAD6" s="484"/>
      <c r="EAE6" s="484"/>
      <c r="EAF6" s="484"/>
      <c r="EAG6" s="484"/>
      <c r="EAH6" s="484"/>
      <c r="EAI6" s="484"/>
      <c r="EAJ6" s="484"/>
      <c r="EAK6" s="484"/>
      <c r="EAL6" s="484"/>
      <c r="EAM6" s="484"/>
      <c r="EAN6" s="484"/>
      <c r="EAO6" s="484"/>
      <c r="EAP6" s="484"/>
      <c r="EAQ6" s="484"/>
      <c r="EAR6" s="484"/>
      <c r="EAS6" s="484"/>
      <c r="EAT6" s="484"/>
      <c r="EAU6" s="484"/>
      <c r="EAV6" s="484"/>
      <c r="EAW6" s="484"/>
      <c r="EAX6" s="484"/>
      <c r="EAY6" s="484"/>
      <c r="EAZ6" s="484"/>
      <c r="EBA6" s="484"/>
      <c r="EBB6" s="484"/>
      <c r="EBC6" s="484"/>
      <c r="EBD6" s="484"/>
      <c r="EBE6" s="484"/>
      <c r="EBF6" s="484"/>
      <c r="EBG6" s="484"/>
      <c r="EBH6" s="484"/>
      <c r="EBI6" s="484"/>
      <c r="EBJ6" s="484"/>
      <c r="EBK6" s="484"/>
      <c r="EBL6" s="484"/>
      <c r="EBM6" s="484"/>
      <c r="EBN6" s="484"/>
      <c r="EBO6" s="484"/>
      <c r="EBP6" s="484"/>
      <c r="EBQ6" s="484"/>
      <c r="EBR6" s="484"/>
      <c r="EBS6" s="484"/>
      <c r="EBT6" s="484"/>
      <c r="EBU6" s="484"/>
      <c r="EBV6" s="484"/>
      <c r="EBW6" s="484"/>
      <c r="EBX6" s="484"/>
      <c r="EBY6" s="484"/>
      <c r="EBZ6" s="484"/>
      <c r="ECA6" s="484"/>
      <c r="ECB6" s="484"/>
      <c r="ECC6" s="484"/>
      <c r="ECD6" s="484"/>
      <c r="ECE6" s="484"/>
      <c r="ECF6" s="484"/>
      <c r="ECG6" s="484"/>
      <c r="ECH6" s="484"/>
      <c r="ECI6" s="484"/>
      <c r="ECJ6" s="484"/>
      <c r="ECK6" s="484"/>
      <c r="ECL6" s="484"/>
      <c r="ECM6" s="484"/>
      <c r="ECN6" s="484"/>
      <c r="ECO6" s="484"/>
      <c r="ECP6" s="484"/>
      <c r="ECQ6" s="484"/>
      <c r="ECR6" s="484"/>
      <c r="ECS6" s="484"/>
      <c r="ECT6" s="484"/>
      <c r="ECU6" s="484"/>
      <c r="ECV6" s="484"/>
      <c r="ECW6" s="484"/>
      <c r="ECX6" s="484"/>
      <c r="ECY6" s="484"/>
      <c r="ECZ6" s="484"/>
      <c r="EDA6" s="484"/>
      <c r="EDB6" s="484"/>
      <c r="EDC6" s="484"/>
      <c r="EDD6" s="484"/>
      <c r="EDE6" s="484"/>
      <c r="EDF6" s="484"/>
      <c r="EDG6" s="484"/>
      <c r="EDH6" s="484"/>
      <c r="EDI6" s="484"/>
      <c r="EDJ6" s="484"/>
      <c r="EDK6" s="484"/>
      <c r="EDL6" s="484"/>
      <c r="EDM6" s="484"/>
      <c r="EDN6" s="484"/>
      <c r="EDO6" s="484"/>
      <c r="EDP6" s="484"/>
      <c r="EDQ6" s="484"/>
      <c r="EDR6" s="484"/>
      <c r="EDS6" s="484"/>
      <c r="EDT6" s="484"/>
      <c r="EDU6" s="484"/>
      <c r="EDV6" s="484"/>
      <c r="EDW6" s="484"/>
      <c r="EDX6" s="484"/>
      <c r="EDY6" s="484"/>
      <c r="EDZ6" s="484"/>
      <c r="EEA6" s="484"/>
      <c r="EEB6" s="484"/>
      <c r="EEC6" s="484"/>
      <c r="EED6" s="484"/>
      <c r="EEE6" s="484"/>
      <c r="EEF6" s="484"/>
      <c r="EEG6" s="484"/>
      <c r="EEH6" s="484"/>
      <c r="EEI6" s="484"/>
      <c r="EEJ6" s="484"/>
      <c r="EEK6" s="484"/>
      <c r="EEL6" s="484"/>
      <c r="EEM6" s="484"/>
      <c r="EEN6" s="484"/>
      <c r="EEO6" s="484"/>
      <c r="EEP6" s="484"/>
      <c r="EEQ6" s="484"/>
      <c r="EER6" s="484"/>
      <c r="EES6" s="484"/>
      <c r="EET6" s="484"/>
      <c r="EEU6" s="484"/>
      <c r="EEV6" s="484"/>
      <c r="EEW6" s="484"/>
      <c r="EEX6" s="484"/>
      <c r="EEY6" s="484"/>
      <c r="EEZ6" s="484"/>
      <c r="EFA6" s="484"/>
      <c r="EFB6" s="484"/>
      <c r="EFC6" s="484"/>
      <c r="EFD6" s="484"/>
      <c r="EFE6" s="484"/>
      <c r="EFF6" s="484"/>
      <c r="EFG6" s="484"/>
      <c r="EFH6" s="484"/>
      <c r="EFI6" s="484"/>
      <c r="EFJ6" s="484"/>
      <c r="EFK6" s="484"/>
      <c r="EFL6" s="484"/>
      <c r="EFM6" s="484"/>
      <c r="EFN6" s="484"/>
      <c r="EFO6" s="484"/>
      <c r="EFP6" s="484"/>
      <c r="EFQ6" s="484"/>
      <c r="EFR6" s="484"/>
      <c r="EFS6" s="484"/>
      <c r="EFT6" s="484"/>
      <c r="EFU6" s="484"/>
      <c r="EFV6" s="484"/>
      <c r="EFW6" s="484"/>
      <c r="EFX6" s="484"/>
      <c r="EFY6" s="484"/>
      <c r="EFZ6" s="484"/>
      <c r="EGA6" s="484"/>
      <c r="EGB6" s="484"/>
      <c r="EGC6" s="484"/>
      <c r="EGD6" s="484"/>
      <c r="EGE6" s="484"/>
      <c r="EGF6" s="484"/>
      <c r="EGG6" s="484"/>
      <c r="EGH6" s="484"/>
      <c r="EGI6" s="484"/>
      <c r="EGJ6" s="484"/>
      <c r="EGK6" s="484"/>
      <c r="EGL6" s="484"/>
      <c r="EGM6" s="484"/>
      <c r="EGN6" s="484"/>
      <c r="EGO6" s="484"/>
      <c r="EGP6" s="484"/>
      <c r="EGQ6" s="484"/>
      <c r="EGR6" s="484"/>
      <c r="EGS6" s="484"/>
      <c r="EGT6" s="484"/>
      <c r="EGU6" s="484"/>
      <c r="EGV6" s="484"/>
      <c r="EGW6" s="484"/>
      <c r="EGX6" s="484"/>
      <c r="EGY6" s="484"/>
      <c r="EGZ6" s="484"/>
      <c r="EHA6" s="484"/>
      <c r="EHB6" s="484"/>
      <c r="EHC6" s="484"/>
      <c r="EHD6" s="484"/>
      <c r="EHE6" s="484"/>
      <c r="EHF6" s="484"/>
      <c r="EHG6" s="484"/>
      <c r="EHH6" s="484"/>
      <c r="EHI6" s="484"/>
      <c r="EHJ6" s="484"/>
      <c r="EHK6" s="484"/>
      <c r="EHL6" s="484"/>
      <c r="EHM6" s="484"/>
      <c r="EHN6" s="484"/>
      <c r="EHO6" s="484"/>
      <c r="EHP6" s="484"/>
      <c r="EHQ6" s="484"/>
      <c r="EHR6" s="484"/>
      <c r="EHS6" s="484"/>
      <c r="EHT6" s="484"/>
      <c r="EHU6" s="484"/>
      <c r="EHV6" s="484"/>
      <c r="EHW6" s="484"/>
      <c r="EHX6" s="484"/>
      <c r="EHY6" s="484"/>
      <c r="EHZ6" s="484"/>
      <c r="EIA6" s="484"/>
      <c r="EIB6" s="484"/>
      <c r="EIC6" s="484"/>
      <c r="EID6" s="484"/>
      <c r="EIE6" s="484"/>
      <c r="EIF6" s="484"/>
      <c r="EIG6" s="484"/>
      <c r="EIH6" s="484"/>
      <c r="EII6" s="484"/>
      <c r="EIJ6" s="484"/>
      <c r="EIK6" s="484"/>
      <c r="EIL6" s="484"/>
      <c r="EIM6" s="484"/>
      <c r="EIN6" s="484"/>
      <c r="EIO6" s="484"/>
      <c r="EIP6" s="484"/>
      <c r="EIQ6" s="484"/>
      <c r="EIR6" s="484"/>
      <c r="EIS6" s="484"/>
      <c r="EIT6" s="484"/>
      <c r="EIU6" s="484"/>
      <c r="EIV6" s="484"/>
      <c r="EIW6" s="484"/>
      <c r="EIX6" s="484"/>
      <c r="EIY6" s="484"/>
      <c r="EIZ6" s="484"/>
      <c r="EJA6" s="484"/>
      <c r="EJB6" s="484"/>
      <c r="EJC6" s="484"/>
      <c r="EJD6" s="484"/>
      <c r="EJE6" s="484"/>
      <c r="EJF6" s="484"/>
      <c r="EJG6" s="484"/>
      <c r="EJH6" s="484"/>
      <c r="EJI6" s="484"/>
      <c r="EJJ6" s="484"/>
      <c r="EJK6" s="484"/>
      <c r="EJL6" s="484"/>
      <c r="EJM6" s="484"/>
      <c r="EJN6" s="484"/>
      <c r="EJO6" s="484"/>
      <c r="EJP6" s="484"/>
      <c r="EJQ6" s="484"/>
      <c r="EJR6" s="484"/>
      <c r="EJS6" s="484"/>
      <c r="EJT6" s="484"/>
      <c r="EJU6" s="484"/>
      <c r="EJV6" s="484"/>
      <c r="EJW6" s="484"/>
      <c r="EJX6" s="484"/>
      <c r="EJY6" s="484"/>
      <c r="EJZ6" s="484"/>
      <c r="EKA6" s="484"/>
      <c r="EKB6" s="484"/>
      <c r="EKC6" s="484"/>
      <c r="EKD6" s="484"/>
      <c r="EKE6" s="484"/>
      <c r="EKF6" s="484"/>
      <c r="EKG6" s="484"/>
      <c r="EKH6" s="484"/>
      <c r="EKI6" s="484"/>
      <c r="EKJ6" s="484"/>
      <c r="EKK6" s="484"/>
      <c r="EKL6" s="484"/>
      <c r="EKM6" s="484"/>
      <c r="EKN6" s="484"/>
      <c r="EKO6" s="484"/>
      <c r="EKP6" s="484"/>
      <c r="EKQ6" s="484"/>
      <c r="EKR6" s="484"/>
      <c r="EKS6" s="484"/>
      <c r="EKT6" s="484"/>
      <c r="EKU6" s="484"/>
      <c r="EKV6" s="484"/>
      <c r="EKW6" s="484"/>
      <c r="EKX6" s="484"/>
      <c r="EKY6" s="484"/>
      <c r="EKZ6" s="484"/>
      <c r="ELA6" s="484"/>
      <c r="ELB6" s="484"/>
      <c r="ELC6" s="484"/>
      <c r="ELD6" s="484"/>
      <c r="ELE6" s="484"/>
      <c r="ELF6" s="484"/>
      <c r="ELG6" s="484"/>
      <c r="ELH6" s="484"/>
      <c r="ELI6" s="484"/>
      <c r="ELJ6" s="484"/>
      <c r="ELK6" s="484"/>
      <c r="ELL6" s="484"/>
      <c r="ELM6" s="484"/>
      <c r="ELN6" s="484"/>
      <c r="ELO6" s="484"/>
      <c r="ELP6" s="484"/>
      <c r="ELQ6" s="484"/>
      <c r="ELR6" s="484"/>
      <c r="ELS6" s="484"/>
      <c r="ELT6" s="484"/>
      <c r="ELU6" s="484"/>
      <c r="ELV6" s="484"/>
      <c r="ELW6" s="484"/>
      <c r="ELX6" s="484"/>
      <c r="ELY6" s="484"/>
      <c r="ELZ6" s="484"/>
      <c r="EMA6" s="484"/>
      <c r="EMB6" s="484"/>
      <c r="EMC6" s="484"/>
      <c r="EMD6" s="484"/>
      <c r="EME6" s="484"/>
      <c r="EMF6" s="484"/>
      <c r="EMG6" s="484"/>
      <c r="EMH6" s="484"/>
      <c r="EMI6" s="484"/>
      <c r="EMJ6" s="484"/>
      <c r="EMK6" s="484"/>
      <c r="EML6" s="484"/>
      <c r="EMM6" s="484"/>
      <c r="EMN6" s="484"/>
      <c r="EMO6" s="484"/>
      <c r="EMP6" s="484"/>
      <c r="EMQ6" s="484"/>
      <c r="EMR6" s="484"/>
      <c r="EMS6" s="484"/>
      <c r="EMT6" s="484"/>
      <c r="EMU6" s="484"/>
      <c r="EMV6" s="484"/>
      <c r="EMW6" s="484"/>
      <c r="EMX6" s="484"/>
      <c r="EMY6" s="484"/>
      <c r="EMZ6" s="484"/>
      <c r="ENA6" s="484"/>
      <c r="ENB6" s="484"/>
      <c r="ENC6" s="484"/>
      <c r="END6" s="484"/>
      <c r="ENE6" s="484"/>
      <c r="ENF6" s="484"/>
      <c r="ENG6" s="484"/>
      <c r="ENH6" s="484"/>
      <c r="ENI6" s="484"/>
      <c r="ENJ6" s="484"/>
      <c r="ENK6" s="484"/>
      <c r="ENL6" s="484"/>
      <c r="ENM6" s="484"/>
      <c r="ENN6" s="484"/>
      <c r="ENO6" s="484"/>
      <c r="ENP6" s="484"/>
      <c r="ENQ6" s="484"/>
      <c r="ENR6" s="484"/>
      <c r="ENS6" s="484"/>
      <c r="ENT6" s="484"/>
      <c r="ENU6" s="484"/>
      <c r="ENV6" s="484"/>
      <c r="ENW6" s="484"/>
      <c r="ENX6" s="484"/>
      <c r="ENY6" s="484"/>
      <c r="ENZ6" s="484"/>
      <c r="EOA6" s="484"/>
      <c r="EOB6" s="484"/>
      <c r="EOC6" s="484"/>
      <c r="EOD6" s="484"/>
      <c r="EOE6" s="484"/>
      <c r="EOF6" s="484"/>
      <c r="EOG6" s="484"/>
      <c r="EOH6" s="484"/>
      <c r="EOI6" s="484"/>
      <c r="EOJ6" s="484"/>
      <c r="EOK6" s="484"/>
      <c r="EOL6" s="484"/>
      <c r="EOM6" s="484"/>
      <c r="EON6" s="484"/>
      <c r="EOO6" s="484"/>
      <c r="EOP6" s="484"/>
      <c r="EOQ6" s="484"/>
      <c r="EOR6" s="484"/>
      <c r="EOS6" s="484"/>
      <c r="EOT6" s="484"/>
      <c r="EOU6" s="484"/>
      <c r="EOV6" s="484"/>
      <c r="EOW6" s="484"/>
      <c r="EOX6" s="484"/>
      <c r="EOY6" s="484"/>
      <c r="EOZ6" s="484"/>
      <c r="EPA6" s="484"/>
      <c r="EPB6" s="484"/>
      <c r="EPC6" s="484"/>
      <c r="EPD6" s="484"/>
      <c r="EPE6" s="484"/>
      <c r="EPF6" s="484"/>
      <c r="EPG6" s="484"/>
      <c r="EPH6" s="484"/>
      <c r="EPI6" s="484"/>
      <c r="EPJ6" s="484"/>
      <c r="EPK6" s="484"/>
      <c r="EPL6" s="484"/>
      <c r="EPM6" s="484"/>
      <c r="EPN6" s="484"/>
      <c r="EPO6" s="484"/>
      <c r="EPP6" s="484"/>
      <c r="EPQ6" s="484"/>
      <c r="EPR6" s="484"/>
      <c r="EPS6" s="484"/>
      <c r="EPT6" s="484"/>
      <c r="EPU6" s="484"/>
      <c r="EPV6" s="484"/>
      <c r="EPW6" s="484"/>
      <c r="EPX6" s="484"/>
      <c r="EPY6" s="484"/>
      <c r="EPZ6" s="484"/>
      <c r="EQA6" s="484"/>
      <c r="EQB6" s="484"/>
      <c r="EQC6" s="484"/>
      <c r="EQD6" s="484"/>
      <c r="EQE6" s="484"/>
      <c r="EQF6" s="484"/>
      <c r="EQG6" s="484"/>
      <c r="EQH6" s="484"/>
      <c r="EQI6" s="484"/>
      <c r="EQJ6" s="484"/>
      <c r="EQK6" s="484"/>
      <c r="EQL6" s="484"/>
      <c r="EQM6" s="484"/>
      <c r="EQN6" s="484"/>
      <c r="EQO6" s="484"/>
      <c r="EQP6" s="484"/>
      <c r="EQQ6" s="484"/>
      <c r="EQR6" s="484"/>
      <c r="EQS6" s="484"/>
      <c r="EQT6" s="484"/>
      <c r="EQU6" s="484"/>
      <c r="EQV6" s="484"/>
      <c r="EQW6" s="484"/>
      <c r="EQX6" s="484"/>
      <c r="EQY6" s="484"/>
      <c r="EQZ6" s="484"/>
      <c r="ERA6" s="484"/>
      <c r="ERB6" s="484"/>
      <c r="ERC6" s="484"/>
      <c r="ERD6" s="484"/>
      <c r="ERE6" s="484"/>
      <c r="ERF6" s="484"/>
      <c r="ERG6" s="484"/>
      <c r="ERH6" s="484"/>
      <c r="ERI6" s="484"/>
      <c r="ERJ6" s="484"/>
      <c r="ERK6" s="484"/>
      <c r="ERL6" s="484"/>
      <c r="ERM6" s="484"/>
      <c r="ERN6" s="484"/>
      <c r="ERO6" s="484"/>
      <c r="ERP6" s="484"/>
      <c r="ERQ6" s="484"/>
      <c r="ERR6" s="484"/>
      <c r="ERS6" s="484"/>
      <c r="ERT6" s="484"/>
      <c r="ERU6" s="484"/>
      <c r="ERV6" s="484"/>
      <c r="ERW6" s="484"/>
      <c r="ERX6" s="484"/>
      <c r="ERY6" s="484"/>
      <c r="ERZ6" s="484"/>
      <c r="ESA6" s="484"/>
      <c r="ESB6" s="484"/>
      <c r="ESC6" s="484"/>
      <c r="ESD6" s="484"/>
      <c r="ESE6" s="484"/>
      <c r="ESF6" s="484"/>
      <c r="ESG6" s="484"/>
      <c r="ESH6" s="484"/>
      <c r="ESI6" s="484"/>
      <c r="ESJ6" s="484"/>
      <c r="ESK6" s="484"/>
      <c r="ESL6" s="484"/>
      <c r="ESM6" s="484"/>
      <c r="ESN6" s="484"/>
      <c r="ESO6" s="484"/>
      <c r="ESP6" s="484"/>
      <c r="ESQ6" s="484"/>
      <c r="ESR6" s="484"/>
      <c r="ESS6" s="484"/>
      <c r="EST6" s="484"/>
      <c r="ESU6" s="484"/>
      <c r="ESV6" s="484"/>
      <c r="ESW6" s="484"/>
      <c r="ESX6" s="484"/>
      <c r="ESY6" s="484"/>
      <c r="ESZ6" s="484"/>
      <c r="ETA6" s="484"/>
      <c r="ETB6" s="484"/>
      <c r="ETC6" s="484"/>
      <c r="ETD6" s="484"/>
      <c r="ETE6" s="484"/>
      <c r="ETF6" s="484"/>
      <c r="ETG6" s="484"/>
      <c r="ETH6" s="484"/>
      <c r="ETI6" s="484"/>
      <c r="ETJ6" s="484"/>
      <c r="ETK6" s="484"/>
      <c r="ETL6" s="484"/>
      <c r="ETM6" s="484"/>
      <c r="ETN6" s="484"/>
      <c r="ETO6" s="484"/>
      <c r="ETP6" s="484"/>
      <c r="ETQ6" s="484"/>
      <c r="ETR6" s="484"/>
      <c r="ETS6" s="484"/>
      <c r="ETT6" s="484"/>
      <c r="ETU6" s="484"/>
      <c r="ETV6" s="484"/>
      <c r="ETW6" s="484"/>
      <c r="ETX6" s="484"/>
      <c r="ETY6" s="484"/>
      <c r="ETZ6" s="484"/>
      <c r="EUA6" s="484"/>
      <c r="EUB6" s="484"/>
      <c r="EUC6" s="484"/>
      <c r="EUD6" s="484"/>
      <c r="EUE6" s="484"/>
      <c r="EUF6" s="484"/>
      <c r="EUG6" s="484"/>
      <c r="EUH6" s="484"/>
      <c r="EUI6" s="484"/>
      <c r="EUJ6" s="484"/>
      <c r="EUK6" s="484"/>
      <c r="EUL6" s="484"/>
      <c r="EUM6" s="484"/>
      <c r="EUN6" s="484"/>
      <c r="EUO6" s="484"/>
      <c r="EUP6" s="484"/>
      <c r="EUQ6" s="484"/>
      <c r="EUR6" s="484"/>
      <c r="EUS6" s="484"/>
      <c r="EUT6" s="484"/>
      <c r="EUU6" s="484"/>
      <c r="EUV6" s="484"/>
      <c r="EUW6" s="484"/>
      <c r="EUX6" s="484"/>
      <c r="EUY6" s="484"/>
      <c r="EUZ6" s="484"/>
      <c r="EVA6" s="484"/>
      <c r="EVB6" s="484"/>
      <c r="EVC6" s="484"/>
      <c r="EVD6" s="484"/>
      <c r="EVE6" s="484"/>
      <c r="EVF6" s="484"/>
      <c r="EVG6" s="484"/>
      <c r="EVH6" s="484"/>
      <c r="EVI6" s="484"/>
      <c r="EVJ6" s="484"/>
      <c r="EVK6" s="484"/>
      <c r="EVL6" s="484"/>
      <c r="EVM6" s="484"/>
      <c r="EVN6" s="484"/>
      <c r="EVO6" s="484"/>
      <c r="EVP6" s="484"/>
      <c r="EVQ6" s="484"/>
      <c r="EVR6" s="484"/>
      <c r="EVS6" s="484"/>
      <c r="EVT6" s="484"/>
      <c r="EVU6" s="484"/>
      <c r="EVV6" s="484"/>
      <c r="EVW6" s="484"/>
      <c r="EVX6" s="484"/>
      <c r="EVY6" s="484"/>
      <c r="EVZ6" s="484"/>
      <c r="EWA6" s="484"/>
      <c r="EWB6" s="484"/>
      <c r="EWC6" s="484"/>
      <c r="EWD6" s="484"/>
      <c r="EWE6" s="484"/>
      <c r="EWF6" s="484"/>
      <c r="EWG6" s="484"/>
      <c r="EWH6" s="484"/>
      <c r="EWI6" s="484"/>
      <c r="EWJ6" s="484"/>
      <c r="EWK6" s="484"/>
      <c r="EWL6" s="484"/>
      <c r="EWM6" s="484"/>
      <c r="EWN6" s="484"/>
      <c r="EWO6" s="484"/>
      <c r="EWP6" s="484"/>
      <c r="EWQ6" s="484"/>
      <c r="EWR6" s="484"/>
      <c r="EWS6" s="484"/>
      <c r="EWT6" s="484"/>
      <c r="EWU6" s="484"/>
      <c r="EWV6" s="484"/>
      <c r="EWW6" s="484"/>
      <c r="EWX6" s="484"/>
      <c r="EWY6" s="484"/>
      <c r="EWZ6" s="484"/>
      <c r="EXA6" s="484"/>
      <c r="EXB6" s="484"/>
      <c r="EXC6" s="484"/>
      <c r="EXD6" s="484"/>
      <c r="EXE6" s="484"/>
      <c r="EXF6" s="484"/>
      <c r="EXG6" s="484"/>
      <c r="EXH6" s="484"/>
      <c r="EXI6" s="484"/>
      <c r="EXJ6" s="484"/>
      <c r="EXK6" s="484"/>
      <c r="EXL6" s="484"/>
      <c r="EXM6" s="484"/>
      <c r="EXN6" s="484"/>
      <c r="EXO6" s="484"/>
      <c r="EXP6" s="484"/>
      <c r="EXQ6" s="484"/>
      <c r="EXR6" s="484"/>
      <c r="EXS6" s="484"/>
      <c r="EXT6" s="484"/>
      <c r="EXU6" s="484"/>
      <c r="EXV6" s="484"/>
      <c r="EXW6" s="484"/>
      <c r="EXX6" s="484"/>
      <c r="EXY6" s="484"/>
      <c r="EXZ6" s="484"/>
      <c r="EYA6" s="484"/>
      <c r="EYB6" s="484"/>
      <c r="EYC6" s="484"/>
      <c r="EYD6" s="484"/>
      <c r="EYE6" s="484"/>
      <c r="EYF6" s="484"/>
      <c r="EYG6" s="484"/>
      <c r="EYH6" s="484"/>
      <c r="EYI6" s="484"/>
      <c r="EYJ6" s="484"/>
      <c r="EYK6" s="484"/>
      <c r="EYL6" s="484"/>
      <c r="EYM6" s="484"/>
      <c r="EYN6" s="484"/>
      <c r="EYO6" s="484"/>
      <c r="EYP6" s="484"/>
      <c r="EYQ6" s="484"/>
      <c r="EYR6" s="484"/>
      <c r="EYS6" s="484"/>
      <c r="EYT6" s="484"/>
      <c r="EYU6" s="484"/>
      <c r="EYV6" s="484"/>
      <c r="EYW6" s="484"/>
      <c r="EYX6" s="484"/>
      <c r="EYY6" s="484"/>
      <c r="EYZ6" s="484"/>
      <c r="EZA6" s="484"/>
      <c r="EZB6" s="484"/>
      <c r="EZC6" s="484"/>
      <c r="EZD6" s="484"/>
      <c r="EZE6" s="484"/>
      <c r="EZF6" s="484"/>
      <c r="EZG6" s="484"/>
      <c r="EZH6" s="484"/>
      <c r="EZI6" s="484"/>
      <c r="EZJ6" s="484"/>
      <c r="EZK6" s="484"/>
      <c r="EZL6" s="484"/>
      <c r="EZM6" s="484"/>
      <c r="EZN6" s="484"/>
      <c r="EZO6" s="484"/>
      <c r="EZP6" s="484"/>
      <c r="EZQ6" s="484"/>
      <c r="EZR6" s="484"/>
      <c r="EZS6" s="484"/>
      <c r="EZT6" s="484"/>
      <c r="EZU6" s="484"/>
      <c r="EZV6" s="484"/>
      <c r="EZW6" s="484"/>
      <c r="EZX6" s="484"/>
      <c r="EZY6" s="484"/>
      <c r="EZZ6" s="484"/>
      <c r="FAA6" s="484"/>
      <c r="FAB6" s="484"/>
      <c r="FAC6" s="484"/>
      <c r="FAD6" s="484"/>
      <c r="FAE6" s="484"/>
      <c r="FAF6" s="484"/>
      <c r="FAG6" s="484"/>
      <c r="FAH6" s="484"/>
      <c r="FAI6" s="484"/>
      <c r="FAJ6" s="484"/>
      <c r="FAK6" s="484"/>
      <c r="FAL6" s="484"/>
      <c r="FAM6" s="484"/>
      <c r="FAN6" s="484"/>
      <c r="FAO6" s="484"/>
      <c r="FAP6" s="484"/>
      <c r="FAQ6" s="484"/>
      <c r="FAR6" s="484"/>
      <c r="FAS6" s="484"/>
      <c r="FAT6" s="484"/>
      <c r="FAU6" s="484"/>
      <c r="FAV6" s="484"/>
      <c r="FAW6" s="484"/>
      <c r="FAX6" s="484"/>
      <c r="FAY6" s="484"/>
      <c r="FAZ6" s="484"/>
      <c r="FBA6" s="484"/>
      <c r="FBB6" s="484"/>
      <c r="FBC6" s="484"/>
      <c r="FBD6" s="484"/>
      <c r="FBE6" s="484"/>
      <c r="FBF6" s="484"/>
      <c r="FBG6" s="484"/>
      <c r="FBH6" s="484"/>
      <c r="FBI6" s="484"/>
      <c r="FBJ6" s="484"/>
      <c r="FBK6" s="484"/>
      <c r="FBL6" s="484"/>
      <c r="FBM6" s="484"/>
      <c r="FBN6" s="484"/>
      <c r="FBO6" s="484"/>
      <c r="FBP6" s="484"/>
      <c r="FBQ6" s="484"/>
      <c r="FBR6" s="484"/>
      <c r="FBS6" s="484"/>
      <c r="FBT6" s="484"/>
      <c r="FBU6" s="484"/>
      <c r="FBV6" s="484"/>
      <c r="FBW6" s="484"/>
      <c r="FBX6" s="484"/>
      <c r="FBY6" s="484"/>
      <c r="FBZ6" s="484"/>
      <c r="FCA6" s="484"/>
      <c r="FCB6" s="484"/>
      <c r="FCC6" s="484"/>
      <c r="FCD6" s="484"/>
      <c r="FCE6" s="484"/>
      <c r="FCF6" s="484"/>
      <c r="FCG6" s="484"/>
      <c r="FCH6" s="484"/>
      <c r="FCI6" s="484"/>
      <c r="FCJ6" s="484"/>
      <c r="FCK6" s="484"/>
      <c r="FCL6" s="484"/>
      <c r="FCM6" s="484"/>
      <c r="FCN6" s="484"/>
      <c r="FCO6" s="484"/>
      <c r="FCP6" s="484"/>
      <c r="FCQ6" s="484"/>
      <c r="FCR6" s="484"/>
      <c r="FCS6" s="484"/>
      <c r="FCT6" s="484"/>
      <c r="FCU6" s="484"/>
      <c r="FCV6" s="484"/>
      <c r="FCW6" s="484"/>
      <c r="FCX6" s="484"/>
      <c r="FCY6" s="484"/>
      <c r="FCZ6" s="484"/>
      <c r="FDA6" s="484"/>
      <c r="FDB6" s="484"/>
      <c r="FDC6" s="484"/>
      <c r="FDD6" s="484"/>
      <c r="FDE6" s="484"/>
      <c r="FDF6" s="484"/>
      <c r="FDG6" s="484"/>
      <c r="FDH6" s="484"/>
      <c r="FDI6" s="484"/>
      <c r="FDJ6" s="484"/>
      <c r="FDK6" s="484"/>
      <c r="FDL6" s="484"/>
      <c r="FDM6" s="484"/>
      <c r="FDN6" s="484"/>
      <c r="FDO6" s="484"/>
      <c r="FDP6" s="484"/>
      <c r="FDQ6" s="484"/>
      <c r="FDR6" s="484"/>
      <c r="FDS6" s="484"/>
      <c r="FDT6" s="484"/>
      <c r="FDU6" s="484"/>
      <c r="FDV6" s="484"/>
      <c r="FDW6" s="484"/>
      <c r="FDX6" s="484"/>
      <c r="FDY6" s="484"/>
      <c r="FDZ6" s="484"/>
      <c r="FEA6" s="484"/>
      <c r="FEB6" s="484"/>
      <c r="FEC6" s="484"/>
      <c r="FED6" s="484"/>
      <c r="FEE6" s="484"/>
      <c r="FEF6" s="484"/>
      <c r="FEG6" s="484"/>
      <c r="FEH6" s="484"/>
      <c r="FEI6" s="484"/>
      <c r="FEJ6" s="484"/>
      <c r="FEK6" s="484"/>
      <c r="FEL6" s="484"/>
      <c r="FEM6" s="484"/>
      <c r="FEN6" s="484"/>
      <c r="FEO6" s="484"/>
      <c r="FEP6" s="484"/>
      <c r="FEQ6" s="484"/>
      <c r="FER6" s="484"/>
      <c r="FES6" s="484"/>
      <c r="FET6" s="484"/>
      <c r="FEU6" s="484"/>
      <c r="FEV6" s="484"/>
      <c r="FEW6" s="484"/>
      <c r="FEX6" s="484"/>
      <c r="FEY6" s="484"/>
      <c r="FEZ6" s="484"/>
      <c r="FFA6" s="484"/>
      <c r="FFB6" s="484"/>
      <c r="FFC6" s="484"/>
      <c r="FFD6" s="484"/>
      <c r="FFE6" s="484"/>
      <c r="FFF6" s="484"/>
      <c r="FFG6" s="484"/>
      <c r="FFH6" s="484"/>
      <c r="FFI6" s="484"/>
      <c r="FFJ6" s="484"/>
      <c r="FFK6" s="484"/>
      <c r="FFL6" s="484"/>
      <c r="FFM6" s="484"/>
      <c r="FFN6" s="484"/>
      <c r="FFO6" s="484"/>
      <c r="FFP6" s="484"/>
      <c r="FFQ6" s="484"/>
      <c r="FFR6" s="484"/>
      <c r="FFS6" s="484"/>
      <c r="FFT6" s="484"/>
      <c r="FFU6" s="484"/>
      <c r="FFV6" s="484"/>
      <c r="FFW6" s="484"/>
      <c r="FFX6" s="484"/>
      <c r="FFY6" s="484"/>
      <c r="FFZ6" s="484"/>
      <c r="FGA6" s="484"/>
      <c r="FGB6" s="484"/>
      <c r="FGC6" s="484"/>
      <c r="FGD6" s="484"/>
      <c r="FGE6" s="484"/>
      <c r="FGF6" s="484"/>
      <c r="FGG6" s="484"/>
      <c r="FGH6" s="484"/>
      <c r="FGI6" s="484"/>
      <c r="FGJ6" s="484"/>
      <c r="FGK6" s="484"/>
      <c r="FGL6" s="484"/>
      <c r="FGM6" s="484"/>
      <c r="FGN6" s="484"/>
      <c r="FGO6" s="484"/>
      <c r="FGP6" s="484"/>
      <c r="FGQ6" s="484"/>
      <c r="FGR6" s="484"/>
      <c r="FGS6" s="484"/>
      <c r="FGT6" s="484"/>
      <c r="FGU6" s="484"/>
      <c r="FGV6" s="484"/>
      <c r="FGW6" s="484"/>
      <c r="FGX6" s="484"/>
      <c r="FGY6" s="484"/>
      <c r="FGZ6" s="484"/>
      <c r="FHA6" s="484"/>
      <c r="FHB6" s="484"/>
      <c r="FHC6" s="484"/>
      <c r="FHD6" s="484"/>
      <c r="FHE6" s="484"/>
      <c r="FHF6" s="484"/>
      <c r="FHG6" s="484"/>
      <c r="FHH6" s="484"/>
      <c r="FHI6" s="484"/>
      <c r="FHJ6" s="484"/>
      <c r="FHK6" s="484"/>
      <c r="FHL6" s="484"/>
      <c r="FHM6" s="484"/>
      <c r="FHN6" s="484"/>
      <c r="FHO6" s="484"/>
      <c r="FHP6" s="484"/>
      <c r="FHQ6" s="484"/>
      <c r="FHR6" s="484"/>
      <c r="FHS6" s="484"/>
      <c r="FHT6" s="484"/>
      <c r="FHU6" s="484"/>
      <c r="FHV6" s="484"/>
      <c r="FHW6" s="484"/>
      <c r="FHX6" s="484"/>
      <c r="FHY6" s="484"/>
      <c r="FHZ6" s="484"/>
      <c r="FIA6" s="484"/>
      <c r="FIB6" s="484"/>
      <c r="FIC6" s="484"/>
      <c r="FID6" s="484"/>
      <c r="FIE6" s="484"/>
      <c r="FIF6" s="484"/>
      <c r="FIG6" s="484"/>
      <c r="FIH6" s="484"/>
      <c r="FII6" s="484"/>
      <c r="FIJ6" s="484"/>
      <c r="FIK6" s="484"/>
      <c r="FIL6" s="484"/>
      <c r="FIM6" s="484"/>
      <c r="FIN6" s="484"/>
      <c r="FIO6" s="484"/>
      <c r="FIP6" s="484"/>
      <c r="FIQ6" s="484"/>
      <c r="FIR6" s="484"/>
      <c r="FIS6" s="484"/>
      <c r="FIT6" s="484"/>
      <c r="FIU6" s="484"/>
      <c r="FIV6" s="484"/>
      <c r="FIW6" s="484"/>
      <c r="FIX6" s="484"/>
      <c r="FIY6" s="484"/>
      <c r="FIZ6" s="484"/>
      <c r="FJA6" s="484"/>
      <c r="FJB6" s="484"/>
      <c r="FJC6" s="484"/>
      <c r="FJD6" s="484"/>
      <c r="FJE6" s="484"/>
      <c r="FJF6" s="484"/>
      <c r="FJG6" s="484"/>
      <c r="FJH6" s="484"/>
      <c r="FJI6" s="484"/>
      <c r="FJJ6" s="484"/>
      <c r="FJK6" s="484"/>
      <c r="FJL6" s="484"/>
      <c r="FJM6" s="484"/>
      <c r="FJN6" s="484"/>
      <c r="FJO6" s="484"/>
      <c r="FJP6" s="484"/>
      <c r="FJQ6" s="484"/>
      <c r="FJR6" s="484"/>
      <c r="FJS6" s="484"/>
      <c r="FJT6" s="484"/>
      <c r="FJU6" s="484"/>
      <c r="FJV6" s="484"/>
      <c r="FJW6" s="484"/>
      <c r="FJX6" s="484"/>
      <c r="FJY6" s="484"/>
      <c r="FJZ6" s="484"/>
      <c r="FKA6" s="484"/>
      <c r="FKB6" s="484"/>
      <c r="FKC6" s="484"/>
      <c r="FKD6" s="484"/>
      <c r="FKE6" s="484"/>
      <c r="FKF6" s="484"/>
      <c r="FKG6" s="484"/>
      <c r="FKH6" s="484"/>
      <c r="FKI6" s="484"/>
      <c r="FKJ6" s="484"/>
      <c r="FKK6" s="484"/>
      <c r="FKL6" s="484"/>
      <c r="FKM6" s="484"/>
      <c r="FKN6" s="484"/>
      <c r="FKO6" s="484"/>
      <c r="FKP6" s="484"/>
      <c r="FKQ6" s="484"/>
      <c r="FKR6" s="484"/>
      <c r="FKS6" s="484"/>
      <c r="FKT6" s="484"/>
      <c r="FKU6" s="484"/>
      <c r="FKV6" s="484"/>
      <c r="FKW6" s="484"/>
      <c r="FKX6" s="484"/>
      <c r="FKY6" s="484"/>
      <c r="FKZ6" s="484"/>
      <c r="FLA6" s="484"/>
      <c r="FLB6" s="484"/>
      <c r="FLC6" s="484"/>
      <c r="FLD6" s="484"/>
      <c r="FLE6" s="484"/>
      <c r="FLF6" s="484"/>
      <c r="FLG6" s="484"/>
      <c r="FLH6" s="484"/>
      <c r="FLI6" s="484"/>
      <c r="FLJ6" s="484"/>
      <c r="FLK6" s="484"/>
      <c r="FLL6" s="484"/>
      <c r="FLM6" s="484"/>
      <c r="FLN6" s="484"/>
      <c r="FLO6" s="484"/>
      <c r="FLP6" s="484"/>
      <c r="FLQ6" s="484"/>
      <c r="FLR6" s="484"/>
      <c r="FLS6" s="484"/>
      <c r="FLT6" s="484"/>
      <c r="FLU6" s="484"/>
      <c r="FLV6" s="484"/>
      <c r="FLW6" s="484"/>
      <c r="FLX6" s="484"/>
      <c r="FLY6" s="484"/>
      <c r="FLZ6" s="484"/>
      <c r="FMA6" s="484"/>
      <c r="FMB6" s="484"/>
      <c r="FMC6" s="484"/>
      <c r="FMD6" s="484"/>
      <c r="FME6" s="484"/>
      <c r="FMF6" s="484"/>
      <c r="FMG6" s="484"/>
      <c r="FMH6" s="484"/>
      <c r="FMI6" s="484"/>
      <c r="FMJ6" s="484"/>
      <c r="FMK6" s="484"/>
      <c r="FML6" s="484"/>
      <c r="FMM6" s="484"/>
      <c r="FMN6" s="484"/>
      <c r="FMO6" s="484"/>
      <c r="FMP6" s="484"/>
      <c r="FMQ6" s="484"/>
      <c r="FMR6" s="484"/>
      <c r="FMS6" s="484"/>
      <c r="FMT6" s="484"/>
      <c r="FMU6" s="484"/>
      <c r="FMV6" s="484"/>
      <c r="FMW6" s="484"/>
      <c r="FMX6" s="484"/>
      <c r="FMY6" s="484"/>
      <c r="FMZ6" s="484"/>
      <c r="FNA6" s="484"/>
      <c r="FNB6" s="484"/>
      <c r="FNC6" s="484"/>
      <c r="FND6" s="484"/>
      <c r="FNE6" s="484"/>
      <c r="FNF6" s="484"/>
      <c r="FNG6" s="484"/>
      <c r="FNH6" s="484"/>
      <c r="FNI6" s="484"/>
      <c r="FNJ6" s="484"/>
      <c r="FNK6" s="484"/>
      <c r="FNL6" s="484"/>
      <c r="FNM6" s="484"/>
      <c r="FNN6" s="484"/>
      <c r="FNO6" s="484"/>
      <c r="FNP6" s="484"/>
      <c r="FNQ6" s="484"/>
      <c r="FNR6" s="484"/>
      <c r="FNS6" s="484"/>
      <c r="FNT6" s="484"/>
      <c r="FNU6" s="484"/>
      <c r="FNV6" s="484"/>
      <c r="FNW6" s="484"/>
      <c r="FNX6" s="484"/>
      <c r="FNY6" s="484"/>
      <c r="FNZ6" s="484"/>
      <c r="FOA6" s="484"/>
      <c r="FOB6" s="484"/>
      <c r="FOC6" s="484"/>
      <c r="FOD6" s="484"/>
      <c r="FOE6" s="484"/>
      <c r="FOF6" s="484"/>
      <c r="FOG6" s="484"/>
      <c r="FOH6" s="484"/>
      <c r="FOI6" s="484"/>
      <c r="FOJ6" s="484"/>
      <c r="FOK6" s="484"/>
      <c r="FOL6" s="484"/>
      <c r="FOM6" s="484"/>
      <c r="FON6" s="484"/>
      <c r="FOO6" s="484"/>
      <c r="FOP6" s="484"/>
      <c r="FOQ6" s="484"/>
      <c r="FOR6" s="484"/>
      <c r="FOS6" s="484"/>
      <c r="FOT6" s="484"/>
      <c r="FOU6" s="484"/>
      <c r="FOV6" s="484"/>
      <c r="FOW6" s="484"/>
      <c r="FOX6" s="484"/>
      <c r="FOY6" s="484"/>
      <c r="FOZ6" s="484"/>
      <c r="FPA6" s="484"/>
      <c r="FPB6" s="484"/>
      <c r="FPC6" s="484"/>
      <c r="FPD6" s="484"/>
      <c r="FPE6" s="484"/>
      <c r="FPF6" s="484"/>
      <c r="FPG6" s="484"/>
      <c r="FPH6" s="484"/>
      <c r="FPI6" s="484"/>
      <c r="FPJ6" s="484"/>
      <c r="FPK6" s="484"/>
      <c r="FPL6" s="484"/>
      <c r="FPM6" s="484"/>
      <c r="FPN6" s="484"/>
      <c r="FPO6" s="484"/>
      <c r="FPP6" s="484"/>
      <c r="FPQ6" s="484"/>
      <c r="FPR6" s="484"/>
      <c r="FPS6" s="484"/>
      <c r="FPT6" s="484"/>
      <c r="FPU6" s="484"/>
      <c r="FPV6" s="484"/>
      <c r="FPW6" s="484"/>
      <c r="FPX6" s="484"/>
      <c r="FPY6" s="484"/>
      <c r="FPZ6" s="484"/>
      <c r="FQA6" s="484"/>
      <c r="FQB6" s="484"/>
      <c r="FQC6" s="484"/>
      <c r="FQD6" s="484"/>
      <c r="FQE6" s="484"/>
      <c r="FQF6" s="484"/>
      <c r="FQG6" s="484"/>
      <c r="FQH6" s="484"/>
      <c r="FQI6" s="484"/>
      <c r="FQJ6" s="484"/>
      <c r="FQK6" s="484"/>
      <c r="FQL6" s="484"/>
      <c r="FQM6" s="484"/>
      <c r="FQN6" s="484"/>
      <c r="FQO6" s="484"/>
      <c r="FQP6" s="484"/>
      <c r="FQQ6" s="484"/>
      <c r="FQR6" s="484"/>
      <c r="FQS6" s="484"/>
      <c r="FQT6" s="484"/>
      <c r="FQU6" s="484"/>
      <c r="FQV6" s="484"/>
      <c r="FQW6" s="484"/>
      <c r="FQX6" s="484"/>
      <c r="FQY6" s="484"/>
      <c r="FQZ6" s="484"/>
      <c r="FRA6" s="484"/>
      <c r="FRB6" s="484"/>
      <c r="FRC6" s="484"/>
      <c r="FRD6" s="484"/>
      <c r="FRE6" s="484"/>
      <c r="FRF6" s="484"/>
      <c r="FRG6" s="484"/>
      <c r="FRH6" s="484"/>
      <c r="FRI6" s="484"/>
      <c r="FRJ6" s="484"/>
      <c r="FRK6" s="484"/>
      <c r="FRL6" s="484"/>
      <c r="FRM6" s="484"/>
      <c r="FRN6" s="484"/>
      <c r="FRO6" s="484"/>
      <c r="FRP6" s="484"/>
      <c r="FRQ6" s="484"/>
      <c r="FRR6" s="484"/>
      <c r="FRS6" s="484"/>
      <c r="FRT6" s="484"/>
      <c r="FRU6" s="484"/>
      <c r="FRV6" s="484"/>
      <c r="FRW6" s="484"/>
      <c r="FRX6" s="484"/>
      <c r="FRY6" s="484"/>
      <c r="FRZ6" s="484"/>
      <c r="FSA6" s="484"/>
      <c r="FSB6" s="484"/>
      <c r="FSC6" s="484"/>
      <c r="FSD6" s="484"/>
      <c r="FSE6" s="484"/>
      <c r="FSF6" s="484"/>
      <c r="FSG6" s="484"/>
      <c r="FSH6" s="484"/>
      <c r="FSI6" s="484"/>
      <c r="FSJ6" s="484"/>
      <c r="FSK6" s="484"/>
      <c r="FSL6" s="484"/>
      <c r="FSM6" s="484"/>
      <c r="FSN6" s="484"/>
      <c r="FSO6" s="484"/>
      <c r="FSP6" s="484"/>
      <c r="FSQ6" s="484"/>
      <c r="FSR6" s="484"/>
      <c r="FSS6" s="484"/>
      <c r="FST6" s="484"/>
      <c r="FSU6" s="484"/>
      <c r="FSV6" s="484"/>
      <c r="FSW6" s="484"/>
      <c r="FSX6" s="484"/>
      <c r="FSY6" s="484"/>
      <c r="FSZ6" s="484"/>
      <c r="FTA6" s="484"/>
      <c r="FTB6" s="484"/>
      <c r="FTC6" s="484"/>
      <c r="FTD6" s="484"/>
      <c r="FTE6" s="484"/>
      <c r="FTF6" s="484"/>
      <c r="FTG6" s="484"/>
      <c r="FTH6" s="484"/>
      <c r="FTI6" s="484"/>
      <c r="FTJ6" s="484"/>
      <c r="FTK6" s="484"/>
      <c r="FTL6" s="484"/>
      <c r="FTM6" s="484"/>
      <c r="FTN6" s="484"/>
      <c r="FTO6" s="484"/>
      <c r="FTP6" s="484"/>
      <c r="FTQ6" s="484"/>
      <c r="FTR6" s="484"/>
      <c r="FTS6" s="484"/>
      <c r="FTT6" s="484"/>
      <c r="FTU6" s="484"/>
      <c r="FTV6" s="484"/>
      <c r="FTW6" s="484"/>
      <c r="FTX6" s="484"/>
      <c r="FTY6" s="484"/>
      <c r="FTZ6" s="484"/>
      <c r="FUA6" s="484"/>
      <c r="FUB6" s="484"/>
      <c r="FUC6" s="484"/>
      <c r="FUD6" s="484"/>
      <c r="FUE6" s="484"/>
      <c r="FUF6" s="484"/>
      <c r="FUG6" s="484"/>
      <c r="FUH6" s="484"/>
      <c r="FUI6" s="484"/>
      <c r="FUJ6" s="484"/>
      <c r="FUK6" s="484"/>
      <c r="FUL6" s="484"/>
      <c r="FUM6" s="484"/>
      <c r="FUN6" s="484"/>
      <c r="FUO6" s="484"/>
      <c r="FUP6" s="484"/>
      <c r="FUQ6" s="484"/>
      <c r="FUR6" s="484"/>
      <c r="FUS6" s="484"/>
      <c r="FUT6" s="484"/>
      <c r="FUU6" s="484"/>
      <c r="FUV6" s="484"/>
      <c r="FUW6" s="484"/>
      <c r="FUX6" s="484"/>
      <c r="FUY6" s="484"/>
      <c r="FUZ6" s="484"/>
      <c r="FVA6" s="484"/>
      <c r="FVB6" s="484"/>
      <c r="FVC6" s="484"/>
      <c r="FVD6" s="484"/>
      <c r="FVE6" s="484"/>
      <c r="FVF6" s="484"/>
      <c r="FVG6" s="484"/>
      <c r="FVH6" s="484"/>
      <c r="FVI6" s="484"/>
      <c r="FVJ6" s="484"/>
      <c r="FVK6" s="484"/>
      <c r="FVL6" s="484"/>
      <c r="FVM6" s="484"/>
      <c r="FVN6" s="484"/>
      <c r="FVO6" s="484"/>
      <c r="FVP6" s="484"/>
      <c r="FVQ6" s="484"/>
      <c r="FVR6" s="484"/>
      <c r="FVS6" s="484"/>
      <c r="FVT6" s="484"/>
      <c r="FVU6" s="484"/>
      <c r="FVV6" s="484"/>
      <c r="FVW6" s="484"/>
      <c r="FVX6" s="484"/>
      <c r="FVY6" s="484"/>
      <c r="FVZ6" s="484"/>
      <c r="FWA6" s="484"/>
      <c r="FWB6" s="484"/>
      <c r="FWC6" s="484"/>
      <c r="FWD6" s="484"/>
      <c r="FWE6" s="484"/>
      <c r="FWF6" s="484"/>
      <c r="FWG6" s="484"/>
      <c r="FWH6" s="484"/>
      <c r="FWI6" s="484"/>
      <c r="FWJ6" s="484"/>
      <c r="FWK6" s="484"/>
      <c r="FWL6" s="484"/>
      <c r="FWM6" s="484"/>
      <c r="FWN6" s="484"/>
      <c r="FWO6" s="484"/>
      <c r="FWP6" s="484"/>
      <c r="FWQ6" s="484"/>
      <c r="FWR6" s="484"/>
      <c r="FWS6" s="484"/>
      <c r="FWT6" s="484"/>
      <c r="FWU6" s="484"/>
      <c r="FWV6" s="484"/>
      <c r="FWW6" s="484"/>
      <c r="FWX6" s="484"/>
      <c r="FWY6" s="484"/>
      <c r="FWZ6" s="484"/>
      <c r="FXA6" s="484"/>
      <c r="FXB6" s="484"/>
      <c r="FXC6" s="484"/>
      <c r="FXD6" s="484"/>
      <c r="FXE6" s="484"/>
      <c r="FXF6" s="484"/>
      <c r="FXG6" s="484"/>
      <c r="FXH6" s="484"/>
      <c r="FXI6" s="484"/>
      <c r="FXJ6" s="484"/>
      <c r="FXK6" s="484"/>
      <c r="FXL6" s="484"/>
      <c r="FXM6" s="484"/>
      <c r="FXN6" s="484"/>
      <c r="FXO6" s="484"/>
      <c r="FXP6" s="484"/>
      <c r="FXQ6" s="484"/>
      <c r="FXR6" s="484"/>
      <c r="FXS6" s="484"/>
      <c r="FXT6" s="484"/>
      <c r="FXU6" s="484"/>
      <c r="FXV6" s="484"/>
      <c r="FXW6" s="484"/>
      <c r="FXX6" s="484"/>
      <c r="FXY6" s="484"/>
      <c r="FXZ6" s="484"/>
      <c r="FYA6" s="484"/>
      <c r="FYB6" s="484"/>
      <c r="FYC6" s="484"/>
      <c r="FYD6" s="484"/>
      <c r="FYE6" s="484"/>
      <c r="FYF6" s="484"/>
      <c r="FYG6" s="484"/>
      <c r="FYH6" s="484"/>
      <c r="FYI6" s="484"/>
      <c r="FYJ6" s="484"/>
      <c r="FYK6" s="484"/>
      <c r="FYL6" s="484"/>
      <c r="FYM6" s="484"/>
      <c r="FYN6" s="484"/>
      <c r="FYO6" s="484"/>
      <c r="FYP6" s="484"/>
      <c r="FYQ6" s="484"/>
      <c r="FYR6" s="484"/>
      <c r="FYS6" s="484"/>
      <c r="FYT6" s="484"/>
      <c r="FYU6" s="484"/>
      <c r="FYV6" s="484"/>
      <c r="FYW6" s="484"/>
      <c r="FYX6" s="484"/>
      <c r="FYY6" s="484"/>
      <c r="FYZ6" s="484"/>
      <c r="FZA6" s="484"/>
      <c r="FZB6" s="484"/>
      <c r="FZC6" s="484"/>
      <c r="FZD6" s="484"/>
      <c r="FZE6" s="484"/>
      <c r="FZF6" s="484"/>
      <c r="FZG6" s="484"/>
      <c r="FZH6" s="484"/>
      <c r="FZI6" s="484"/>
      <c r="FZJ6" s="484"/>
      <c r="FZK6" s="484"/>
      <c r="FZL6" s="484"/>
      <c r="FZM6" s="484"/>
      <c r="FZN6" s="484"/>
      <c r="FZO6" s="484"/>
      <c r="FZP6" s="484"/>
      <c r="FZQ6" s="484"/>
      <c r="FZR6" s="484"/>
      <c r="FZS6" s="484"/>
      <c r="FZT6" s="484"/>
      <c r="FZU6" s="484"/>
      <c r="FZV6" s="484"/>
      <c r="FZW6" s="484"/>
      <c r="FZX6" s="484"/>
      <c r="FZY6" s="484"/>
      <c r="FZZ6" s="484"/>
      <c r="GAA6" s="484"/>
      <c r="GAB6" s="484"/>
      <c r="GAC6" s="484"/>
      <c r="GAD6" s="484"/>
      <c r="GAE6" s="484"/>
      <c r="GAF6" s="484"/>
      <c r="GAG6" s="484"/>
      <c r="GAH6" s="484"/>
      <c r="GAI6" s="484"/>
      <c r="GAJ6" s="484"/>
      <c r="GAK6" s="484"/>
      <c r="GAL6" s="484"/>
      <c r="GAM6" s="484"/>
      <c r="GAN6" s="484"/>
      <c r="GAO6" s="484"/>
      <c r="GAP6" s="484"/>
      <c r="GAQ6" s="484"/>
      <c r="GAR6" s="484"/>
      <c r="GAS6" s="484"/>
      <c r="GAT6" s="484"/>
      <c r="GAU6" s="484"/>
      <c r="GAV6" s="484"/>
      <c r="GAW6" s="484"/>
      <c r="GAX6" s="484"/>
      <c r="GAY6" s="484"/>
      <c r="GAZ6" s="484"/>
      <c r="GBA6" s="484"/>
      <c r="GBB6" s="484"/>
      <c r="GBC6" s="484"/>
      <c r="GBD6" s="484"/>
      <c r="GBE6" s="484"/>
      <c r="GBF6" s="484"/>
      <c r="GBG6" s="484"/>
      <c r="GBH6" s="484"/>
      <c r="GBI6" s="484"/>
      <c r="GBJ6" s="484"/>
      <c r="GBK6" s="484"/>
      <c r="GBL6" s="484"/>
      <c r="GBM6" s="484"/>
      <c r="GBN6" s="484"/>
      <c r="GBO6" s="484"/>
      <c r="GBP6" s="484"/>
      <c r="GBQ6" s="484"/>
      <c r="GBR6" s="484"/>
      <c r="GBS6" s="484"/>
      <c r="GBT6" s="484"/>
      <c r="GBU6" s="484"/>
      <c r="GBV6" s="484"/>
      <c r="GBW6" s="484"/>
      <c r="GBX6" s="484"/>
      <c r="GBY6" s="484"/>
      <c r="GBZ6" s="484"/>
      <c r="GCA6" s="484"/>
      <c r="GCB6" s="484"/>
      <c r="GCC6" s="484"/>
      <c r="GCD6" s="484"/>
      <c r="GCE6" s="484"/>
      <c r="GCF6" s="484"/>
      <c r="GCG6" s="484"/>
      <c r="GCH6" s="484"/>
      <c r="GCI6" s="484"/>
      <c r="GCJ6" s="484"/>
      <c r="GCK6" s="484"/>
      <c r="GCL6" s="484"/>
      <c r="GCM6" s="484"/>
      <c r="GCN6" s="484"/>
      <c r="GCO6" s="484"/>
      <c r="GCP6" s="484"/>
      <c r="GCQ6" s="484"/>
      <c r="GCR6" s="484"/>
      <c r="GCS6" s="484"/>
      <c r="GCT6" s="484"/>
      <c r="GCU6" s="484"/>
      <c r="GCV6" s="484"/>
      <c r="GCW6" s="484"/>
      <c r="GCX6" s="484"/>
      <c r="GCY6" s="484"/>
      <c r="GCZ6" s="484"/>
      <c r="GDA6" s="484"/>
      <c r="GDB6" s="484"/>
      <c r="GDC6" s="484"/>
      <c r="GDD6" s="484"/>
      <c r="GDE6" s="484"/>
      <c r="GDF6" s="484"/>
      <c r="GDG6" s="484"/>
      <c r="GDH6" s="484"/>
      <c r="GDI6" s="484"/>
      <c r="GDJ6" s="484"/>
      <c r="GDK6" s="484"/>
      <c r="GDL6" s="484"/>
      <c r="GDM6" s="484"/>
      <c r="GDN6" s="484"/>
      <c r="GDO6" s="484"/>
      <c r="GDP6" s="484"/>
      <c r="GDQ6" s="484"/>
      <c r="GDR6" s="484"/>
      <c r="GDS6" s="484"/>
      <c r="GDT6" s="484"/>
      <c r="GDU6" s="484"/>
      <c r="GDV6" s="484"/>
      <c r="GDW6" s="484"/>
      <c r="GDX6" s="484"/>
      <c r="GDY6" s="484"/>
      <c r="GDZ6" s="484"/>
      <c r="GEA6" s="484"/>
      <c r="GEB6" s="484"/>
      <c r="GEC6" s="484"/>
      <c r="GED6" s="484"/>
      <c r="GEE6" s="484"/>
      <c r="GEF6" s="484"/>
      <c r="GEG6" s="484"/>
      <c r="GEH6" s="484"/>
      <c r="GEI6" s="484"/>
      <c r="GEJ6" s="484"/>
      <c r="GEK6" s="484"/>
      <c r="GEL6" s="484"/>
      <c r="GEM6" s="484"/>
      <c r="GEN6" s="484"/>
      <c r="GEO6" s="484"/>
      <c r="GEP6" s="484"/>
      <c r="GEQ6" s="484"/>
      <c r="GER6" s="484"/>
      <c r="GES6" s="484"/>
      <c r="GET6" s="484"/>
      <c r="GEU6" s="484"/>
      <c r="GEV6" s="484"/>
      <c r="GEW6" s="484"/>
      <c r="GEX6" s="484"/>
      <c r="GEY6" s="484"/>
      <c r="GEZ6" s="484"/>
      <c r="GFA6" s="484"/>
      <c r="GFB6" s="484"/>
      <c r="GFC6" s="484"/>
      <c r="GFD6" s="484"/>
      <c r="GFE6" s="484"/>
      <c r="GFF6" s="484"/>
      <c r="GFG6" s="484"/>
      <c r="GFH6" s="484"/>
      <c r="GFI6" s="484"/>
      <c r="GFJ6" s="484"/>
      <c r="GFK6" s="484"/>
      <c r="GFL6" s="484"/>
      <c r="GFM6" s="484"/>
      <c r="GFN6" s="484"/>
      <c r="GFO6" s="484"/>
      <c r="GFP6" s="484"/>
      <c r="GFQ6" s="484"/>
      <c r="GFR6" s="484"/>
      <c r="GFS6" s="484"/>
      <c r="GFT6" s="484"/>
      <c r="GFU6" s="484"/>
      <c r="GFV6" s="484"/>
      <c r="GFW6" s="484"/>
      <c r="GFX6" s="484"/>
      <c r="GFY6" s="484"/>
      <c r="GFZ6" s="484"/>
      <c r="GGA6" s="484"/>
      <c r="GGB6" s="484"/>
      <c r="GGC6" s="484"/>
      <c r="GGD6" s="484"/>
      <c r="GGE6" s="484"/>
      <c r="GGF6" s="484"/>
      <c r="GGG6" s="484"/>
      <c r="GGH6" s="484"/>
      <c r="GGI6" s="484"/>
      <c r="GGJ6" s="484"/>
      <c r="GGK6" s="484"/>
      <c r="GGL6" s="484"/>
      <c r="GGM6" s="484"/>
      <c r="GGN6" s="484"/>
      <c r="GGO6" s="484"/>
      <c r="GGP6" s="484"/>
      <c r="GGQ6" s="484"/>
      <c r="GGR6" s="484"/>
      <c r="GGS6" s="484"/>
      <c r="GGT6" s="484"/>
      <c r="GGU6" s="484"/>
      <c r="GGV6" s="484"/>
      <c r="GGW6" s="484"/>
      <c r="GGX6" s="484"/>
      <c r="GGY6" s="484"/>
      <c r="GGZ6" s="484"/>
      <c r="GHA6" s="484"/>
      <c r="GHB6" s="484"/>
      <c r="GHC6" s="484"/>
      <c r="GHD6" s="484"/>
      <c r="GHE6" s="484"/>
      <c r="GHF6" s="484"/>
      <c r="GHG6" s="484"/>
      <c r="GHH6" s="484"/>
      <c r="GHI6" s="484"/>
      <c r="GHJ6" s="484"/>
      <c r="GHK6" s="484"/>
      <c r="GHL6" s="484"/>
      <c r="GHM6" s="484"/>
      <c r="GHN6" s="484"/>
      <c r="GHO6" s="484"/>
      <c r="GHP6" s="484"/>
      <c r="GHQ6" s="484"/>
      <c r="GHR6" s="484"/>
      <c r="GHS6" s="484"/>
      <c r="GHT6" s="484"/>
      <c r="GHU6" s="484"/>
      <c r="GHV6" s="484"/>
      <c r="GHW6" s="484"/>
      <c r="GHX6" s="484"/>
      <c r="GHY6" s="484"/>
      <c r="GHZ6" s="484"/>
      <c r="GIA6" s="484"/>
      <c r="GIB6" s="484"/>
      <c r="GIC6" s="484"/>
      <c r="GID6" s="484"/>
      <c r="GIE6" s="484"/>
      <c r="GIF6" s="484"/>
      <c r="GIG6" s="484"/>
      <c r="GIH6" s="484"/>
      <c r="GII6" s="484"/>
      <c r="GIJ6" s="484"/>
      <c r="GIK6" s="484"/>
      <c r="GIL6" s="484"/>
      <c r="GIM6" s="484"/>
      <c r="GIN6" s="484"/>
      <c r="GIO6" s="484"/>
      <c r="GIP6" s="484"/>
      <c r="GIQ6" s="484"/>
      <c r="GIR6" s="484"/>
      <c r="GIS6" s="484"/>
      <c r="GIT6" s="484"/>
      <c r="GIU6" s="484"/>
      <c r="GIV6" s="484"/>
      <c r="GIW6" s="484"/>
      <c r="GIX6" s="484"/>
      <c r="GIY6" s="484"/>
      <c r="GIZ6" s="484"/>
      <c r="GJA6" s="484"/>
      <c r="GJB6" s="484"/>
      <c r="GJC6" s="484"/>
      <c r="GJD6" s="484"/>
      <c r="GJE6" s="484"/>
      <c r="GJF6" s="484"/>
      <c r="GJG6" s="484"/>
      <c r="GJH6" s="484"/>
      <c r="GJI6" s="484"/>
      <c r="GJJ6" s="484"/>
      <c r="GJK6" s="484"/>
      <c r="GJL6" s="484"/>
      <c r="GJM6" s="484"/>
      <c r="GJN6" s="484"/>
      <c r="GJO6" s="484"/>
      <c r="GJP6" s="484"/>
      <c r="GJQ6" s="484"/>
      <c r="GJR6" s="484"/>
      <c r="GJS6" s="484"/>
      <c r="GJT6" s="484"/>
      <c r="GJU6" s="484"/>
      <c r="GJV6" s="484"/>
      <c r="GJW6" s="484"/>
      <c r="GJX6" s="484"/>
      <c r="GJY6" s="484"/>
      <c r="GJZ6" s="484"/>
      <c r="GKA6" s="484"/>
      <c r="GKB6" s="484"/>
      <c r="GKC6" s="484"/>
      <c r="GKD6" s="484"/>
      <c r="GKE6" s="484"/>
      <c r="GKF6" s="484"/>
      <c r="GKG6" s="484"/>
      <c r="GKH6" s="484"/>
      <c r="GKI6" s="484"/>
      <c r="GKJ6" s="484"/>
      <c r="GKK6" s="484"/>
      <c r="GKL6" s="484"/>
      <c r="GKM6" s="484"/>
      <c r="GKN6" s="484"/>
      <c r="GKO6" s="484"/>
      <c r="GKP6" s="484"/>
      <c r="GKQ6" s="484"/>
      <c r="GKR6" s="484"/>
      <c r="GKS6" s="484"/>
      <c r="GKT6" s="484"/>
      <c r="GKU6" s="484"/>
      <c r="GKV6" s="484"/>
      <c r="GKW6" s="484"/>
      <c r="GKX6" s="484"/>
      <c r="GKY6" s="484"/>
      <c r="GKZ6" s="484"/>
      <c r="GLA6" s="484"/>
      <c r="GLB6" s="484"/>
      <c r="GLC6" s="484"/>
      <c r="GLD6" s="484"/>
      <c r="GLE6" s="484"/>
      <c r="GLF6" s="484"/>
      <c r="GLG6" s="484"/>
      <c r="GLH6" s="484"/>
      <c r="GLI6" s="484"/>
      <c r="GLJ6" s="484"/>
      <c r="GLK6" s="484"/>
      <c r="GLL6" s="484"/>
      <c r="GLM6" s="484"/>
      <c r="GLN6" s="484"/>
      <c r="GLO6" s="484"/>
      <c r="GLP6" s="484"/>
      <c r="GLQ6" s="484"/>
      <c r="GLR6" s="484"/>
      <c r="GLS6" s="484"/>
      <c r="GLT6" s="484"/>
      <c r="GLU6" s="484"/>
      <c r="GLV6" s="484"/>
      <c r="GLW6" s="484"/>
      <c r="GLX6" s="484"/>
      <c r="GLY6" s="484"/>
      <c r="GLZ6" s="484"/>
      <c r="GMA6" s="484"/>
      <c r="GMB6" s="484"/>
      <c r="GMC6" s="484"/>
      <c r="GMD6" s="484"/>
      <c r="GME6" s="484"/>
      <c r="GMF6" s="484"/>
      <c r="GMG6" s="484"/>
      <c r="GMH6" s="484"/>
      <c r="GMI6" s="484"/>
      <c r="GMJ6" s="484"/>
      <c r="GMK6" s="484"/>
      <c r="GML6" s="484"/>
      <c r="GMM6" s="484"/>
      <c r="GMN6" s="484"/>
      <c r="GMO6" s="484"/>
      <c r="GMP6" s="484"/>
      <c r="GMQ6" s="484"/>
      <c r="GMR6" s="484"/>
      <c r="GMS6" s="484"/>
      <c r="GMT6" s="484"/>
      <c r="GMU6" s="484"/>
      <c r="GMV6" s="484"/>
      <c r="GMW6" s="484"/>
      <c r="GMX6" s="484"/>
      <c r="GMY6" s="484"/>
      <c r="GMZ6" s="484"/>
      <c r="GNA6" s="484"/>
      <c r="GNB6" s="484"/>
      <c r="GNC6" s="484"/>
      <c r="GND6" s="484"/>
      <c r="GNE6" s="484"/>
      <c r="GNF6" s="484"/>
      <c r="GNG6" s="484"/>
      <c r="GNH6" s="484"/>
      <c r="GNI6" s="484"/>
      <c r="GNJ6" s="484"/>
      <c r="GNK6" s="484"/>
      <c r="GNL6" s="484"/>
      <c r="GNM6" s="484"/>
      <c r="GNN6" s="484"/>
      <c r="GNO6" s="484"/>
      <c r="GNP6" s="484"/>
      <c r="GNQ6" s="484"/>
      <c r="GNR6" s="484"/>
      <c r="GNS6" s="484"/>
      <c r="GNT6" s="484"/>
      <c r="GNU6" s="484"/>
      <c r="GNV6" s="484"/>
      <c r="GNW6" s="484"/>
      <c r="GNX6" s="484"/>
      <c r="GNY6" s="484"/>
      <c r="GNZ6" s="484"/>
      <c r="GOA6" s="484"/>
      <c r="GOB6" s="484"/>
      <c r="GOC6" s="484"/>
      <c r="GOD6" s="484"/>
      <c r="GOE6" s="484"/>
      <c r="GOF6" s="484"/>
      <c r="GOG6" s="484"/>
      <c r="GOH6" s="484"/>
      <c r="GOI6" s="484"/>
      <c r="GOJ6" s="484"/>
      <c r="GOK6" s="484"/>
      <c r="GOL6" s="484"/>
      <c r="GOM6" s="484"/>
      <c r="GON6" s="484"/>
      <c r="GOO6" s="484"/>
      <c r="GOP6" s="484"/>
      <c r="GOQ6" s="484"/>
      <c r="GOR6" s="484"/>
      <c r="GOS6" s="484"/>
      <c r="GOT6" s="484"/>
      <c r="GOU6" s="484"/>
      <c r="GOV6" s="484"/>
      <c r="GOW6" s="484"/>
      <c r="GOX6" s="484"/>
      <c r="GOY6" s="484"/>
      <c r="GOZ6" s="484"/>
      <c r="GPA6" s="484"/>
      <c r="GPB6" s="484"/>
      <c r="GPC6" s="484"/>
      <c r="GPD6" s="484"/>
      <c r="GPE6" s="484"/>
      <c r="GPF6" s="484"/>
      <c r="GPG6" s="484"/>
      <c r="GPH6" s="484"/>
      <c r="GPI6" s="484"/>
      <c r="GPJ6" s="484"/>
      <c r="GPK6" s="484"/>
      <c r="GPL6" s="484"/>
      <c r="GPM6" s="484"/>
      <c r="GPN6" s="484"/>
      <c r="GPO6" s="484"/>
      <c r="GPP6" s="484"/>
      <c r="GPQ6" s="484"/>
      <c r="GPR6" s="484"/>
      <c r="GPS6" s="484"/>
      <c r="GPT6" s="484"/>
      <c r="GPU6" s="484"/>
      <c r="GPV6" s="484"/>
      <c r="GPW6" s="484"/>
      <c r="GPX6" s="484"/>
      <c r="GPY6" s="484"/>
      <c r="GPZ6" s="484"/>
      <c r="GQA6" s="484"/>
      <c r="GQB6" s="484"/>
      <c r="GQC6" s="484"/>
      <c r="GQD6" s="484"/>
      <c r="GQE6" s="484"/>
      <c r="GQF6" s="484"/>
      <c r="GQG6" s="484"/>
      <c r="GQH6" s="484"/>
      <c r="GQI6" s="484"/>
      <c r="GQJ6" s="484"/>
      <c r="GQK6" s="484"/>
      <c r="GQL6" s="484"/>
      <c r="GQM6" s="484"/>
      <c r="GQN6" s="484"/>
      <c r="GQO6" s="484"/>
      <c r="GQP6" s="484"/>
      <c r="GQQ6" s="484"/>
      <c r="GQR6" s="484"/>
      <c r="GQS6" s="484"/>
      <c r="GQT6" s="484"/>
      <c r="GQU6" s="484"/>
      <c r="GQV6" s="484"/>
      <c r="GQW6" s="484"/>
      <c r="GQX6" s="484"/>
      <c r="GQY6" s="484"/>
      <c r="GQZ6" s="484"/>
      <c r="GRA6" s="484"/>
      <c r="GRB6" s="484"/>
      <c r="GRC6" s="484"/>
      <c r="GRD6" s="484"/>
      <c r="GRE6" s="484"/>
      <c r="GRF6" s="484"/>
      <c r="GRG6" s="484"/>
      <c r="GRH6" s="484"/>
      <c r="GRI6" s="484"/>
      <c r="GRJ6" s="484"/>
      <c r="GRK6" s="484"/>
      <c r="GRL6" s="484"/>
      <c r="GRM6" s="484"/>
      <c r="GRN6" s="484"/>
      <c r="GRO6" s="484"/>
      <c r="GRP6" s="484"/>
      <c r="GRQ6" s="484"/>
      <c r="GRR6" s="484"/>
      <c r="GRS6" s="484"/>
      <c r="GRT6" s="484"/>
      <c r="GRU6" s="484"/>
      <c r="GRV6" s="484"/>
      <c r="GRW6" s="484"/>
      <c r="GRX6" s="484"/>
      <c r="GRY6" s="484"/>
      <c r="GRZ6" s="484"/>
      <c r="GSA6" s="484"/>
      <c r="GSB6" s="484"/>
      <c r="GSC6" s="484"/>
      <c r="GSD6" s="484"/>
      <c r="GSE6" s="484"/>
      <c r="GSF6" s="484"/>
      <c r="GSG6" s="484"/>
      <c r="GSH6" s="484"/>
      <c r="GSI6" s="484"/>
      <c r="GSJ6" s="484"/>
      <c r="GSK6" s="484"/>
      <c r="GSL6" s="484"/>
      <c r="GSM6" s="484"/>
      <c r="GSN6" s="484"/>
      <c r="GSO6" s="484"/>
      <c r="GSP6" s="484"/>
      <c r="GSQ6" s="484"/>
      <c r="GSR6" s="484"/>
      <c r="GSS6" s="484"/>
      <c r="GST6" s="484"/>
      <c r="GSU6" s="484"/>
      <c r="GSV6" s="484"/>
      <c r="GSW6" s="484"/>
      <c r="GSX6" s="484"/>
      <c r="GSY6" s="484"/>
      <c r="GSZ6" s="484"/>
      <c r="GTA6" s="484"/>
      <c r="GTB6" s="484"/>
      <c r="GTC6" s="484"/>
      <c r="GTD6" s="484"/>
      <c r="GTE6" s="484"/>
      <c r="GTF6" s="484"/>
      <c r="GTG6" s="484"/>
      <c r="GTH6" s="484"/>
      <c r="GTI6" s="484"/>
      <c r="GTJ6" s="484"/>
      <c r="GTK6" s="484"/>
      <c r="GTL6" s="484"/>
      <c r="GTM6" s="484"/>
      <c r="GTN6" s="484"/>
      <c r="GTO6" s="484"/>
      <c r="GTP6" s="484"/>
      <c r="GTQ6" s="484"/>
      <c r="GTR6" s="484"/>
      <c r="GTS6" s="484"/>
      <c r="GTT6" s="484"/>
      <c r="GTU6" s="484"/>
      <c r="GTV6" s="484"/>
      <c r="GTW6" s="484"/>
      <c r="GTX6" s="484"/>
      <c r="GTY6" s="484"/>
      <c r="GTZ6" s="484"/>
      <c r="GUA6" s="484"/>
      <c r="GUB6" s="484"/>
      <c r="GUC6" s="484"/>
      <c r="GUD6" s="484"/>
      <c r="GUE6" s="484"/>
      <c r="GUF6" s="484"/>
      <c r="GUG6" s="484"/>
      <c r="GUH6" s="484"/>
      <c r="GUI6" s="484"/>
      <c r="GUJ6" s="484"/>
      <c r="GUK6" s="484"/>
      <c r="GUL6" s="484"/>
      <c r="GUM6" s="484"/>
      <c r="GUN6" s="484"/>
      <c r="GUO6" s="484"/>
      <c r="GUP6" s="484"/>
      <c r="GUQ6" s="484"/>
      <c r="GUR6" s="484"/>
      <c r="GUS6" s="484"/>
      <c r="GUT6" s="484"/>
      <c r="GUU6" s="484"/>
      <c r="GUV6" s="484"/>
      <c r="GUW6" s="484"/>
      <c r="GUX6" s="484"/>
      <c r="GUY6" s="484"/>
      <c r="GUZ6" s="484"/>
      <c r="GVA6" s="484"/>
      <c r="GVB6" s="484"/>
      <c r="GVC6" s="484"/>
      <c r="GVD6" s="484"/>
      <c r="GVE6" s="484"/>
      <c r="GVF6" s="484"/>
      <c r="GVG6" s="484"/>
      <c r="GVH6" s="484"/>
      <c r="GVI6" s="484"/>
      <c r="GVJ6" s="484"/>
      <c r="GVK6" s="484"/>
      <c r="GVL6" s="484"/>
      <c r="GVM6" s="484"/>
      <c r="GVN6" s="484"/>
      <c r="GVO6" s="484"/>
      <c r="GVP6" s="484"/>
      <c r="GVQ6" s="484"/>
      <c r="GVR6" s="484"/>
      <c r="GVS6" s="484"/>
      <c r="GVT6" s="484"/>
      <c r="GVU6" s="484"/>
      <c r="GVV6" s="484"/>
      <c r="GVW6" s="484"/>
      <c r="GVX6" s="484"/>
      <c r="GVY6" s="484"/>
      <c r="GVZ6" s="484"/>
      <c r="GWA6" s="484"/>
      <c r="GWB6" s="484"/>
      <c r="GWC6" s="484"/>
      <c r="GWD6" s="484"/>
      <c r="GWE6" s="484"/>
      <c r="GWF6" s="484"/>
      <c r="GWG6" s="484"/>
      <c r="GWH6" s="484"/>
      <c r="GWI6" s="484"/>
      <c r="GWJ6" s="484"/>
      <c r="GWK6" s="484"/>
      <c r="GWL6" s="484"/>
      <c r="GWM6" s="484"/>
      <c r="GWN6" s="484"/>
      <c r="GWO6" s="484"/>
      <c r="GWP6" s="484"/>
      <c r="GWQ6" s="484"/>
      <c r="GWR6" s="484"/>
      <c r="GWS6" s="484"/>
      <c r="GWT6" s="484"/>
      <c r="GWU6" s="484"/>
      <c r="GWV6" s="484"/>
      <c r="GWW6" s="484"/>
      <c r="GWX6" s="484"/>
      <c r="GWY6" s="484"/>
      <c r="GWZ6" s="484"/>
      <c r="GXA6" s="484"/>
      <c r="GXB6" s="484"/>
      <c r="GXC6" s="484"/>
      <c r="GXD6" s="484"/>
      <c r="GXE6" s="484"/>
      <c r="GXF6" s="484"/>
      <c r="GXG6" s="484"/>
      <c r="GXH6" s="484"/>
      <c r="GXI6" s="484"/>
      <c r="GXJ6" s="484"/>
      <c r="GXK6" s="484"/>
      <c r="GXL6" s="484"/>
      <c r="GXM6" s="484"/>
      <c r="GXN6" s="484"/>
      <c r="GXO6" s="484"/>
      <c r="GXP6" s="484"/>
      <c r="GXQ6" s="484"/>
      <c r="GXR6" s="484"/>
      <c r="GXS6" s="484"/>
      <c r="GXT6" s="484"/>
      <c r="GXU6" s="484"/>
      <c r="GXV6" s="484"/>
      <c r="GXW6" s="484"/>
      <c r="GXX6" s="484"/>
      <c r="GXY6" s="484"/>
      <c r="GXZ6" s="484"/>
      <c r="GYA6" s="484"/>
      <c r="GYB6" s="484"/>
      <c r="GYC6" s="484"/>
      <c r="GYD6" s="484"/>
      <c r="GYE6" s="484"/>
      <c r="GYF6" s="484"/>
      <c r="GYG6" s="484"/>
      <c r="GYH6" s="484"/>
      <c r="GYI6" s="484"/>
      <c r="GYJ6" s="484"/>
      <c r="GYK6" s="484"/>
      <c r="GYL6" s="484"/>
      <c r="GYM6" s="484"/>
      <c r="GYN6" s="484"/>
      <c r="GYO6" s="484"/>
      <c r="GYP6" s="484"/>
      <c r="GYQ6" s="484"/>
      <c r="GYR6" s="484"/>
      <c r="GYS6" s="484"/>
      <c r="GYT6" s="484"/>
      <c r="GYU6" s="484"/>
      <c r="GYV6" s="484"/>
      <c r="GYW6" s="484"/>
      <c r="GYX6" s="484"/>
      <c r="GYY6" s="484"/>
      <c r="GYZ6" s="484"/>
      <c r="GZA6" s="484"/>
      <c r="GZB6" s="484"/>
      <c r="GZC6" s="484"/>
      <c r="GZD6" s="484"/>
      <c r="GZE6" s="484"/>
      <c r="GZF6" s="484"/>
      <c r="GZG6" s="484"/>
      <c r="GZH6" s="484"/>
      <c r="GZI6" s="484"/>
      <c r="GZJ6" s="484"/>
      <c r="GZK6" s="484"/>
      <c r="GZL6" s="484"/>
      <c r="GZM6" s="484"/>
      <c r="GZN6" s="484"/>
      <c r="GZO6" s="484"/>
      <c r="GZP6" s="484"/>
      <c r="GZQ6" s="484"/>
      <c r="GZR6" s="484"/>
      <c r="GZS6" s="484"/>
      <c r="GZT6" s="484"/>
      <c r="GZU6" s="484"/>
      <c r="GZV6" s="484"/>
      <c r="GZW6" s="484"/>
      <c r="GZX6" s="484"/>
      <c r="GZY6" s="484"/>
      <c r="GZZ6" s="484"/>
      <c r="HAA6" s="484"/>
      <c r="HAB6" s="484"/>
      <c r="HAC6" s="484"/>
      <c r="HAD6" s="484"/>
      <c r="HAE6" s="484"/>
      <c r="HAF6" s="484"/>
      <c r="HAG6" s="484"/>
      <c r="HAH6" s="484"/>
      <c r="HAI6" s="484"/>
      <c r="HAJ6" s="484"/>
      <c r="HAK6" s="484"/>
      <c r="HAL6" s="484"/>
      <c r="HAM6" s="484"/>
      <c r="HAN6" s="484"/>
      <c r="HAO6" s="484"/>
      <c r="HAP6" s="484"/>
      <c r="HAQ6" s="484"/>
      <c r="HAR6" s="484"/>
      <c r="HAS6" s="484"/>
      <c r="HAT6" s="484"/>
      <c r="HAU6" s="484"/>
      <c r="HAV6" s="484"/>
      <c r="HAW6" s="484"/>
      <c r="HAX6" s="484"/>
      <c r="HAY6" s="484"/>
      <c r="HAZ6" s="484"/>
      <c r="HBA6" s="484"/>
      <c r="HBB6" s="484"/>
      <c r="HBC6" s="484"/>
      <c r="HBD6" s="484"/>
      <c r="HBE6" s="484"/>
      <c r="HBF6" s="484"/>
      <c r="HBG6" s="484"/>
      <c r="HBH6" s="484"/>
      <c r="HBI6" s="484"/>
      <c r="HBJ6" s="484"/>
      <c r="HBK6" s="484"/>
      <c r="HBL6" s="484"/>
      <c r="HBM6" s="484"/>
      <c r="HBN6" s="484"/>
      <c r="HBO6" s="484"/>
      <c r="HBP6" s="484"/>
      <c r="HBQ6" s="484"/>
      <c r="HBR6" s="484"/>
      <c r="HBS6" s="484"/>
      <c r="HBT6" s="484"/>
      <c r="HBU6" s="484"/>
      <c r="HBV6" s="484"/>
      <c r="HBW6" s="484"/>
      <c r="HBX6" s="484"/>
      <c r="HBY6" s="484"/>
      <c r="HBZ6" s="484"/>
      <c r="HCA6" s="484"/>
      <c r="HCB6" s="484"/>
      <c r="HCC6" s="484"/>
      <c r="HCD6" s="484"/>
      <c r="HCE6" s="484"/>
      <c r="HCF6" s="484"/>
      <c r="HCG6" s="484"/>
      <c r="HCH6" s="484"/>
      <c r="HCI6" s="484"/>
      <c r="HCJ6" s="484"/>
      <c r="HCK6" s="484"/>
      <c r="HCL6" s="484"/>
      <c r="HCM6" s="484"/>
      <c r="HCN6" s="484"/>
      <c r="HCO6" s="484"/>
      <c r="HCP6" s="484"/>
      <c r="HCQ6" s="484"/>
      <c r="HCR6" s="484"/>
      <c r="HCS6" s="484"/>
      <c r="HCT6" s="484"/>
      <c r="HCU6" s="484"/>
      <c r="HCV6" s="484"/>
      <c r="HCW6" s="484"/>
      <c r="HCX6" s="484"/>
      <c r="HCY6" s="484"/>
      <c r="HCZ6" s="484"/>
      <c r="HDA6" s="484"/>
      <c r="HDB6" s="484"/>
      <c r="HDC6" s="484"/>
      <c r="HDD6" s="484"/>
      <c r="HDE6" s="484"/>
      <c r="HDF6" s="484"/>
      <c r="HDG6" s="484"/>
      <c r="HDH6" s="484"/>
      <c r="HDI6" s="484"/>
      <c r="HDJ6" s="484"/>
      <c r="HDK6" s="484"/>
      <c r="HDL6" s="484"/>
      <c r="HDM6" s="484"/>
      <c r="HDN6" s="484"/>
      <c r="HDO6" s="484"/>
      <c r="HDP6" s="484"/>
      <c r="HDQ6" s="484"/>
      <c r="HDR6" s="484"/>
      <c r="HDS6" s="484"/>
      <c r="HDT6" s="484"/>
      <c r="HDU6" s="484"/>
      <c r="HDV6" s="484"/>
      <c r="HDW6" s="484"/>
      <c r="HDX6" s="484"/>
      <c r="HDY6" s="484"/>
      <c r="HDZ6" s="484"/>
      <c r="HEA6" s="484"/>
      <c r="HEB6" s="484"/>
      <c r="HEC6" s="484"/>
      <c r="HED6" s="484"/>
      <c r="HEE6" s="484"/>
      <c r="HEF6" s="484"/>
      <c r="HEG6" s="484"/>
      <c r="HEH6" s="484"/>
      <c r="HEI6" s="484"/>
      <c r="HEJ6" s="484"/>
      <c r="HEK6" s="484"/>
      <c r="HEL6" s="484"/>
      <c r="HEM6" s="484"/>
      <c r="HEN6" s="484"/>
      <c r="HEO6" s="484"/>
      <c r="HEP6" s="484"/>
      <c r="HEQ6" s="484"/>
      <c r="HER6" s="484"/>
      <c r="HES6" s="484"/>
      <c r="HET6" s="484"/>
      <c r="HEU6" s="484"/>
      <c r="HEV6" s="484"/>
      <c r="HEW6" s="484"/>
      <c r="HEX6" s="484"/>
      <c r="HEY6" s="484"/>
      <c r="HEZ6" s="484"/>
      <c r="HFA6" s="484"/>
      <c r="HFB6" s="484"/>
      <c r="HFC6" s="484"/>
      <c r="HFD6" s="484"/>
      <c r="HFE6" s="484"/>
      <c r="HFF6" s="484"/>
      <c r="HFG6" s="484"/>
      <c r="HFH6" s="484"/>
      <c r="HFI6" s="484"/>
      <c r="HFJ6" s="484"/>
      <c r="HFK6" s="484"/>
      <c r="HFL6" s="484"/>
      <c r="HFM6" s="484"/>
      <c r="HFN6" s="484"/>
      <c r="HFO6" s="484"/>
      <c r="HFP6" s="484"/>
      <c r="HFQ6" s="484"/>
      <c r="HFR6" s="484"/>
      <c r="HFS6" s="484"/>
      <c r="HFT6" s="484"/>
      <c r="HFU6" s="484"/>
      <c r="HFV6" s="484"/>
      <c r="HFW6" s="484"/>
      <c r="HFX6" s="484"/>
      <c r="HFY6" s="484"/>
      <c r="HFZ6" s="484"/>
      <c r="HGA6" s="484"/>
      <c r="HGB6" s="484"/>
      <c r="HGC6" s="484"/>
      <c r="HGD6" s="484"/>
      <c r="HGE6" s="484"/>
      <c r="HGF6" s="484"/>
      <c r="HGG6" s="484"/>
      <c r="HGH6" s="484"/>
      <c r="HGI6" s="484"/>
      <c r="HGJ6" s="484"/>
      <c r="HGK6" s="484"/>
      <c r="HGL6" s="484"/>
      <c r="HGM6" s="484"/>
      <c r="HGN6" s="484"/>
      <c r="HGO6" s="484"/>
      <c r="HGP6" s="484"/>
      <c r="HGQ6" s="484"/>
      <c r="HGR6" s="484"/>
      <c r="HGS6" s="484"/>
      <c r="HGT6" s="484"/>
      <c r="HGU6" s="484"/>
      <c r="HGV6" s="484"/>
      <c r="HGW6" s="484"/>
      <c r="HGX6" s="484"/>
      <c r="HGY6" s="484"/>
      <c r="HGZ6" s="484"/>
      <c r="HHA6" s="484"/>
      <c r="HHB6" s="484"/>
      <c r="HHC6" s="484"/>
      <c r="HHD6" s="484"/>
      <c r="HHE6" s="484"/>
      <c r="HHF6" s="484"/>
      <c r="HHG6" s="484"/>
      <c r="HHH6" s="484"/>
      <c r="HHI6" s="484"/>
      <c r="HHJ6" s="484"/>
      <c r="HHK6" s="484"/>
      <c r="HHL6" s="484"/>
      <c r="HHM6" s="484"/>
      <c r="HHN6" s="484"/>
      <c r="HHO6" s="484"/>
      <c r="HHP6" s="484"/>
      <c r="HHQ6" s="484"/>
      <c r="HHR6" s="484"/>
      <c r="HHS6" s="484"/>
      <c r="HHT6" s="484"/>
      <c r="HHU6" s="484"/>
      <c r="HHV6" s="484"/>
      <c r="HHW6" s="484"/>
      <c r="HHX6" s="484"/>
      <c r="HHY6" s="484"/>
      <c r="HHZ6" s="484"/>
      <c r="HIA6" s="484"/>
      <c r="HIB6" s="484"/>
      <c r="HIC6" s="484"/>
      <c r="HID6" s="484"/>
      <c r="HIE6" s="484"/>
      <c r="HIF6" s="484"/>
      <c r="HIG6" s="484"/>
      <c r="HIH6" s="484"/>
      <c r="HII6" s="484"/>
      <c r="HIJ6" s="484"/>
      <c r="HIK6" s="484"/>
      <c r="HIL6" s="484"/>
      <c r="HIM6" s="484"/>
      <c r="HIN6" s="484"/>
      <c r="HIO6" s="484"/>
      <c r="HIP6" s="484"/>
      <c r="HIQ6" s="484"/>
      <c r="HIR6" s="484"/>
      <c r="HIS6" s="484"/>
      <c r="HIT6" s="484"/>
      <c r="HIU6" s="484"/>
      <c r="HIV6" s="484"/>
      <c r="HIW6" s="484"/>
      <c r="HIX6" s="484"/>
      <c r="HIY6" s="484"/>
      <c r="HIZ6" s="484"/>
      <c r="HJA6" s="484"/>
      <c r="HJB6" s="484"/>
      <c r="HJC6" s="484"/>
      <c r="HJD6" s="484"/>
      <c r="HJE6" s="484"/>
      <c r="HJF6" s="484"/>
      <c r="HJG6" s="484"/>
      <c r="HJH6" s="484"/>
      <c r="HJI6" s="484"/>
      <c r="HJJ6" s="484"/>
      <c r="HJK6" s="484"/>
      <c r="HJL6" s="484"/>
      <c r="HJM6" s="484"/>
      <c r="HJN6" s="484"/>
      <c r="HJO6" s="484"/>
      <c r="HJP6" s="484"/>
      <c r="HJQ6" s="484"/>
      <c r="HJR6" s="484"/>
      <c r="HJS6" s="484"/>
      <c r="HJT6" s="484"/>
      <c r="HJU6" s="484"/>
      <c r="HJV6" s="484"/>
      <c r="HJW6" s="484"/>
      <c r="HJX6" s="484"/>
      <c r="HJY6" s="484"/>
      <c r="HJZ6" s="484"/>
      <c r="HKA6" s="484"/>
      <c r="HKB6" s="484"/>
      <c r="HKC6" s="484"/>
      <c r="HKD6" s="484"/>
      <c r="HKE6" s="484"/>
      <c r="HKF6" s="484"/>
      <c r="HKG6" s="484"/>
      <c r="HKH6" s="484"/>
      <c r="HKI6" s="484"/>
      <c r="HKJ6" s="484"/>
      <c r="HKK6" s="484"/>
      <c r="HKL6" s="484"/>
      <c r="HKM6" s="484"/>
      <c r="HKN6" s="484"/>
      <c r="HKO6" s="484"/>
      <c r="HKP6" s="484"/>
      <c r="HKQ6" s="484"/>
      <c r="HKR6" s="484"/>
      <c r="HKS6" s="484"/>
      <c r="HKT6" s="484"/>
      <c r="HKU6" s="484"/>
      <c r="HKV6" s="484"/>
      <c r="HKW6" s="484"/>
      <c r="HKX6" s="484"/>
      <c r="HKY6" s="484"/>
      <c r="HKZ6" s="484"/>
      <c r="HLA6" s="484"/>
      <c r="HLB6" s="484"/>
      <c r="HLC6" s="484"/>
      <c r="HLD6" s="484"/>
      <c r="HLE6" s="484"/>
      <c r="HLF6" s="484"/>
      <c r="HLG6" s="484"/>
      <c r="HLH6" s="484"/>
      <c r="HLI6" s="484"/>
      <c r="HLJ6" s="484"/>
      <c r="HLK6" s="484"/>
      <c r="HLL6" s="484"/>
      <c r="HLM6" s="484"/>
      <c r="HLN6" s="484"/>
      <c r="HLO6" s="484"/>
      <c r="HLP6" s="484"/>
      <c r="HLQ6" s="484"/>
      <c r="HLR6" s="484"/>
      <c r="HLS6" s="484"/>
      <c r="HLT6" s="484"/>
      <c r="HLU6" s="484"/>
      <c r="HLV6" s="484"/>
      <c r="HLW6" s="484"/>
      <c r="HLX6" s="484"/>
      <c r="HLY6" s="484"/>
      <c r="HLZ6" s="484"/>
      <c r="HMA6" s="484"/>
      <c r="HMB6" s="484"/>
      <c r="HMC6" s="484"/>
      <c r="HMD6" s="484"/>
      <c r="HME6" s="484"/>
      <c r="HMF6" s="484"/>
      <c r="HMG6" s="484"/>
      <c r="HMH6" s="484"/>
      <c r="HMI6" s="484"/>
      <c r="HMJ6" s="484"/>
      <c r="HMK6" s="484"/>
      <c r="HML6" s="484"/>
      <c r="HMM6" s="484"/>
      <c r="HMN6" s="484"/>
      <c r="HMO6" s="484"/>
      <c r="HMP6" s="484"/>
      <c r="HMQ6" s="484"/>
      <c r="HMR6" s="484"/>
      <c r="HMS6" s="484"/>
      <c r="HMT6" s="484"/>
      <c r="HMU6" s="484"/>
      <c r="HMV6" s="484"/>
      <c r="HMW6" s="484"/>
      <c r="HMX6" s="484"/>
      <c r="HMY6" s="484"/>
      <c r="HMZ6" s="484"/>
      <c r="HNA6" s="484"/>
      <c r="HNB6" s="484"/>
      <c r="HNC6" s="484"/>
      <c r="HND6" s="484"/>
      <c r="HNE6" s="484"/>
      <c r="HNF6" s="484"/>
      <c r="HNG6" s="484"/>
      <c r="HNH6" s="484"/>
      <c r="HNI6" s="484"/>
      <c r="HNJ6" s="484"/>
      <c r="HNK6" s="484"/>
      <c r="HNL6" s="484"/>
      <c r="HNM6" s="484"/>
      <c r="HNN6" s="484"/>
      <c r="HNO6" s="484"/>
      <c r="HNP6" s="484"/>
      <c r="HNQ6" s="484"/>
      <c r="HNR6" s="484"/>
      <c r="HNS6" s="484"/>
      <c r="HNT6" s="484"/>
      <c r="HNU6" s="484"/>
      <c r="HNV6" s="484"/>
      <c r="HNW6" s="484"/>
      <c r="HNX6" s="484"/>
      <c r="HNY6" s="484"/>
      <c r="HNZ6" s="484"/>
      <c r="HOA6" s="484"/>
      <c r="HOB6" s="484"/>
      <c r="HOC6" s="484"/>
      <c r="HOD6" s="484"/>
      <c r="HOE6" s="484"/>
      <c r="HOF6" s="484"/>
      <c r="HOG6" s="484"/>
      <c r="HOH6" s="484"/>
      <c r="HOI6" s="484"/>
      <c r="HOJ6" s="484"/>
      <c r="HOK6" s="484"/>
      <c r="HOL6" s="484"/>
      <c r="HOM6" s="484"/>
      <c r="HON6" s="484"/>
      <c r="HOO6" s="484"/>
      <c r="HOP6" s="484"/>
      <c r="HOQ6" s="484"/>
      <c r="HOR6" s="484"/>
      <c r="HOS6" s="484"/>
      <c r="HOT6" s="484"/>
      <c r="HOU6" s="484"/>
      <c r="HOV6" s="484"/>
      <c r="HOW6" s="484"/>
      <c r="HOX6" s="484"/>
      <c r="HOY6" s="484"/>
      <c r="HOZ6" s="484"/>
      <c r="HPA6" s="484"/>
      <c r="HPB6" s="484"/>
      <c r="HPC6" s="484"/>
      <c r="HPD6" s="484"/>
      <c r="HPE6" s="484"/>
      <c r="HPF6" s="484"/>
      <c r="HPG6" s="484"/>
      <c r="HPH6" s="484"/>
      <c r="HPI6" s="484"/>
      <c r="HPJ6" s="484"/>
      <c r="HPK6" s="484"/>
      <c r="HPL6" s="484"/>
      <c r="HPM6" s="484"/>
      <c r="HPN6" s="484"/>
      <c r="HPO6" s="484"/>
      <c r="HPP6" s="484"/>
      <c r="HPQ6" s="484"/>
      <c r="HPR6" s="484"/>
      <c r="HPS6" s="484"/>
      <c r="HPT6" s="484"/>
      <c r="HPU6" s="484"/>
      <c r="HPV6" s="484"/>
      <c r="HPW6" s="484"/>
      <c r="HPX6" s="484"/>
      <c r="HPY6" s="484"/>
      <c r="HPZ6" s="484"/>
      <c r="HQA6" s="484"/>
      <c r="HQB6" s="484"/>
      <c r="HQC6" s="484"/>
      <c r="HQD6" s="484"/>
      <c r="HQE6" s="484"/>
      <c r="HQF6" s="484"/>
      <c r="HQG6" s="484"/>
      <c r="HQH6" s="484"/>
      <c r="HQI6" s="484"/>
      <c r="HQJ6" s="484"/>
      <c r="HQK6" s="484"/>
      <c r="HQL6" s="484"/>
      <c r="HQM6" s="484"/>
      <c r="HQN6" s="484"/>
      <c r="HQO6" s="484"/>
      <c r="HQP6" s="484"/>
      <c r="HQQ6" s="484"/>
      <c r="HQR6" s="484"/>
      <c r="HQS6" s="484"/>
      <c r="HQT6" s="484"/>
      <c r="HQU6" s="484"/>
      <c r="HQV6" s="484"/>
      <c r="HQW6" s="484"/>
      <c r="HQX6" s="484"/>
      <c r="HQY6" s="484"/>
      <c r="HQZ6" s="484"/>
      <c r="HRA6" s="484"/>
      <c r="HRB6" s="484"/>
      <c r="HRC6" s="484"/>
      <c r="HRD6" s="484"/>
      <c r="HRE6" s="484"/>
      <c r="HRF6" s="484"/>
      <c r="HRG6" s="484"/>
      <c r="HRH6" s="484"/>
      <c r="HRI6" s="484"/>
      <c r="HRJ6" s="484"/>
      <c r="HRK6" s="484"/>
      <c r="HRL6" s="484"/>
      <c r="HRM6" s="484"/>
      <c r="HRN6" s="484"/>
      <c r="HRO6" s="484"/>
      <c r="HRP6" s="484"/>
      <c r="HRQ6" s="484"/>
      <c r="HRR6" s="484"/>
      <c r="HRS6" s="484"/>
      <c r="HRT6" s="484"/>
      <c r="HRU6" s="484"/>
      <c r="HRV6" s="484"/>
      <c r="HRW6" s="484"/>
      <c r="HRX6" s="484"/>
      <c r="HRY6" s="484"/>
      <c r="HRZ6" s="484"/>
      <c r="HSA6" s="484"/>
      <c r="HSB6" s="484"/>
      <c r="HSC6" s="484"/>
      <c r="HSD6" s="484"/>
      <c r="HSE6" s="484"/>
      <c r="HSF6" s="484"/>
      <c r="HSG6" s="484"/>
      <c r="HSH6" s="484"/>
      <c r="HSI6" s="484"/>
      <c r="HSJ6" s="484"/>
      <c r="HSK6" s="484"/>
      <c r="HSL6" s="484"/>
      <c r="HSM6" s="484"/>
      <c r="HSN6" s="484"/>
      <c r="HSO6" s="484"/>
      <c r="HSP6" s="484"/>
      <c r="HSQ6" s="484"/>
      <c r="HSR6" s="484"/>
      <c r="HSS6" s="484"/>
      <c r="HST6" s="484"/>
      <c r="HSU6" s="484"/>
      <c r="HSV6" s="484"/>
      <c r="HSW6" s="484"/>
      <c r="HSX6" s="484"/>
      <c r="HSY6" s="484"/>
      <c r="HSZ6" s="484"/>
      <c r="HTA6" s="484"/>
      <c r="HTB6" s="484"/>
      <c r="HTC6" s="484"/>
      <c r="HTD6" s="484"/>
      <c r="HTE6" s="484"/>
      <c r="HTF6" s="484"/>
      <c r="HTG6" s="484"/>
      <c r="HTH6" s="484"/>
      <c r="HTI6" s="484"/>
      <c r="HTJ6" s="484"/>
      <c r="HTK6" s="484"/>
      <c r="HTL6" s="484"/>
      <c r="HTM6" s="484"/>
      <c r="HTN6" s="484"/>
      <c r="HTO6" s="484"/>
      <c r="HTP6" s="484"/>
      <c r="HTQ6" s="484"/>
      <c r="HTR6" s="484"/>
      <c r="HTS6" s="484"/>
      <c r="HTT6" s="484"/>
      <c r="HTU6" s="484"/>
      <c r="HTV6" s="484"/>
      <c r="HTW6" s="484"/>
      <c r="HTX6" s="484"/>
      <c r="HTY6" s="484"/>
      <c r="HTZ6" s="484"/>
      <c r="HUA6" s="484"/>
      <c r="HUB6" s="484"/>
      <c r="HUC6" s="484"/>
      <c r="HUD6" s="484"/>
      <c r="HUE6" s="484"/>
      <c r="HUF6" s="484"/>
      <c r="HUG6" s="484"/>
      <c r="HUH6" s="484"/>
      <c r="HUI6" s="484"/>
      <c r="HUJ6" s="484"/>
      <c r="HUK6" s="484"/>
      <c r="HUL6" s="484"/>
      <c r="HUM6" s="484"/>
      <c r="HUN6" s="484"/>
      <c r="HUO6" s="484"/>
      <c r="HUP6" s="484"/>
      <c r="HUQ6" s="484"/>
      <c r="HUR6" s="484"/>
      <c r="HUS6" s="484"/>
      <c r="HUT6" s="484"/>
      <c r="HUU6" s="484"/>
      <c r="HUV6" s="484"/>
      <c r="HUW6" s="484"/>
      <c r="HUX6" s="484"/>
      <c r="HUY6" s="484"/>
      <c r="HUZ6" s="484"/>
      <c r="HVA6" s="484"/>
      <c r="HVB6" s="484"/>
      <c r="HVC6" s="484"/>
      <c r="HVD6" s="484"/>
      <c r="HVE6" s="484"/>
      <c r="HVF6" s="484"/>
      <c r="HVG6" s="484"/>
      <c r="HVH6" s="484"/>
      <c r="HVI6" s="484"/>
      <c r="HVJ6" s="484"/>
      <c r="HVK6" s="484"/>
      <c r="HVL6" s="484"/>
      <c r="HVM6" s="484"/>
      <c r="HVN6" s="484"/>
      <c r="HVO6" s="484"/>
      <c r="HVP6" s="484"/>
      <c r="HVQ6" s="484"/>
      <c r="HVR6" s="484"/>
      <c r="HVS6" s="484"/>
      <c r="HVT6" s="484"/>
      <c r="HVU6" s="484"/>
      <c r="HVV6" s="484"/>
      <c r="HVW6" s="484"/>
      <c r="HVX6" s="484"/>
      <c r="HVY6" s="484"/>
      <c r="HVZ6" s="484"/>
      <c r="HWA6" s="484"/>
      <c r="HWB6" s="484"/>
      <c r="HWC6" s="484"/>
      <c r="HWD6" s="484"/>
      <c r="HWE6" s="484"/>
      <c r="HWF6" s="484"/>
      <c r="HWG6" s="484"/>
      <c r="HWH6" s="484"/>
      <c r="HWI6" s="484"/>
      <c r="HWJ6" s="484"/>
      <c r="HWK6" s="484"/>
      <c r="HWL6" s="484"/>
      <c r="HWM6" s="484"/>
      <c r="HWN6" s="484"/>
      <c r="HWO6" s="484"/>
      <c r="HWP6" s="484"/>
      <c r="HWQ6" s="484"/>
      <c r="HWR6" s="484"/>
      <c r="HWS6" s="484"/>
      <c r="HWT6" s="484"/>
      <c r="HWU6" s="484"/>
      <c r="HWV6" s="484"/>
      <c r="HWW6" s="484"/>
      <c r="HWX6" s="484"/>
      <c r="HWY6" s="484"/>
      <c r="HWZ6" s="484"/>
      <c r="HXA6" s="484"/>
      <c r="HXB6" s="484"/>
      <c r="HXC6" s="484"/>
      <c r="HXD6" s="484"/>
      <c r="HXE6" s="484"/>
      <c r="HXF6" s="484"/>
      <c r="HXG6" s="484"/>
      <c r="HXH6" s="484"/>
      <c r="HXI6" s="484"/>
      <c r="HXJ6" s="484"/>
      <c r="HXK6" s="484"/>
      <c r="HXL6" s="484"/>
      <c r="HXM6" s="484"/>
      <c r="HXN6" s="484"/>
      <c r="HXO6" s="484"/>
      <c r="HXP6" s="484"/>
      <c r="HXQ6" s="484"/>
      <c r="HXR6" s="484"/>
      <c r="HXS6" s="484"/>
      <c r="HXT6" s="484"/>
      <c r="HXU6" s="484"/>
      <c r="HXV6" s="484"/>
      <c r="HXW6" s="484"/>
      <c r="HXX6" s="484"/>
      <c r="HXY6" s="484"/>
      <c r="HXZ6" s="484"/>
      <c r="HYA6" s="484"/>
      <c r="HYB6" s="484"/>
      <c r="HYC6" s="484"/>
      <c r="HYD6" s="484"/>
      <c r="HYE6" s="484"/>
      <c r="HYF6" s="484"/>
      <c r="HYG6" s="484"/>
      <c r="HYH6" s="484"/>
      <c r="HYI6" s="484"/>
      <c r="HYJ6" s="484"/>
      <c r="HYK6" s="484"/>
      <c r="HYL6" s="484"/>
      <c r="HYM6" s="484"/>
      <c r="HYN6" s="484"/>
      <c r="HYO6" s="484"/>
      <c r="HYP6" s="484"/>
      <c r="HYQ6" s="484"/>
      <c r="HYR6" s="484"/>
      <c r="HYS6" s="484"/>
      <c r="HYT6" s="484"/>
      <c r="HYU6" s="484"/>
      <c r="HYV6" s="484"/>
      <c r="HYW6" s="484"/>
      <c r="HYX6" s="484"/>
      <c r="HYY6" s="484"/>
      <c r="HYZ6" s="484"/>
      <c r="HZA6" s="484"/>
      <c r="HZB6" s="484"/>
      <c r="HZC6" s="484"/>
      <c r="HZD6" s="484"/>
      <c r="HZE6" s="484"/>
      <c r="HZF6" s="484"/>
      <c r="HZG6" s="484"/>
      <c r="HZH6" s="484"/>
      <c r="HZI6" s="484"/>
      <c r="HZJ6" s="484"/>
      <c r="HZK6" s="484"/>
      <c r="HZL6" s="484"/>
      <c r="HZM6" s="484"/>
      <c r="HZN6" s="484"/>
      <c r="HZO6" s="484"/>
      <c r="HZP6" s="484"/>
      <c r="HZQ6" s="484"/>
      <c r="HZR6" s="484"/>
      <c r="HZS6" s="484"/>
      <c r="HZT6" s="484"/>
      <c r="HZU6" s="484"/>
      <c r="HZV6" s="484"/>
      <c r="HZW6" s="484"/>
      <c r="HZX6" s="484"/>
      <c r="HZY6" s="484"/>
      <c r="HZZ6" s="484"/>
      <c r="IAA6" s="484"/>
      <c r="IAB6" s="484"/>
      <c r="IAC6" s="484"/>
      <c r="IAD6" s="484"/>
      <c r="IAE6" s="484"/>
      <c r="IAF6" s="484"/>
      <c r="IAG6" s="484"/>
      <c r="IAH6" s="484"/>
      <c r="IAI6" s="484"/>
      <c r="IAJ6" s="484"/>
      <c r="IAK6" s="484"/>
      <c r="IAL6" s="484"/>
      <c r="IAM6" s="484"/>
      <c r="IAN6" s="484"/>
      <c r="IAO6" s="484"/>
      <c r="IAP6" s="484"/>
      <c r="IAQ6" s="484"/>
      <c r="IAR6" s="484"/>
      <c r="IAS6" s="484"/>
      <c r="IAT6" s="484"/>
      <c r="IAU6" s="484"/>
      <c r="IAV6" s="484"/>
      <c r="IAW6" s="484"/>
      <c r="IAX6" s="484"/>
      <c r="IAY6" s="484"/>
      <c r="IAZ6" s="484"/>
      <c r="IBA6" s="484"/>
      <c r="IBB6" s="484"/>
      <c r="IBC6" s="484"/>
      <c r="IBD6" s="484"/>
      <c r="IBE6" s="484"/>
      <c r="IBF6" s="484"/>
      <c r="IBG6" s="484"/>
      <c r="IBH6" s="484"/>
      <c r="IBI6" s="484"/>
      <c r="IBJ6" s="484"/>
      <c r="IBK6" s="484"/>
      <c r="IBL6" s="484"/>
      <c r="IBM6" s="484"/>
      <c r="IBN6" s="484"/>
      <c r="IBO6" s="484"/>
      <c r="IBP6" s="484"/>
      <c r="IBQ6" s="484"/>
      <c r="IBR6" s="484"/>
      <c r="IBS6" s="484"/>
      <c r="IBT6" s="484"/>
      <c r="IBU6" s="484"/>
      <c r="IBV6" s="484"/>
      <c r="IBW6" s="484"/>
      <c r="IBX6" s="484"/>
      <c r="IBY6" s="484"/>
      <c r="IBZ6" s="484"/>
      <c r="ICA6" s="484"/>
      <c r="ICB6" s="484"/>
      <c r="ICC6" s="484"/>
      <c r="ICD6" s="484"/>
      <c r="ICE6" s="484"/>
      <c r="ICF6" s="484"/>
      <c r="ICG6" s="484"/>
      <c r="ICH6" s="484"/>
      <c r="ICI6" s="484"/>
      <c r="ICJ6" s="484"/>
      <c r="ICK6" s="484"/>
      <c r="ICL6" s="484"/>
      <c r="ICM6" s="484"/>
      <c r="ICN6" s="484"/>
      <c r="ICO6" s="484"/>
      <c r="ICP6" s="484"/>
      <c r="ICQ6" s="484"/>
      <c r="ICR6" s="484"/>
      <c r="ICS6" s="484"/>
      <c r="ICT6" s="484"/>
      <c r="ICU6" s="484"/>
      <c r="ICV6" s="484"/>
      <c r="ICW6" s="484"/>
      <c r="ICX6" s="484"/>
      <c r="ICY6" s="484"/>
      <c r="ICZ6" s="484"/>
      <c r="IDA6" s="484"/>
      <c r="IDB6" s="484"/>
      <c r="IDC6" s="484"/>
      <c r="IDD6" s="484"/>
      <c r="IDE6" s="484"/>
      <c r="IDF6" s="484"/>
      <c r="IDG6" s="484"/>
      <c r="IDH6" s="484"/>
      <c r="IDI6" s="484"/>
      <c r="IDJ6" s="484"/>
      <c r="IDK6" s="484"/>
      <c r="IDL6" s="484"/>
      <c r="IDM6" s="484"/>
      <c r="IDN6" s="484"/>
      <c r="IDO6" s="484"/>
      <c r="IDP6" s="484"/>
      <c r="IDQ6" s="484"/>
      <c r="IDR6" s="484"/>
      <c r="IDS6" s="484"/>
      <c r="IDT6" s="484"/>
      <c r="IDU6" s="484"/>
      <c r="IDV6" s="484"/>
      <c r="IDW6" s="484"/>
      <c r="IDX6" s="484"/>
      <c r="IDY6" s="484"/>
      <c r="IDZ6" s="484"/>
      <c r="IEA6" s="484"/>
      <c r="IEB6" s="484"/>
      <c r="IEC6" s="484"/>
      <c r="IED6" s="484"/>
      <c r="IEE6" s="484"/>
      <c r="IEF6" s="484"/>
      <c r="IEG6" s="484"/>
      <c r="IEH6" s="484"/>
      <c r="IEI6" s="484"/>
      <c r="IEJ6" s="484"/>
      <c r="IEK6" s="484"/>
      <c r="IEL6" s="484"/>
      <c r="IEM6" s="484"/>
      <c r="IEN6" s="484"/>
      <c r="IEO6" s="484"/>
      <c r="IEP6" s="484"/>
      <c r="IEQ6" s="484"/>
      <c r="IER6" s="484"/>
      <c r="IES6" s="484"/>
      <c r="IET6" s="484"/>
      <c r="IEU6" s="484"/>
      <c r="IEV6" s="484"/>
      <c r="IEW6" s="484"/>
      <c r="IEX6" s="484"/>
      <c r="IEY6" s="484"/>
      <c r="IEZ6" s="484"/>
      <c r="IFA6" s="484"/>
      <c r="IFB6" s="484"/>
      <c r="IFC6" s="484"/>
      <c r="IFD6" s="484"/>
      <c r="IFE6" s="484"/>
      <c r="IFF6" s="484"/>
      <c r="IFG6" s="484"/>
      <c r="IFH6" s="484"/>
      <c r="IFI6" s="484"/>
      <c r="IFJ6" s="484"/>
      <c r="IFK6" s="484"/>
      <c r="IFL6" s="484"/>
      <c r="IFM6" s="484"/>
      <c r="IFN6" s="484"/>
      <c r="IFO6" s="484"/>
      <c r="IFP6" s="484"/>
      <c r="IFQ6" s="484"/>
      <c r="IFR6" s="484"/>
      <c r="IFS6" s="484"/>
      <c r="IFT6" s="484"/>
      <c r="IFU6" s="484"/>
      <c r="IFV6" s="484"/>
      <c r="IFW6" s="484"/>
      <c r="IFX6" s="484"/>
      <c r="IFY6" s="484"/>
      <c r="IFZ6" s="484"/>
      <c r="IGA6" s="484"/>
      <c r="IGB6" s="484"/>
      <c r="IGC6" s="484"/>
      <c r="IGD6" s="484"/>
      <c r="IGE6" s="484"/>
      <c r="IGF6" s="484"/>
      <c r="IGG6" s="484"/>
      <c r="IGH6" s="484"/>
      <c r="IGI6" s="484"/>
      <c r="IGJ6" s="484"/>
      <c r="IGK6" s="484"/>
      <c r="IGL6" s="484"/>
      <c r="IGM6" s="484"/>
      <c r="IGN6" s="484"/>
      <c r="IGO6" s="484"/>
      <c r="IGP6" s="484"/>
      <c r="IGQ6" s="484"/>
      <c r="IGR6" s="484"/>
      <c r="IGS6" s="484"/>
      <c r="IGT6" s="484"/>
      <c r="IGU6" s="484"/>
      <c r="IGV6" s="484"/>
      <c r="IGW6" s="484"/>
      <c r="IGX6" s="484"/>
      <c r="IGY6" s="484"/>
      <c r="IGZ6" s="484"/>
      <c r="IHA6" s="484"/>
      <c r="IHB6" s="484"/>
      <c r="IHC6" s="484"/>
      <c r="IHD6" s="484"/>
      <c r="IHE6" s="484"/>
      <c r="IHF6" s="484"/>
      <c r="IHG6" s="484"/>
      <c r="IHH6" s="484"/>
      <c r="IHI6" s="484"/>
      <c r="IHJ6" s="484"/>
      <c r="IHK6" s="484"/>
      <c r="IHL6" s="484"/>
      <c r="IHM6" s="484"/>
      <c r="IHN6" s="484"/>
      <c r="IHO6" s="484"/>
      <c r="IHP6" s="484"/>
      <c r="IHQ6" s="484"/>
      <c r="IHR6" s="484"/>
      <c r="IHS6" s="484"/>
      <c r="IHT6" s="484"/>
      <c r="IHU6" s="484"/>
      <c r="IHV6" s="484"/>
      <c r="IHW6" s="484"/>
      <c r="IHX6" s="484"/>
      <c r="IHY6" s="484"/>
      <c r="IHZ6" s="484"/>
      <c r="IIA6" s="484"/>
      <c r="IIB6" s="484"/>
      <c r="IIC6" s="484"/>
      <c r="IID6" s="484"/>
      <c r="IIE6" s="484"/>
      <c r="IIF6" s="484"/>
      <c r="IIG6" s="484"/>
      <c r="IIH6" s="484"/>
      <c r="III6" s="484"/>
      <c r="IIJ6" s="484"/>
      <c r="IIK6" s="484"/>
      <c r="IIL6" s="484"/>
      <c r="IIM6" s="484"/>
      <c r="IIN6" s="484"/>
      <c r="IIO6" s="484"/>
      <c r="IIP6" s="484"/>
      <c r="IIQ6" s="484"/>
      <c r="IIR6" s="484"/>
      <c r="IIS6" s="484"/>
      <c r="IIT6" s="484"/>
      <c r="IIU6" s="484"/>
      <c r="IIV6" s="484"/>
      <c r="IIW6" s="484"/>
      <c r="IIX6" s="484"/>
      <c r="IIY6" s="484"/>
      <c r="IIZ6" s="484"/>
      <c r="IJA6" s="484"/>
      <c r="IJB6" s="484"/>
      <c r="IJC6" s="484"/>
      <c r="IJD6" s="484"/>
      <c r="IJE6" s="484"/>
      <c r="IJF6" s="484"/>
      <c r="IJG6" s="484"/>
      <c r="IJH6" s="484"/>
      <c r="IJI6" s="484"/>
      <c r="IJJ6" s="484"/>
      <c r="IJK6" s="484"/>
      <c r="IJL6" s="484"/>
      <c r="IJM6" s="484"/>
      <c r="IJN6" s="484"/>
      <c r="IJO6" s="484"/>
      <c r="IJP6" s="484"/>
      <c r="IJQ6" s="484"/>
      <c r="IJR6" s="484"/>
      <c r="IJS6" s="484"/>
      <c r="IJT6" s="484"/>
      <c r="IJU6" s="484"/>
      <c r="IJV6" s="484"/>
      <c r="IJW6" s="484"/>
      <c r="IJX6" s="484"/>
      <c r="IJY6" s="484"/>
      <c r="IJZ6" s="484"/>
      <c r="IKA6" s="484"/>
      <c r="IKB6" s="484"/>
      <c r="IKC6" s="484"/>
      <c r="IKD6" s="484"/>
      <c r="IKE6" s="484"/>
      <c r="IKF6" s="484"/>
      <c r="IKG6" s="484"/>
      <c r="IKH6" s="484"/>
      <c r="IKI6" s="484"/>
      <c r="IKJ6" s="484"/>
      <c r="IKK6" s="484"/>
      <c r="IKL6" s="484"/>
      <c r="IKM6" s="484"/>
      <c r="IKN6" s="484"/>
      <c r="IKO6" s="484"/>
      <c r="IKP6" s="484"/>
      <c r="IKQ6" s="484"/>
      <c r="IKR6" s="484"/>
      <c r="IKS6" s="484"/>
      <c r="IKT6" s="484"/>
      <c r="IKU6" s="484"/>
      <c r="IKV6" s="484"/>
      <c r="IKW6" s="484"/>
      <c r="IKX6" s="484"/>
      <c r="IKY6" s="484"/>
      <c r="IKZ6" s="484"/>
      <c r="ILA6" s="484"/>
      <c r="ILB6" s="484"/>
      <c r="ILC6" s="484"/>
      <c r="ILD6" s="484"/>
      <c r="ILE6" s="484"/>
      <c r="ILF6" s="484"/>
      <c r="ILG6" s="484"/>
      <c r="ILH6" s="484"/>
      <c r="ILI6" s="484"/>
      <c r="ILJ6" s="484"/>
      <c r="ILK6" s="484"/>
      <c r="ILL6" s="484"/>
      <c r="ILM6" s="484"/>
      <c r="ILN6" s="484"/>
      <c r="ILO6" s="484"/>
      <c r="ILP6" s="484"/>
      <c r="ILQ6" s="484"/>
      <c r="ILR6" s="484"/>
      <c r="ILS6" s="484"/>
      <c r="ILT6" s="484"/>
      <c r="ILU6" s="484"/>
      <c r="ILV6" s="484"/>
      <c r="ILW6" s="484"/>
      <c r="ILX6" s="484"/>
      <c r="ILY6" s="484"/>
      <c r="ILZ6" s="484"/>
      <c r="IMA6" s="484"/>
      <c r="IMB6" s="484"/>
      <c r="IMC6" s="484"/>
      <c r="IMD6" s="484"/>
      <c r="IME6" s="484"/>
      <c r="IMF6" s="484"/>
      <c r="IMG6" s="484"/>
      <c r="IMH6" s="484"/>
      <c r="IMI6" s="484"/>
      <c r="IMJ6" s="484"/>
      <c r="IMK6" s="484"/>
      <c r="IML6" s="484"/>
      <c r="IMM6" s="484"/>
      <c r="IMN6" s="484"/>
      <c r="IMO6" s="484"/>
      <c r="IMP6" s="484"/>
      <c r="IMQ6" s="484"/>
      <c r="IMR6" s="484"/>
      <c r="IMS6" s="484"/>
      <c r="IMT6" s="484"/>
      <c r="IMU6" s="484"/>
      <c r="IMV6" s="484"/>
      <c r="IMW6" s="484"/>
      <c r="IMX6" s="484"/>
      <c r="IMY6" s="484"/>
      <c r="IMZ6" s="484"/>
      <c r="INA6" s="484"/>
      <c r="INB6" s="484"/>
      <c r="INC6" s="484"/>
      <c r="IND6" s="484"/>
      <c r="INE6" s="484"/>
      <c r="INF6" s="484"/>
      <c r="ING6" s="484"/>
      <c r="INH6" s="484"/>
      <c r="INI6" s="484"/>
      <c r="INJ6" s="484"/>
      <c r="INK6" s="484"/>
      <c r="INL6" s="484"/>
      <c r="INM6" s="484"/>
      <c r="INN6" s="484"/>
      <c r="INO6" s="484"/>
      <c r="INP6" s="484"/>
      <c r="INQ6" s="484"/>
      <c r="INR6" s="484"/>
      <c r="INS6" s="484"/>
      <c r="INT6" s="484"/>
      <c r="INU6" s="484"/>
      <c r="INV6" s="484"/>
      <c r="INW6" s="484"/>
      <c r="INX6" s="484"/>
      <c r="INY6" s="484"/>
      <c r="INZ6" s="484"/>
      <c r="IOA6" s="484"/>
      <c r="IOB6" s="484"/>
      <c r="IOC6" s="484"/>
      <c r="IOD6" s="484"/>
      <c r="IOE6" s="484"/>
      <c r="IOF6" s="484"/>
      <c r="IOG6" s="484"/>
      <c r="IOH6" s="484"/>
      <c r="IOI6" s="484"/>
      <c r="IOJ6" s="484"/>
      <c r="IOK6" s="484"/>
      <c r="IOL6" s="484"/>
      <c r="IOM6" s="484"/>
      <c r="ION6" s="484"/>
      <c r="IOO6" s="484"/>
      <c r="IOP6" s="484"/>
      <c r="IOQ6" s="484"/>
      <c r="IOR6" s="484"/>
      <c r="IOS6" s="484"/>
      <c r="IOT6" s="484"/>
      <c r="IOU6" s="484"/>
      <c r="IOV6" s="484"/>
      <c r="IOW6" s="484"/>
      <c r="IOX6" s="484"/>
      <c r="IOY6" s="484"/>
      <c r="IOZ6" s="484"/>
      <c r="IPA6" s="484"/>
      <c r="IPB6" s="484"/>
      <c r="IPC6" s="484"/>
      <c r="IPD6" s="484"/>
      <c r="IPE6" s="484"/>
      <c r="IPF6" s="484"/>
      <c r="IPG6" s="484"/>
      <c r="IPH6" s="484"/>
      <c r="IPI6" s="484"/>
      <c r="IPJ6" s="484"/>
      <c r="IPK6" s="484"/>
      <c r="IPL6" s="484"/>
      <c r="IPM6" s="484"/>
      <c r="IPN6" s="484"/>
      <c r="IPO6" s="484"/>
      <c r="IPP6" s="484"/>
      <c r="IPQ6" s="484"/>
      <c r="IPR6" s="484"/>
      <c r="IPS6" s="484"/>
      <c r="IPT6" s="484"/>
      <c r="IPU6" s="484"/>
      <c r="IPV6" s="484"/>
      <c r="IPW6" s="484"/>
      <c r="IPX6" s="484"/>
      <c r="IPY6" s="484"/>
      <c r="IPZ6" s="484"/>
      <c r="IQA6" s="484"/>
      <c r="IQB6" s="484"/>
      <c r="IQC6" s="484"/>
      <c r="IQD6" s="484"/>
      <c r="IQE6" s="484"/>
      <c r="IQF6" s="484"/>
      <c r="IQG6" s="484"/>
      <c r="IQH6" s="484"/>
      <c r="IQI6" s="484"/>
      <c r="IQJ6" s="484"/>
      <c r="IQK6" s="484"/>
      <c r="IQL6" s="484"/>
      <c r="IQM6" s="484"/>
      <c r="IQN6" s="484"/>
      <c r="IQO6" s="484"/>
      <c r="IQP6" s="484"/>
      <c r="IQQ6" s="484"/>
      <c r="IQR6" s="484"/>
      <c r="IQS6" s="484"/>
      <c r="IQT6" s="484"/>
      <c r="IQU6" s="484"/>
      <c r="IQV6" s="484"/>
      <c r="IQW6" s="484"/>
      <c r="IQX6" s="484"/>
      <c r="IQY6" s="484"/>
      <c r="IQZ6" s="484"/>
      <c r="IRA6" s="484"/>
      <c r="IRB6" s="484"/>
      <c r="IRC6" s="484"/>
      <c r="IRD6" s="484"/>
      <c r="IRE6" s="484"/>
      <c r="IRF6" s="484"/>
      <c r="IRG6" s="484"/>
      <c r="IRH6" s="484"/>
      <c r="IRI6" s="484"/>
      <c r="IRJ6" s="484"/>
      <c r="IRK6" s="484"/>
      <c r="IRL6" s="484"/>
      <c r="IRM6" s="484"/>
      <c r="IRN6" s="484"/>
      <c r="IRO6" s="484"/>
      <c r="IRP6" s="484"/>
      <c r="IRQ6" s="484"/>
      <c r="IRR6" s="484"/>
      <c r="IRS6" s="484"/>
      <c r="IRT6" s="484"/>
      <c r="IRU6" s="484"/>
      <c r="IRV6" s="484"/>
      <c r="IRW6" s="484"/>
      <c r="IRX6" s="484"/>
      <c r="IRY6" s="484"/>
      <c r="IRZ6" s="484"/>
      <c r="ISA6" s="484"/>
      <c r="ISB6" s="484"/>
      <c r="ISC6" s="484"/>
      <c r="ISD6" s="484"/>
      <c r="ISE6" s="484"/>
      <c r="ISF6" s="484"/>
      <c r="ISG6" s="484"/>
      <c r="ISH6" s="484"/>
      <c r="ISI6" s="484"/>
      <c r="ISJ6" s="484"/>
      <c r="ISK6" s="484"/>
      <c r="ISL6" s="484"/>
      <c r="ISM6" s="484"/>
      <c r="ISN6" s="484"/>
      <c r="ISO6" s="484"/>
      <c r="ISP6" s="484"/>
      <c r="ISQ6" s="484"/>
      <c r="ISR6" s="484"/>
      <c r="ISS6" s="484"/>
      <c r="IST6" s="484"/>
      <c r="ISU6" s="484"/>
      <c r="ISV6" s="484"/>
      <c r="ISW6" s="484"/>
      <c r="ISX6" s="484"/>
      <c r="ISY6" s="484"/>
      <c r="ISZ6" s="484"/>
      <c r="ITA6" s="484"/>
      <c r="ITB6" s="484"/>
      <c r="ITC6" s="484"/>
      <c r="ITD6" s="484"/>
      <c r="ITE6" s="484"/>
      <c r="ITF6" s="484"/>
      <c r="ITG6" s="484"/>
      <c r="ITH6" s="484"/>
      <c r="ITI6" s="484"/>
      <c r="ITJ6" s="484"/>
      <c r="ITK6" s="484"/>
      <c r="ITL6" s="484"/>
      <c r="ITM6" s="484"/>
      <c r="ITN6" s="484"/>
      <c r="ITO6" s="484"/>
      <c r="ITP6" s="484"/>
      <c r="ITQ6" s="484"/>
      <c r="ITR6" s="484"/>
      <c r="ITS6" s="484"/>
      <c r="ITT6" s="484"/>
      <c r="ITU6" s="484"/>
      <c r="ITV6" s="484"/>
      <c r="ITW6" s="484"/>
      <c r="ITX6" s="484"/>
      <c r="ITY6" s="484"/>
      <c r="ITZ6" s="484"/>
      <c r="IUA6" s="484"/>
      <c r="IUB6" s="484"/>
      <c r="IUC6" s="484"/>
      <c r="IUD6" s="484"/>
      <c r="IUE6" s="484"/>
      <c r="IUF6" s="484"/>
      <c r="IUG6" s="484"/>
      <c r="IUH6" s="484"/>
      <c r="IUI6" s="484"/>
      <c r="IUJ6" s="484"/>
      <c r="IUK6" s="484"/>
      <c r="IUL6" s="484"/>
      <c r="IUM6" s="484"/>
      <c r="IUN6" s="484"/>
      <c r="IUO6" s="484"/>
      <c r="IUP6" s="484"/>
      <c r="IUQ6" s="484"/>
      <c r="IUR6" s="484"/>
      <c r="IUS6" s="484"/>
      <c r="IUT6" s="484"/>
      <c r="IUU6" s="484"/>
      <c r="IUV6" s="484"/>
      <c r="IUW6" s="484"/>
      <c r="IUX6" s="484"/>
      <c r="IUY6" s="484"/>
      <c r="IUZ6" s="484"/>
      <c r="IVA6" s="484"/>
      <c r="IVB6" s="484"/>
      <c r="IVC6" s="484"/>
      <c r="IVD6" s="484"/>
      <c r="IVE6" s="484"/>
      <c r="IVF6" s="484"/>
      <c r="IVG6" s="484"/>
      <c r="IVH6" s="484"/>
      <c r="IVI6" s="484"/>
      <c r="IVJ6" s="484"/>
      <c r="IVK6" s="484"/>
      <c r="IVL6" s="484"/>
      <c r="IVM6" s="484"/>
      <c r="IVN6" s="484"/>
      <c r="IVO6" s="484"/>
      <c r="IVP6" s="484"/>
      <c r="IVQ6" s="484"/>
      <c r="IVR6" s="484"/>
      <c r="IVS6" s="484"/>
      <c r="IVT6" s="484"/>
      <c r="IVU6" s="484"/>
      <c r="IVV6" s="484"/>
      <c r="IVW6" s="484"/>
      <c r="IVX6" s="484"/>
      <c r="IVY6" s="484"/>
      <c r="IVZ6" s="484"/>
      <c r="IWA6" s="484"/>
      <c r="IWB6" s="484"/>
      <c r="IWC6" s="484"/>
      <c r="IWD6" s="484"/>
      <c r="IWE6" s="484"/>
      <c r="IWF6" s="484"/>
      <c r="IWG6" s="484"/>
      <c r="IWH6" s="484"/>
      <c r="IWI6" s="484"/>
      <c r="IWJ6" s="484"/>
      <c r="IWK6" s="484"/>
      <c r="IWL6" s="484"/>
      <c r="IWM6" s="484"/>
      <c r="IWN6" s="484"/>
      <c r="IWO6" s="484"/>
      <c r="IWP6" s="484"/>
      <c r="IWQ6" s="484"/>
      <c r="IWR6" s="484"/>
      <c r="IWS6" s="484"/>
      <c r="IWT6" s="484"/>
      <c r="IWU6" s="484"/>
      <c r="IWV6" s="484"/>
      <c r="IWW6" s="484"/>
      <c r="IWX6" s="484"/>
      <c r="IWY6" s="484"/>
      <c r="IWZ6" s="484"/>
      <c r="IXA6" s="484"/>
      <c r="IXB6" s="484"/>
      <c r="IXC6" s="484"/>
      <c r="IXD6" s="484"/>
      <c r="IXE6" s="484"/>
      <c r="IXF6" s="484"/>
      <c r="IXG6" s="484"/>
      <c r="IXH6" s="484"/>
      <c r="IXI6" s="484"/>
      <c r="IXJ6" s="484"/>
      <c r="IXK6" s="484"/>
      <c r="IXL6" s="484"/>
      <c r="IXM6" s="484"/>
      <c r="IXN6" s="484"/>
      <c r="IXO6" s="484"/>
      <c r="IXP6" s="484"/>
      <c r="IXQ6" s="484"/>
      <c r="IXR6" s="484"/>
      <c r="IXS6" s="484"/>
      <c r="IXT6" s="484"/>
      <c r="IXU6" s="484"/>
      <c r="IXV6" s="484"/>
      <c r="IXW6" s="484"/>
      <c r="IXX6" s="484"/>
      <c r="IXY6" s="484"/>
      <c r="IXZ6" s="484"/>
      <c r="IYA6" s="484"/>
      <c r="IYB6" s="484"/>
      <c r="IYC6" s="484"/>
      <c r="IYD6" s="484"/>
      <c r="IYE6" s="484"/>
      <c r="IYF6" s="484"/>
      <c r="IYG6" s="484"/>
      <c r="IYH6" s="484"/>
      <c r="IYI6" s="484"/>
      <c r="IYJ6" s="484"/>
      <c r="IYK6" s="484"/>
      <c r="IYL6" s="484"/>
      <c r="IYM6" s="484"/>
      <c r="IYN6" s="484"/>
      <c r="IYO6" s="484"/>
      <c r="IYP6" s="484"/>
      <c r="IYQ6" s="484"/>
      <c r="IYR6" s="484"/>
      <c r="IYS6" s="484"/>
      <c r="IYT6" s="484"/>
      <c r="IYU6" s="484"/>
      <c r="IYV6" s="484"/>
      <c r="IYW6" s="484"/>
      <c r="IYX6" s="484"/>
      <c r="IYY6" s="484"/>
      <c r="IYZ6" s="484"/>
      <c r="IZA6" s="484"/>
      <c r="IZB6" s="484"/>
      <c r="IZC6" s="484"/>
      <c r="IZD6" s="484"/>
      <c r="IZE6" s="484"/>
      <c r="IZF6" s="484"/>
      <c r="IZG6" s="484"/>
      <c r="IZH6" s="484"/>
      <c r="IZI6" s="484"/>
      <c r="IZJ6" s="484"/>
      <c r="IZK6" s="484"/>
      <c r="IZL6" s="484"/>
      <c r="IZM6" s="484"/>
      <c r="IZN6" s="484"/>
      <c r="IZO6" s="484"/>
      <c r="IZP6" s="484"/>
      <c r="IZQ6" s="484"/>
      <c r="IZR6" s="484"/>
      <c r="IZS6" s="484"/>
      <c r="IZT6" s="484"/>
      <c r="IZU6" s="484"/>
      <c r="IZV6" s="484"/>
      <c r="IZW6" s="484"/>
      <c r="IZX6" s="484"/>
      <c r="IZY6" s="484"/>
      <c r="IZZ6" s="484"/>
      <c r="JAA6" s="484"/>
      <c r="JAB6" s="484"/>
      <c r="JAC6" s="484"/>
      <c r="JAD6" s="484"/>
      <c r="JAE6" s="484"/>
      <c r="JAF6" s="484"/>
      <c r="JAG6" s="484"/>
      <c r="JAH6" s="484"/>
      <c r="JAI6" s="484"/>
      <c r="JAJ6" s="484"/>
      <c r="JAK6" s="484"/>
      <c r="JAL6" s="484"/>
      <c r="JAM6" s="484"/>
      <c r="JAN6" s="484"/>
      <c r="JAO6" s="484"/>
      <c r="JAP6" s="484"/>
      <c r="JAQ6" s="484"/>
      <c r="JAR6" s="484"/>
      <c r="JAS6" s="484"/>
      <c r="JAT6" s="484"/>
      <c r="JAU6" s="484"/>
      <c r="JAV6" s="484"/>
      <c r="JAW6" s="484"/>
      <c r="JAX6" s="484"/>
      <c r="JAY6" s="484"/>
      <c r="JAZ6" s="484"/>
      <c r="JBA6" s="484"/>
      <c r="JBB6" s="484"/>
      <c r="JBC6" s="484"/>
      <c r="JBD6" s="484"/>
      <c r="JBE6" s="484"/>
      <c r="JBF6" s="484"/>
      <c r="JBG6" s="484"/>
      <c r="JBH6" s="484"/>
      <c r="JBI6" s="484"/>
      <c r="JBJ6" s="484"/>
      <c r="JBK6" s="484"/>
      <c r="JBL6" s="484"/>
      <c r="JBM6" s="484"/>
      <c r="JBN6" s="484"/>
      <c r="JBO6" s="484"/>
      <c r="JBP6" s="484"/>
      <c r="JBQ6" s="484"/>
      <c r="JBR6" s="484"/>
      <c r="JBS6" s="484"/>
      <c r="JBT6" s="484"/>
      <c r="JBU6" s="484"/>
      <c r="JBV6" s="484"/>
      <c r="JBW6" s="484"/>
      <c r="JBX6" s="484"/>
      <c r="JBY6" s="484"/>
      <c r="JBZ6" s="484"/>
      <c r="JCA6" s="484"/>
      <c r="JCB6" s="484"/>
      <c r="JCC6" s="484"/>
      <c r="JCD6" s="484"/>
      <c r="JCE6" s="484"/>
      <c r="JCF6" s="484"/>
      <c r="JCG6" s="484"/>
      <c r="JCH6" s="484"/>
      <c r="JCI6" s="484"/>
      <c r="JCJ6" s="484"/>
      <c r="JCK6" s="484"/>
      <c r="JCL6" s="484"/>
      <c r="JCM6" s="484"/>
      <c r="JCN6" s="484"/>
      <c r="JCO6" s="484"/>
      <c r="JCP6" s="484"/>
      <c r="JCQ6" s="484"/>
      <c r="JCR6" s="484"/>
      <c r="JCS6" s="484"/>
      <c r="JCT6" s="484"/>
      <c r="JCU6" s="484"/>
      <c r="JCV6" s="484"/>
      <c r="JCW6" s="484"/>
      <c r="JCX6" s="484"/>
      <c r="JCY6" s="484"/>
      <c r="JCZ6" s="484"/>
      <c r="JDA6" s="484"/>
      <c r="JDB6" s="484"/>
      <c r="JDC6" s="484"/>
      <c r="JDD6" s="484"/>
      <c r="JDE6" s="484"/>
      <c r="JDF6" s="484"/>
      <c r="JDG6" s="484"/>
      <c r="JDH6" s="484"/>
      <c r="JDI6" s="484"/>
      <c r="JDJ6" s="484"/>
      <c r="JDK6" s="484"/>
      <c r="JDL6" s="484"/>
      <c r="JDM6" s="484"/>
      <c r="JDN6" s="484"/>
      <c r="JDO6" s="484"/>
      <c r="JDP6" s="484"/>
      <c r="JDQ6" s="484"/>
      <c r="JDR6" s="484"/>
      <c r="JDS6" s="484"/>
      <c r="JDT6" s="484"/>
      <c r="JDU6" s="484"/>
      <c r="JDV6" s="484"/>
      <c r="JDW6" s="484"/>
      <c r="JDX6" s="484"/>
      <c r="JDY6" s="484"/>
      <c r="JDZ6" s="484"/>
      <c r="JEA6" s="484"/>
      <c r="JEB6" s="484"/>
      <c r="JEC6" s="484"/>
      <c r="JED6" s="484"/>
      <c r="JEE6" s="484"/>
      <c r="JEF6" s="484"/>
      <c r="JEG6" s="484"/>
      <c r="JEH6" s="484"/>
      <c r="JEI6" s="484"/>
      <c r="JEJ6" s="484"/>
      <c r="JEK6" s="484"/>
      <c r="JEL6" s="484"/>
      <c r="JEM6" s="484"/>
      <c r="JEN6" s="484"/>
      <c r="JEO6" s="484"/>
      <c r="JEP6" s="484"/>
      <c r="JEQ6" s="484"/>
      <c r="JER6" s="484"/>
      <c r="JES6" s="484"/>
      <c r="JET6" s="484"/>
      <c r="JEU6" s="484"/>
      <c r="JEV6" s="484"/>
      <c r="JEW6" s="484"/>
      <c r="JEX6" s="484"/>
      <c r="JEY6" s="484"/>
      <c r="JEZ6" s="484"/>
      <c r="JFA6" s="484"/>
      <c r="JFB6" s="484"/>
      <c r="JFC6" s="484"/>
      <c r="JFD6" s="484"/>
      <c r="JFE6" s="484"/>
      <c r="JFF6" s="484"/>
      <c r="JFG6" s="484"/>
      <c r="JFH6" s="484"/>
      <c r="JFI6" s="484"/>
      <c r="JFJ6" s="484"/>
      <c r="JFK6" s="484"/>
      <c r="JFL6" s="484"/>
      <c r="JFM6" s="484"/>
      <c r="JFN6" s="484"/>
      <c r="JFO6" s="484"/>
      <c r="JFP6" s="484"/>
      <c r="JFQ6" s="484"/>
      <c r="JFR6" s="484"/>
      <c r="JFS6" s="484"/>
      <c r="JFT6" s="484"/>
      <c r="JFU6" s="484"/>
      <c r="JFV6" s="484"/>
      <c r="JFW6" s="484"/>
      <c r="JFX6" s="484"/>
      <c r="JFY6" s="484"/>
      <c r="JFZ6" s="484"/>
      <c r="JGA6" s="484"/>
      <c r="JGB6" s="484"/>
      <c r="JGC6" s="484"/>
      <c r="JGD6" s="484"/>
      <c r="JGE6" s="484"/>
      <c r="JGF6" s="484"/>
      <c r="JGG6" s="484"/>
      <c r="JGH6" s="484"/>
      <c r="JGI6" s="484"/>
      <c r="JGJ6" s="484"/>
      <c r="JGK6" s="484"/>
      <c r="JGL6" s="484"/>
      <c r="JGM6" s="484"/>
      <c r="JGN6" s="484"/>
      <c r="JGO6" s="484"/>
      <c r="JGP6" s="484"/>
      <c r="JGQ6" s="484"/>
      <c r="JGR6" s="484"/>
      <c r="JGS6" s="484"/>
      <c r="JGT6" s="484"/>
      <c r="JGU6" s="484"/>
      <c r="JGV6" s="484"/>
      <c r="JGW6" s="484"/>
      <c r="JGX6" s="484"/>
      <c r="JGY6" s="484"/>
      <c r="JGZ6" s="484"/>
      <c r="JHA6" s="484"/>
      <c r="JHB6" s="484"/>
      <c r="JHC6" s="484"/>
      <c r="JHD6" s="484"/>
      <c r="JHE6" s="484"/>
      <c r="JHF6" s="484"/>
      <c r="JHG6" s="484"/>
      <c r="JHH6" s="484"/>
      <c r="JHI6" s="484"/>
      <c r="JHJ6" s="484"/>
      <c r="JHK6" s="484"/>
      <c r="JHL6" s="484"/>
      <c r="JHM6" s="484"/>
      <c r="JHN6" s="484"/>
      <c r="JHO6" s="484"/>
      <c r="JHP6" s="484"/>
      <c r="JHQ6" s="484"/>
      <c r="JHR6" s="484"/>
      <c r="JHS6" s="484"/>
      <c r="JHT6" s="484"/>
      <c r="JHU6" s="484"/>
      <c r="JHV6" s="484"/>
      <c r="JHW6" s="484"/>
      <c r="JHX6" s="484"/>
      <c r="JHY6" s="484"/>
      <c r="JHZ6" s="484"/>
      <c r="JIA6" s="484"/>
      <c r="JIB6" s="484"/>
      <c r="JIC6" s="484"/>
      <c r="JID6" s="484"/>
      <c r="JIE6" s="484"/>
      <c r="JIF6" s="484"/>
      <c r="JIG6" s="484"/>
      <c r="JIH6" s="484"/>
      <c r="JII6" s="484"/>
      <c r="JIJ6" s="484"/>
      <c r="JIK6" s="484"/>
      <c r="JIL6" s="484"/>
      <c r="JIM6" s="484"/>
      <c r="JIN6" s="484"/>
      <c r="JIO6" s="484"/>
      <c r="JIP6" s="484"/>
      <c r="JIQ6" s="484"/>
      <c r="JIR6" s="484"/>
      <c r="JIS6" s="484"/>
      <c r="JIT6" s="484"/>
      <c r="JIU6" s="484"/>
      <c r="JIV6" s="484"/>
      <c r="JIW6" s="484"/>
      <c r="JIX6" s="484"/>
      <c r="JIY6" s="484"/>
      <c r="JIZ6" s="484"/>
      <c r="JJA6" s="484"/>
      <c r="JJB6" s="484"/>
      <c r="JJC6" s="484"/>
      <c r="JJD6" s="484"/>
      <c r="JJE6" s="484"/>
      <c r="JJF6" s="484"/>
      <c r="JJG6" s="484"/>
      <c r="JJH6" s="484"/>
      <c r="JJI6" s="484"/>
      <c r="JJJ6" s="484"/>
      <c r="JJK6" s="484"/>
      <c r="JJL6" s="484"/>
      <c r="JJM6" s="484"/>
      <c r="JJN6" s="484"/>
      <c r="JJO6" s="484"/>
      <c r="JJP6" s="484"/>
      <c r="JJQ6" s="484"/>
      <c r="JJR6" s="484"/>
      <c r="JJS6" s="484"/>
      <c r="JJT6" s="484"/>
      <c r="JJU6" s="484"/>
      <c r="JJV6" s="484"/>
      <c r="JJW6" s="484"/>
      <c r="JJX6" s="484"/>
      <c r="JJY6" s="484"/>
      <c r="JJZ6" s="484"/>
      <c r="JKA6" s="484"/>
      <c r="JKB6" s="484"/>
      <c r="JKC6" s="484"/>
      <c r="JKD6" s="484"/>
      <c r="JKE6" s="484"/>
      <c r="JKF6" s="484"/>
      <c r="JKG6" s="484"/>
      <c r="JKH6" s="484"/>
      <c r="JKI6" s="484"/>
      <c r="JKJ6" s="484"/>
      <c r="JKK6" s="484"/>
      <c r="JKL6" s="484"/>
      <c r="JKM6" s="484"/>
      <c r="JKN6" s="484"/>
      <c r="JKO6" s="484"/>
      <c r="JKP6" s="484"/>
      <c r="JKQ6" s="484"/>
      <c r="JKR6" s="484"/>
      <c r="JKS6" s="484"/>
      <c r="JKT6" s="484"/>
      <c r="JKU6" s="484"/>
      <c r="JKV6" s="484"/>
      <c r="JKW6" s="484"/>
      <c r="JKX6" s="484"/>
      <c r="JKY6" s="484"/>
      <c r="JKZ6" s="484"/>
      <c r="JLA6" s="484"/>
      <c r="JLB6" s="484"/>
      <c r="JLC6" s="484"/>
      <c r="JLD6" s="484"/>
      <c r="JLE6" s="484"/>
      <c r="JLF6" s="484"/>
      <c r="JLG6" s="484"/>
      <c r="JLH6" s="484"/>
      <c r="JLI6" s="484"/>
      <c r="JLJ6" s="484"/>
      <c r="JLK6" s="484"/>
      <c r="JLL6" s="484"/>
      <c r="JLM6" s="484"/>
      <c r="JLN6" s="484"/>
      <c r="JLO6" s="484"/>
      <c r="JLP6" s="484"/>
      <c r="JLQ6" s="484"/>
      <c r="JLR6" s="484"/>
      <c r="JLS6" s="484"/>
      <c r="JLT6" s="484"/>
      <c r="JLU6" s="484"/>
      <c r="JLV6" s="484"/>
      <c r="JLW6" s="484"/>
      <c r="JLX6" s="484"/>
      <c r="JLY6" s="484"/>
      <c r="JLZ6" s="484"/>
      <c r="JMA6" s="484"/>
      <c r="JMB6" s="484"/>
      <c r="JMC6" s="484"/>
      <c r="JMD6" s="484"/>
      <c r="JME6" s="484"/>
      <c r="JMF6" s="484"/>
      <c r="JMG6" s="484"/>
      <c r="JMH6" s="484"/>
      <c r="JMI6" s="484"/>
      <c r="JMJ6" s="484"/>
      <c r="JMK6" s="484"/>
      <c r="JML6" s="484"/>
      <c r="JMM6" s="484"/>
      <c r="JMN6" s="484"/>
      <c r="JMO6" s="484"/>
      <c r="JMP6" s="484"/>
      <c r="JMQ6" s="484"/>
      <c r="JMR6" s="484"/>
      <c r="JMS6" s="484"/>
      <c r="JMT6" s="484"/>
      <c r="JMU6" s="484"/>
      <c r="JMV6" s="484"/>
      <c r="JMW6" s="484"/>
      <c r="JMX6" s="484"/>
      <c r="JMY6" s="484"/>
      <c r="JMZ6" s="484"/>
      <c r="JNA6" s="484"/>
      <c r="JNB6" s="484"/>
      <c r="JNC6" s="484"/>
      <c r="JND6" s="484"/>
      <c r="JNE6" s="484"/>
      <c r="JNF6" s="484"/>
      <c r="JNG6" s="484"/>
      <c r="JNH6" s="484"/>
      <c r="JNI6" s="484"/>
      <c r="JNJ6" s="484"/>
      <c r="JNK6" s="484"/>
      <c r="JNL6" s="484"/>
      <c r="JNM6" s="484"/>
      <c r="JNN6" s="484"/>
      <c r="JNO6" s="484"/>
      <c r="JNP6" s="484"/>
      <c r="JNQ6" s="484"/>
      <c r="JNR6" s="484"/>
      <c r="JNS6" s="484"/>
      <c r="JNT6" s="484"/>
      <c r="JNU6" s="484"/>
      <c r="JNV6" s="484"/>
      <c r="JNW6" s="484"/>
      <c r="JNX6" s="484"/>
      <c r="JNY6" s="484"/>
      <c r="JNZ6" s="484"/>
      <c r="JOA6" s="484"/>
      <c r="JOB6" s="484"/>
      <c r="JOC6" s="484"/>
      <c r="JOD6" s="484"/>
      <c r="JOE6" s="484"/>
      <c r="JOF6" s="484"/>
      <c r="JOG6" s="484"/>
      <c r="JOH6" s="484"/>
      <c r="JOI6" s="484"/>
      <c r="JOJ6" s="484"/>
      <c r="JOK6" s="484"/>
      <c r="JOL6" s="484"/>
      <c r="JOM6" s="484"/>
      <c r="JON6" s="484"/>
      <c r="JOO6" s="484"/>
      <c r="JOP6" s="484"/>
      <c r="JOQ6" s="484"/>
      <c r="JOR6" s="484"/>
      <c r="JOS6" s="484"/>
      <c r="JOT6" s="484"/>
      <c r="JOU6" s="484"/>
      <c r="JOV6" s="484"/>
      <c r="JOW6" s="484"/>
      <c r="JOX6" s="484"/>
      <c r="JOY6" s="484"/>
      <c r="JOZ6" s="484"/>
      <c r="JPA6" s="484"/>
      <c r="JPB6" s="484"/>
      <c r="JPC6" s="484"/>
      <c r="JPD6" s="484"/>
      <c r="JPE6" s="484"/>
      <c r="JPF6" s="484"/>
      <c r="JPG6" s="484"/>
      <c r="JPH6" s="484"/>
      <c r="JPI6" s="484"/>
      <c r="JPJ6" s="484"/>
      <c r="JPK6" s="484"/>
      <c r="JPL6" s="484"/>
      <c r="JPM6" s="484"/>
      <c r="JPN6" s="484"/>
      <c r="JPO6" s="484"/>
      <c r="JPP6" s="484"/>
      <c r="JPQ6" s="484"/>
      <c r="JPR6" s="484"/>
      <c r="JPS6" s="484"/>
      <c r="JPT6" s="484"/>
      <c r="JPU6" s="484"/>
      <c r="JPV6" s="484"/>
      <c r="JPW6" s="484"/>
      <c r="JPX6" s="484"/>
      <c r="JPY6" s="484"/>
      <c r="JPZ6" s="484"/>
      <c r="JQA6" s="484"/>
      <c r="JQB6" s="484"/>
      <c r="JQC6" s="484"/>
      <c r="JQD6" s="484"/>
      <c r="JQE6" s="484"/>
      <c r="JQF6" s="484"/>
      <c r="JQG6" s="484"/>
      <c r="JQH6" s="484"/>
      <c r="JQI6" s="484"/>
      <c r="JQJ6" s="484"/>
      <c r="JQK6" s="484"/>
      <c r="JQL6" s="484"/>
      <c r="JQM6" s="484"/>
      <c r="JQN6" s="484"/>
      <c r="JQO6" s="484"/>
      <c r="JQP6" s="484"/>
      <c r="JQQ6" s="484"/>
      <c r="JQR6" s="484"/>
      <c r="JQS6" s="484"/>
      <c r="JQT6" s="484"/>
      <c r="JQU6" s="484"/>
      <c r="JQV6" s="484"/>
      <c r="JQW6" s="484"/>
      <c r="JQX6" s="484"/>
      <c r="JQY6" s="484"/>
      <c r="JQZ6" s="484"/>
      <c r="JRA6" s="484"/>
      <c r="JRB6" s="484"/>
      <c r="JRC6" s="484"/>
      <c r="JRD6" s="484"/>
      <c r="JRE6" s="484"/>
      <c r="JRF6" s="484"/>
      <c r="JRG6" s="484"/>
      <c r="JRH6" s="484"/>
      <c r="JRI6" s="484"/>
      <c r="JRJ6" s="484"/>
      <c r="JRK6" s="484"/>
      <c r="JRL6" s="484"/>
      <c r="JRM6" s="484"/>
      <c r="JRN6" s="484"/>
      <c r="JRO6" s="484"/>
      <c r="JRP6" s="484"/>
      <c r="JRQ6" s="484"/>
      <c r="JRR6" s="484"/>
      <c r="JRS6" s="484"/>
      <c r="JRT6" s="484"/>
      <c r="JRU6" s="484"/>
      <c r="JRV6" s="484"/>
      <c r="JRW6" s="484"/>
      <c r="JRX6" s="484"/>
      <c r="JRY6" s="484"/>
      <c r="JRZ6" s="484"/>
      <c r="JSA6" s="484"/>
      <c r="JSB6" s="484"/>
      <c r="JSC6" s="484"/>
      <c r="JSD6" s="484"/>
      <c r="JSE6" s="484"/>
      <c r="JSF6" s="484"/>
      <c r="JSG6" s="484"/>
      <c r="JSH6" s="484"/>
      <c r="JSI6" s="484"/>
      <c r="JSJ6" s="484"/>
      <c r="JSK6" s="484"/>
      <c r="JSL6" s="484"/>
      <c r="JSM6" s="484"/>
      <c r="JSN6" s="484"/>
      <c r="JSO6" s="484"/>
      <c r="JSP6" s="484"/>
      <c r="JSQ6" s="484"/>
      <c r="JSR6" s="484"/>
      <c r="JSS6" s="484"/>
      <c r="JST6" s="484"/>
      <c r="JSU6" s="484"/>
      <c r="JSV6" s="484"/>
      <c r="JSW6" s="484"/>
      <c r="JSX6" s="484"/>
      <c r="JSY6" s="484"/>
      <c r="JSZ6" s="484"/>
      <c r="JTA6" s="484"/>
      <c r="JTB6" s="484"/>
      <c r="JTC6" s="484"/>
      <c r="JTD6" s="484"/>
      <c r="JTE6" s="484"/>
      <c r="JTF6" s="484"/>
      <c r="JTG6" s="484"/>
      <c r="JTH6" s="484"/>
      <c r="JTI6" s="484"/>
      <c r="JTJ6" s="484"/>
      <c r="JTK6" s="484"/>
      <c r="JTL6" s="484"/>
      <c r="JTM6" s="484"/>
      <c r="JTN6" s="484"/>
      <c r="JTO6" s="484"/>
      <c r="JTP6" s="484"/>
      <c r="JTQ6" s="484"/>
      <c r="JTR6" s="484"/>
      <c r="JTS6" s="484"/>
      <c r="JTT6" s="484"/>
      <c r="JTU6" s="484"/>
      <c r="JTV6" s="484"/>
      <c r="JTW6" s="484"/>
      <c r="JTX6" s="484"/>
      <c r="JTY6" s="484"/>
      <c r="JTZ6" s="484"/>
      <c r="JUA6" s="484"/>
      <c r="JUB6" s="484"/>
      <c r="JUC6" s="484"/>
      <c r="JUD6" s="484"/>
      <c r="JUE6" s="484"/>
      <c r="JUF6" s="484"/>
      <c r="JUG6" s="484"/>
      <c r="JUH6" s="484"/>
      <c r="JUI6" s="484"/>
      <c r="JUJ6" s="484"/>
      <c r="JUK6" s="484"/>
      <c r="JUL6" s="484"/>
      <c r="JUM6" s="484"/>
      <c r="JUN6" s="484"/>
      <c r="JUO6" s="484"/>
      <c r="JUP6" s="484"/>
      <c r="JUQ6" s="484"/>
      <c r="JUR6" s="484"/>
      <c r="JUS6" s="484"/>
      <c r="JUT6" s="484"/>
      <c r="JUU6" s="484"/>
      <c r="JUV6" s="484"/>
      <c r="JUW6" s="484"/>
      <c r="JUX6" s="484"/>
      <c r="JUY6" s="484"/>
      <c r="JUZ6" s="484"/>
      <c r="JVA6" s="484"/>
      <c r="JVB6" s="484"/>
      <c r="JVC6" s="484"/>
      <c r="JVD6" s="484"/>
      <c r="JVE6" s="484"/>
      <c r="JVF6" s="484"/>
      <c r="JVG6" s="484"/>
      <c r="JVH6" s="484"/>
      <c r="JVI6" s="484"/>
      <c r="JVJ6" s="484"/>
      <c r="JVK6" s="484"/>
      <c r="JVL6" s="484"/>
      <c r="JVM6" s="484"/>
      <c r="JVN6" s="484"/>
      <c r="JVO6" s="484"/>
      <c r="JVP6" s="484"/>
      <c r="JVQ6" s="484"/>
      <c r="JVR6" s="484"/>
      <c r="JVS6" s="484"/>
      <c r="JVT6" s="484"/>
      <c r="JVU6" s="484"/>
      <c r="JVV6" s="484"/>
      <c r="JVW6" s="484"/>
      <c r="JVX6" s="484"/>
      <c r="JVY6" s="484"/>
      <c r="JVZ6" s="484"/>
      <c r="JWA6" s="484"/>
      <c r="JWB6" s="484"/>
      <c r="JWC6" s="484"/>
      <c r="JWD6" s="484"/>
      <c r="JWE6" s="484"/>
      <c r="JWF6" s="484"/>
      <c r="JWG6" s="484"/>
      <c r="JWH6" s="484"/>
      <c r="JWI6" s="484"/>
      <c r="JWJ6" s="484"/>
      <c r="JWK6" s="484"/>
      <c r="JWL6" s="484"/>
      <c r="JWM6" s="484"/>
      <c r="JWN6" s="484"/>
      <c r="JWO6" s="484"/>
      <c r="JWP6" s="484"/>
      <c r="JWQ6" s="484"/>
      <c r="JWR6" s="484"/>
      <c r="JWS6" s="484"/>
      <c r="JWT6" s="484"/>
      <c r="JWU6" s="484"/>
      <c r="JWV6" s="484"/>
      <c r="JWW6" s="484"/>
      <c r="JWX6" s="484"/>
      <c r="JWY6" s="484"/>
      <c r="JWZ6" s="484"/>
      <c r="JXA6" s="484"/>
      <c r="JXB6" s="484"/>
      <c r="JXC6" s="484"/>
      <c r="JXD6" s="484"/>
      <c r="JXE6" s="484"/>
      <c r="JXF6" s="484"/>
      <c r="JXG6" s="484"/>
      <c r="JXH6" s="484"/>
      <c r="JXI6" s="484"/>
      <c r="JXJ6" s="484"/>
      <c r="JXK6" s="484"/>
      <c r="JXL6" s="484"/>
      <c r="JXM6" s="484"/>
      <c r="JXN6" s="484"/>
      <c r="JXO6" s="484"/>
      <c r="JXP6" s="484"/>
      <c r="JXQ6" s="484"/>
      <c r="JXR6" s="484"/>
      <c r="JXS6" s="484"/>
      <c r="JXT6" s="484"/>
      <c r="JXU6" s="484"/>
      <c r="JXV6" s="484"/>
      <c r="JXW6" s="484"/>
      <c r="JXX6" s="484"/>
      <c r="JXY6" s="484"/>
      <c r="JXZ6" s="484"/>
      <c r="JYA6" s="484"/>
      <c r="JYB6" s="484"/>
      <c r="JYC6" s="484"/>
      <c r="JYD6" s="484"/>
      <c r="JYE6" s="484"/>
      <c r="JYF6" s="484"/>
      <c r="JYG6" s="484"/>
      <c r="JYH6" s="484"/>
      <c r="JYI6" s="484"/>
      <c r="JYJ6" s="484"/>
      <c r="JYK6" s="484"/>
      <c r="JYL6" s="484"/>
      <c r="JYM6" s="484"/>
      <c r="JYN6" s="484"/>
      <c r="JYO6" s="484"/>
      <c r="JYP6" s="484"/>
      <c r="JYQ6" s="484"/>
      <c r="JYR6" s="484"/>
      <c r="JYS6" s="484"/>
      <c r="JYT6" s="484"/>
      <c r="JYU6" s="484"/>
      <c r="JYV6" s="484"/>
      <c r="JYW6" s="484"/>
      <c r="JYX6" s="484"/>
      <c r="JYY6" s="484"/>
      <c r="JYZ6" s="484"/>
      <c r="JZA6" s="484"/>
      <c r="JZB6" s="484"/>
      <c r="JZC6" s="484"/>
      <c r="JZD6" s="484"/>
      <c r="JZE6" s="484"/>
      <c r="JZF6" s="484"/>
      <c r="JZG6" s="484"/>
      <c r="JZH6" s="484"/>
      <c r="JZI6" s="484"/>
      <c r="JZJ6" s="484"/>
      <c r="JZK6" s="484"/>
      <c r="JZL6" s="484"/>
      <c r="JZM6" s="484"/>
      <c r="JZN6" s="484"/>
      <c r="JZO6" s="484"/>
      <c r="JZP6" s="484"/>
      <c r="JZQ6" s="484"/>
      <c r="JZR6" s="484"/>
      <c r="JZS6" s="484"/>
      <c r="JZT6" s="484"/>
      <c r="JZU6" s="484"/>
      <c r="JZV6" s="484"/>
      <c r="JZW6" s="484"/>
      <c r="JZX6" s="484"/>
      <c r="JZY6" s="484"/>
      <c r="JZZ6" s="484"/>
      <c r="KAA6" s="484"/>
      <c r="KAB6" s="484"/>
      <c r="KAC6" s="484"/>
      <c r="KAD6" s="484"/>
      <c r="KAE6" s="484"/>
      <c r="KAF6" s="484"/>
      <c r="KAG6" s="484"/>
      <c r="KAH6" s="484"/>
      <c r="KAI6" s="484"/>
      <c r="KAJ6" s="484"/>
      <c r="KAK6" s="484"/>
      <c r="KAL6" s="484"/>
      <c r="KAM6" s="484"/>
      <c r="KAN6" s="484"/>
      <c r="KAO6" s="484"/>
      <c r="KAP6" s="484"/>
      <c r="KAQ6" s="484"/>
      <c r="KAR6" s="484"/>
      <c r="KAS6" s="484"/>
      <c r="KAT6" s="484"/>
      <c r="KAU6" s="484"/>
      <c r="KAV6" s="484"/>
      <c r="KAW6" s="484"/>
      <c r="KAX6" s="484"/>
      <c r="KAY6" s="484"/>
      <c r="KAZ6" s="484"/>
      <c r="KBA6" s="484"/>
      <c r="KBB6" s="484"/>
      <c r="KBC6" s="484"/>
      <c r="KBD6" s="484"/>
      <c r="KBE6" s="484"/>
      <c r="KBF6" s="484"/>
      <c r="KBG6" s="484"/>
      <c r="KBH6" s="484"/>
      <c r="KBI6" s="484"/>
      <c r="KBJ6" s="484"/>
      <c r="KBK6" s="484"/>
      <c r="KBL6" s="484"/>
      <c r="KBM6" s="484"/>
      <c r="KBN6" s="484"/>
      <c r="KBO6" s="484"/>
      <c r="KBP6" s="484"/>
      <c r="KBQ6" s="484"/>
      <c r="KBR6" s="484"/>
      <c r="KBS6" s="484"/>
      <c r="KBT6" s="484"/>
      <c r="KBU6" s="484"/>
      <c r="KBV6" s="484"/>
      <c r="KBW6" s="484"/>
      <c r="KBX6" s="484"/>
      <c r="KBY6" s="484"/>
      <c r="KBZ6" s="484"/>
      <c r="KCA6" s="484"/>
      <c r="KCB6" s="484"/>
      <c r="KCC6" s="484"/>
      <c r="KCD6" s="484"/>
      <c r="KCE6" s="484"/>
      <c r="KCF6" s="484"/>
      <c r="KCG6" s="484"/>
      <c r="KCH6" s="484"/>
      <c r="KCI6" s="484"/>
      <c r="KCJ6" s="484"/>
      <c r="KCK6" s="484"/>
      <c r="KCL6" s="484"/>
      <c r="KCM6" s="484"/>
      <c r="KCN6" s="484"/>
      <c r="KCO6" s="484"/>
      <c r="KCP6" s="484"/>
      <c r="KCQ6" s="484"/>
      <c r="KCR6" s="484"/>
      <c r="KCS6" s="484"/>
      <c r="KCT6" s="484"/>
      <c r="KCU6" s="484"/>
      <c r="KCV6" s="484"/>
      <c r="KCW6" s="484"/>
      <c r="KCX6" s="484"/>
      <c r="KCY6" s="484"/>
      <c r="KCZ6" s="484"/>
      <c r="KDA6" s="484"/>
      <c r="KDB6" s="484"/>
      <c r="KDC6" s="484"/>
      <c r="KDD6" s="484"/>
      <c r="KDE6" s="484"/>
      <c r="KDF6" s="484"/>
      <c r="KDG6" s="484"/>
      <c r="KDH6" s="484"/>
      <c r="KDI6" s="484"/>
      <c r="KDJ6" s="484"/>
      <c r="KDK6" s="484"/>
      <c r="KDL6" s="484"/>
      <c r="KDM6" s="484"/>
      <c r="KDN6" s="484"/>
      <c r="KDO6" s="484"/>
      <c r="KDP6" s="484"/>
      <c r="KDQ6" s="484"/>
      <c r="KDR6" s="484"/>
      <c r="KDS6" s="484"/>
      <c r="KDT6" s="484"/>
      <c r="KDU6" s="484"/>
      <c r="KDV6" s="484"/>
      <c r="KDW6" s="484"/>
      <c r="KDX6" s="484"/>
      <c r="KDY6" s="484"/>
      <c r="KDZ6" s="484"/>
      <c r="KEA6" s="484"/>
      <c r="KEB6" s="484"/>
      <c r="KEC6" s="484"/>
      <c r="KED6" s="484"/>
      <c r="KEE6" s="484"/>
      <c r="KEF6" s="484"/>
      <c r="KEG6" s="484"/>
      <c r="KEH6" s="484"/>
      <c r="KEI6" s="484"/>
      <c r="KEJ6" s="484"/>
      <c r="KEK6" s="484"/>
      <c r="KEL6" s="484"/>
      <c r="KEM6" s="484"/>
      <c r="KEN6" s="484"/>
      <c r="KEO6" s="484"/>
      <c r="KEP6" s="484"/>
      <c r="KEQ6" s="484"/>
      <c r="KER6" s="484"/>
      <c r="KES6" s="484"/>
      <c r="KET6" s="484"/>
      <c r="KEU6" s="484"/>
      <c r="KEV6" s="484"/>
      <c r="KEW6" s="484"/>
      <c r="KEX6" s="484"/>
      <c r="KEY6" s="484"/>
      <c r="KEZ6" s="484"/>
      <c r="KFA6" s="484"/>
      <c r="KFB6" s="484"/>
      <c r="KFC6" s="484"/>
      <c r="KFD6" s="484"/>
      <c r="KFE6" s="484"/>
      <c r="KFF6" s="484"/>
      <c r="KFG6" s="484"/>
      <c r="KFH6" s="484"/>
      <c r="KFI6" s="484"/>
      <c r="KFJ6" s="484"/>
      <c r="KFK6" s="484"/>
      <c r="KFL6" s="484"/>
      <c r="KFM6" s="484"/>
      <c r="KFN6" s="484"/>
      <c r="KFO6" s="484"/>
      <c r="KFP6" s="484"/>
      <c r="KFQ6" s="484"/>
      <c r="KFR6" s="484"/>
      <c r="KFS6" s="484"/>
      <c r="KFT6" s="484"/>
      <c r="KFU6" s="484"/>
      <c r="KFV6" s="484"/>
      <c r="KFW6" s="484"/>
      <c r="KFX6" s="484"/>
      <c r="KFY6" s="484"/>
      <c r="KFZ6" s="484"/>
      <c r="KGA6" s="484"/>
      <c r="KGB6" s="484"/>
      <c r="KGC6" s="484"/>
      <c r="KGD6" s="484"/>
      <c r="KGE6" s="484"/>
      <c r="KGF6" s="484"/>
      <c r="KGG6" s="484"/>
      <c r="KGH6" s="484"/>
      <c r="KGI6" s="484"/>
      <c r="KGJ6" s="484"/>
      <c r="KGK6" s="484"/>
      <c r="KGL6" s="484"/>
      <c r="KGM6" s="484"/>
      <c r="KGN6" s="484"/>
      <c r="KGO6" s="484"/>
      <c r="KGP6" s="484"/>
      <c r="KGQ6" s="484"/>
      <c r="KGR6" s="484"/>
      <c r="KGS6" s="484"/>
      <c r="KGT6" s="484"/>
      <c r="KGU6" s="484"/>
      <c r="KGV6" s="484"/>
      <c r="KGW6" s="484"/>
      <c r="KGX6" s="484"/>
      <c r="KGY6" s="484"/>
      <c r="KGZ6" s="484"/>
      <c r="KHA6" s="484"/>
      <c r="KHB6" s="484"/>
      <c r="KHC6" s="484"/>
      <c r="KHD6" s="484"/>
      <c r="KHE6" s="484"/>
      <c r="KHF6" s="484"/>
      <c r="KHG6" s="484"/>
      <c r="KHH6" s="484"/>
      <c r="KHI6" s="484"/>
      <c r="KHJ6" s="484"/>
      <c r="KHK6" s="484"/>
      <c r="KHL6" s="484"/>
      <c r="KHM6" s="484"/>
      <c r="KHN6" s="484"/>
      <c r="KHO6" s="484"/>
      <c r="KHP6" s="484"/>
      <c r="KHQ6" s="484"/>
      <c r="KHR6" s="484"/>
      <c r="KHS6" s="484"/>
      <c r="KHT6" s="484"/>
      <c r="KHU6" s="484"/>
      <c r="KHV6" s="484"/>
      <c r="KHW6" s="484"/>
      <c r="KHX6" s="484"/>
      <c r="KHY6" s="484"/>
      <c r="KHZ6" s="484"/>
      <c r="KIA6" s="484"/>
      <c r="KIB6" s="484"/>
      <c r="KIC6" s="484"/>
      <c r="KID6" s="484"/>
      <c r="KIE6" s="484"/>
      <c r="KIF6" s="484"/>
      <c r="KIG6" s="484"/>
      <c r="KIH6" s="484"/>
      <c r="KII6" s="484"/>
      <c r="KIJ6" s="484"/>
      <c r="KIK6" s="484"/>
      <c r="KIL6" s="484"/>
      <c r="KIM6" s="484"/>
      <c r="KIN6" s="484"/>
      <c r="KIO6" s="484"/>
      <c r="KIP6" s="484"/>
      <c r="KIQ6" s="484"/>
      <c r="KIR6" s="484"/>
      <c r="KIS6" s="484"/>
      <c r="KIT6" s="484"/>
      <c r="KIU6" s="484"/>
      <c r="KIV6" s="484"/>
      <c r="KIW6" s="484"/>
      <c r="KIX6" s="484"/>
      <c r="KIY6" s="484"/>
      <c r="KIZ6" s="484"/>
      <c r="KJA6" s="484"/>
      <c r="KJB6" s="484"/>
      <c r="KJC6" s="484"/>
      <c r="KJD6" s="484"/>
      <c r="KJE6" s="484"/>
      <c r="KJF6" s="484"/>
      <c r="KJG6" s="484"/>
      <c r="KJH6" s="484"/>
      <c r="KJI6" s="484"/>
      <c r="KJJ6" s="484"/>
      <c r="KJK6" s="484"/>
      <c r="KJL6" s="484"/>
      <c r="KJM6" s="484"/>
      <c r="KJN6" s="484"/>
      <c r="KJO6" s="484"/>
      <c r="KJP6" s="484"/>
      <c r="KJQ6" s="484"/>
      <c r="KJR6" s="484"/>
      <c r="KJS6" s="484"/>
      <c r="KJT6" s="484"/>
      <c r="KJU6" s="484"/>
      <c r="KJV6" s="484"/>
      <c r="KJW6" s="484"/>
      <c r="KJX6" s="484"/>
      <c r="KJY6" s="484"/>
      <c r="KJZ6" s="484"/>
      <c r="KKA6" s="484"/>
      <c r="KKB6" s="484"/>
      <c r="KKC6" s="484"/>
      <c r="KKD6" s="484"/>
      <c r="KKE6" s="484"/>
      <c r="KKF6" s="484"/>
      <c r="KKG6" s="484"/>
      <c r="KKH6" s="484"/>
      <c r="KKI6" s="484"/>
      <c r="KKJ6" s="484"/>
      <c r="KKK6" s="484"/>
      <c r="KKL6" s="484"/>
      <c r="KKM6" s="484"/>
      <c r="KKN6" s="484"/>
      <c r="KKO6" s="484"/>
      <c r="KKP6" s="484"/>
      <c r="KKQ6" s="484"/>
      <c r="KKR6" s="484"/>
      <c r="KKS6" s="484"/>
      <c r="KKT6" s="484"/>
      <c r="KKU6" s="484"/>
      <c r="KKV6" s="484"/>
      <c r="KKW6" s="484"/>
      <c r="KKX6" s="484"/>
      <c r="KKY6" s="484"/>
      <c r="KKZ6" s="484"/>
      <c r="KLA6" s="484"/>
      <c r="KLB6" s="484"/>
      <c r="KLC6" s="484"/>
      <c r="KLD6" s="484"/>
      <c r="KLE6" s="484"/>
      <c r="KLF6" s="484"/>
      <c r="KLG6" s="484"/>
      <c r="KLH6" s="484"/>
      <c r="KLI6" s="484"/>
      <c r="KLJ6" s="484"/>
      <c r="KLK6" s="484"/>
      <c r="KLL6" s="484"/>
      <c r="KLM6" s="484"/>
      <c r="KLN6" s="484"/>
      <c r="KLO6" s="484"/>
      <c r="KLP6" s="484"/>
      <c r="KLQ6" s="484"/>
      <c r="KLR6" s="484"/>
      <c r="KLS6" s="484"/>
      <c r="KLT6" s="484"/>
      <c r="KLU6" s="484"/>
      <c r="KLV6" s="484"/>
      <c r="KLW6" s="484"/>
      <c r="KLX6" s="484"/>
      <c r="KLY6" s="484"/>
      <c r="KLZ6" s="484"/>
      <c r="KMA6" s="484"/>
      <c r="KMB6" s="484"/>
      <c r="KMC6" s="484"/>
      <c r="KMD6" s="484"/>
      <c r="KME6" s="484"/>
      <c r="KMF6" s="484"/>
      <c r="KMG6" s="484"/>
      <c r="KMH6" s="484"/>
      <c r="KMI6" s="484"/>
      <c r="KMJ6" s="484"/>
      <c r="KMK6" s="484"/>
      <c r="KML6" s="484"/>
      <c r="KMM6" s="484"/>
      <c r="KMN6" s="484"/>
      <c r="KMO6" s="484"/>
      <c r="KMP6" s="484"/>
      <c r="KMQ6" s="484"/>
      <c r="KMR6" s="484"/>
      <c r="KMS6" s="484"/>
      <c r="KMT6" s="484"/>
      <c r="KMU6" s="484"/>
      <c r="KMV6" s="484"/>
      <c r="KMW6" s="484"/>
      <c r="KMX6" s="484"/>
      <c r="KMY6" s="484"/>
      <c r="KMZ6" s="484"/>
      <c r="KNA6" s="484"/>
      <c r="KNB6" s="484"/>
      <c r="KNC6" s="484"/>
      <c r="KND6" s="484"/>
      <c r="KNE6" s="484"/>
      <c r="KNF6" s="484"/>
      <c r="KNG6" s="484"/>
      <c r="KNH6" s="484"/>
      <c r="KNI6" s="484"/>
      <c r="KNJ6" s="484"/>
      <c r="KNK6" s="484"/>
      <c r="KNL6" s="484"/>
      <c r="KNM6" s="484"/>
      <c r="KNN6" s="484"/>
      <c r="KNO6" s="484"/>
      <c r="KNP6" s="484"/>
      <c r="KNQ6" s="484"/>
      <c r="KNR6" s="484"/>
      <c r="KNS6" s="484"/>
      <c r="KNT6" s="484"/>
      <c r="KNU6" s="484"/>
      <c r="KNV6" s="484"/>
      <c r="KNW6" s="484"/>
      <c r="KNX6" s="484"/>
      <c r="KNY6" s="484"/>
      <c r="KNZ6" s="484"/>
      <c r="KOA6" s="484"/>
      <c r="KOB6" s="484"/>
      <c r="KOC6" s="484"/>
      <c r="KOD6" s="484"/>
      <c r="KOE6" s="484"/>
      <c r="KOF6" s="484"/>
      <c r="KOG6" s="484"/>
      <c r="KOH6" s="484"/>
      <c r="KOI6" s="484"/>
      <c r="KOJ6" s="484"/>
      <c r="KOK6" s="484"/>
      <c r="KOL6" s="484"/>
      <c r="KOM6" s="484"/>
      <c r="KON6" s="484"/>
      <c r="KOO6" s="484"/>
      <c r="KOP6" s="484"/>
      <c r="KOQ6" s="484"/>
      <c r="KOR6" s="484"/>
      <c r="KOS6" s="484"/>
      <c r="KOT6" s="484"/>
      <c r="KOU6" s="484"/>
      <c r="KOV6" s="484"/>
      <c r="KOW6" s="484"/>
      <c r="KOX6" s="484"/>
      <c r="KOY6" s="484"/>
      <c r="KOZ6" s="484"/>
      <c r="KPA6" s="484"/>
      <c r="KPB6" s="484"/>
      <c r="KPC6" s="484"/>
      <c r="KPD6" s="484"/>
      <c r="KPE6" s="484"/>
      <c r="KPF6" s="484"/>
      <c r="KPG6" s="484"/>
      <c r="KPH6" s="484"/>
      <c r="KPI6" s="484"/>
      <c r="KPJ6" s="484"/>
      <c r="KPK6" s="484"/>
      <c r="KPL6" s="484"/>
      <c r="KPM6" s="484"/>
      <c r="KPN6" s="484"/>
      <c r="KPO6" s="484"/>
      <c r="KPP6" s="484"/>
      <c r="KPQ6" s="484"/>
      <c r="KPR6" s="484"/>
      <c r="KPS6" s="484"/>
      <c r="KPT6" s="484"/>
      <c r="KPU6" s="484"/>
      <c r="KPV6" s="484"/>
      <c r="KPW6" s="484"/>
      <c r="KPX6" s="484"/>
      <c r="KPY6" s="484"/>
      <c r="KPZ6" s="484"/>
      <c r="KQA6" s="484"/>
      <c r="KQB6" s="484"/>
      <c r="KQC6" s="484"/>
      <c r="KQD6" s="484"/>
      <c r="KQE6" s="484"/>
      <c r="KQF6" s="484"/>
      <c r="KQG6" s="484"/>
      <c r="KQH6" s="484"/>
      <c r="KQI6" s="484"/>
      <c r="KQJ6" s="484"/>
      <c r="KQK6" s="484"/>
      <c r="KQL6" s="484"/>
      <c r="KQM6" s="484"/>
      <c r="KQN6" s="484"/>
      <c r="KQO6" s="484"/>
      <c r="KQP6" s="484"/>
      <c r="KQQ6" s="484"/>
      <c r="KQR6" s="484"/>
      <c r="KQS6" s="484"/>
      <c r="KQT6" s="484"/>
      <c r="KQU6" s="484"/>
      <c r="KQV6" s="484"/>
      <c r="KQW6" s="484"/>
      <c r="KQX6" s="484"/>
      <c r="KQY6" s="484"/>
      <c r="KQZ6" s="484"/>
      <c r="KRA6" s="484"/>
      <c r="KRB6" s="484"/>
      <c r="KRC6" s="484"/>
      <c r="KRD6" s="484"/>
      <c r="KRE6" s="484"/>
      <c r="KRF6" s="484"/>
      <c r="KRG6" s="484"/>
      <c r="KRH6" s="484"/>
      <c r="KRI6" s="484"/>
      <c r="KRJ6" s="484"/>
      <c r="KRK6" s="484"/>
      <c r="KRL6" s="484"/>
      <c r="KRM6" s="484"/>
      <c r="KRN6" s="484"/>
      <c r="KRO6" s="484"/>
      <c r="KRP6" s="484"/>
      <c r="KRQ6" s="484"/>
      <c r="KRR6" s="484"/>
      <c r="KRS6" s="484"/>
      <c r="KRT6" s="484"/>
      <c r="KRU6" s="484"/>
      <c r="KRV6" s="484"/>
      <c r="KRW6" s="484"/>
      <c r="KRX6" s="484"/>
      <c r="KRY6" s="484"/>
      <c r="KRZ6" s="484"/>
      <c r="KSA6" s="484"/>
      <c r="KSB6" s="484"/>
      <c r="KSC6" s="484"/>
      <c r="KSD6" s="484"/>
      <c r="KSE6" s="484"/>
      <c r="KSF6" s="484"/>
      <c r="KSG6" s="484"/>
      <c r="KSH6" s="484"/>
      <c r="KSI6" s="484"/>
      <c r="KSJ6" s="484"/>
      <c r="KSK6" s="484"/>
      <c r="KSL6" s="484"/>
      <c r="KSM6" s="484"/>
      <c r="KSN6" s="484"/>
      <c r="KSO6" s="484"/>
      <c r="KSP6" s="484"/>
      <c r="KSQ6" s="484"/>
      <c r="KSR6" s="484"/>
      <c r="KSS6" s="484"/>
      <c r="KST6" s="484"/>
      <c r="KSU6" s="484"/>
      <c r="KSV6" s="484"/>
      <c r="KSW6" s="484"/>
      <c r="KSX6" s="484"/>
      <c r="KSY6" s="484"/>
      <c r="KSZ6" s="484"/>
      <c r="KTA6" s="484"/>
      <c r="KTB6" s="484"/>
      <c r="KTC6" s="484"/>
      <c r="KTD6" s="484"/>
      <c r="KTE6" s="484"/>
      <c r="KTF6" s="484"/>
      <c r="KTG6" s="484"/>
      <c r="KTH6" s="484"/>
      <c r="KTI6" s="484"/>
      <c r="KTJ6" s="484"/>
      <c r="KTK6" s="484"/>
      <c r="KTL6" s="484"/>
      <c r="KTM6" s="484"/>
      <c r="KTN6" s="484"/>
      <c r="KTO6" s="484"/>
      <c r="KTP6" s="484"/>
      <c r="KTQ6" s="484"/>
      <c r="KTR6" s="484"/>
      <c r="KTS6" s="484"/>
      <c r="KTT6" s="484"/>
      <c r="KTU6" s="484"/>
      <c r="KTV6" s="484"/>
      <c r="KTW6" s="484"/>
      <c r="KTX6" s="484"/>
      <c r="KTY6" s="484"/>
      <c r="KTZ6" s="484"/>
      <c r="KUA6" s="484"/>
      <c r="KUB6" s="484"/>
      <c r="KUC6" s="484"/>
      <c r="KUD6" s="484"/>
      <c r="KUE6" s="484"/>
      <c r="KUF6" s="484"/>
      <c r="KUG6" s="484"/>
      <c r="KUH6" s="484"/>
      <c r="KUI6" s="484"/>
      <c r="KUJ6" s="484"/>
      <c r="KUK6" s="484"/>
      <c r="KUL6" s="484"/>
      <c r="KUM6" s="484"/>
      <c r="KUN6" s="484"/>
      <c r="KUO6" s="484"/>
      <c r="KUP6" s="484"/>
      <c r="KUQ6" s="484"/>
      <c r="KUR6" s="484"/>
      <c r="KUS6" s="484"/>
      <c r="KUT6" s="484"/>
      <c r="KUU6" s="484"/>
      <c r="KUV6" s="484"/>
      <c r="KUW6" s="484"/>
      <c r="KUX6" s="484"/>
      <c r="KUY6" s="484"/>
      <c r="KUZ6" s="484"/>
      <c r="KVA6" s="484"/>
      <c r="KVB6" s="484"/>
      <c r="KVC6" s="484"/>
      <c r="KVD6" s="484"/>
      <c r="KVE6" s="484"/>
      <c r="KVF6" s="484"/>
      <c r="KVG6" s="484"/>
      <c r="KVH6" s="484"/>
      <c r="KVI6" s="484"/>
      <c r="KVJ6" s="484"/>
      <c r="KVK6" s="484"/>
      <c r="KVL6" s="484"/>
      <c r="KVM6" s="484"/>
      <c r="KVN6" s="484"/>
      <c r="KVO6" s="484"/>
      <c r="KVP6" s="484"/>
      <c r="KVQ6" s="484"/>
      <c r="KVR6" s="484"/>
      <c r="KVS6" s="484"/>
      <c r="KVT6" s="484"/>
      <c r="KVU6" s="484"/>
      <c r="KVV6" s="484"/>
      <c r="KVW6" s="484"/>
      <c r="KVX6" s="484"/>
      <c r="KVY6" s="484"/>
      <c r="KVZ6" s="484"/>
      <c r="KWA6" s="484"/>
      <c r="KWB6" s="484"/>
      <c r="KWC6" s="484"/>
      <c r="KWD6" s="484"/>
      <c r="KWE6" s="484"/>
      <c r="KWF6" s="484"/>
      <c r="KWG6" s="484"/>
      <c r="KWH6" s="484"/>
      <c r="KWI6" s="484"/>
      <c r="KWJ6" s="484"/>
      <c r="KWK6" s="484"/>
      <c r="KWL6" s="484"/>
      <c r="KWM6" s="484"/>
      <c r="KWN6" s="484"/>
      <c r="KWO6" s="484"/>
      <c r="KWP6" s="484"/>
      <c r="KWQ6" s="484"/>
      <c r="KWR6" s="484"/>
      <c r="KWS6" s="484"/>
      <c r="KWT6" s="484"/>
      <c r="KWU6" s="484"/>
      <c r="KWV6" s="484"/>
      <c r="KWW6" s="484"/>
      <c r="KWX6" s="484"/>
      <c r="KWY6" s="484"/>
      <c r="KWZ6" s="484"/>
      <c r="KXA6" s="484"/>
      <c r="KXB6" s="484"/>
      <c r="KXC6" s="484"/>
      <c r="KXD6" s="484"/>
      <c r="KXE6" s="484"/>
      <c r="KXF6" s="484"/>
      <c r="KXG6" s="484"/>
      <c r="KXH6" s="484"/>
      <c r="KXI6" s="484"/>
      <c r="KXJ6" s="484"/>
      <c r="KXK6" s="484"/>
      <c r="KXL6" s="484"/>
      <c r="KXM6" s="484"/>
      <c r="KXN6" s="484"/>
      <c r="KXO6" s="484"/>
      <c r="KXP6" s="484"/>
      <c r="KXQ6" s="484"/>
      <c r="KXR6" s="484"/>
      <c r="KXS6" s="484"/>
      <c r="KXT6" s="484"/>
      <c r="KXU6" s="484"/>
      <c r="KXV6" s="484"/>
      <c r="KXW6" s="484"/>
      <c r="KXX6" s="484"/>
      <c r="KXY6" s="484"/>
      <c r="KXZ6" s="484"/>
      <c r="KYA6" s="484"/>
      <c r="KYB6" s="484"/>
      <c r="KYC6" s="484"/>
      <c r="KYD6" s="484"/>
      <c r="KYE6" s="484"/>
      <c r="KYF6" s="484"/>
      <c r="KYG6" s="484"/>
      <c r="KYH6" s="484"/>
      <c r="KYI6" s="484"/>
      <c r="KYJ6" s="484"/>
      <c r="KYK6" s="484"/>
      <c r="KYL6" s="484"/>
      <c r="KYM6" s="484"/>
      <c r="KYN6" s="484"/>
      <c r="KYO6" s="484"/>
      <c r="KYP6" s="484"/>
      <c r="KYQ6" s="484"/>
      <c r="KYR6" s="484"/>
      <c r="KYS6" s="484"/>
      <c r="KYT6" s="484"/>
      <c r="KYU6" s="484"/>
      <c r="KYV6" s="484"/>
      <c r="KYW6" s="484"/>
      <c r="KYX6" s="484"/>
      <c r="KYY6" s="484"/>
      <c r="KYZ6" s="484"/>
      <c r="KZA6" s="484"/>
      <c r="KZB6" s="484"/>
      <c r="KZC6" s="484"/>
      <c r="KZD6" s="484"/>
      <c r="KZE6" s="484"/>
      <c r="KZF6" s="484"/>
      <c r="KZG6" s="484"/>
      <c r="KZH6" s="484"/>
      <c r="KZI6" s="484"/>
      <c r="KZJ6" s="484"/>
      <c r="KZK6" s="484"/>
      <c r="KZL6" s="484"/>
      <c r="KZM6" s="484"/>
      <c r="KZN6" s="484"/>
      <c r="KZO6" s="484"/>
      <c r="KZP6" s="484"/>
      <c r="KZQ6" s="484"/>
      <c r="KZR6" s="484"/>
      <c r="KZS6" s="484"/>
      <c r="KZT6" s="484"/>
      <c r="KZU6" s="484"/>
      <c r="KZV6" s="484"/>
      <c r="KZW6" s="484"/>
      <c r="KZX6" s="484"/>
      <c r="KZY6" s="484"/>
      <c r="KZZ6" s="484"/>
      <c r="LAA6" s="484"/>
      <c r="LAB6" s="484"/>
      <c r="LAC6" s="484"/>
      <c r="LAD6" s="484"/>
      <c r="LAE6" s="484"/>
      <c r="LAF6" s="484"/>
      <c r="LAG6" s="484"/>
      <c r="LAH6" s="484"/>
      <c r="LAI6" s="484"/>
      <c r="LAJ6" s="484"/>
      <c r="LAK6" s="484"/>
      <c r="LAL6" s="484"/>
      <c r="LAM6" s="484"/>
      <c r="LAN6" s="484"/>
      <c r="LAO6" s="484"/>
      <c r="LAP6" s="484"/>
      <c r="LAQ6" s="484"/>
      <c r="LAR6" s="484"/>
      <c r="LAS6" s="484"/>
      <c r="LAT6" s="484"/>
      <c r="LAU6" s="484"/>
      <c r="LAV6" s="484"/>
      <c r="LAW6" s="484"/>
      <c r="LAX6" s="484"/>
      <c r="LAY6" s="484"/>
      <c r="LAZ6" s="484"/>
      <c r="LBA6" s="484"/>
      <c r="LBB6" s="484"/>
      <c r="LBC6" s="484"/>
      <c r="LBD6" s="484"/>
      <c r="LBE6" s="484"/>
      <c r="LBF6" s="484"/>
      <c r="LBG6" s="484"/>
      <c r="LBH6" s="484"/>
      <c r="LBI6" s="484"/>
      <c r="LBJ6" s="484"/>
      <c r="LBK6" s="484"/>
      <c r="LBL6" s="484"/>
      <c r="LBM6" s="484"/>
      <c r="LBN6" s="484"/>
      <c r="LBO6" s="484"/>
      <c r="LBP6" s="484"/>
      <c r="LBQ6" s="484"/>
      <c r="LBR6" s="484"/>
      <c r="LBS6" s="484"/>
      <c r="LBT6" s="484"/>
      <c r="LBU6" s="484"/>
      <c r="LBV6" s="484"/>
      <c r="LBW6" s="484"/>
      <c r="LBX6" s="484"/>
      <c r="LBY6" s="484"/>
      <c r="LBZ6" s="484"/>
      <c r="LCA6" s="484"/>
      <c r="LCB6" s="484"/>
      <c r="LCC6" s="484"/>
      <c r="LCD6" s="484"/>
      <c r="LCE6" s="484"/>
      <c r="LCF6" s="484"/>
      <c r="LCG6" s="484"/>
      <c r="LCH6" s="484"/>
      <c r="LCI6" s="484"/>
      <c r="LCJ6" s="484"/>
      <c r="LCK6" s="484"/>
      <c r="LCL6" s="484"/>
      <c r="LCM6" s="484"/>
      <c r="LCN6" s="484"/>
      <c r="LCO6" s="484"/>
      <c r="LCP6" s="484"/>
      <c r="LCQ6" s="484"/>
      <c r="LCR6" s="484"/>
      <c r="LCS6" s="484"/>
      <c r="LCT6" s="484"/>
      <c r="LCU6" s="484"/>
      <c r="LCV6" s="484"/>
      <c r="LCW6" s="484"/>
      <c r="LCX6" s="484"/>
      <c r="LCY6" s="484"/>
      <c r="LCZ6" s="484"/>
      <c r="LDA6" s="484"/>
      <c r="LDB6" s="484"/>
      <c r="LDC6" s="484"/>
      <c r="LDD6" s="484"/>
      <c r="LDE6" s="484"/>
      <c r="LDF6" s="484"/>
      <c r="LDG6" s="484"/>
      <c r="LDH6" s="484"/>
      <c r="LDI6" s="484"/>
      <c r="LDJ6" s="484"/>
      <c r="LDK6" s="484"/>
      <c r="LDL6" s="484"/>
      <c r="LDM6" s="484"/>
      <c r="LDN6" s="484"/>
      <c r="LDO6" s="484"/>
      <c r="LDP6" s="484"/>
      <c r="LDQ6" s="484"/>
      <c r="LDR6" s="484"/>
      <c r="LDS6" s="484"/>
      <c r="LDT6" s="484"/>
      <c r="LDU6" s="484"/>
      <c r="LDV6" s="484"/>
      <c r="LDW6" s="484"/>
      <c r="LDX6" s="484"/>
      <c r="LDY6" s="484"/>
      <c r="LDZ6" s="484"/>
      <c r="LEA6" s="484"/>
      <c r="LEB6" s="484"/>
      <c r="LEC6" s="484"/>
      <c r="LED6" s="484"/>
      <c r="LEE6" s="484"/>
      <c r="LEF6" s="484"/>
      <c r="LEG6" s="484"/>
      <c r="LEH6" s="484"/>
      <c r="LEI6" s="484"/>
      <c r="LEJ6" s="484"/>
      <c r="LEK6" s="484"/>
      <c r="LEL6" s="484"/>
      <c r="LEM6" s="484"/>
      <c r="LEN6" s="484"/>
      <c r="LEO6" s="484"/>
      <c r="LEP6" s="484"/>
      <c r="LEQ6" s="484"/>
      <c r="LER6" s="484"/>
      <c r="LES6" s="484"/>
      <c r="LET6" s="484"/>
      <c r="LEU6" s="484"/>
      <c r="LEV6" s="484"/>
      <c r="LEW6" s="484"/>
      <c r="LEX6" s="484"/>
      <c r="LEY6" s="484"/>
      <c r="LEZ6" s="484"/>
      <c r="LFA6" s="484"/>
      <c r="LFB6" s="484"/>
      <c r="LFC6" s="484"/>
      <c r="LFD6" s="484"/>
      <c r="LFE6" s="484"/>
      <c r="LFF6" s="484"/>
      <c r="LFG6" s="484"/>
      <c r="LFH6" s="484"/>
      <c r="LFI6" s="484"/>
      <c r="LFJ6" s="484"/>
      <c r="LFK6" s="484"/>
      <c r="LFL6" s="484"/>
      <c r="LFM6" s="484"/>
      <c r="LFN6" s="484"/>
      <c r="LFO6" s="484"/>
      <c r="LFP6" s="484"/>
      <c r="LFQ6" s="484"/>
      <c r="LFR6" s="484"/>
      <c r="LFS6" s="484"/>
      <c r="LFT6" s="484"/>
      <c r="LFU6" s="484"/>
      <c r="LFV6" s="484"/>
      <c r="LFW6" s="484"/>
      <c r="LFX6" s="484"/>
      <c r="LFY6" s="484"/>
      <c r="LFZ6" s="484"/>
      <c r="LGA6" s="484"/>
      <c r="LGB6" s="484"/>
      <c r="LGC6" s="484"/>
      <c r="LGD6" s="484"/>
      <c r="LGE6" s="484"/>
      <c r="LGF6" s="484"/>
      <c r="LGG6" s="484"/>
      <c r="LGH6" s="484"/>
      <c r="LGI6" s="484"/>
      <c r="LGJ6" s="484"/>
      <c r="LGK6" s="484"/>
      <c r="LGL6" s="484"/>
      <c r="LGM6" s="484"/>
      <c r="LGN6" s="484"/>
      <c r="LGO6" s="484"/>
      <c r="LGP6" s="484"/>
      <c r="LGQ6" s="484"/>
      <c r="LGR6" s="484"/>
      <c r="LGS6" s="484"/>
      <c r="LGT6" s="484"/>
      <c r="LGU6" s="484"/>
      <c r="LGV6" s="484"/>
      <c r="LGW6" s="484"/>
      <c r="LGX6" s="484"/>
      <c r="LGY6" s="484"/>
      <c r="LGZ6" s="484"/>
      <c r="LHA6" s="484"/>
      <c r="LHB6" s="484"/>
      <c r="LHC6" s="484"/>
      <c r="LHD6" s="484"/>
      <c r="LHE6" s="484"/>
      <c r="LHF6" s="484"/>
      <c r="LHG6" s="484"/>
      <c r="LHH6" s="484"/>
      <c r="LHI6" s="484"/>
      <c r="LHJ6" s="484"/>
      <c r="LHK6" s="484"/>
      <c r="LHL6" s="484"/>
      <c r="LHM6" s="484"/>
      <c r="LHN6" s="484"/>
      <c r="LHO6" s="484"/>
      <c r="LHP6" s="484"/>
      <c r="LHQ6" s="484"/>
      <c r="LHR6" s="484"/>
      <c r="LHS6" s="484"/>
      <c r="LHT6" s="484"/>
      <c r="LHU6" s="484"/>
      <c r="LHV6" s="484"/>
      <c r="LHW6" s="484"/>
      <c r="LHX6" s="484"/>
      <c r="LHY6" s="484"/>
      <c r="LHZ6" s="484"/>
      <c r="LIA6" s="484"/>
      <c r="LIB6" s="484"/>
      <c r="LIC6" s="484"/>
      <c r="LID6" s="484"/>
      <c r="LIE6" s="484"/>
      <c r="LIF6" s="484"/>
      <c r="LIG6" s="484"/>
      <c r="LIH6" s="484"/>
      <c r="LII6" s="484"/>
      <c r="LIJ6" s="484"/>
      <c r="LIK6" s="484"/>
      <c r="LIL6" s="484"/>
      <c r="LIM6" s="484"/>
      <c r="LIN6" s="484"/>
      <c r="LIO6" s="484"/>
      <c r="LIP6" s="484"/>
      <c r="LIQ6" s="484"/>
      <c r="LIR6" s="484"/>
      <c r="LIS6" s="484"/>
      <c r="LIT6" s="484"/>
      <c r="LIU6" s="484"/>
      <c r="LIV6" s="484"/>
      <c r="LIW6" s="484"/>
      <c r="LIX6" s="484"/>
      <c r="LIY6" s="484"/>
      <c r="LIZ6" s="484"/>
      <c r="LJA6" s="484"/>
      <c r="LJB6" s="484"/>
      <c r="LJC6" s="484"/>
      <c r="LJD6" s="484"/>
      <c r="LJE6" s="484"/>
      <c r="LJF6" s="484"/>
      <c r="LJG6" s="484"/>
      <c r="LJH6" s="484"/>
      <c r="LJI6" s="484"/>
      <c r="LJJ6" s="484"/>
      <c r="LJK6" s="484"/>
      <c r="LJL6" s="484"/>
      <c r="LJM6" s="484"/>
      <c r="LJN6" s="484"/>
      <c r="LJO6" s="484"/>
      <c r="LJP6" s="484"/>
      <c r="LJQ6" s="484"/>
      <c r="LJR6" s="484"/>
      <c r="LJS6" s="484"/>
      <c r="LJT6" s="484"/>
      <c r="LJU6" s="484"/>
      <c r="LJV6" s="484"/>
      <c r="LJW6" s="484"/>
      <c r="LJX6" s="484"/>
      <c r="LJY6" s="484"/>
      <c r="LJZ6" s="484"/>
      <c r="LKA6" s="484"/>
      <c r="LKB6" s="484"/>
      <c r="LKC6" s="484"/>
      <c r="LKD6" s="484"/>
      <c r="LKE6" s="484"/>
      <c r="LKF6" s="484"/>
      <c r="LKG6" s="484"/>
      <c r="LKH6" s="484"/>
      <c r="LKI6" s="484"/>
      <c r="LKJ6" s="484"/>
      <c r="LKK6" s="484"/>
      <c r="LKL6" s="484"/>
      <c r="LKM6" s="484"/>
      <c r="LKN6" s="484"/>
      <c r="LKO6" s="484"/>
      <c r="LKP6" s="484"/>
      <c r="LKQ6" s="484"/>
      <c r="LKR6" s="484"/>
      <c r="LKS6" s="484"/>
      <c r="LKT6" s="484"/>
      <c r="LKU6" s="484"/>
      <c r="LKV6" s="484"/>
      <c r="LKW6" s="484"/>
      <c r="LKX6" s="484"/>
      <c r="LKY6" s="484"/>
      <c r="LKZ6" s="484"/>
      <c r="LLA6" s="484"/>
      <c r="LLB6" s="484"/>
      <c r="LLC6" s="484"/>
      <c r="LLD6" s="484"/>
      <c r="LLE6" s="484"/>
      <c r="LLF6" s="484"/>
      <c r="LLG6" s="484"/>
      <c r="LLH6" s="484"/>
      <c r="LLI6" s="484"/>
      <c r="LLJ6" s="484"/>
      <c r="LLK6" s="484"/>
      <c r="LLL6" s="484"/>
      <c r="LLM6" s="484"/>
      <c r="LLN6" s="484"/>
      <c r="LLO6" s="484"/>
      <c r="LLP6" s="484"/>
      <c r="LLQ6" s="484"/>
      <c r="LLR6" s="484"/>
      <c r="LLS6" s="484"/>
      <c r="LLT6" s="484"/>
      <c r="LLU6" s="484"/>
      <c r="LLV6" s="484"/>
      <c r="LLW6" s="484"/>
      <c r="LLX6" s="484"/>
      <c r="LLY6" s="484"/>
      <c r="LLZ6" s="484"/>
      <c r="LMA6" s="484"/>
      <c r="LMB6" s="484"/>
      <c r="LMC6" s="484"/>
      <c r="LMD6" s="484"/>
      <c r="LME6" s="484"/>
      <c r="LMF6" s="484"/>
      <c r="LMG6" s="484"/>
      <c r="LMH6" s="484"/>
      <c r="LMI6" s="484"/>
      <c r="LMJ6" s="484"/>
      <c r="LMK6" s="484"/>
      <c r="LML6" s="484"/>
      <c r="LMM6" s="484"/>
      <c r="LMN6" s="484"/>
      <c r="LMO6" s="484"/>
      <c r="LMP6" s="484"/>
      <c r="LMQ6" s="484"/>
      <c r="LMR6" s="484"/>
      <c r="LMS6" s="484"/>
      <c r="LMT6" s="484"/>
      <c r="LMU6" s="484"/>
      <c r="LMV6" s="484"/>
      <c r="LMW6" s="484"/>
      <c r="LMX6" s="484"/>
      <c r="LMY6" s="484"/>
      <c r="LMZ6" s="484"/>
      <c r="LNA6" s="484"/>
      <c r="LNB6" s="484"/>
      <c r="LNC6" s="484"/>
      <c r="LND6" s="484"/>
      <c r="LNE6" s="484"/>
      <c r="LNF6" s="484"/>
      <c r="LNG6" s="484"/>
      <c r="LNH6" s="484"/>
      <c r="LNI6" s="484"/>
      <c r="LNJ6" s="484"/>
      <c r="LNK6" s="484"/>
      <c r="LNL6" s="484"/>
      <c r="LNM6" s="484"/>
      <c r="LNN6" s="484"/>
      <c r="LNO6" s="484"/>
      <c r="LNP6" s="484"/>
      <c r="LNQ6" s="484"/>
      <c r="LNR6" s="484"/>
      <c r="LNS6" s="484"/>
      <c r="LNT6" s="484"/>
      <c r="LNU6" s="484"/>
      <c r="LNV6" s="484"/>
      <c r="LNW6" s="484"/>
      <c r="LNX6" s="484"/>
      <c r="LNY6" s="484"/>
      <c r="LNZ6" s="484"/>
      <c r="LOA6" s="484"/>
      <c r="LOB6" s="484"/>
      <c r="LOC6" s="484"/>
      <c r="LOD6" s="484"/>
      <c r="LOE6" s="484"/>
      <c r="LOF6" s="484"/>
      <c r="LOG6" s="484"/>
      <c r="LOH6" s="484"/>
      <c r="LOI6" s="484"/>
      <c r="LOJ6" s="484"/>
      <c r="LOK6" s="484"/>
      <c r="LOL6" s="484"/>
      <c r="LOM6" s="484"/>
      <c r="LON6" s="484"/>
      <c r="LOO6" s="484"/>
      <c r="LOP6" s="484"/>
      <c r="LOQ6" s="484"/>
      <c r="LOR6" s="484"/>
      <c r="LOS6" s="484"/>
      <c r="LOT6" s="484"/>
      <c r="LOU6" s="484"/>
      <c r="LOV6" s="484"/>
      <c r="LOW6" s="484"/>
      <c r="LOX6" s="484"/>
      <c r="LOY6" s="484"/>
      <c r="LOZ6" s="484"/>
      <c r="LPA6" s="484"/>
      <c r="LPB6" s="484"/>
      <c r="LPC6" s="484"/>
      <c r="LPD6" s="484"/>
      <c r="LPE6" s="484"/>
      <c r="LPF6" s="484"/>
      <c r="LPG6" s="484"/>
      <c r="LPH6" s="484"/>
      <c r="LPI6" s="484"/>
      <c r="LPJ6" s="484"/>
      <c r="LPK6" s="484"/>
      <c r="LPL6" s="484"/>
      <c r="LPM6" s="484"/>
      <c r="LPN6" s="484"/>
      <c r="LPO6" s="484"/>
      <c r="LPP6" s="484"/>
      <c r="LPQ6" s="484"/>
      <c r="LPR6" s="484"/>
      <c r="LPS6" s="484"/>
      <c r="LPT6" s="484"/>
      <c r="LPU6" s="484"/>
      <c r="LPV6" s="484"/>
      <c r="LPW6" s="484"/>
      <c r="LPX6" s="484"/>
      <c r="LPY6" s="484"/>
      <c r="LPZ6" s="484"/>
      <c r="LQA6" s="484"/>
      <c r="LQB6" s="484"/>
      <c r="LQC6" s="484"/>
      <c r="LQD6" s="484"/>
      <c r="LQE6" s="484"/>
      <c r="LQF6" s="484"/>
      <c r="LQG6" s="484"/>
      <c r="LQH6" s="484"/>
      <c r="LQI6" s="484"/>
      <c r="LQJ6" s="484"/>
      <c r="LQK6" s="484"/>
      <c r="LQL6" s="484"/>
      <c r="LQM6" s="484"/>
      <c r="LQN6" s="484"/>
      <c r="LQO6" s="484"/>
      <c r="LQP6" s="484"/>
      <c r="LQQ6" s="484"/>
      <c r="LQR6" s="484"/>
      <c r="LQS6" s="484"/>
      <c r="LQT6" s="484"/>
      <c r="LQU6" s="484"/>
      <c r="LQV6" s="484"/>
      <c r="LQW6" s="484"/>
      <c r="LQX6" s="484"/>
      <c r="LQY6" s="484"/>
      <c r="LQZ6" s="484"/>
      <c r="LRA6" s="484"/>
      <c r="LRB6" s="484"/>
      <c r="LRC6" s="484"/>
      <c r="LRD6" s="484"/>
      <c r="LRE6" s="484"/>
      <c r="LRF6" s="484"/>
      <c r="LRG6" s="484"/>
      <c r="LRH6" s="484"/>
      <c r="LRI6" s="484"/>
      <c r="LRJ6" s="484"/>
      <c r="LRK6" s="484"/>
      <c r="LRL6" s="484"/>
      <c r="LRM6" s="484"/>
      <c r="LRN6" s="484"/>
      <c r="LRO6" s="484"/>
      <c r="LRP6" s="484"/>
      <c r="LRQ6" s="484"/>
      <c r="LRR6" s="484"/>
      <c r="LRS6" s="484"/>
      <c r="LRT6" s="484"/>
      <c r="LRU6" s="484"/>
      <c r="LRV6" s="484"/>
      <c r="LRW6" s="484"/>
      <c r="LRX6" s="484"/>
      <c r="LRY6" s="484"/>
      <c r="LRZ6" s="484"/>
      <c r="LSA6" s="484"/>
      <c r="LSB6" s="484"/>
      <c r="LSC6" s="484"/>
      <c r="LSD6" s="484"/>
      <c r="LSE6" s="484"/>
      <c r="LSF6" s="484"/>
      <c r="LSG6" s="484"/>
      <c r="LSH6" s="484"/>
      <c r="LSI6" s="484"/>
      <c r="LSJ6" s="484"/>
      <c r="LSK6" s="484"/>
      <c r="LSL6" s="484"/>
      <c r="LSM6" s="484"/>
      <c r="LSN6" s="484"/>
      <c r="LSO6" s="484"/>
      <c r="LSP6" s="484"/>
      <c r="LSQ6" s="484"/>
      <c r="LSR6" s="484"/>
      <c r="LSS6" s="484"/>
      <c r="LST6" s="484"/>
      <c r="LSU6" s="484"/>
      <c r="LSV6" s="484"/>
      <c r="LSW6" s="484"/>
      <c r="LSX6" s="484"/>
      <c r="LSY6" s="484"/>
      <c r="LSZ6" s="484"/>
      <c r="LTA6" s="484"/>
      <c r="LTB6" s="484"/>
      <c r="LTC6" s="484"/>
      <c r="LTD6" s="484"/>
      <c r="LTE6" s="484"/>
      <c r="LTF6" s="484"/>
      <c r="LTG6" s="484"/>
      <c r="LTH6" s="484"/>
      <c r="LTI6" s="484"/>
      <c r="LTJ6" s="484"/>
      <c r="LTK6" s="484"/>
      <c r="LTL6" s="484"/>
      <c r="LTM6" s="484"/>
      <c r="LTN6" s="484"/>
      <c r="LTO6" s="484"/>
      <c r="LTP6" s="484"/>
      <c r="LTQ6" s="484"/>
      <c r="LTR6" s="484"/>
      <c r="LTS6" s="484"/>
      <c r="LTT6" s="484"/>
      <c r="LTU6" s="484"/>
      <c r="LTV6" s="484"/>
      <c r="LTW6" s="484"/>
      <c r="LTX6" s="484"/>
      <c r="LTY6" s="484"/>
      <c r="LTZ6" s="484"/>
      <c r="LUA6" s="484"/>
      <c r="LUB6" s="484"/>
      <c r="LUC6" s="484"/>
      <c r="LUD6" s="484"/>
      <c r="LUE6" s="484"/>
      <c r="LUF6" s="484"/>
      <c r="LUG6" s="484"/>
      <c r="LUH6" s="484"/>
      <c r="LUI6" s="484"/>
      <c r="LUJ6" s="484"/>
      <c r="LUK6" s="484"/>
      <c r="LUL6" s="484"/>
      <c r="LUM6" s="484"/>
      <c r="LUN6" s="484"/>
      <c r="LUO6" s="484"/>
      <c r="LUP6" s="484"/>
      <c r="LUQ6" s="484"/>
      <c r="LUR6" s="484"/>
      <c r="LUS6" s="484"/>
      <c r="LUT6" s="484"/>
      <c r="LUU6" s="484"/>
      <c r="LUV6" s="484"/>
      <c r="LUW6" s="484"/>
      <c r="LUX6" s="484"/>
      <c r="LUY6" s="484"/>
      <c r="LUZ6" s="484"/>
      <c r="LVA6" s="484"/>
      <c r="LVB6" s="484"/>
      <c r="LVC6" s="484"/>
      <c r="LVD6" s="484"/>
      <c r="LVE6" s="484"/>
      <c r="LVF6" s="484"/>
      <c r="LVG6" s="484"/>
      <c r="LVH6" s="484"/>
      <c r="LVI6" s="484"/>
      <c r="LVJ6" s="484"/>
      <c r="LVK6" s="484"/>
      <c r="LVL6" s="484"/>
      <c r="LVM6" s="484"/>
      <c r="LVN6" s="484"/>
      <c r="LVO6" s="484"/>
      <c r="LVP6" s="484"/>
      <c r="LVQ6" s="484"/>
      <c r="LVR6" s="484"/>
      <c r="LVS6" s="484"/>
      <c r="LVT6" s="484"/>
      <c r="LVU6" s="484"/>
      <c r="LVV6" s="484"/>
      <c r="LVW6" s="484"/>
      <c r="LVX6" s="484"/>
      <c r="LVY6" s="484"/>
      <c r="LVZ6" s="484"/>
      <c r="LWA6" s="484"/>
      <c r="LWB6" s="484"/>
      <c r="LWC6" s="484"/>
      <c r="LWD6" s="484"/>
      <c r="LWE6" s="484"/>
      <c r="LWF6" s="484"/>
      <c r="LWG6" s="484"/>
      <c r="LWH6" s="484"/>
      <c r="LWI6" s="484"/>
      <c r="LWJ6" s="484"/>
      <c r="LWK6" s="484"/>
      <c r="LWL6" s="484"/>
      <c r="LWM6" s="484"/>
      <c r="LWN6" s="484"/>
      <c r="LWO6" s="484"/>
      <c r="LWP6" s="484"/>
      <c r="LWQ6" s="484"/>
      <c r="LWR6" s="484"/>
      <c r="LWS6" s="484"/>
      <c r="LWT6" s="484"/>
      <c r="LWU6" s="484"/>
      <c r="LWV6" s="484"/>
      <c r="LWW6" s="484"/>
      <c r="LWX6" s="484"/>
      <c r="LWY6" s="484"/>
      <c r="LWZ6" s="484"/>
      <c r="LXA6" s="484"/>
      <c r="LXB6" s="484"/>
      <c r="LXC6" s="484"/>
      <c r="LXD6" s="484"/>
      <c r="LXE6" s="484"/>
      <c r="LXF6" s="484"/>
      <c r="LXG6" s="484"/>
      <c r="LXH6" s="484"/>
      <c r="LXI6" s="484"/>
      <c r="LXJ6" s="484"/>
      <c r="LXK6" s="484"/>
      <c r="LXL6" s="484"/>
      <c r="LXM6" s="484"/>
      <c r="LXN6" s="484"/>
      <c r="LXO6" s="484"/>
      <c r="LXP6" s="484"/>
      <c r="LXQ6" s="484"/>
      <c r="LXR6" s="484"/>
      <c r="LXS6" s="484"/>
      <c r="LXT6" s="484"/>
      <c r="LXU6" s="484"/>
      <c r="LXV6" s="484"/>
      <c r="LXW6" s="484"/>
      <c r="LXX6" s="484"/>
      <c r="LXY6" s="484"/>
      <c r="LXZ6" s="484"/>
      <c r="LYA6" s="484"/>
      <c r="LYB6" s="484"/>
      <c r="LYC6" s="484"/>
      <c r="LYD6" s="484"/>
      <c r="LYE6" s="484"/>
      <c r="LYF6" s="484"/>
      <c r="LYG6" s="484"/>
      <c r="LYH6" s="484"/>
      <c r="LYI6" s="484"/>
      <c r="LYJ6" s="484"/>
      <c r="LYK6" s="484"/>
      <c r="LYL6" s="484"/>
      <c r="LYM6" s="484"/>
      <c r="LYN6" s="484"/>
      <c r="LYO6" s="484"/>
      <c r="LYP6" s="484"/>
      <c r="LYQ6" s="484"/>
      <c r="LYR6" s="484"/>
      <c r="LYS6" s="484"/>
      <c r="LYT6" s="484"/>
      <c r="LYU6" s="484"/>
      <c r="LYV6" s="484"/>
      <c r="LYW6" s="484"/>
      <c r="LYX6" s="484"/>
      <c r="LYY6" s="484"/>
      <c r="LYZ6" s="484"/>
      <c r="LZA6" s="484"/>
      <c r="LZB6" s="484"/>
      <c r="LZC6" s="484"/>
      <c r="LZD6" s="484"/>
      <c r="LZE6" s="484"/>
      <c r="LZF6" s="484"/>
      <c r="LZG6" s="484"/>
      <c r="LZH6" s="484"/>
      <c r="LZI6" s="484"/>
      <c r="LZJ6" s="484"/>
      <c r="LZK6" s="484"/>
      <c r="LZL6" s="484"/>
      <c r="LZM6" s="484"/>
      <c r="LZN6" s="484"/>
      <c r="LZO6" s="484"/>
      <c r="LZP6" s="484"/>
      <c r="LZQ6" s="484"/>
      <c r="LZR6" s="484"/>
      <c r="LZS6" s="484"/>
      <c r="LZT6" s="484"/>
      <c r="LZU6" s="484"/>
      <c r="LZV6" s="484"/>
      <c r="LZW6" s="484"/>
      <c r="LZX6" s="484"/>
      <c r="LZY6" s="484"/>
      <c r="LZZ6" s="484"/>
      <c r="MAA6" s="484"/>
      <c r="MAB6" s="484"/>
      <c r="MAC6" s="484"/>
      <c r="MAD6" s="484"/>
      <c r="MAE6" s="484"/>
      <c r="MAF6" s="484"/>
      <c r="MAG6" s="484"/>
      <c r="MAH6" s="484"/>
      <c r="MAI6" s="484"/>
      <c r="MAJ6" s="484"/>
      <c r="MAK6" s="484"/>
      <c r="MAL6" s="484"/>
      <c r="MAM6" s="484"/>
      <c r="MAN6" s="484"/>
      <c r="MAO6" s="484"/>
      <c r="MAP6" s="484"/>
      <c r="MAQ6" s="484"/>
      <c r="MAR6" s="484"/>
      <c r="MAS6" s="484"/>
      <c r="MAT6" s="484"/>
      <c r="MAU6" s="484"/>
      <c r="MAV6" s="484"/>
      <c r="MAW6" s="484"/>
      <c r="MAX6" s="484"/>
      <c r="MAY6" s="484"/>
      <c r="MAZ6" s="484"/>
      <c r="MBA6" s="484"/>
      <c r="MBB6" s="484"/>
      <c r="MBC6" s="484"/>
      <c r="MBD6" s="484"/>
      <c r="MBE6" s="484"/>
      <c r="MBF6" s="484"/>
      <c r="MBG6" s="484"/>
      <c r="MBH6" s="484"/>
      <c r="MBI6" s="484"/>
      <c r="MBJ6" s="484"/>
      <c r="MBK6" s="484"/>
      <c r="MBL6" s="484"/>
      <c r="MBM6" s="484"/>
      <c r="MBN6" s="484"/>
      <c r="MBO6" s="484"/>
      <c r="MBP6" s="484"/>
      <c r="MBQ6" s="484"/>
      <c r="MBR6" s="484"/>
      <c r="MBS6" s="484"/>
      <c r="MBT6" s="484"/>
      <c r="MBU6" s="484"/>
      <c r="MBV6" s="484"/>
      <c r="MBW6" s="484"/>
      <c r="MBX6" s="484"/>
      <c r="MBY6" s="484"/>
      <c r="MBZ6" s="484"/>
      <c r="MCA6" s="484"/>
      <c r="MCB6" s="484"/>
      <c r="MCC6" s="484"/>
      <c r="MCD6" s="484"/>
      <c r="MCE6" s="484"/>
      <c r="MCF6" s="484"/>
      <c r="MCG6" s="484"/>
      <c r="MCH6" s="484"/>
      <c r="MCI6" s="484"/>
      <c r="MCJ6" s="484"/>
      <c r="MCK6" s="484"/>
      <c r="MCL6" s="484"/>
      <c r="MCM6" s="484"/>
      <c r="MCN6" s="484"/>
      <c r="MCO6" s="484"/>
      <c r="MCP6" s="484"/>
      <c r="MCQ6" s="484"/>
      <c r="MCR6" s="484"/>
      <c r="MCS6" s="484"/>
      <c r="MCT6" s="484"/>
      <c r="MCU6" s="484"/>
      <c r="MCV6" s="484"/>
      <c r="MCW6" s="484"/>
      <c r="MCX6" s="484"/>
      <c r="MCY6" s="484"/>
      <c r="MCZ6" s="484"/>
      <c r="MDA6" s="484"/>
      <c r="MDB6" s="484"/>
      <c r="MDC6" s="484"/>
      <c r="MDD6" s="484"/>
      <c r="MDE6" s="484"/>
      <c r="MDF6" s="484"/>
      <c r="MDG6" s="484"/>
      <c r="MDH6" s="484"/>
      <c r="MDI6" s="484"/>
      <c r="MDJ6" s="484"/>
      <c r="MDK6" s="484"/>
      <c r="MDL6" s="484"/>
      <c r="MDM6" s="484"/>
      <c r="MDN6" s="484"/>
      <c r="MDO6" s="484"/>
      <c r="MDP6" s="484"/>
      <c r="MDQ6" s="484"/>
      <c r="MDR6" s="484"/>
      <c r="MDS6" s="484"/>
      <c r="MDT6" s="484"/>
      <c r="MDU6" s="484"/>
      <c r="MDV6" s="484"/>
      <c r="MDW6" s="484"/>
      <c r="MDX6" s="484"/>
      <c r="MDY6" s="484"/>
      <c r="MDZ6" s="484"/>
      <c r="MEA6" s="484"/>
      <c r="MEB6" s="484"/>
      <c r="MEC6" s="484"/>
      <c r="MED6" s="484"/>
      <c r="MEE6" s="484"/>
      <c r="MEF6" s="484"/>
      <c r="MEG6" s="484"/>
      <c r="MEH6" s="484"/>
      <c r="MEI6" s="484"/>
      <c r="MEJ6" s="484"/>
      <c r="MEK6" s="484"/>
      <c r="MEL6" s="484"/>
      <c r="MEM6" s="484"/>
      <c r="MEN6" s="484"/>
      <c r="MEO6" s="484"/>
      <c r="MEP6" s="484"/>
      <c r="MEQ6" s="484"/>
      <c r="MER6" s="484"/>
      <c r="MES6" s="484"/>
      <c r="MET6" s="484"/>
      <c r="MEU6" s="484"/>
      <c r="MEV6" s="484"/>
      <c r="MEW6" s="484"/>
      <c r="MEX6" s="484"/>
      <c r="MEY6" s="484"/>
      <c r="MEZ6" s="484"/>
      <c r="MFA6" s="484"/>
      <c r="MFB6" s="484"/>
      <c r="MFC6" s="484"/>
      <c r="MFD6" s="484"/>
      <c r="MFE6" s="484"/>
      <c r="MFF6" s="484"/>
      <c r="MFG6" s="484"/>
      <c r="MFH6" s="484"/>
      <c r="MFI6" s="484"/>
      <c r="MFJ6" s="484"/>
      <c r="MFK6" s="484"/>
      <c r="MFL6" s="484"/>
      <c r="MFM6" s="484"/>
      <c r="MFN6" s="484"/>
      <c r="MFO6" s="484"/>
      <c r="MFP6" s="484"/>
      <c r="MFQ6" s="484"/>
      <c r="MFR6" s="484"/>
      <c r="MFS6" s="484"/>
      <c r="MFT6" s="484"/>
      <c r="MFU6" s="484"/>
      <c r="MFV6" s="484"/>
      <c r="MFW6" s="484"/>
      <c r="MFX6" s="484"/>
      <c r="MFY6" s="484"/>
      <c r="MFZ6" s="484"/>
      <c r="MGA6" s="484"/>
      <c r="MGB6" s="484"/>
      <c r="MGC6" s="484"/>
      <c r="MGD6" s="484"/>
      <c r="MGE6" s="484"/>
      <c r="MGF6" s="484"/>
      <c r="MGG6" s="484"/>
      <c r="MGH6" s="484"/>
      <c r="MGI6" s="484"/>
      <c r="MGJ6" s="484"/>
      <c r="MGK6" s="484"/>
      <c r="MGL6" s="484"/>
      <c r="MGM6" s="484"/>
      <c r="MGN6" s="484"/>
      <c r="MGO6" s="484"/>
      <c r="MGP6" s="484"/>
      <c r="MGQ6" s="484"/>
      <c r="MGR6" s="484"/>
      <c r="MGS6" s="484"/>
      <c r="MGT6" s="484"/>
      <c r="MGU6" s="484"/>
      <c r="MGV6" s="484"/>
      <c r="MGW6" s="484"/>
      <c r="MGX6" s="484"/>
      <c r="MGY6" s="484"/>
      <c r="MGZ6" s="484"/>
      <c r="MHA6" s="484"/>
      <c r="MHB6" s="484"/>
      <c r="MHC6" s="484"/>
      <c r="MHD6" s="484"/>
      <c r="MHE6" s="484"/>
      <c r="MHF6" s="484"/>
      <c r="MHG6" s="484"/>
      <c r="MHH6" s="484"/>
      <c r="MHI6" s="484"/>
      <c r="MHJ6" s="484"/>
      <c r="MHK6" s="484"/>
      <c r="MHL6" s="484"/>
      <c r="MHM6" s="484"/>
      <c r="MHN6" s="484"/>
      <c r="MHO6" s="484"/>
      <c r="MHP6" s="484"/>
      <c r="MHQ6" s="484"/>
      <c r="MHR6" s="484"/>
      <c r="MHS6" s="484"/>
      <c r="MHT6" s="484"/>
      <c r="MHU6" s="484"/>
      <c r="MHV6" s="484"/>
      <c r="MHW6" s="484"/>
      <c r="MHX6" s="484"/>
      <c r="MHY6" s="484"/>
      <c r="MHZ6" s="484"/>
      <c r="MIA6" s="484"/>
      <c r="MIB6" s="484"/>
      <c r="MIC6" s="484"/>
      <c r="MID6" s="484"/>
      <c r="MIE6" s="484"/>
      <c r="MIF6" s="484"/>
      <c r="MIG6" s="484"/>
      <c r="MIH6" s="484"/>
      <c r="MII6" s="484"/>
      <c r="MIJ6" s="484"/>
      <c r="MIK6" s="484"/>
      <c r="MIL6" s="484"/>
      <c r="MIM6" s="484"/>
      <c r="MIN6" s="484"/>
      <c r="MIO6" s="484"/>
      <c r="MIP6" s="484"/>
      <c r="MIQ6" s="484"/>
      <c r="MIR6" s="484"/>
      <c r="MIS6" s="484"/>
      <c r="MIT6" s="484"/>
      <c r="MIU6" s="484"/>
      <c r="MIV6" s="484"/>
      <c r="MIW6" s="484"/>
      <c r="MIX6" s="484"/>
      <c r="MIY6" s="484"/>
      <c r="MIZ6" s="484"/>
      <c r="MJA6" s="484"/>
      <c r="MJB6" s="484"/>
      <c r="MJC6" s="484"/>
      <c r="MJD6" s="484"/>
      <c r="MJE6" s="484"/>
      <c r="MJF6" s="484"/>
      <c r="MJG6" s="484"/>
      <c r="MJH6" s="484"/>
      <c r="MJI6" s="484"/>
      <c r="MJJ6" s="484"/>
      <c r="MJK6" s="484"/>
      <c r="MJL6" s="484"/>
      <c r="MJM6" s="484"/>
      <c r="MJN6" s="484"/>
      <c r="MJO6" s="484"/>
      <c r="MJP6" s="484"/>
      <c r="MJQ6" s="484"/>
      <c r="MJR6" s="484"/>
      <c r="MJS6" s="484"/>
      <c r="MJT6" s="484"/>
      <c r="MJU6" s="484"/>
      <c r="MJV6" s="484"/>
      <c r="MJW6" s="484"/>
      <c r="MJX6" s="484"/>
      <c r="MJY6" s="484"/>
      <c r="MJZ6" s="484"/>
      <c r="MKA6" s="484"/>
      <c r="MKB6" s="484"/>
      <c r="MKC6" s="484"/>
      <c r="MKD6" s="484"/>
      <c r="MKE6" s="484"/>
      <c r="MKF6" s="484"/>
      <c r="MKG6" s="484"/>
      <c r="MKH6" s="484"/>
      <c r="MKI6" s="484"/>
      <c r="MKJ6" s="484"/>
      <c r="MKK6" s="484"/>
      <c r="MKL6" s="484"/>
      <c r="MKM6" s="484"/>
      <c r="MKN6" s="484"/>
      <c r="MKO6" s="484"/>
      <c r="MKP6" s="484"/>
      <c r="MKQ6" s="484"/>
      <c r="MKR6" s="484"/>
      <c r="MKS6" s="484"/>
      <c r="MKT6" s="484"/>
      <c r="MKU6" s="484"/>
      <c r="MKV6" s="484"/>
      <c r="MKW6" s="484"/>
      <c r="MKX6" s="484"/>
      <c r="MKY6" s="484"/>
      <c r="MKZ6" s="484"/>
      <c r="MLA6" s="484"/>
      <c r="MLB6" s="484"/>
      <c r="MLC6" s="484"/>
      <c r="MLD6" s="484"/>
      <c r="MLE6" s="484"/>
      <c r="MLF6" s="484"/>
      <c r="MLG6" s="484"/>
      <c r="MLH6" s="484"/>
      <c r="MLI6" s="484"/>
      <c r="MLJ6" s="484"/>
      <c r="MLK6" s="484"/>
      <c r="MLL6" s="484"/>
      <c r="MLM6" s="484"/>
      <c r="MLN6" s="484"/>
      <c r="MLO6" s="484"/>
      <c r="MLP6" s="484"/>
      <c r="MLQ6" s="484"/>
      <c r="MLR6" s="484"/>
      <c r="MLS6" s="484"/>
      <c r="MLT6" s="484"/>
      <c r="MLU6" s="484"/>
      <c r="MLV6" s="484"/>
      <c r="MLW6" s="484"/>
      <c r="MLX6" s="484"/>
      <c r="MLY6" s="484"/>
      <c r="MLZ6" s="484"/>
      <c r="MMA6" s="484"/>
      <c r="MMB6" s="484"/>
      <c r="MMC6" s="484"/>
      <c r="MMD6" s="484"/>
      <c r="MME6" s="484"/>
      <c r="MMF6" s="484"/>
      <c r="MMG6" s="484"/>
      <c r="MMH6" s="484"/>
      <c r="MMI6" s="484"/>
      <c r="MMJ6" s="484"/>
      <c r="MMK6" s="484"/>
      <c r="MML6" s="484"/>
      <c r="MMM6" s="484"/>
      <c r="MMN6" s="484"/>
      <c r="MMO6" s="484"/>
      <c r="MMP6" s="484"/>
      <c r="MMQ6" s="484"/>
      <c r="MMR6" s="484"/>
      <c r="MMS6" s="484"/>
      <c r="MMT6" s="484"/>
      <c r="MMU6" s="484"/>
      <c r="MMV6" s="484"/>
      <c r="MMW6" s="484"/>
      <c r="MMX6" s="484"/>
      <c r="MMY6" s="484"/>
      <c r="MMZ6" s="484"/>
      <c r="MNA6" s="484"/>
      <c r="MNB6" s="484"/>
      <c r="MNC6" s="484"/>
      <c r="MND6" s="484"/>
      <c r="MNE6" s="484"/>
      <c r="MNF6" s="484"/>
      <c r="MNG6" s="484"/>
      <c r="MNH6" s="484"/>
      <c r="MNI6" s="484"/>
      <c r="MNJ6" s="484"/>
      <c r="MNK6" s="484"/>
      <c r="MNL6" s="484"/>
      <c r="MNM6" s="484"/>
      <c r="MNN6" s="484"/>
      <c r="MNO6" s="484"/>
      <c r="MNP6" s="484"/>
      <c r="MNQ6" s="484"/>
      <c r="MNR6" s="484"/>
      <c r="MNS6" s="484"/>
      <c r="MNT6" s="484"/>
      <c r="MNU6" s="484"/>
      <c r="MNV6" s="484"/>
      <c r="MNW6" s="484"/>
      <c r="MNX6" s="484"/>
      <c r="MNY6" s="484"/>
      <c r="MNZ6" s="484"/>
      <c r="MOA6" s="484"/>
      <c r="MOB6" s="484"/>
      <c r="MOC6" s="484"/>
      <c r="MOD6" s="484"/>
      <c r="MOE6" s="484"/>
      <c r="MOF6" s="484"/>
      <c r="MOG6" s="484"/>
      <c r="MOH6" s="484"/>
      <c r="MOI6" s="484"/>
      <c r="MOJ6" s="484"/>
      <c r="MOK6" s="484"/>
      <c r="MOL6" s="484"/>
      <c r="MOM6" s="484"/>
      <c r="MON6" s="484"/>
      <c r="MOO6" s="484"/>
      <c r="MOP6" s="484"/>
      <c r="MOQ6" s="484"/>
      <c r="MOR6" s="484"/>
      <c r="MOS6" s="484"/>
      <c r="MOT6" s="484"/>
      <c r="MOU6" s="484"/>
      <c r="MOV6" s="484"/>
      <c r="MOW6" s="484"/>
      <c r="MOX6" s="484"/>
      <c r="MOY6" s="484"/>
      <c r="MOZ6" s="484"/>
      <c r="MPA6" s="484"/>
      <c r="MPB6" s="484"/>
      <c r="MPC6" s="484"/>
      <c r="MPD6" s="484"/>
      <c r="MPE6" s="484"/>
      <c r="MPF6" s="484"/>
      <c r="MPG6" s="484"/>
      <c r="MPH6" s="484"/>
      <c r="MPI6" s="484"/>
      <c r="MPJ6" s="484"/>
      <c r="MPK6" s="484"/>
      <c r="MPL6" s="484"/>
      <c r="MPM6" s="484"/>
      <c r="MPN6" s="484"/>
      <c r="MPO6" s="484"/>
      <c r="MPP6" s="484"/>
      <c r="MPQ6" s="484"/>
      <c r="MPR6" s="484"/>
      <c r="MPS6" s="484"/>
      <c r="MPT6" s="484"/>
      <c r="MPU6" s="484"/>
      <c r="MPV6" s="484"/>
      <c r="MPW6" s="484"/>
      <c r="MPX6" s="484"/>
      <c r="MPY6" s="484"/>
      <c r="MPZ6" s="484"/>
      <c r="MQA6" s="484"/>
      <c r="MQB6" s="484"/>
      <c r="MQC6" s="484"/>
      <c r="MQD6" s="484"/>
      <c r="MQE6" s="484"/>
      <c r="MQF6" s="484"/>
      <c r="MQG6" s="484"/>
      <c r="MQH6" s="484"/>
      <c r="MQI6" s="484"/>
      <c r="MQJ6" s="484"/>
      <c r="MQK6" s="484"/>
      <c r="MQL6" s="484"/>
      <c r="MQM6" s="484"/>
      <c r="MQN6" s="484"/>
      <c r="MQO6" s="484"/>
      <c r="MQP6" s="484"/>
      <c r="MQQ6" s="484"/>
      <c r="MQR6" s="484"/>
      <c r="MQS6" s="484"/>
      <c r="MQT6" s="484"/>
      <c r="MQU6" s="484"/>
      <c r="MQV6" s="484"/>
      <c r="MQW6" s="484"/>
      <c r="MQX6" s="484"/>
      <c r="MQY6" s="484"/>
      <c r="MQZ6" s="484"/>
      <c r="MRA6" s="484"/>
      <c r="MRB6" s="484"/>
      <c r="MRC6" s="484"/>
      <c r="MRD6" s="484"/>
      <c r="MRE6" s="484"/>
      <c r="MRF6" s="484"/>
      <c r="MRG6" s="484"/>
      <c r="MRH6" s="484"/>
      <c r="MRI6" s="484"/>
      <c r="MRJ6" s="484"/>
      <c r="MRK6" s="484"/>
      <c r="MRL6" s="484"/>
      <c r="MRM6" s="484"/>
      <c r="MRN6" s="484"/>
      <c r="MRO6" s="484"/>
      <c r="MRP6" s="484"/>
      <c r="MRQ6" s="484"/>
      <c r="MRR6" s="484"/>
      <c r="MRS6" s="484"/>
      <c r="MRT6" s="484"/>
      <c r="MRU6" s="484"/>
      <c r="MRV6" s="484"/>
      <c r="MRW6" s="484"/>
      <c r="MRX6" s="484"/>
      <c r="MRY6" s="484"/>
      <c r="MRZ6" s="484"/>
      <c r="MSA6" s="484"/>
      <c r="MSB6" s="484"/>
      <c r="MSC6" s="484"/>
      <c r="MSD6" s="484"/>
      <c r="MSE6" s="484"/>
      <c r="MSF6" s="484"/>
      <c r="MSG6" s="484"/>
      <c r="MSH6" s="484"/>
      <c r="MSI6" s="484"/>
      <c r="MSJ6" s="484"/>
      <c r="MSK6" s="484"/>
      <c r="MSL6" s="484"/>
      <c r="MSM6" s="484"/>
      <c r="MSN6" s="484"/>
      <c r="MSO6" s="484"/>
      <c r="MSP6" s="484"/>
      <c r="MSQ6" s="484"/>
      <c r="MSR6" s="484"/>
      <c r="MSS6" s="484"/>
      <c r="MST6" s="484"/>
      <c r="MSU6" s="484"/>
      <c r="MSV6" s="484"/>
      <c r="MSW6" s="484"/>
      <c r="MSX6" s="484"/>
      <c r="MSY6" s="484"/>
      <c r="MSZ6" s="484"/>
      <c r="MTA6" s="484"/>
      <c r="MTB6" s="484"/>
      <c r="MTC6" s="484"/>
      <c r="MTD6" s="484"/>
      <c r="MTE6" s="484"/>
      <c r="MTF6" s="484"/>
      <c r="MTG6" s="484"/>
      <c r="MTH6" s="484"/>
      <c r="MTI6" s="484"/>
      <c r="MTJ6" s="484"/>
      <c r="MTK6" s="484"/>
      <c r="MTL6" s="484"/>
      <c r="MTM6" s="484"/>
      <c r="MTN6" s="484"/>
      <c r="MTO6" s="484"/>
      <c r="MTP6" s="484"/>
      <c r="MTQ6" s="484"/>
      <c r="MTR6" s="484"/>
      <c r="MTS6" s="484"/>
      <c r="MTT6" s="484"/>
      <c r="MTU6" s="484"/>
      <c r="MTV6" s="484"/>
      <c r="MTW6" s="484"/>
      <c r="MTX6" s="484"/>
      <c r="MTY6" s="484"/>
      <c r="MTZ6" s="484"/>
      <c r="MUA6" s="484"/>
      <c r="MUB6" s="484"/>
      <c r="MUC6" s="484"/>
      <c r="MUD6" s="484"/>
      <c r="MUE6" s="484"/>
      <c r="MUF6" s="484"/>
      <c r="MUG6" s="484"/>
      <c r="MUH6" s="484"/>
      <c r="MUI6" s="484"/>
      <c r="MUJ6" s="484"/>
      <c r="MUK6" s="484"/>
      <c r="MUL6" s="484"/>
      <c r="MUM6" s="484"/>
      <c r="MUN6" s="484"/>
      <c r="MUO6" s="484"/>
      <c r="MUP6" s="484"/>
      <c r="MUQ6" s="484"/>
      <c r="MUR6" s="484"/>
      <c r="MUS6" s="484"/>
      <c r="MUT6" s="484"/>
      <c r="MUU6" s="484"/>
      <c r="MUV6" s="484"/>
      <c r="MUW6" s="484"/>
      <c r="MUX6" s="484"/>
      <c r="MUY6" s="484"/>
      <c r="MUZ6" s="484"/>
      <c r="MVA6" s="484"/>
      <c r="MVB6" s="484"/>
      <c r="MVC6" s="484"/>
      <c r="MVD6" s="484"/>
      <c r="MVE6" s="484"/>
      <c r="MVF6" s="484"/>
      <c r="MVG6" s="484"/>
      <c r="MVH6" s="484"/>
      <c r="MVI6" s="484"/>
      <c r="MVJ6" s="484"/>
      <c r="MVK6" s="484"/>
      <c r="MVL6" s="484"/>
      <c r="MVM6" s="484"/>
      <c r="MVN6" s="484"/>
      <c r="MVO6" s="484"/>
      <c r="MVP6" s="484"/>
      <c r="MVQ6" s="484"/>
      <c r="MVR6" s="484"/>
      <c r="MVS6" s="484"/>
      <c r="MVT6" s="484"/>
      <c r="MVU6" s="484"/>
      <c r="MVV6" s="484"/>
      <c r="MVW6" s="484"/>
      <c r="MVX6" s="484"/>
      <c r="MVY6" s="484"/>
      <c r="MVZ6" s="484"/>
      <c r="MWA6" s="484"/>
      <c r="MWB6" s="484"/>
      <c r="MWC6" s="484"/>
      <c r="MWD6" s="484"/>
      <c r="MWE6" s="484"/>
      <c r="MWF6" s="484"/>
      <c r="MWG6" s="484"/>
      <c r="MWH6" s="484"/>
      <c r="MWI6" s="484"/>
      <c r="MWJ6" s="484"/>
      <c r="MWK6" s="484"/>
      <c r="MWL6" s="484"/>
      <c r="MWM6" s="484"/>
      <c r="MWN6" s="484"/>
      <c r="MWO6" s="484"/>
      <c r="MWP6" s="484"/>
      <c r="MWQ6" s="484"/>
      <c r="MWR6" s="484"/>
      <c r="MWS6" s="484"/>
      <c r="MWT6" s="484"/>
      <c r="MWU6" s="484"/>
      <c r="MWV6" s="484"/>
      <c r="MWW6" s="484"/>
      <c r="MWX6" s="484"/>
      <c r="MWY6" s="484"/>
      <c r="MWZ6" s="484"/>
      <c r="MXA6" s="484"/>
      <c r="MXB6" s="484"/>
      <c r="MXC6" s="484"/>
      <c r="MXD6" s="484"/>
      <c r="MXE6" s="484"/>
      <c r="MXF6" s="484"/>
      <c r="MXG6" s="484"/>
      <c r="MXH6" s="484"/>
      <c r="MXI6" s="484"/>
      <c r="MXJ6" s="484"/>
      <c r="MXK6" s="484"/>
      <c r="MXL6" s="484"/>
      <c r="MXM6" s="484"/>
      <c r="MXN6" s="484"/>
      <c r="MXO6" s="484"/>
      <c r="MXP6" s="484"/>
      <c r="MXQ6" s="484"/>
      <c r="MXR6" s="484"/>
      <c r="MXS6" s="484"/>
      <c r="MXT6" s="484"/>
      <c r="MXU6" s="484"/>
      <c r="MXV6" s="484"/>
      <c r="MXW6" s="484"/>
      <c r="MXX6" s="484"/>
      <c r="MXY6" s="484"/>
      <c r="MXZ6" s="484"/>
      <c r="MYA6" s="484"/>
      <c r="MYB6" s="484"/>
      <c r="MYC6" s="484"/>
      <c r="MYD6" s="484"/>
      <c r="MYE6" s="484"/>
      <c r="MYF6" s="484"/>
      <c r="MYG6" s="484"/>
      <c r="MYH6" s="484"/>
      <c r="MYI6" s="484"/>
      <c r="MYJ6" s="484"/>
      <c r="MYK6" s="484"/>
      <c r="MYL6" s="484"/>
      <c r="MYM6" s="484"/>
      <c r="MYN6" s="484"/>
      <c r="MYO6" s="484"/>
      <c r="MYP6" s="484"/>
      <c r="MYQ6" s="484"/>
      <c r="MYR6" s="484"/>
      <c r="MYS6" s="484"/>
      <c r="MYT6" s="484"/>
      <c r="MYU6" s="484"/>
      <c r="MYV6" s="484"/>
      <c r="MYW6" s="484"/>
      <c r="MYX6" s="484"/>
      <c r="MYY6" s="484"/>
      <c r="MYZ6" s="484"/>
      <c r="MZA6" s="484"/>
      <c r="MZB6" s="484"/>
      <c r="MZC6" s="484"/>
      <c r="MZD6" s="484"/>
      <c r="MZE6" s="484"/>
      <c r="MZF6" s="484"/>
      <c r="MZG6" s="484"/>
      <c r="MZH6" s="484"/>
      <c r="MZI6" s="484"/>
      <c r="MZJ6" s="484"/>
      <c r="MZK6" s="484"/>
      <c r="MZL6" s="484"/>
      <c r="MZM6" s="484"/>
      <c r="MZN6" s="484"/>
      <c r="MZO6" s="484"/>
      <c r="MZP6" s="484"/>
      <c r="MZQ6" s="484"/>
      <c r="MZR6" s="484"/>
      <c r="MZS6" s="484"/>
      <c r="MZT6" s="484"/>
      <c r="MZU6" s="484"/>
      <c r="MZV6" s="484"/>
      <c r="MZW6" s="484"/>
      <c r="MZX6" s="484"/>
      <c r="MZY6" s="484"/>
      <c r="MZZ6" s="484"/>
      <c r="NAA6" s="484"/>
      <c r="NAB6" s="484"/>
      <c r="NAC6" s="484"/>
      <c r="NAD6" s="484"/>
      <c r="NAE6" s="484"/>
      <c r="NAF6" s="484"/>
      <c r="NAG6" s="484"/>
      <c r="NAH6" s="484"/>
      <c r="NAI6" s="484"/>
      <c r="NAJ6" s="484"/>
      <c r="NAK6" s="484"/>
      <c r="NAL6" s="484"/>
      <c r="NAM6" s="484"/>
      <c r="NAN6" s="484"/>
      <c r="NAO6" s="484"/>
      <c r="NAP6" s="484"/>
      <c r="NAQ6" s="484"/>
      <c r="NAR6" s="484"/>
      <c r="NAS6" s="484"/>
      <c r="NAT6" s="484"/>
      <c r="NAU6" s="484"/>
      <c r="NAV6" s="484"/>
      <c r="NAW6" s="484"/>
      <c r="NAX6" s="484"/>
      <c r="NAY6" s="484"/>
      <c r="NAZ6" s="484"/>
      <c r="NBA6" s="484"/>
      <c r="NBB6" s="484"/>
      <c r="NBC6" s="484"/>
      <c r="NBD6" s="484"/>
      <c r="NBE6" s="484"/>
      <c r="NBF6" s="484"/>
      <c r="NBG6" s="484"/>
      <c r="NBH6" s="484"/>
      <c r="NBI6" s="484"/>
      <c r="NBJ6" s="484"/>
      <c r="NBK6" s="484"/>
      <c r="NBL6" s="484"/>
      <c r="NBM6" s="484"/>
      <c r="NBN6" s="484"/>
      <c r="NBO6" s="484"/>
      <c r="NBP6" s="484"/>
      <c r="NBQ6" s="484"/>
      <c r="NBR6" s="484"/>
      <c r="NBS6" s="484"/>
      <c r="NBT6" s="484"/>
      <c r="NBU6" s="484"/>
      <c r="NBV6" s="484"/>
      <c r="NBW6" s="484"/>
      <c r="NBX6" s="484"/>
      <c r="NBY6" s="484"/>
      <c r="NBZ6" s="484"/>
      <c r="NCA6" s="484"/>
      <c r="NCB6" s="484"/>
      <c r="NCC6" s="484"/>
      <c r="NCD6" s="484"/>
      <c r="NCE6" s="484"/>
      <c r="NCF6" s="484"/>
      <c r="NCG6" s="484"/>
      <c r="NCH6" s="484"/>
      <c r="NCI6" s="484"/>
      <c r="NCJ6" s="484"/>
      <c r="NCK6" s="484"/>
      <c r="NCL6" s="484"/>
      <c r="NCM6" s="484"/>
      <c r="NCN6" s="484"/>
      <c r="NCO6" s="484"/>
      <c r="NCP6" s="484"/>
      <c r="NCQ6" s="484"/>
      <c r="NCR6" s="484"/>
      <c r="NCS6" s="484"/>
      <c r="NCT6" s="484"/>
      <c r="NCU6" s="484"/>
      <c r="NCV6" s="484"/>
      <c r="NCW6" s="484"/>
      <c r="NCX6" s="484"/>
      <c r="NCY6" s="484"/>
      <c r="NCZ6" s="484"/>
      <c r="NDA6" s="484"/>
      <c r="NDB6" s="484"/>
      <c r="NDC6" s="484"/>
      <c r="NDD6" s="484"/>
      <c r="NDE6" s="484"/>
      <c r="NDF6" s="484"/>
      <c r="NDG6" s="484"/>
      <c r="NDH6" s="484"/>
      <c r="NDI6" s="484"/>
      <c r="NDJ6" s="484"/>
      <c r="NDK6" s="484"/>
      <c r="NDL6" s="484"/>
      <c r="NDM6" s="484"/>
      <c r="NDN6" s="484"/>
      <c r="NDO6" s="484"/>
      <c r="NDP6" s="484"/>
      <c r="NDQ6" s="484"/>
      <c r="NDR6" s="484"/>
      <c r="NDS6" s="484"/>
      <c r="NDT6" s="484"/>
      <c r="NDU6" s="484"/>
      <c r="NDV6" s="484"/>
      <c r="NDW6" s="484"/>
      <c r="NDX6" s="484"/>
      <c r="NDY6" s="484"/>
      <c r="NDZ6" s="484"/>
      <c r="NEA6" s="484"/>
      <c r="NEB6" s="484"/>
      <c r="NEC6" s="484"/>
      <c r="NED6" s="484"/>
      <c r="NEE6" s="484"/>
      <c r="NEF6" s="484"/>
      <c r="NEG6" s="484"/>
      <c r="NEH6" s="484"/>
      <c r="NEI6" s="484"/>
      <c r="NEJ6" s="484"/>
      <c r="NEK6" s="484"/>
      <c r="NEL6" s="484"/>
      <c r="NEM6" s="484"/>
      <c r="NEN6" s="484"/>
      <c r="NEO6" s="484"/>
      <c r="NEP6" s="484"/>
      <c r="NEQ6" s="484"/>
      <c r="NER6" s="484"/>
      <c r="NES6" s="484"/>
      <c r="NET6" s="484"/>
      <c r="NEU6" s="484"/>
      <c r="NEV6" s="484"/>
      <c r="NEW6" s="484"/>
      <c r="NEX6" s="484"/>
      <c r="NEY6" s="484"/>
      <c r="NEZ6" s="484"/>
      <c r="NFA6" s="484"/>
      <c r="NFB6" s="484"/>
      <c r="NFC6" s="484"/>
      <c r="NFD6" s="484"/>
      <c r="NFE6" s="484"/>
      <c r="NFF6" s="484"/>
      <c r="NFG6" s="484"/>
      <c r="NFH6" s="484"/>
      <c r="NFI6" s="484"/>
      <c r="NFJ6" s="484"/>
      <c r="NFK6" s="484"/>
      <c r="NFL6" s="484"/>
      <c r="NFM6" s="484"/>
      <c r="NFN6" s="484"/>
      <c r="NFO6" s="484"/>
      <c r="NFP6" s="484"/>
      <c r="NFQ6" s="484"/>
      <c r="NFR6" s="484"/>
      <c r="NFS6" s="484"/>
      <c r="NFT6" s="484"/>
      <c r="NFU6" s="484"/>
      <c r="NFV6" s="484"/>
      <c r="NFW6" s="484"/>
      <c r="NFX6" s="484"/>
      <c r="NFY6" s="484"/>
      <c r="NFZ6" s="484"/>
      <c r="NGA6" s="484"/>
      <c r="NGB6" s="484"/>
      <c r="NGC6" s="484"/>
      <c r="NGD6" s="484"/>
      <c r="NGE6" s="484"/>
      <c r="NGF6" s="484"/>
      <c r="NGG6" s="484"/>
      <c r="NGH6" s="484"/>
      <c r="NGI6" s="484"/>
      <c r="NGJ6" s="484"/>
      <c r="NGK6" s="484"/>
      <c r="NGL6" s="484"/>
      <c r="NGM6" s="484"/>
      <c r="NGN6" s="484"/>
      <c r="NGO6" s="484"/>
      <c r="NGP6" s="484"/>
      <c r="NGQ6" s="484"/>
      <c r="NGR6" s="484"/>
      <c r="NGS6" s="484"/>
      <c r="NGT6" s="484"/>
      <c r="NGU6" s="484"/>
      <c r="NGV6" s="484"/>
      <c r="NGW6" s="484"/>
      <c r="NGX6" s="484"/>
      <c r="NGY6" s="484"/>
      <c r="NGZ6" s="484"/>
      <c r="NHA6" s="484"/>
      <c r="NHB6" s="484"/>
      <c r="NHC6" s="484"/>
      <c r="NHD6" s="484"/>
      <c r="NHE6" s="484"/>
      <c r="NHF6" s="484"/>
      <c r="NHG6" s="484"/>
      <c r="NHH6" s="484"/>
      <c r="NHI6" s="484"/>
      <c r="NHJ6" s="484"/>
      <c r="NHK6" s="484"/>
      <c r="NHL6" s="484"/>
      <c r="NHM6" s="484"/>
      <c r="NHN6" s="484"/>
      <c r="NHO6" s="484"/>
      <c r="NHP6" s="484"/>
      <c r="NHQ6" s="484"/>
      <c r="NHR6" s="484"/>
      <c r="NHS6" s="484"/>
      <c r="NHT6" s="484"/>
      <c r="NHU6" s="484"/>
      <c r="NHV6" s="484"/>
      <c r="NHW6" s="484"/>
      <c r="NHX6" s="484"/>
      <c r="NHY6" s="484"/>
      <c r="NHZ6" s="484"/>
      <c r="NIA6" s="484"/>
      <c r="NIB6" s="484"/>
      <c r="NIC6" s="484"/>
      <c r="NID6" s="484"/>
      <c r="NIE6" s="484"/>
      <c r="NIF6" s="484"/>
      <c r="NIG6" s="484"/>
      <c r="NIH6" s="484"/>
      <c r="NII6" s="484"/>
      <c r="NIJ6" s="484"/>
      <c r="NIK6" s="484"/>
      <c r="NIL6" s="484"/>
      <c r="NIM6" s="484"/>
      <c r="NIN6" s="484"/>
      <c r="NIO6" s="484"/>
      <c r="NIP6" s="484"/>
      <c r="NIQ6" s="484"/>
      <c r="NIR6" s="484"/>
      <c r="NIS6" s="484"/>
      <c r="NIT6" s="484"/>
      <c r="NIU6" s="484"/>
      <c r="NIV6" s="484"/>
      <c r="NIW6" s="484"/>
      <c r="NIX6" s="484"/>
      <c r="NIY6" s="484"/>
      <c r="NIZ6" s="484"/>
      <c r="NJA6" s="484"/>
      <c r="NJB6" s="484"/>
      <c r="NJC6" s="484"/>
      <c r="NJD6" s="484"/>
      <c r="NJE6" s="484"/>
      <c r="NJF6" s="484"/>
      <c r="NJG6" s="484"/>
      <c r="NJH6" s="484"/>
      <c r="NJI6" s="484"/>
      <c r="NJJ6" s="484"/>
      <c r="NJK6" s="484"/>
      <c r="NJL6" s="484"/>
      <c r="NJM6" s="484"/>
      <c r="NJN6" s="484"/>
      <c r="NJO6" s="484"/>
      <c r="NJP6" s="484"/>
      <c r="NJQ6" s="484"/>
      <c r="NJR6" s="484"/>
      <c r="NJS6" s="484"/>
      <c r="NJT6" s="484"/>
      <c r="NJU6" s="484"/>
      <c r="NJV6" s="484"/>
      <c r="NJW6" s="484"/>
      <c r="NJX6" s="484"/>
      <c r="NJY6" s="484"/>
      <c r="NJZ6" s="484"/>
      <c r="NKA6" s="484"/>
      <c r="NKB6" s="484"/>
      <c r="NKC6" s="484"/>
      <c r="NKD6" s="484"/>
      <c r="NKE6" s="484"/>
      <c r="NKF6" s="484"/>
      <c r="NKG6" s="484"/>
      <c r="NKH6" s="484"/>
      <c r="NKI6" s="484"/>
      <c r="NKJ6" s="484"/>
      <c r="NKK6" s="484"/>
      <c r="NKL6" s="484"/>
      <c r="NKM6" s="484"/>
      <c r="NKN6" s="484"/>
      <c r="NKO6" s="484"/>
      <c r="NKP6" s="484"/>
      <c r="NKQ6" s="484"/>
      <c r="NKR6" s="484"/>
      <c r="NKS6" s="484"/>
      <c r="NKT6" s="484"/>
      <c r="NKU6" s="484"/>
      <c r="NKV6" s="484"/>
      <c r="NKW6" s="484"/>
      <c r="NKX6" s="484"/>
      <c r="NKY6" s="484"/>
      <c r="NKZ6" s="484"/>
      <c r="NLA6" s="484"/>
      <c r="NLB6" s="484"/>
      <c r="NLC6" s="484"/>
      <c r="NLD6" s="484"/>
      <c r="NLE6" s="484"/>
      <c r="NLF6" s="484"/>
      <c r="NLG6" s="484"/>
      <c r="NLH6" s="484"/>
      <c r="NLI6" s="484"/>
      <c r="NLJ6" s="484"/>
      <c r="NLK6" s="484"/>
      <c r="NLL6" s="484"/>
      <c r="NLM6" s="484"/>
      <c r="NLN6" s="484"/>
      <c r="NLO6" s="484"/>
      <c r="NLP6" s="484"/>
      <c r="NLQ6" s="484"/>
      <c r="NLR6" s="484"/>
      <c r="NLS6" s="484"/>
      <c r="NLT6" s="484"/>
      <c r="NLU6" s="484"/>
      <c r="NLV6" s="484"/>
      <c r="NLW6" s="484"/>
      <c r="NLX6" s="484"/>
      <c r="NLY6" s="484"/>
      <c r="NLZ6" s="484"/>
      <c r="NMA6" s="484"/>
      <c r="NMB6" s="484"/>
      <c r="NMC6" s="484"/>
      <c r="NMD6" s="484"/>
      <c r="NME6" s="484"/>
      <c r="NMF6" s="484"/>
      <c r="NMG6" s="484"/>
      <c r="NMH6" s="484"/>
      <c r="NMI6" s="484"/>
      <c r="NMJ6" s="484"/>
      <c r="NMK6" s="484"/>
      <c r="NML6" s="484"/>
      <c r="NMM6" s="484"/>
      <c r="NMN6" s="484"/>
      <c r="NMO6" s="484"/>
      <c r="NMP6" s="484"/>
      <c r="NMQ6" s="484"/>
      <c r="NMR6" s="484"/>
      <c r="NMS6" s="484"/>
      <c r="NMT6" s="484"/>
      <c r="NMU6" s="484"/>
      <c r="NMV6" s="484"/>
      <c r="NMW6" s="484"/>
      <c r="NMX6" s="484"/>
      <c r="NMY6" s="484"/>
      <c r="NMZ6" s="484"/>
      <c r="NNA6" s="484"/>
      <c r="NNB6" s="484"/>
      <c r="NNC6" s="484"/>
      <c r="NND6" s="484"/>
      <c r="NNE6" s="484"/>
      <c r="NNF6" s="484"/>
      <c r="NNG6" s="484"/>
      <c r="NNH6" s="484"/>
      <c r="NNI6" s="484"/>
      <c r="NNJ6" s="484"/>
      <c r="NNK6" s="484"/>
      <c r="NNL6" s="484"/>
      <c r="NNM6" s="484"/>
      <c r="NNN6" s="484"/>
      <c r="NNO6" s="484"/>
      <c r="NNP6" s="484"/>
      <c r="NNQ6" s="484"/>
      <c r="NNR6" s="484"/>
      <c r="NNS6" s="484"/>
      <c r="NNT6" s="484"/>
      <c r="NNU6" s="484"/>
      <c r="NNV6" s="484"/>
      <c r="NNW6" s="484"/>
      <c r="NNX6" s="484"/>
      <c r="NNY6" s="484"/>
      <c r="NNZ6" s="484"/>
      <c r="NOA6" s="484"/>
      <c r="NOB6" s="484"/>
      <c r="NOC6" s="484"/>
      <c r="NOD6" s="484"/>
      <c r="NOE6" s="484"/>
      <c r="NOF6" s="484"/>
      <c r="NOG6" s="484"/>
      <c r="NOH6" s="484"/>
      <c r="NOI6" s="484"/>
      <c r="NOJ6" s="484"/>
      <c r="NOK6" s="484"/>
      <c r="NOL6" s="484"/>
      <c r="NOM6" s="484"/>
      <c r="NON6" s="484"/>
      <c r="NOO6" s="484"/>
      <c r="NOP6" s="484"/>
      <c r="NOQ6" s="484"/>
      <c r="NOR6" s="484"/>
      <c r="NOS6" s="484"/>
      <c r="NOT6" s="484"/>
      <c r="NOU6" s="484"/>
      <c r="NOV6" s="484"/>
      <c r="NOW6" s="484"/>
      <c r="NOX6" s="484"/>
      <c r="NOY6" s="484"/>
      <c r="NOZ6" s="484"/>
      <c r="NPA6" s="484"/>
      <c r="NPB6" s="484"/>
      <c r="NPC6" s="484"/>
      <c r="NPD6" s="484"/>
      <c r="NPE6" s="484"/>
      <c r="NPF6" s="484"/>
      <c r="NPG6" s="484"/>
      <c r="NPH6" s="484"/>
      <c r="NPI6" s="484"/>
      <c r="NPJ6" s="484"/>
      <c r="NPK6" s="484"/>
      <c r="NPL6" s="484"/>
      <c r="NPM6" s="484"/>
      <c r="NPN6" s="484"/>
      <c r="NPO6" s="484"/>
      <c r="NPP6" s="484"/>
      <c r="NPQ6" s="484"/>
      <c r="NPR6" s="484"/>
      <c r="NPS6" s="484"/>
      <c r="NPT6" s="484"/>
      <c r="NPU6" s="484"/>
      <c r="NPV6" s="484"/>
      <c r="NPW6" s="484"/>
      <c r="NPX6" s="484"/>
      <c r="NPY6" s="484"/>
      <c r="NPZ6" s="484"/>
      <c r="NQA6" s="484"/>
      <c r="NQB6" s="484"/>
      <c r="NQC6" s="484"/>
      <c r="NQD6" s="484"/>
      <c r="NQE6" s="484"/>
      <c r="NQF6" s="484"/>
      <c r="NQG6" s="484"/>
      <c r="NQH6" s="484"/>
      <c r="NQI6" s="484"/>
      <c r="NQJ6" s="484"/>
      <c r="NQK6" s="484"/>
      <c r="NQL6" s="484"/>
      <c r="NQM6" s="484"/>
      <c r="NQN6" s="484"/>
      <c r="NQO6" s="484"/>
      <c r="NQP6" s="484"/>
      <c r="NQQ6" s="484"/>
      <c r="NQR6" s="484"/>
      <c r="NQS6" s="484"/>
      <c r="NQT6" s="484"/>
      <c r="NQU6" s="484"/>
      <c r="NQV6" s="484"/>
      <c r="NQW6" s="484"/>
      <c r="NQX6" s="484"/>
      <c r="NQY6" s="484"/>
      <c r="NQZ6" s="484"/>
      <c r="NRA6" s="484"/>
      <c r="NRB6" s="484"/>
      <c r="NRC6" s="484"/>
      <c r="NRD6" s="484"/>
      <c r="NRE6" s="484"/>
      <c r="NRF6" s="484"/>
      <c r="NRG6" s="484"/>
      <c r="NRH6" s="484"/>
      <c r="NRI6" s="484"/>
      <c r="NRJ6" s="484"/>
      <c r="NRK6" s="484"/>
      <c r="NRL6" s="484"/>
      <c r="NRM6" s="484"/>
      <c r="NRN6" s="484"/>
      <c r="NRO6" s="484"/>
      <c r="NRP6" s="484"/>
      <c r="NRQ6" s="484"/>
      <c r="NRR6" s="484"/>
      <c r="NRS6" s="484"/>
      <c r="NRT6" s="484"/>
      <c r="NRU6" s="484"/>
      <c r="NRV6" s="484"/>
      <c r="NRW6" s="484"/>
      <c r="NRX6" s="484"/>
      <c r="NRY6" s="484"/>
      <c r="NRZ6" s="484"/>
      <c r="NSA6" s="484"/>
      <c r="NSB6" s="484"/>
      <c r="NSC6" s="484"/>
      <c r="NSD6" s="484"/>
      <c r="NSE6" s="484"/>
      <c r="NSF6" s="484"/>
      <c r="NSG6" s="484"/>
      <c r="NSH6" s="484"/>
      <c r="NSI6" s="484"/>
      <c r="NSJ6" s="484"/>
      <c r="NSK6" s="484"/>
      <c r="NSL6" s="484"/>
      <c r="NSM6" s="484"/>
      <c r="NSN6" s="484"/>
      <c r="NSO6" s="484"/>
      <c r="NSP6" s="484"/>
      <c r="NSQ6" s="484"/>
      <c r="NSR6" s="484"/>
      <c r="NSS6" s="484"/>
      <c r="NST6" s="484"/>
      <c r="NSU6" s="484"/>
      <c r="NSV6" s="484"/>
      <c r="NSW6" s="484"/>
      <c r="NSX6" s="484"/>
      <c r="NSY6" s="484"/>
      <c r="NSZ6" s="484"/>
      <c r="NTA6" s="484"/>
      <c r="NTB6" s="484"/>
      <c r="NTC6" s="484"/>
      <c r="NTD6" s="484"/>
      <c r="NTE6" s="484"/>
      <c r="NTF6" s="484"/>
      <c r="NTG6" s="484"/>
      <c r="NTH6" s="484"/>
      <c r="NTI6" s="484"/>
      <c r="NTJ6" s="484"/>
      <c r="NTK6" s="484"/>
      <c r="NTL6" s="484"/>
      <c r="NTM6" s="484"/>
      <c r="NTN6" s="484"/>
      <c r="NTO6" s="484"/>
      <c r="NTP6" s="484"/>
      <c r="NTQ6" s="484"/>
      <c r="NTR6" s="484"/>
      <c r="NTS6" s="484"/>
      <c r="NTT6" s="484"/>
      <c r="NTU6" s="484"/>
      <c r="NTV6" s="484"/>
      <c r="NTW6" s="484"/>
      <c r="NTX6" s="484"/>
      <c r="NTY6" s="484"/>
      <c r="NTZ6" s="484"/>
      <c r="NUA6" s="484"/>
      <c r="NUB6" s="484"/>
      <c r="NUC6" s="484"/>
      <c r="NUD6" s="484"/>
      <c r="NUE6" s="484"/>
      <c r="NUF6" s="484"/>
      <c r="NUG6" s="484"/>
      <c r="NUH6" s="484"/>
      <c r="NUI6" s="484"/>
      <c r="NUJ6" s="484"/>
      <c r="NUK6" s="484"/>
      <c r="NUL6" s="484"/>
      <c r="NUM6" s="484"/>
      <c r="NUN6" s="484"/>
      <c r="NUO6" s="484"/>
      <c r="NUP6" s="484"/>
      <c r="NUQ6" s="484"/>
      <c r="NUR6" s="484"/>
      <c r="NUS6" s="484"/>
      <c r="NUT6" s="484"/>
      <c r="NUU6" s="484"/>
      <c r="NUV6" s="484"/>
      <c r="NUW6" s="484"/>
      <c r="NUX6" s="484"/>
      <c r="NUY6" s="484"/>
      <c r="NUZ6" s="484"/>
      <c r="NVA6" s="484"/>
      <c r="NVB6" s="484"/>
      <c r="NVC6" s="484"/>
      <c r="NVD6" s="484"/>
      <c r="NVE6" s="484"/>
      <c r="NVF6" s="484"/>
      <c r="NVG6" s="484"/>
      <c r="NVH6" s="484"/>
      <c r="NVI6" s="484"/>
      <c r="NVJ6" s="484"/>
      <c r="NVK6" s="484"/>
      <c r="NVL6" s="484"/>
      <c r="NVM6" s="484"/>
      <c r="NVN6" s="484"/>
      <c r="NVO6" s="484"/>
      <c r="NVP6" s="484"/>
      <c r="NVQ6" s="484"/>
      <c r="NVR6" s="484"/>
      <c r="NVS6" s="484"/>
      <c r="NVT6" s="484"/>
      <c r="NVU6" s="484"/>
      <c r="NVV6" s="484"/>
      <c r="NVW6" s="484"/>
      <c r="NVX6" s="484"/>
      <c r="NVY6" s="484"/>
      <c r="NVZ6" s="484"/>
      <c r="NWA6" s="484"/>
      <c r="NWB6" s="484"/>
      <c r="NWC6" s="484"/>
      <c r="NWD6" s="484"/>
      <c r="NWE6" s="484"/>
      <c r="NWF6" s="484"/>
      <c r="NWG6" s="484"/>
      <c r="NWH6" s="484"/>
      <c r="NWI6" s="484"/>
      <c r="NWJ6" s="484"/>
      <c r="NWK6" s="484"/>
      <c r="NWL6" s="484"/>
      <c r="NWM6" s="484"/>
      <c r="NWN6" s="484"/>
      <c r="NWO6" s="484"/>
      <c r="NWP6" s="484"/>
      <c r="NWQ6" s="484"/>
      <c r="NWR6" s="484"/>
      <c r="NWS6" s="484"/>
      <c r="NWT6" s="484"/>
      <c r="NWU6" s="484"/>
      <c r="NWV6" s="484"/>
      <c r="NWW6" s="484"/>
      <c r="NWX6" s="484"/>
      <c r="NWY6" s="484"/>
      <c r="NWZ6" s="484"/>
      <c r="NXA6" s="484"/>
      <c r="NXB6" s="484"/>
      <c r="NXC6" s="484"/>
      <c r="NXD6" s="484"/>
      <c r="NXE6" s="484"/>
      <c r="NXF6" s="484"/>
      <c r="NXG6" s="484"/>
      <c r="NXH6" s="484"/>
      <c r="NXI6" s="484"/>
      <c r="NXJ6" s="484"/>
      <c r="NXK6" s="484"/>
      <c r="NXL6" s="484"/>
      <c r="NXM6" s="484"/>
      <c r="NXN6" s="484"/>
      <c r="NXO6" s="484"/>
      <c r="NXP6" s="484"/>
      <c r="NXQ6" s="484"/>
      <c r="NXR6" s="484"/>
      <c r="NXS6" s="484"/>
      <c r="NXT6" s="484"/>
      <c r="NXU6" s="484"/>
      <c r="NXV6" s="484"/>
      <c r="NXW6" s="484"/>
      <c r="NXX6" s="484"/>
      <c r="NXY6" s="484"/>
      <c r="NXZ6" s="484"/>
      <c r="NYA6" s="484"/>
      <c r="NYB6" s="484"/>
      <c r="NYC6" s="484"/>
      <c r="NYD6" s="484"/>
      <c r="NYE6" s="484"/>
      <c r="NYF6" s="484"/>
      <c r="NYG6" s="484"/>
      <c r="NYH6" s="484"/>
      <c r="NYI6" s="484"/>
      <c r="NYJ6" s="484"/>
      <c r="NYK6" s="484"/>
      <c r="NYL6" s="484"/>
      <c r="NYM6" s="484"/>
      <c r="NYN6" s="484"/>
      <c r="NYO6" s="484"/>
      <c r="NYP6" s="484"/>
      <c r="NYQ6" s="484"/>
      <c r="NYR6" s="484"/>
      <c r="NYS6" s="484"/>
      <c r="NYT6" s="484"/>
      <c r="NYU6" s="484"/>
      <c r="NYV6" s="484"/>
      <c r="NYW6" s="484"/>
      <c r="NYX6" s="484"/>
      <c r="NYY6" s="484"/>
      <c r="NYZ6" s="484"/>
      <c r="NZA6" s="484"/>
      <c r="NZB6" s="484"/>
      <c r="NZC6" s="484"/>
      <c r="NZD6" s="484"/>
      <c r="NZE6" s="484"/>
      <c r="NZF6" s="484"/>
      <c r="NZG6" s="484"/>
      <c r="NZH6" s="484"/>
      <c r="NZI6" s="484"/>
      <c r="NZJ6" s="484"/>
      <c r="NZK6" s="484"/>
      <c r="NZL6" s="484"/>
      <c r="NZM6" s="484"/>
      <c r="NZN6" s="484"/>
      <c r="NZO6" s="484"/>
      <c r="NZP6" s="484"/>
      <c r="NZQ6" s="484"/>
      <c r="NZR6" s="484"/>
      <c r="NZS6" s="484"/>
      <c r="NZT6" s="484"/>
      <c r="NZU6" s="484"/>
      <c r="NZV6" s="484"/>
      <c r="NZW6" s="484"/>
      <c r="NZX6" s="484"/>
      <c r="NZY6" s="484"/>
      <c r="NZZ6" s="484"/>
      <c r="OAA6" s="484"/>
      <c r="OAB6" s="484"/>
      <c r="OAC6" s="484"/>
      <c r="OAD6" s="484"/>
      <c r="OAE6" s="484"/>
      <c r="OAF6" s="484"/>
      <c r="OAG6" s="484"/>
      <c r="OAH6" s="484"/>
      <c r="OAI6" s="484"/>
      <c r="OAJ6" s="484"/>
      <c r="OAK6" s="484"/>
      <c r="OAL6" s="484"/>
      <c r="OAM6" s="484"/>
      <c r="OAN6" s="484"/>
      <c r="OAO6" s="484"/>
      <c r="OAP6" s="484"/>
      <c r="OAQ6" s="484"/>
      <c r="OAR6" s="484"/>
      <c r="OAS6" s="484"/>
      <c r="OAT6" s="484"/>
      <c r="OAU6" s="484"/>
      <c r="OAV6" s="484"/>
      <c r="OAW6" s="484"/>
      <c r="OAX6" s="484"/>
      <c r="OAY6" s="484"/>
      <c r="OAZ6" s="484"/>
      <c r="OBA6" s="484"/>
      <c r="OBB6" s="484"/>
      <c r="OBC6" s="484"/>
      <c r="OBD6" s="484"/>
      <c r="OBE6" s="484"/>
      <c r="OBF6" s="484"/>
      <c r="OBG6" s="484"/>
      <c r="OBH6" s="484"/>
      <c r="OBI6" s="484"/>
      <c r="OBJ6" s="484"/>
      <c r="OBK6" s="484"/>
      <c r="OBL6" s="484"/>
      <c r="OBM6" s="484"/>
      <c r="OBN6" s="484"/>
      <c r="OBO6" s="484"/>
      <c r="OBP6" s="484"/>
      <c r="OBQ6" s="484"/>
      <c r="OBR6" s="484"/>
      <c r="OBS6" s="484"/>
      <c r="OBT6" s="484"/>
      <c r="OBU6" s="484"/>
      <c r="OBV6" s="484"/>
      <c r="OBW6" s="484"/>
      <c r="OBX6" s="484"/>
      <c r="OBY6" s="484"/>
      <c r="OBZ6" s="484"/>
      <c r="OCA6" s="484"/>
      <c r="OCB6" s="484"/>
      <c r="OCC6" s="484"/>
      <c r="OCD6" s="484"/>
      <c r="OCE6" s="484"/>
      <c r="OCF6" s="484"/>
      <c r="OCG6" s="484"/>
      <c r="OCH6" s="484"/>
      <c r="OCI6" s="484"/>
      <c r="OCJ6" s="484"/>
      <c r="OCK6" s="484"/>
      <c r="OCL6" s="484"/>
      <c r="OCM6" s="484"/>
      <c r="OCN6" s="484"/>
      <c r="OCO6" s="484"/>
      <c r="OCP6" s="484"/>
      <c r="OCQ6" s="484"/>
      <c r="OCR6" s="484"/>
      <c r="OCS6" s="484"/>
      <c r="OCT6" s="484"/>
      <c r="OCU6" s="484"/>
      <c r="OCV6" s="484"/>
      <c r="OCW6" s="484"/>
      <c r="OCX6" s="484"/>
      <c r="OCY6" s="484"/>
      <c r="OCZ6" s="484"/>
      <c r="ODA6" s="484"/>
      <c r="ODB6" s="484"/>
      <c r="ODC6" s="484"/>
      <c r="ODD6" s="484"/>
      <c r="ODE6" s="484"/>
      <c r="ODF6" s="484"/>
      <c r="ODG6" s="484"/>
      <c r="ODH6" s="484"/>
      <c r="ODI6" s="484"/>
      <c r="ODJ6" s="484"/>
      <c r="ODK6" s="484"/>
      <c r="ODL6" s="484"/>
      <c r="ODM6" s="484"/>
      <c r="ODN6" s="484"/>
      <c r="ODO6" s="484"/>
      <c r="ODP6" s="484"/>
      <c r="ODQ6" s="484"/>
      <c r="ODR6" s="484"/>
      <c r="ODS6" s="484"/>
      <c r="ODT6" s="484"/>
      <c r="ODU6" s="484"/>
      <c r="ODV6" s="484"/>
      <c r="ODW6" s="484"/>
      <c r="ODX6" s="484"/>
      <c r="ODY6" s="484"/>
      <c r="ODZ6" s="484"/>
      <c r="OEA6" s="484"/>
      <c r="OEB6" s="484"/>
      <c r="OEC6" s="484"/>
      <c r="OED6" s="484"/>
      <c r="OEE6" s="484"/>
      <c r="OEF6" s="484"/>
      <c r="OEG6" s="484"/>
      <c r="OEH6" s="484"/>
      <c r="OEI6" s="484"/>
      <c r="OEJ6" s="484"/>
      <c r="OEK6" s="484"/>
      <c r="OEL6" s="484"/>
      <c r="OEM6" s="484"/>
      <c r="OEN6" s="484"/>
      <c r="OEO6" s="484"/>
      <c r="OEP6" s="484"/>
      <c r="OEQ6" s="484"/>
      <c r="OER6" s="484"/>
      <c r="OES6" s="484"/>
      <c r="OET6" s="484"/>
      <c r="OEU6" s="484"/>
      <c r="OEV6" s="484"/>
      <c r="OEW6" s="484"/>
      <c r="OEX6" s="484"/>
      <c r="OEY6" s="484"/>
      <c r="OEZ6" s="484"/>
      <c r="OFA6" s="484"/>
      <c r="OFB6" s="484"/>
      <c r="OFC6" s="484"/>
      <c r="OFD6" s="484"/>
      <c r="OFE6" s="484"/>
      <c r="OFF6" s="484"/>
      <c r="OFG6" s="484"/>
      <c r="OFH6" s="484"/>
      <c r="OFI6" s="484"/>
      <c r="OFJ6" s="484"/>
      <c r="OFK6" s="484"/>
      <c r="OFL6" s="484"/>
      <c r="OFM6" s="484"/>
      <c r="OFN6" s="484"/>
      <c r="OFO6" s="484"/>
      <c r="OFP6" s="484"/>
      <c r="OFQ6" s="484"/>
      <c r="OFR6" s="484"/>
      <c r="OFS6" s="484"/>
      <c r="OFT6" s="484"/>
      <c r="OFU6" s="484"/>
      <c r="OFV6" s="484"/>
      <c r="OFW6" s="484"/>
      <c r="OFX6" s="484"/>
      <c r="OFY6" s="484"/>
      <c r="OFZ6" s="484"/>
      <c r="OGA6" s="484"/>
      <c r="OGB6" s="484"/>
      <c r="OGC6" s="484"/>
      <c r="OGD6" s="484"/>
      <c r="OGE6" s="484"/>
      <c r="OGF6" s="484"/>
      <c r="OGG6" s="484"/>
      <c r="OGH6" s="484"/>
      <c r="OGI6" s="484"/>
      <c r="OGJ6" s="484"/>
      <c r="OGK6" s="484"/>
      <c r="OGL6" s="484"/>
      <c r="OGM6" s="484"/>
      <c r="OGN6" s="484"/>
      <c r="OGO6" s="484"/>
      <c r="OGP6" s="484"/>
      <c r="OGQ6" s="484"/>
      <c r="OGR6" s="484"/>
      <c r="OGS6" s="484"/>
      <c r="OGT6" s="484"/>
      <c r="OGU6" s="484"/>
      <c r="OGV6" s="484"/>
      <c r="OGW6" s="484"/>
      <c r="OGX6" s="484"/>
      <c r="OGY6" s="484"/>
      <c r="OGZ6" s="484"/>
      <c r="OHA6" s="484"/>
      <c r="OHB6" s="484"/>
      <c r="OHC6" s="484"/>
      <c r="OHD6" s="484"/>
      <c r="OHE6" s="484"/>
      <c r="OHF6" s="484"/>
      <c r="OHG6" s="484"/>
      <c r="OHH6" s="484"/>
      <c r="OHI6" s="484"/>
      <c r="OHJ6" s="484"/>
      <c r="OHK6" s="484"/>
      <c r="OHL6" s="484"/>
      <c r="OHM6" s="484"/>
      <c r="OHN6" s="484"/>
      <c r="OHO6" s="484"/>
      <c r="OHP6" s="484"/>
      <c r="OHQ6" s="484"/>
      <c r="OHR6" s="484"/>
      <c r="OHS6" s="484"/>
      <c r="OHT6" s="484"/>
      <c r="OHU6" s="484"/>
      <c r="OHV6" s="484"/>
      <c r="OHW6" s="484"/>
      <c r="OHX6" s="484"/>
      <c r="OHY6" s="484"/>
      <c r="OHZ6" s="484"/>
      <c r="OIA6" s="484"/>
      <c r="OIB6" s="484"/>
      <c r="OIC6" s="484"/>
      <c r="OID6" s="484"/>
      <c r="OIE6" s="484"/>
      <c r="OIF6" s="484"/>
      <c r="OIG6" s="484"/>
      <c r="OIH6" s="484"/>
      <c r="OII6" s="484"/>
      <c r="OIJ6" s="484"/>
      <c r="OIK6" s="484"/>
      <c r="OIL6" s="484"/>
      <c r="OIM6" s="484"/>
      <c r="OIN6" s="484"/>
      <c r="OIO6" s="484"/>
      <c r="OIP6" s="484"/>
      <c r="OIQ6" s="484"/>
      <c r="OIR6" s="484"/>
      <c r="OIS6" s="484"/>
      <c r="OIT6" s="484"/>
      <c r="OIU6" s="484"/>
      <c r="OIV6" s="484"/>
      <c r="OIW6" s="484"/>
      <c r="OIX6" s="484"/>
      <c r="OIY6" s="484"/>
      <c r="OIZ6" s="484"/>
      <c r="OJA6" s="484"/>
      <c r="OJB6" s="484"/>
      <c r="OJC6" s="484"/>
      <c r="OJD6" s="484"/>
      <c r="OJE6" s="484"/>
      <c r="OJF6" s="484"/>
      <c r="OJG6" s="484"/>
      <c r="OJH6" s="484"/>
      <c r="OJI6" s="484"/>
      <c r="OJJ6" s="484"/>
      <c r="OJK6" s="484"/>
      <c r="OJL6" s="484"/>
      <c r="OJM6" s="484"/>
      <c r="OJN6" s="484"/>
      <c r="OJO6" s="484"/>
      <c r="OJP6" s="484"/>
      <c r="OJQ6" s="484"/>
      <c r="OJR6" s="484"/>
      <c r="OJS6" s="484"/>
      <c r="OJT6" s="484"/>
      <c r="OJU6" s="484"/>
      <c r="OJV6" s="484"/>
      <c r="OJW6" s="484"/>
      <c r="OJX6" s="484"/>
      <c r="OJY6" s="484"/>
      <c r="OJZ6" s="484"/>
      <c r="OKA6" s="484"/>
      <c r="OKB6" s="484"/>
      <c r="OKC6" s="484"/>
      <c r="OKD6" s="484"/>
      <c r="OKE6" s="484"/>
      <c r="OKF6" s="484"/>
      <c r="OKG6" s="484"/>
      <c r="OKH6" s="484"/>
      <c r="OKI6" s="484"/>
      <c r="OKJ6" s="484"/>
      <c r="OKK6" s="484"/>
      <c r="OKL6" s="484"/>
      <c r="OKM6" s="484"/>
      <c r="OKN6" s="484"/>
      <c r="OKO6" s="484"/>
      <c r="OKP6" s="484"/>
      <c r="OKQ6" s="484"/>
      <c r="OKR6" s="484"/>
      <c r="OKS6" s="484"/>
      <c r="OKT6" s="484"/>
      <c r="OKU6" s="484"/>
      <c r="OKV6" s="484"/>
      <c r="OKW6" s="484"/>
      <c r="OKX6" s="484"/>
      <c r="OKY6" s="484"/>
      <c r="OKZ6" s="484"/>
      <c r="OLA6" s="484"/>
      <c r="OLB6" s="484"/>
      <c r="OLC6" s="484"/>
      <c r="OLD6" s="484"/>
      <c r="OLE6" s="484"/>
      <c r="OLF6" s="484"/>
      <c r="OLG6" s="484"/>
      <c r="OLH6" s="484"/>
      <c r="OLI6" s="484"/>
      <c r="OLJ6" s="484"/>
      <c r="OLK6" s="484"/>
      <c r="OLL6" s="484"/>
      <c r="OLM6" s="484"/>
      <c r="OLN6" s="484"/>
      <c r="OLO6" s="484"/>
      <c r="OLP6" s="484"/>
      <c r="OLQ6" s="484"/>
      <c r="OLR6" s="484"/>
      <c r="OLS6" s="484"/>
      <c r="OLT6" s="484"/>
      <c r="OLU6" s="484"/>
      <c r="OLV6" s="484"/>
      <c r="OLW6" s="484"/>
      <c r="OLX6" s="484"/>
      <c r="OLY6" s="484"/>
      <c r="OLZ6" s="484"/>
      <c r="OMA6" s="484"/>
      <c r="OMB6" s="484"/>
      <c r="OMC6" s="484"/>
      <c r="OMD6" s="484"/>
      <c r="OME6" s="484"/>
      <c r="OMF6" s="484"/>
      <c r="OMG6" s="484"/>
      <c r="OMH6" s="484"/>
      <c r="OMI6" s="484"/>
      <c r="OMJ6" s="484"/>
      <c r="OMK6" s="484"/>
      <c r="OML6" s="484"/>
      <c r="OMM6" s="484"/>
      <c r="OMN6" s="484"/>
      <c r="OMO6" s="484"/>
      <c r="OMP6" s="484"/>
      <c r="OMQ6" s="484"/>
      <c r="OMR6" s="484"/>
      <c r="OMS6" s="484"/>
      <c r="OMT6" s="484"/>
      <c r="OMU6" s="484"/>
      <c r="OMV6" s="484"/>
      <c r="OMW6" s="484"/>
      <c r="OMX6" s="484"/>
      <c r="OMY6" s="484"/>
      <c r="OMZ6" s="484"/>
      <c r="ONA6" s="484"/>
      <c r="ONB6" s="484"/>
      <c r="ONC6" s="484"/>
      <c r="OND6" s="484"/>
      <c r="ONE6" s="484"/>
      <c r="ONF6" s="484"/>
      <c r="ONG6" s="484"/>
      <c r="ONH6" s="484"/>
      <c r="ONI6" s="484"/>
      <c r="ONJ6" s="484"/>
      <c r="ONK6" s="484"/>
      <c r="ONL6" s="484"/>
      <c r="ONM6" s="484"/>
      <c r="ONN6" s="484"/>
      <c r="ONO6" s="484"/>
      <c r="ONP6" s="484"/>
      <c r="ONQ6" s="484"/>
      <c r="ONR6" s="484"/>
      <c r="ONS6" s="484"/>
      <c r="ONT6" s="484"/>
      <c r="ONU6" s="484"/>
      <c r="ONV6" s="484"/>
      <c r="ONW6" s="484"/>
      <c r="ONX6" s="484"/>
      <c r="ONY6" s="484"/>
      <c r="ONZ6" s="484"/>
      <c r="OOA6" s="484"/>
      <c r="OOB6" s="484"/>
      <c r="OOC6" s="484"/>
      <c r="OOD6" s="484"/>
      <c r="OOE6" s="484"/>
      <c r="OOF6" s="484"/>
      <c r="OOG6" s="484"/>
      <c r="OOH6" s="484"/>
      <c r="OOI6" s="484"/>
      <c r="OOJ6" s="484"/>
      <c r="OOK6" s="484"/>
      <c r="OOL6" s="484"/>
      <c r="OOM6" s="484"/>
      <c r="OON6" s="484"/>
      <c r="OOO6" s="484"/>
      <c r="OOP6" s="484"/>
      <c r="OOQ6" s="484"/>
      <c r="OOR6" s="484"/>
      <c r="OOS6" s="484"/>
      <c r="OOT6" s="484"/>
      <c r="OOU6" s="484"/>
      <c r="OOV6" s="484"/>
      <c r="OOW6" s="484"/>
      <c r="OOX6" s="484"/>
      <c r="OOY6" s="484"/>
      <c r="OOZ6" s="484"/>
      <c r="OPA6" s="484"/>
      <c r="OPB6" s="484"/>
      <c r="OPC6" s="484"/>
      <c r="OPD6" s="484"/>
      <c r="OPE6" s="484"/>
      <c r="OPF6" s="484"/>
      <c r="OPG6" s="484"/>
      <c r="OPH6" s="484"/>
      <c r="OPI6" s="484"/>
      <c r="OPJ6" s="484"/>
      <c r="OPK6" s="484"/>
      <c r="OPL6" s="484"/>
      <c r="OPM6" s="484"/>
      <c r="OPN6" s="484"/>
      <c r="OPO6" s="484"/>
      <c r="OPP6" s="484"/>
      <c r="OPQ6" s="484"/>
      <c r="OPR6" s="484"/>
      <c r="OPS6" s="484"/>
      <c r="OPT6" s="484"/>
      <c r="OPU6" s="484"/>
      <c r="OPV6" s="484"/>
      <c r="OPW6" s="484"/>
      <c r="OPX6" s="484"/>
      <c r="OPY6" s="484"/>
      <c r="OPZ6" s="484"/>
      <c r="OQA6" s="484"/>
      <c r="OQB6" s="484"/>
      <c r="OQC6" s="484"/>
      <c r="OQD6" s="484"/>
      <c r="OQE6" s="484"/>
      <c r="OQF6" s="484"/>
      <c r="OQG6" s="484"/>
      <c r="OQH6" s="484"/>
      <c r="OQI6" s="484"/>
      <c r="OQJ6" s="484"/>
      <c r="OQK6" s="484"/>
      <c r="OQL6" s="484"/>
      <c r="OQM6" s="484"/>
      <c r="OQN6" s="484"/>
      <c r="OQO6" s="484"/>
      <c r="OQP6" s="484"/>
      <c r="OQQ6" s="484"/>
      <c r="OQR6" s="484"/>
      <c r="OQS6" s="484"/>
      <c r="OQT6" s="484"/>
      <c r="OQU6" s="484"/>
      <c r="OQV6" s="484"/>
      <c r="OQW6" s="484"/>
      <c r="OQX6" s="484"/>
      <c r="OQY6" s="484"/>
      <c r="OQZ6" s="484"/>
      <c r="ORA6" s="484"/>
      <c r="ORB6" s="484"/>
      <c r="ORC6" s="484"/>
      <c r="ORD6" s="484"/>
      <c r="ORE6" s="484"/>
      <c r="ORF6" s="484"/>
      <c r="ORG6" s="484"/>
      <c r="ORH6" s="484"/>
      <c r="ORI6" s="484"/>
      <c r="ORJ6" s="484"/>
      <c r="ORK6" s="484"/>
      <c r="ORL6" s="484"/>
      <c r="ORM6" s="484"/>
      <c r="ORN6" s="484"/>
      <c r="ORO6" s="484"/>
      <c r="ORP6" s="484"/>
      <c r="ORQ6" s="484"/>
      <c r="ORR6" s="484"/>
      <c r="ORS6" s="484"/>
      <c r="ORT6" s="484"/>
      <c r="ORU6" s="484"/>
      <c r="ORV6" s="484"/>
      <c r="ORW6" s="484"/>
      <c r="ORX6" s="484"/>
      <c r="ORY6" s="484"/>
      <c r="ORZ6" s="484"/>
      <c r="OSA6" s="484"/>
      <c r="OSB6" s="484"/>
      <c r="OSC6" s="484"/>
      <c r="OSD6" s="484"/>
      <c r="OSE6" s="484"/>
      <c r="OSF6" s="484"/>
      <c r="OSG6" s="484"/>
      <c r="OSH6" s="484"/>
      <c r="OSI6" s="484"/>
      <c r="OSJ6" s="484"/>
      <c r="OSK6" s="484"/>
      <c r="OSL6" s="484"/>
      <c r="OSM6" s="484"/>
      <c r="OSN6" s="484"/>
      <c r="OSO6" s="484"/>
      <c r="OSP6" s="484"/>
      <c r="OSQ6" s="484"/>
      <c r="OSR6" s="484"/>
      <c r="OSS6" s="484"/>
      <c r="OST6" s="484"/>
      <c r="OSU6" s="484"/>
      <c r="OSV6" s="484"/>
      <c r="OSW6" s="484"/>
      <c r="OSX6" s="484"/>
      <c r="OSY6" s="484"/>
      <c r="OSZ6" s="484"/>
      <c r="OTA6" s="484"/>
      <c r="OTB6" s="484"/>
      <c r="OTC6" s="484"/>
      <c r="OTD6" s="484"/>
      <c r="OTE6" s="484"/>
      <c r="OTF6" s="484"/>
      <c r="OTG6" s="484"/>
      <c r="OTH6" s="484"/>
      <c r="OTI6" s="484"/>
      <c r="OTJ6" s="484"/>
      <c r="OTK6" s="484"/>
      <c r="OTL6" s="484"/>
      <c r="OTM6" s="484"/>
      <c r="OTN6" s="484"/>
      <c r="OTO6" s="484"/>
      <c r="OTP6" s="484"/>
      <c r="OTQ6" s="484"/>
      <c r="OTR6" s="484"/>
      <c r="OTS6" s="484"/>
      <c r="OTT6" s="484"/>
      <c r="OTU6" s="484"/>
      <c r="OTV6" s="484"/>
      <c r="OTW6" s="484"/>
      <c r="OTX6" s="484"/>
      <c r="OTY6" s="484"/>
      <c r="OTZ6" s="484"/>
      <c r="OUA6" s="484"/>
      <c r="OUB6" s="484"/>
      <c r="OUC6" s="484"/>
      <c r="OUD6" s="484"/>
      <c r="OUE6" s="484"/>
      <c r="OUF6" s="484"/>
      <c r="OUG6" s="484"/>
      <c r="OUH6" s="484"/>
      <c r="OUI6" s="484"/>
      <c r="OUJ6" s="484"/>
      <c r="OUK6" s="484"/>
      <c r="OUL6" s="484"/>
      <c r="OUM6" s="484"/>
      <c r="OUN6" s="484"/>
      <c r="OUO6" s="484"/>
      <c r="OUP6" s="484"/>
      <c r="OUQ6" s="484"/>
      <c r="OUR6" s="484"/>
      <c r="OUS6" s="484"/>
      <c r="OUT6" s="484"/>
      <c r="OUU6" s="484"/>
      <c r="OUV6" s="484"/>
      <c r="OUW6" s="484"/>
      <c r="OUX6" s="484"/>
      <c r="OUY6" s="484"/>
      <c r="OUZ6" s="484"/>
      <c r="OVA6" s="484"/>
      <c r="OVB6" s="484"/>
      <c r="OVC6" s="484"/>
      <c r="OVD6" s="484"/>
      <c r="OVE6" s="484"/>
      <c r="OVF6" s="484"/>
      <c r="OVG6" s="484"/>
      <c r="OVH6" s="484"/>
      <c r="OVI6" s="484"/>
      <c r="OVJ6" s="484"/>
      <c r="OVK6" s="484"/>
      <c r="OVL6" s="484"/>
      <c r="OVM6" s="484"/>
      <c r="OVN6" s="484"/>
      <c r="OVO6" s="484"/>
      <c r="OVP6" s="484"/>
      <c r="OVQ6" s="484"/>
      <c r="OVR6" s="484"/>
      <c r="OVS6" s="484"/>
      <c r="OVT6" s="484"/>
      <c r="OVU6" s="484"/>
      <c r="OVV6" s="484"/>
      <c r="OVW6" s="484"/>
      <c r="OVX6" s="484"/>
      <c r="OVY6" s="484"/>
      <c r="OVZ6" s="484"/>
      <c r="OWA6" s="484"/>
      <c r="OWB6" s="484"/>
      <c r="OWC6" s="484"/>
      <c r="OWD6" s="484"/>
      <c r="OWE6" s="484"/>
      <c r="OWF6" s="484"/>
      <c r="OWG6" s="484"/>
      <c r="OWH6" s="484"/>
      <c r="OWI6" s="484"/>
      <c r="OWJ6" s="484"/>
      <c r="OWK6" s="484"/>
      <c r="OWL6" s="484"/>
      <c r="OWM6" s="484"/>
      <c r="OWN6" s="484"/>
      <c r="OWO6" s="484"/>
      <c r="OWP6" s="484"/>
      <c r="OWQ6" s="484"/>
      <c r="OWR6" s="484"/>
      <c r="OWS6" s="484"/>
      <c r="OWT6" s="484"/>
      <c r="OWU6" s="484"/>
      <c r="OWV6" s="484"/>
      <c r="OWW6" s="484"/>
      <c r="OWX6" s="484"/>
      <c r="OWY6" s="484"/>
      <c r="OWZ6" s="484"/>
      <c r="OXA6" s="484"/>
      <c r="OXB6" s="484"/>
      <c r="OXC6" s="484"/>
      <c r="OXD6" s="484"/>
      <c r="OXE6" s="484"/>
      <c r="OXF6" s="484"/>
      <c r="OXG6" s="484"/>
      <c r="OXH6" s="484"/>
      <c r="OXI6" s="484"/>
      <c r="OXJ6" s="484"/>
      <c r="OXK6" s="484"/>
      <c r="OXL6" s="484"/>
      <c r="OXM6" s="484"/>
      <c r="OXN6" s="484"/>
      <c r="OXO6" s="484"/>
      <c r="OXP6" s="484"/>
      <c r="OXQ6" s="484"/>
      <c r="OXR6" s="484"/>
      <c r="OXS6" s="484"/>
      <c r="OXT6" s="484"/>
      <c r="OXU6" s="484"/>
      <c r="OXV6" s="484"/>
      <c r="OXW6" s="484"/>
      <c r="OXX6" s="484"/>
      <c r="OXY6" s="484"/>
      <c r="OXZ6" s="484"/>
      <c r="OYA6" s="484"/>
      <c r="OYB6" s="484"/>
      <c r="OYC6" s="484"/>
      <c r="OYD6" s="484"/>
      <c r="OYE6" s="484"/>
      <c r="OYF6" s="484"/>
      <c r="OYG6" s="484"/>
      <c r="OYH6" s="484"/>
      <c r="OYI6" s="484"/>
      <c r="OYJ6" s="484"/>
      <c r="OYK6" s="484"/>
      <c r="OYL6" s="484"/>
      <c r="OYM6" s="484"/>
      <c r="OYN6" s="484"/>
      <c r="OYO6" s="484"/>
      <c r="OYP6" s="484"/>
      <c r="OYQ6" s="484"/>
      <c r="OYR6" s="484"/>
      <c r="OYS6" s="484"/>
      <c r="OYT6" s="484"/>
      <c r="OYU6" s="484"/>
      <c r="OYV6" s="484"/>
      <c r="OYW6" s="484"/>
      <c r="OYX6" s="484"/>
      <c r="OYY6" s="484"/>
      <c r="OYZ6" s="484"/>
      <c r="OZA6" s="484"/>
      <c r="OZB6" s="484"/>
      <c r="OZC6" s="484"/>
      <c r="OZD6" s="484"/>
      <c r="OZE6" s="484"/>
      <c r="OZF6" s="484"/>
      <c r="OZG6" s="484"/>
      <c r="OZH6" s="484"/>
      <c r="OZI6" s="484"/>
      <c r="OZJ6" s="484"/>
      <c r="OZK6" s="484"/>
      <c r="OZL6" s="484"/>
      <c r="OZM6" s="484"/>
      <c r="OZN6" s="484"/>
      <c r="OZO6" s="484"/>
      <c r="OZP6" s="484"/>
      <c r="OZQ6" s="484"/>
      <c r="OZR6" s="484"/>
      <c r="OZS6" s="484"/>
      <c r="OZT6" s="484"/>
      <c r="OZU6" s="484"/>
      <c r="OZV6" s="484"/>
      <c r="OZW6" s="484"/>
      <c r="OZX6" s="484"/>
      <c r="OZY6" s="484"/>
      <c r="OZZ6" s="484"/>
      <c r="PAA6" s="484"/>
      <c r="PAB6" s="484"/>
      <c r="PAC6" s="484"/>
      <c r="PAD6" s="484"/>
      <c r="PAE6" s="484"/>
      <c r="PAF6" s="484"/>
      <c r="PAG6" s="484"/>
      <c r="PAH6" s="484"/>
      <c r="PAI6" s="484"/>
      <c r="PAJ6" s="484"/>
      <c r="PAK6" s="484"/>
      <c r="PAL6" s="484"/>
      <c r="PAM6" s="484"/>
      <c r="PAN6" s="484"/>
      <c r="PAO6" s="484"/>
      <c r="PAP6" s="484"/>
      <c r="PAQ6" s="484"/>
      <c r="PAR6" s="484"/>
      <c r="PAS6" s="484"/>
      <c r="PAT6" s="484"/>
      <c r="PAU6" s="484"/>
      <c r="PAV6" s="484"/>
      <c r="PAW6" s="484"/>
      <c r="PAX6" s="484"/>
      <c r="PAY6" s="484"/>
      <c r="PAZ6" s="484"/>
      <c r="PBA6" s="484"/>
      <c r="PBB6" s="484"/>
      <c r="PBC6" s="484"/>
      <c r="PBD6" s="484"/>
      <c r="PBE6" s="484"/>
      <c r="PBF6" s="484"/>
      <c r="PBG6" s="484"/>
      <c r="PBH6" s="484"/>
      <c r="PBI6" s="484"/>
      <c r="PBJ6" s="484"/>
      <c r="PBK6" s="484"/>
      <c r="PBL6" s="484"/>
      <c r="PBM6" s="484"/>
      <c r="PBN6" s="484"/>
      <c r="PBO6" s="484"/>
      <c r="PBP6" s="484"/>
      <c r="PBQ6" s="484"/>
      <c r="PBR6" s="484"/>
      <c r="PBS6" s="484"/>
      <c r="PBT6" s="484"/>
      <c r="PBU6" s="484"/>
      <c r="PBV6" s="484"/>
      <c r="PBW6" s="484"/>
      <c r="PBX6" s="484"/>
      <c r="PBY6" s="484"/>
      <c r="PBZ6" s="484"/>
      <c r="PCA6" s="484"/>
      <c r="PCB6" s="484"/>
      <c r="PCC6" s="484"/>
      <c r="PCD6" s="484"/>
      <c r="PCE6" s="484"/>
      <c r="PCF6" s="484"/>
      <c r="PCG6" s="484"/>
      <c r="PCH6" s="484"/>
      <c r="PCI6" s="484"/>
      <c r="PCJ6" s="484"/>
      <c r="PCK6" s="484"/>
      <c r="PCL6" s="484"/>
      <c r="PCM6" s="484"/>
      <c r="PCN6" s="484"/>
      <c r="PCO6" s="484"/>
      <c r="PCP6" s="484"/>
      <c r="PCQ6" s="484"/>
      <c r="PCR6" s="484"/>
      <c r="PCS6" s="484"/>
      <c r="PCT6" s="484"/>
      <c r="PCU6" s="484"/>
      <c r="PCV6" s="484"/>
      <c r="PCW6" s="484"/>
      <c r="PCX6" s="484"/>
      <c r="PCY6" s="484"/>
      <c r="PCZ6" s="484"/>
      <c r="PDA6" s="484"/>
      <c r="PDB6" s="484"/>
      <c r="PDC6" s="484"/>
      <c r="PDD6" s="484"/>
      <c r="PDE6" s="484"/>
      <c r="PDF6" s="484"/>
      <c r="PDG6" s="484"/>
      <c r="PDH6" s="484"/>
      <c r="PDI6" s="484"/>
      <c r="PDJ6" s="484"/>
      <c r="PDK6" s="484"/>
      <c r="PDL6" s="484"/>
      <c r="PDM6" s="484"/>
      <c r="PDN6" s="484"/>
      <c r="PDO6" s="484"/>
      <c r="PDP6" s="484"/>
      <c r="PDQ6" s="484"/>
      <c r="PDR6" s="484"/>
      <c r="PDS6" s="484"/>
      <c r="PDT6" s="484"/>
      <c r="PDU6" s="484"/>
      <c r="PDV6" s="484"/>
      <c r="PDW6" s="484"/>
      <c r="PDX6" s="484"/>
      <c r="PDY6" s="484"/>
      <c r="PDZ6" s="484"/>
      <c r="PEA6" s="484"/>
      <c r="PEB6" s="484"/>
      <c r="PEC6" s="484"/>
      <c r="PED6" s="484"/>
      <c r="PEE6" s="484"/>
      <c r="PEF6" s="484"/>
      <c r="PEG6" s="484"/>
      <c r="PEH6" s="484"/>
      <c r="PEI6" s="484"/>
      <c r="PEJ6" s="484"/>
      <c r="PEK6" s="484"/>
      <c r="PEL6" s="484"/>
      <c r="PEM6" s="484"/>
      <c r="PEN6" s="484"/>
      <c r="PEO6" s="484"/>
      <c r="PEP6" s="484"/>
      <c r="PEQ6" s="484"/>
      <c r="PER6" s="484"/>
      <c r="PES6" s="484"/>
      <c r="PET6" s="484"/>
      <c r="PEU6" s="484"/>
      <c r="PEV6" s="484"/>
      <c r="PEW6" s="484"/>
      <c r="PEX6" s="484"/>
      <c r="PEY6" s="484"/>
      <c r="PEZ6" s="484"/>
      <c r="PFA6" s="484"/>
      <c r="PFB6" s="484"/>
      <c r="PFC6" s="484"/>
      <c r="PFD6" s="484"/>
      <c r="PFE6" s="484"/>
      <c r="PFF6" s="484"/>
      <c r="PFG6" s="484"/>
      <c r="PFH6" s="484"/>
      <c r="PFI6" s="484"/>
      <c r="PFJ6" s="484"/>
      <c r="PFK6" s="484"/>
      <c r="PFL6" s="484"/>
      <c r="PFM6" s="484"/>
      <c r="PFN6" s="484"/>
      <c r="PFO6" s="484"/>
      <c r="PFP6" s="484"/>
      <c r="PFQ6" s="484"/>
      <c r="PFR6" s="484"/>
      <c r="PFS6" s="484"/>
      <c r="PFT6" s="484"/>
      <c r="PFU6" s="484"/>
      <c r="PFV6" s="484"/>
      <c r="PFW6" s="484"/>
      <c r="PFX6" s="484"/>
      <c r="PFY6" s="484"/>
      <c r="PFZ6" s="484"/>
      <c r="PGA6" s="484"/>
      <c r="PGB6" s="484"/>
      <c r="PGC6" s="484"/>
      <c r="PGD6" s="484"/>
      <c r="PGE6" s="484"/>
      <c r="PGF6" s="484"/>
      <c r="PGG6" s="484"/>
      <c r="PGH6" s="484"/>
      <c r="PGI6" s="484"/>
      <c r="PGJ6" s="484"/>
      <c r="PGK6" s="484"/>
      <c r="PGL6" s="484"/>
      <c r="PGM6" s="484"/>
      <c r="PGN6" s="484"/>
      <c r="PGO6" s="484"/>
      <c r="PGP6" s="484"/>
      <c r="PGQ6" s="484"/>
      <c r="PGR6" s="484"/>
      <c r="PGS6" s="484"/>
      <c r="PGT6" s="484"/>
      <c r="PGU6" s="484"/>
      <c r="PGV6" s="484"/>
      <c r="PGW6" s="484"/>
      <c r="PGX6" s="484"/>
      <c r="PGY6" s="484"/>
      <c r="PGZ6" s="484"/>
      <c r="PHA6" s="484"/>
      <c r="PHB6" s="484"/>
      <c r="PHC6" s="484"/>
      <c r="PHD6" s="484"/>
      <c r="PHE6" s="484"/>
      <c r="PHF6" s="484"/>
      <c r="PHG6" s="484"/>
      <c r="PHH6" s="484"/>
      <c r="PHI6" s="484"/>
      <c r="PHJ6" s="484"/>
      <c r="PHK6" s="484"/>
      <c r="PHL6" s="484"/>
      <c r="PHM6" s="484"/>
      <c r="PHN6" s="484"/>
      <c r="PHO6" s="484"/>
      <c r="PHP6" s="484"/>
      <c r="PHQ6" s="484"/>
      <c r="PHR6" s="484"/>
      <c r="PHS6" s="484"/>
      <c r="PHT6" s="484"/>
      <c r="PHU6" s="484"/>
      <c r="PHV6" s="484"/>
      <c r="PHW6" s="484"/>
      <c r="PHX6" s="484"/>
      <c r="PHY6" s="484"/>
      <c r="PHZ6" s="484"/>
      <c r="PIA6" s="484"/>
      <c r="PIB6" s="484"/>
      <c r="PIC6" s="484"/>
      <c r="PID6" s="484"/>
      <c r="PIE6" s="484"/>
      <c r="PIF6" s="484"/>
      <c r="PIG6" s="484"/>
      <c r="PIH6" s="484"/>
      <c r="PII6" s="484"/>
      <c r="PIJ6" s="484"/>
      <c r="PIK6" s="484"/>
      <c r="PIL6" s="484"/>
      <c r="PIM6" s="484"/>
      <c r="PIN6" s="484"/>
      <c r="PIO6" s="484"/>
      <c r="PIP6" s="484"/>
      <c r="PIQ6" s="484"/>
      <c r="PIR6" s="484"/>
      <c r="PIS6" s="484"/>
      <c r="PIT6" s="484"/>
      <c r="PIU6" s="484"/>
      <c r="PIV6" s="484"/>
      <c r="PIW6" s="484"/>
      <c r="PIX6" s="484"/>
      <c r="PIY6" s="484"/>
      <c r="PIZ6" s="484"/>
      <c r="PJA6" s="484"/>
      <c r="PJB6" s="484"/>
      <c r="PJC6" s="484"/>
      <c r="PJD6" s="484"/>
      <c r="PJE6" s="484"/>
      <c r="PJF6" s="484"/>
      <c r="PJG6" s="484"/>
      <c r="PJH6" s="484"/>
      <c r="PJI6" s="484"/>
      <c r="PJJ6" s="484"/>
      <c r="PJK6" s="484"/>
      <c r="PJL6" s="484"/>
      <c r="PJM6" s="484"/>
      <c r="PJN6" s="484"/>
      <c r="PJO6" s="484"/>
      <c r="PJP6" s="484"/>
      <c r="PJQ6" s="484"/>
      <c r="PJR6" s="484"/>
      <c r="PJS6" s="484"/>
      <c r="PJT6" s="484"/>
      <c r="PJU6" s="484"/>
      <c r="PJV6" s="484"/>
      <c r="PJW6" s="484"/>
      <c r="PJX6" s="484"/>
      <c r="PJY6" s="484"/>
      <c r="PJZ6" s="484"/>
      <c r="PKA6" s="484"/>
      <c r="PKB6" s="484"/>
      <c r="PKC6" s="484"/>
      <c r="PKD6" s="484"/>
      <c r="PKE6" s="484"/>
      <c r="PKF6" s="484"/>
      <c r="PKG6" s="484"/>
      <c r="PKH6" s="484"/>
      <c r="PKI6" s="484"/>
      <c r="PKJ6" s="484"/>
      <c r="PKK6" s="484"/>
      <c r="PKL6" s="484"/>
      <c r="PKM6" s="484"/>
      <c r="PKN6" s="484"/>
      <c r="PKO6" s="484"/>
      <c r="PKP6" s="484"/>
      <c r="PKQ6" s="484"/>
      <c r="PKR6" s="484"/>
      <c r="PKS6" s="484"/>
      <c r="PKT6" s="484"/>
      <c r="PKU6" s="484"/>
      <c r="PKV6" s="484"/>
      <c r="PKW6" s="484"/>
      <c r="PKX6" s="484"/>
      <c r="PKY6" s="484"/>
      <c r="PKZ6" s="484"/>
      <c r="PLA6" s="484"/>
      <c r="PLB6" s="484"/>
      <c r="PLC6" s="484"/>
      <c r="PLD6" s="484"/>
      <c r="PLE6" s="484"/>
      <c r="PLF6" s="484"/>
      <c r="PLG6" s="484"/>
      <c r="PLH6" s="484"/>
      <c r="PLI6" s="484"/>
      <c r="PLJ6" s="484"/>
      <c r="PLK6" s="484"/>
      <c r="PLL6" s="484"/>
      <c r="PLM6" s="484"/>
      <c r="PLN6" s="484"/>
      <c r="PLO6" s="484"/>
      <c r="PLP6" s="484"/>
      <c r="PLQ6" s="484"/>
      <c r="PLR6" s="484"/>
      <c r="PLS6" s="484"/>
      <c r="PLT6" s="484"/>
      <c r="PLU6" s="484"/>
      <c r="PLV6" s="484"/>
      <c r="PLW6" s="484"/>
      <c r="PLX6" s="484"/>
      <c r="PLY6" s="484"/>
      <c r="PLZ6" s="484"/>
      <c r="PMA6" s="484"/>
      <c r="PMB6" s="484"/>
      <c r="PMC6" s="484"/>
      <c r="PMD6" s="484"/>
      <c r="PME6" s="484"/>
      <c r="PMF6" s="484"/>
      <c r="PMG6" s="484"/>
      <c r="PMH6" s="484"/>
      <c r="PMI6" s="484"/>
      <c r="PMJ6" s="484"/>
      <c r="PMK6" s="484"/>
      <c r="PML6" s="484"/>
      <c r="PMM6" s="484"/>
      <c r="PMN6" s="484"/>
      <c r="PMO6" s="484"/>
      <c r="PMP6" s="484"/>
      <c r="PMQ6" s="484"/>
      <c r="PMR6" s="484"/>
      <c r="PMS6" s="484"/>
      <c r="PMT6" s="484"/>
      <c r="PMU6" s="484"/>
      <c r="PMV6" s="484"/>
      <c r="PMW6" s="484"/>
      <c r="PMX6" s="484"/>
      <c r="PMY6" s="484"/>
      <c r="PMZ6" s="484"/>
      <c r="PNA6" s="484"/>
      <c r="PNB6" s="484"/>
      <c r="PNC6" s="484"/>
      <c r="PND6" s="484"/>
      <c r="PNE6" s="484"/>
      <c r="PNF6" s="484"/>
      <c r="PNG6" s="484"/>
      <c r="PNH6" s="484"/>
      <c r="PNI6" s="484"/>
      <c r="PNJ6" s="484"/>
      <c r="PNK6" s="484"/>
      <c r="PNL6" s="484"/>
      <c r="PNM6" s="484"/>
      <c r="PNN6" s="484"/>
      <c r="PNO6" s="484"/>
      <c r="PNP6" s="484"/>
      <c r="PNQ6" s="484"/>
      <c r="PNR6" s="484"/>
      <c r="PNS6" s="484"/>
      <c r="PNT6" s="484"/>
      <c r="PNU6" s="484"/>
      <c r="PNV6" s="484"/>
      <c r="PNW6" s="484"/>
      <c r="PNX6" s="484"/>
      <c r="PNY6" s="484"/>
      <c r="PNZ6" s="484"/>
      <c r="POA6" s="484"/>
      <c r="POB6" s="484"/>
      <c r="POC6" s="484"/>
      <c r="POD6" s="484"/>
      <c r="POE6" s="484"/>
      <c r="POF6" s="484"/>
      <c r="POG6" s="484"/>
      <c r="POH6" s="484"/>
      <c r="POI6" s="484"/>
      <c r="POJ6" s="484"/>
      <c r="POK6" s="484"/>
      <c r="POL6" s="484"/>
      <c r="POM6" s="484"/>
      <c r="PON6" s="484"/>
      <c r="POO6" s="484"/>
      <c r="POP6" s="484"/>
      <c r="POQ6" s="484"/>
      <c r="POR6" s="484"/>
      <c r="POS6" s="484"/>
      <c r="POT6" s="484"/>
      <c r="POU6" s="484"/>
      <c r="POV6" s="484"/>
      <c r="POW6" s="484"/>
      <c r="POX6" s="484"/>
      <c r="POY6" s="484"/>
      <c r="POZ6" s="484"/>
      <c r="PPA6" s="484"/>
      <c r="PPB6" s="484"/>
      <c r="PPC6" s="484"/>
      <c r="PPD6" s="484"/>
      <c r="PPE6" s="484"/>
      <c r="PPF6" s="484"/>
      <c r="PPG6" s="484"/>
      <c r="PPH6" s="484"/>
      <c r="PPI6" s="484"/>
      <c r="PPJ6" s="484"/>
      <c r="PPK6" s="484"/>
      <c r="PPL6" s="484"/>
      <c r="PPM6" s="484"/>
      <c r="PPN6" s="484"/>
      <c r="PPO6" s="484"/>
      <c r="PPP6" s="484"/>
      <c r="PPQ6" s="484"/>
      <c r="PPR6" s="484"/>
      <c r="PPS6" s="484"/>
      <c r="PPT6" s="484"/>
      <c r="PPU6" s="484"/>
      <c r="PPV6" s="484"/>
      <c r="PPW6" s="484"/>
      <c r="PPX6" s="484"/>
      <c r="PPY6" s="484"/>
      <c r="PPZ6" s="484"/>
      <c r="PQA6" s="484"/>
      <c r="PQB6" s="484"/>
      <c r="PQC6" s="484"/>
      <c r="PQD6" s="484"/>
      <c r="PQE6" s="484"/>
      <c r="PQF6" s="484"/>
      <c r="PQG6" s="484"/>
      <c r="PQH6" s="484"/>
      <c r="PQI6" s="484"/>
      <c r="PQJ6" s="484"/>
      <c r="PQK6" s="484"/>
      <c r="PQL6" s="484"/>
      <c r="PQM6" s="484"/>
      <c r="PQN6" s="484"/>
      <c r="PQO6" s="484"/>
      <c r="PQP6" s="484"/>
      <c r="PQQ6" s="484"/>
      <c r="PQR6" s="484"/>
      <c r="PQS6" s="484"/>
      <c r="PQT6" s="484"/>
      <c r="PQU6" s="484"/>
      <c r="PQV6" s="484"/>
      <c r="PQW6" s="484"/>
      <c r="PQX6" s="484"/>
      <c r="PQY6" s="484"/>
      <c r="PQZ6" s="484"/>
      <c r="PRA6" s="484"/>
      <c r="PRB6" s="484"/>
      <c r="PRC6" s="484"/>
      <c r="PRD6" s="484"/>
      <c r="PRE6" s="484"/>
      <c r="PRF6" s="484"/>
      <c r="PRG6" s="484"/>
      <c r="PRH6" s="484"/>
      <c r="PRI6" s="484"/>
      <c r="PRJ6" s="484"/>
      <c r="PRK6" s="484"/>
      <c r="PRL6" s="484"/>
      <c r="PRM6" s="484"/>
      <c r="PRN6" s="484"/>
      <c r="PRO6" s="484"/>
      <c r="PRP6" s="484"/>
      <c r="PRQ6" s="484"/>
      <c r="PRR6" s="484"/>
      <c r="PRS6" s="484"/>
      <c r="PRT6" s="484"/>
      <c r="PRU6" s="484"/>
      <c r="PRV6" s="484"/>
      <c r="PRW6" s="484"/>
      <c r="PRX6" s="484"/>
      <c r="PRY6" s="484"/>
      <c r="PRZ6" s="484"/>
      <c r="PSA6" s="484"/>
      <c r="PSB6" s="484"/>
      <c r="PSC6" s="484"/>
      <c r="PSD6" s="484"/>
      <c r="PSE6" s="484"/>
      <c r="PSF6" s="484"/>
      <c r="PSG6" s="484"/>
      <c r="PSH6" s="484"/>
      <c r="PSI6" s="484"/>
      <c r="PSJ6" s="484"/>
      <c r="PSK6" s="484"/>
      <c r="PSL6" s="484"/>
      <c r="PSM6" s="484"/>
      <c r="PSN6" s="484"/>
      <c r="PSO6" s="484"/>
      <c r="PSP6" s="484"/>
      <c r="PSQ6" s="484"/>
      <c r="PSR6" s="484"/>
      <c r="PSS6" s="484"/>
      <c r="PST6" s="484"/>
      <c r="PSU6" s="484"/>
      <c r="PSV6" s="484"/>
      <c r="PSW6" s="484"/>
      <c r="PSX6" s="484"/>
      <c r="PSY6" s="484"/>
      <c r="PSZ6" s="484"/>
      <c r="PTA6" s="484"/>
      <c r="PTB6" s="484"/>
      <c r="PTC6" s="484"/>
      <c r="PTD6" s="484"/>
      <c r="PTE6" s="484"/>
      <c r="PTF6" s="484"/>
      <c r="PTG6" s="484"/>
      <c r="PTH6" s="484"/>
      <c r="PTI6" s="484"/>
      <c r="PTJ6" s="484"/>
      <c r="PTK6" s="484"/>
      <c r="PTL6" s="484"/>
      <c r="PTM6" s="484"/>
      <c r="PTN6" s="484"/>
      <c r="PTO6" s="484"/>
      <c r="PTP6" s="484"/>
      <c r="PTQ6" s="484"/>
      <c r="PTR6" s="484"/>
      <c r="PTS6" s="484"/>
      <c r="PTT6" s="484"/>
      <c r="PTU6" s="484"/>
      <c r="PTV6" s="484"/>
      <c r="PTW6" s="484"/>
      <c r="PTX6" s="484"/>
      <c r="PTY6" s="484"/>
      <c r="PTZ6" s="484"/>
      <c r="PUA6" s="484"/>
      <c r="PUB6" s="484"/>
      <c r="PUC6" s="484"/>
      <c r="PUD6" s="484"/>
      <c r="PUE6" s="484"/>
      <c r="PUF6" s="484"/>
      <c r="PUG6" s="484"/>
      <c r="PUH6" s="484"/>
      <c r="PUI6" s="484"/>
      <c r="PUJ6" s="484"/>
      <c r="PUK6" s="484"/>
      <c r="PUL6" s="484"/>
      <c r="PUM6" s="484"/>
      <c r="PUN6" s="484"/>
      <c r="PUO6" s="484"/>
      <c r="PUP6" s="484"/>
      <c r="PUQ6" s="484"/>
      <c r="PUR6" s="484"/>
      <c r="PUS6" s="484"/>
      <c r="PUT6" s="484"/>
      <c r="PUU6" s="484"/>
      <c r="PUV6" s="484"/>
      <c r="PUW6" s="484"/>
      <c r="PUX6" s="484"/>
      <c r="PUY6" s="484"/>
      <c r="PUZ6" s="484"/>
      <c r="PVA6" s="484"/>
      <c r="PVB6" s="484"/>
      <c r="PVC6" s="484"/>
      <c r="PVD6" s="484"/>
      <c r="PVE6" s="484"/>
      <c r="PVF6" s="484"/>
      <c r="PVG6" s="484"/>
      <c r="PVH6" s="484"/>
      <c r="PVI6" s="484"/>
      <c r="PVJ6" s="484"/>
      <c r="PVK6" s="484"/>
      <c r="PVL6" s="484"/>
      <c r="PVM6" s="484"/>
      <c r="PVN6" s="484"/>
      <c r="PVO6" s="484"/>
      <c r="PVP6" s="484"/>
      <c r="PVQ6" s="484"/>
      <c r="PVR6" s="484"/>
      <c r="PVS6" s="484"/>
      <c r="PVT6" s="484"/>
      <c r="PVU6" s="484"/>
      <c r="PVV6" s="484"/>
      <c r="PVW6" s="484"/>
      <c r="PVX6" s="484"/>
      <c r="PVY6" s="484"/>
      <c r="PVZ6" s="484"/>
      <c r="PWA6" s="484"/>
      <c r="PWB6" s="484"/>
      <c r="PWC6" s="484"/>
      <c r="PWD6" s="484"/>
      <c r="PWE6" s="484"/>
      <c r="PWF6" s="484"/>
      <c r="PWG6" s="484"/>
      <c r="PWH6" s="484"/>
      <c r="PWI6" s="484"/>
      <c r="PWJ6" s="484"/>
      <c r="PWK6" s="484"/>
      <c r="PWL6" s="484"/>
      <c r="PWM6" s="484"/>
      <c r="PWN6" s="484"/>
      <c r="PWO6" s="484"/>
      <c r="PWP6" s="484"/>
      <c r="PWQ6" s="484"/>
      <c r="PWR6" s="484"/>
      <c r="PWS6" s="484"/>
      <c r="PWT6" s="484"/>
      <c r="PWU6" s="484"/>
      <c r="PWV6" s="484"/>
      <c r="PWW6" s="484"/>
      <c r="PWX6" s="484"/>
      <c r="PWY6" s="484"/>
      <c r="PWZ6" s="484"/>
      <c r="PXA6" s="484"/>
      <c r="PXB6" s="484"/>
      <c r="PXC6" s="484"/>
      <c r="PXD6" s="484"/>
      <c r="PXE6" s="484"/>
      <c r="PXF6" s="484"/>
      <c r="PXG6" s="484"/>
      <c r="PXH6" s="484"/>
      <c r="PXI6" s="484"/>
      <c r="PXJ6" s="484"/>
      <c r="PXK6" s="484"/>
      <c r="PXL6" s="484"/>
      <c r="PXM6" s="484"/>
      <c r="PXN6" s="484"/>
      <c r="PXO6" s="484"/>
      <c r="PXP6" s="484"/>
      <c r="PXQ6" s="484"/>
      <c r="PXR6" s="484"/>
      <c r="PXS6" s="484"/>
      <c r="PXT6" s="484"/>
      <c r="PXU6" s="484"/>
      <c r="PXV6" s="484"/>
      <c r="PXW6" s="484"/>
      <c r="PXX6" s="484"/>
      <c r="PXY6" s="484"/>
      <c r="PXZ6" s="484"/>
      <c r="PYA6" s="484"/>
      <c r="PYB6" s="484"/>
      <c r="PYC6" s="484"/>
      <c r="PYD6" s="484"/>
      <c r="PYE6" s="484"/>
      <c r="PYF6" s="484"/>
      <c r="PYG6" s="484"/>
      <c r="PYH6" s="484"/>
      <c r="PYI6" s="484"/>
      <c r="PYJ6" s="484"/>
      <c r="PYK6" s="484"/>
      <c r="PYL6" s="484"/>
      <c r="PYM6" s="484"/>
      <c r="PYN6" s="484"/>
      <c r="PYO6" s="484"/>
      <c r="PYP6" s="484"/>
      <c r="PYQ6" s="484"/>
      <c r="PYR6" s="484"/>
      <c r="PYS6" s="484"/>
      <c r="PYT6" s="484"/>
      <c r="PYU6" s="484"/>
      <c r="PYV6" s="484"/>
      <c r="PYW6" s="484"/>
      <c r="PYX6" s="484"/>
      <c r="PYY6" s="484"/>
      <c r="PYZ6" s="484"/>
      <c r="PZA6" s="484"/>
      <c r="PZB6" s="484"/>
      <c r="PZC6" s="484"/>
      <c r="PZD6" s="484"/>
      <c r="PZE6" s="484"/>
      <c r="PZF6" s="484"/>
      <c r="PZG6" s="484"/>
      <c r="PZH6" s="484"/>
      <c r="PZI6" s="484"/>
      <c r="PZJ6" s="484"/>
      <c r="PZK6" s="484"/>
      <c r="PZL6" s="484"/>
      <c r="PZM6" s="484"/>
      <c r="PZN6" s="484"/>
      <c r="PZO6" s="484"/>
      <c r="PZP6" s="484"/>
      <c r="PZQ6" s="484"/>
      <c r="PZR6" s="484"/>
      <c r="PZS6" s="484"/>
      <c r="PZT6" s="484"/>
      <c r="PZU6" s="484"/>
      <c r="PZV6" s="484"/>
      <c r="PZW6" s="484"/>
      <c r="PZX6" s="484"/>
      <c r="PZY6" s="484"/>
      <c r="PZZ6" s="484"/>
      <c r="QAA6" s="484"/>
      <c r="QAB6" s="484"/>
      <c r="QAC6" s="484"/>
      <c r="QAD6" s="484"/>
      <c r="QAE6" s="484"/>
      <c r="QAF6" s="484"/>
      <c r="QAG6" s="484"/>
      <c r="QAH6" s="484"/>
      <c r="QAI6" s="484"/>
      <c r="QAJ6" s="484"/>
      <c r="QAK6" s="484"/>
      <c r="QAL6" s="484"/>
      <c r="QAM6" s="484"/>
      <c r="QAN6" s="484"/>
      <c r="QAO6" s="484"/>
      <c r="QAP6" s="484"/>
      <c r="QAQ6" s="484"/>
      <c r="QAR6" s="484"/>
      <c r="QAS6" s="484"/>
      <c r="QAT6" s="484"/>
      <c r="QAU6" s="484"/>
      <c r="QAV6" s="484"/>
      <c r="QAW6" s="484"/>
      <c r="QAX6" s="484"/>
      <c r="QAY6" s="484"/>
      <c r="QAZ6" s="484"/>
      <c r="QBA6" s="484"/>
      <c r="QBB6" s="484"/>
      <c r="QBC6" s="484"/>
      <c r="QBD6" s="484"/>
      <c r="QBE6" s="484"/>
      <c r="QBF6" s="484"/>
      <c r="QBG6" s="484"/>
      <c r="QBH6" s="484"/>
      <c r="QBI6" s="484"/>
      <c r="QBJ6" s="484"/>
      <c r="QBK6" s="484"/>
      <c r="QBL6" s="484"/>
      <c r="QBM6" s="484"/>
      <c r="QBN6" s="484"/>
      <c r="QBO6" s="484"/>
      <c r="QBP6" s="484"/>
      <c r="QBQ6" s="484"/>
      <c r="QBR6" s="484"/>
      <c r="QBS6" s="484"/>
      <c r="QBT6" s="484"/>
      <c r="QBU6" s="484"/>
      <c r="QBV6" s="484"/>
      <c r="QBW6" s="484"/>
      <c r="QBX6" s="484"/>
      <c r="QBY6" s="484"/>
      <c r="QBZ6" s="484"/>
      <c r="QCA6" s="484"/>
      <c r="QCB6" s="484"/>
      <c r="QCC6" s="484"/>
      <c r="QCD6" s="484"/>
      <c r="QCE6" s="484"/>
      <c r="QCF6" s="484"/>
      <c r="QCG6" s="484"/>
      <c r="QCH6" s="484"/>
      <c r="QCI6" s="484"/>
      <c r="QCJ6" s="484"/>
      <c r="QCK6" s="484"/>
      <c r="QCL6" s="484"/>
      <c r="QCM6" s="484"/>
      <c r="QCN6" s="484"/>
      <c r="QCO6" s="484"/>
      <c r="QCP6" s="484"/>
      <c r="QCQ6" s="484"/>
      <c r="QCR6" s="484"/>
      <c r="QCS6" s="484"/>
      <c r="QCT6" s="484"/>
      <c r="QCU6" s="484"/>
      <c r="QCV6" s="484"/>
      <c r="QCW6" s="484"/>
      <c r="QCX6" s="484"/>
      <c r="QCY6" s="484"/>
      <c r="QCZ6" s="484"/>
      <c r="QDA6" s="484"/>
      <c r="QDB6" s="484"/>
      <c r="QDC6" s="484"/>
      <c r="QDD6" s="484"/>
      <c r="QDE6" s="484"/>
      <c r="QDF6" s="484"/>
      <c r="QDG6" s="484"/>
      <c r="QDH6" s="484"/>
      <c r="QDI6" s="484"/>
      <c r="QDJ6" s="484"/>
      <c r="QDK6" s="484"/>
      <c r="QDL6" s="484"/>
      <c r="QDM6" s="484"/>
      <c r="QDN6" s="484"/>
      <c r="QDO6" s="484"/>
      <c r="QDP6" s="484"/>
      <c r="QDQ6" s="484"/>
      <c r="QDR6" s="484"/>
      <c r="QDS6" s="484"/>
      <c r="QDT6" s="484"/>
      <c r="QDU6" s="484"/>
      <c r="QDV6" s="484"/>
      <c r="QDW6" s="484"/>
      <c r="QDX6" s="484"/>
      <c r="QDY6" s="484"/>
      <c r="QDZ6" s="484"/>
      <c r="QEA6" s="484"/>
      <c r="QEB6" s="484"/>
      <c r="QEC6" s="484"/>
      <c r="QED6" s="484"/>
      <c r="QEE6" s="484"/>
      <c r="QEF6" s="484"/>
      <c r="QEG6" s="484"/>
      <c r="QEH6" s="484"/>
      <c r="QEI6" s="484"/>
      <c r="QEJ6" s="484"/>
      <c r="QEK6" s="484"/>
      <c r="QEL6" s="484"/>
      <c r="QEM6" s="484"/>
      <c r="QEN6" s="484"/>
      <c r="QEO6" s="484"/>
      <c r="QEP6" s="484"/>
      <c r="QEQ6" s="484"/>
      <c r="QER6" s="484"/>
      <c r="QES6" s="484"/>
      <c r="QET6" s="484"/>
      <c r="QEU6" s="484"/>
      <c r="QEV6" s="484"/>
      <c r="QEW6" s="484"/>
      <c r="QEX6" s="484"/>
      <c r="QEY6" s="484"/>
      <c r="QEZ6" s="484"/>
      <c r="QFA6" s="484"/>
      <c r="QFB6" s="484"/>
      <c r="QFC6" s="484"/>
      <c r="QFD6" s="484"/>
      <c r="QFE6" s="484"/>
      <c r="QFF6" s="484"/>
      <c r="QFG6" s="484"/>
      <c r="QFH6" s="484"/>
      <c r="QFI6" s="484"/>
      <c r="QFJ6" s="484"/>
      <c r="QFK6" s="484"/>
      <c r="QFL6" s="484"/>
      <c r="QFM6" s="484"/>
      <c r="QFN6" s="484"/>
      <c r="QFO6" s="484"/>
      <c r="QFP6" s="484"/>
      <c r="QFQ6" s="484"/>
      <c r="QFR6" s="484"/>
      <c r="QFS6" s="484"/>
      <c r="QFT6" s="484"/>
      <c r="QFU6" s="484"/>
      <c r="QFV6" s="484"/>
      <c r="QFW6" s="484"/>
      <c r="QFX6" s="484"/>
      <c r="QFY6" s="484"/>
      <c r="QFZ6" s="484"/>
      <c r="QGA6" s="484"/>
      <c r="QGB6" s="484"/>
      <c r="QGC6" s="484"/>
      <c r="QGD6" s="484"/>
      <c r="QGE6" s="484"/>
      <c r="QGF6" s="484"/>
      <c r="QGG6" s="484"/>
      <c r="QGH6" s="484"/>
      <c r="QGI6" s="484"/>
      <c r="QGJ6" s="484"/>
      <c r="QGK6" s="484"/>
      <c r="QGL6" s="484"/>
      <c r="QGM6" s="484"/>
      <c r="QGN6" s="484"/>
      <c r="QGO6" s="484"/>
      <c r="QGP6" s="484"/>
      <c r="QGQ6" s="484"/>
      <c r="QGR6" s="484"/>
      <c r="QGS6" s="484"/>
      <c r="QGT6" s="484"/>
      <c r="QGU6" s="484"/>
      <c r="QGV6" s="484"/>
      <c r="QGW6" s="484"/>
      <c r="QGX6" s="484"/>
      <c r="QGY6" s="484"/>
      <c r="QGZ6" s="484"/>
      <c r="QHA6" s="484"/>
      <c r="QHB6" s="484"/>
      <c r="QHC6" s="484"/>
      <c r="QHD6" s="484"/>
      <c r="QHE6" s="484"/>
      <c r="QHF6" s="484"/>
      <c r="QHG6" s="484"/>
      <c r="QHH6" s="484"/>
      <c r="QHI6" s="484"/>
      <c r="QHJ6" s="484"/>
      <c r="QHK6" s="484"/>
      <c r="QHL6" s="484"/>
      <c r="QHM6" s="484"/>
      <c r="QHN6" s="484"/>
      <c r="QHO6" s="484"/>
      <c r="QHP6" s="484"/>
      <c r="QHQ6" s="484"/>
      <c r="QHR6" s="484"/>
      <c r="QHS6" s="484"/>
      <c r="QHT6" s="484"/>
      <c r="QHU6" s="484"/>
      <c r="QHV6" s="484"/>
      <c r="QHW6" s="484"/>
      <c r="QHX6" s="484"/>
      <c r="QHY6" s="484"/>
      <c r="QHZ6" s="484"/>
      <c r="QIA6" s="484"/>
      <c r="QIB6" s="484"/>
      <c r="QIC6" s="484"/>
      <c r="QID6" s="484"/>
      <c r="QIE6" s="484"/>
      <c r="QIF6" s="484"/>
      <c r="QIG6" s="484"/>
      <c r="QIH6" s="484"/>
      <c r="QII6" s="484"/>
      <c r="QIJ6" s="484"/>
      <c r="QIK6" s="484"/>
      <c r="QIL6" s="484"/>
      <c r="QIM6" s="484"/>
      <c r="QIN6" s="484"/>
      <c r="QIO6" s="484"/>
      <c r="QIP6" s="484"/>
      <c r="QIQ6" s="484"/>
      <c r="QIR6" s="484"/>
      <c r="QIS6" s="484"/>
      <c r="QIT6" s="484"/>
      <c r="QIU6" s="484"/>
      <c r="QIV6" s="484"/>
      <c r="QIW6" s="484"/>
      <c r="QIX6" s="484"/>
      <c r="QIY6" s="484"/>
      <c r="QIZ6" s="484"/>
      <c r="QJA6" s="484"/>
      <c r="QJB6" s="484"/>
      <c r="QJC6" s="484"/>
      <c r="QJD6" s="484"/>
      <c r="QJE6" s="484"/>
      <c r="QJF6" s="484"/>
      <c r="QJG6" s="484"/>
      <c r="QJH6" s="484"/>
      <c r="QJI6" s="484"/>
      <c r="QJJ6" s="484"/>
      <c r="QJK6" s="484"/>
      <c r="QJL6" s="484"/>
      <c r="QJM6" s="484"/>
      <c r="QJN6" s="484"/>
      <c r="QJO6" s="484"/>
      <c r="QJP6" s="484"/>
      <c r="QJQ6" s="484"/>
      <c r="QJR6" s="484"/>
      <c r="QJS6" s="484"/>
      <c r="QJT6" s="484"/>
      <c r="QJU6" s="484"/>
      <c r="QJV6" s="484"/>
      <c r="QJW6" s="484"/>
      <c r="QJX6" s="484"/>
      <c r="QJY6" s="484"/>
      <c r="QJZ6" s="484"/>
      <c r="QKA6" s="484"/>
      <c r="QKB6" s="484"/>
      <c r="QKC6" s="484"/>
      <c r="QKD6" s="484"/>
      <c r="QKE6" s="484"/>
      <c r="QKF6" s="484"/>
      <c r="QKG6" s="484"/>
      <c r="QKH6" s="484"/>
      <c r="QKI6" s="484"/>
      <c r="QKJ6" s="484"/>
      <c r="QKK6" s="484"/>
      <c r="QKL6" s="484"/>
      <c r="QKM6" s="484"/>
      <c r="QKN6" s="484"/>
      <c r="QKO6" s="484"/>
      <c r="QKP6" s="484"/>
      <c r="QKQ6" s="484"/>
      <c r="QKR6" s="484"/>
      <c r="QKS6" s="484"/>
      <c r="QKT6" s="484"/>
      <c r="QKU6" s="484"/>
      <c r="QKV6" s="484"/>
      <c r="QKW6" s="484"/>
      <c r="QKX6" s="484"/>
      <c r="QKY6" s="484"/>
      <c r="QKZ6" s="484"/>
      <c r="QLA6" s="484"/>
      <c r="QLB6" s="484"/>
      <c r="QLC6" s="484"/>
      <c r="QLD6" s="484"/>
      <c r="QLE6" s="484"/>
      <c r="QLF6" s="484"/>
      <c r="QLG6" s="484"/>
      <c r="QLH6" s="484"/>
      <c r="QLI6" s="484"/>
      <c r="QLJ6" s="484"/>
      <c r="QLK6" s="484"/>
      <c r="QLL6" s="484"/>
      <c r="QLM6" s="484"/>
      <c r="QLN6" s="484"/>
      <c r="QLO6" s="484"/>
      <c r="QLP6" s="484"/>
      <c r="QLQ6" s="484"/>
      <c r="QLR6" s="484"/>
      <c r="QLS6" s="484"/>
      <c r="QLT6" s="484"/>
      <c r="QLU6" s="484"/>
      <c r="QLV6" s="484"/>
      <c r="QLW6" s="484"/>
      <c r="QLX6" s="484"/>
      <c r="QLY6" s="484"/>
      <c r="QLZ6" s="484"/>
      <c r="QMA6" s="484"/>
      <c r="QMB6" s="484"/>
      <c r="QMC6" s="484"/>
      <c r="QMD6" s="484"/>
      <c r="QME6" s="484"/>
      <c r="QMF6" s="484"/>
      <c r="QMG6" s="484"/>
      <c r="QMH6" s="484"/>
      <c r="QMI6" s="484"/>
      <c r="QMJ6" s="484"/>
      <c r="QMK6" s="484"/>
      <c r="QML6" s="484"/>
      <c r="QMM6" s="484"/>
      <c r="QMN6" s="484"/>
      <c r="QMO6" s="484"/>
      <c r="QMP6" s="484"/>
      <c r="QMQ6" s="484"/>
      <c r="QMR6" s="484"/>
      <c r="QMS6" s="484"/>
      <c r="QMT6" s="484"/>
      <c r="QMU6" s="484"/>
      <c r="QMV6" s="484"/>
      <c r="QMW6" s="484"/>
      <c r="QMX6" s="484"/>
      <c r="QMY6" s="484"/>
      <c r="QMZ6" s="484"/>
      <c r="QNA6" s="484"/>
      <c r="QNB6" s="484"/>
      <c r="QNC6" s="484"/>
      <c r="QND6" s="484"/>
      <c r="QNE6" s="484"/>
      <c r="QNF6" s="484"/>
      <c r="QNG6" s="484"/>
      <c r="QNH6" s="484"/>
      <c r="QNI6" s="484"/>
      <c r="QNJ6" s="484"/>
      <c r="QNK6" s="484"/>
      <c r="QNL6" s="484"/>
      <c r="QNM6" s="484"/>
      <c r="QNN6" s="484"/>
      <c r="QNO6" s="484"/>
      <c r="QNP6" s="484"/>
      <c r="QNQ6" s="484"/>
      <c r="QNR6" s="484"/>
      <c r="QNS6" s="484"/>
      <c r="QNT6" s="484"/>
      <c r="QNU6" s="484"/>
      <c r="QNV6" s="484"/>
      <c r="QNW6" s="484"/>
      <c r="QNX6" s="484"/>
      <c r="QNY6" s="484"/>
      <c r="QNZ6" s="484"/>
      <c r="QOA6" s="484"/>
      <c r="QOB6" s="484"/>
      <c r="QOC6" s="484"/>
      <c r="QOD6" s="484"/>
      <c r="QOE6" s="484"/>
      <c r="QOF6" s="484"/>
      <c r="QOG6" s="484"/>
      <c r="QOH6" s="484"/>
      <c r="QOI6" s="484"/>
      <c r="QOJ6" s="484"/>
      <c r="QOK6" s="484"/>
      <c r="QOL6" s="484"/>
      <c r="QOM6" s="484"/>
      <c r="QON6" s="484"/>
      <c r="QOO6" s="484"/>
      <c r="QOP6" s="484"/>
      <c r="QOQ6" s="484"/>
      <c r="QOR6" s="484"/>
      <c r="QOS6" s="484"/>
      <c r="QOT6" s="484"/>
      <c r="QOU6" s="484"/>
      <c r="QOV6" s="484"/>
      <c r="QOW6" s="484"/>
      <c r="QOX6" s="484"/>
      <c r="QOY6" s="484"/>
      <c r="QOZ6" s="484"/>
      <c r="QPA6" s="484"/>
      <c r="QPB6" s="484"/>
      <c r="QPC6" s="484"/>
      <c r="QPD6" s="484"/>
      <c r="QPE6" s="484"/>
      <c r="QPF6" s="484"/>
      <c r="QPG6" s="484"/>
      <c r="QPH6" s="484"/>
      <c r="QPI6" s="484"/>
      <c r="QPJ6" s="484"/>
      <c r="QPK6" s="484"/>
      <c r="QPL6" s="484"/>
      <c r="QPM6" s="484"/>
      <c r="QPN6" s="484"/>
      <c r="QPO6" s="484"/>
      <c r="QPP6" s="484"/>
      <c r="QPQ6" s="484"/>
      <c r="QPR6" s="484"/>
      <c r="QPS6" s="484"/>
      <c r="QPT6" s="484"/>
      <c r="QPU6" s="484"/>
      <c r="QPV6" s="484"/>
      <c r="QPW6" s="484"/>
      <c r="QPX6" s="484"/>
      <c r="QPY6" s="484"/>
      <c r="QPZ6" s="484"/>
      <c r="QQA6" s="484"/>
      <c r="QQB6" s="484"/>
      <c r="QQC6" s="484"/>
      <c r="QQD6" s="484"/>
      <c r="QQE6" s="484"/>
      <c r="QQF6" s="484"/>
      <c r="QQG6" s="484"/>
      <c r="QQH6" s="484"/>
      <c r="QQI6" s="484"/>
      <c r="QQJ6" s="484"/>
      <c r="QQK6" s="484"/>
      <c r="QQL6" s="484"/>
      <c r="QQM6" s="484"/>
      <c r="QQN6" s="484"/>
      <c r="QQO6" s="484"/>
      <c r="QQP6" s="484"/>
      <c r="QQQ6" s="484"/>
      <c r="QQR6" s="484"/>
      <c r="QQS6" s="484"/>
      <c r="QQT6" s="484"/>
      <c r="QQU6" s="484"/>
      <c r="QQV6" s="484"/>
      <c r="QQW6" s="484"/>
      <c r="QQX6" s="484"/>
      <c r="QQY6" s="484"/>
      <c r="QQZ6" s="484"/>
      <c r="QRA6" s="484"/>
      <c r="QRB6" s="484"/>
      <c r="QRC6" s="484"/>
      <c r="QRD6" s="484"/>
      <c r="QRE6" s="484"/>
      <c r="QRF6" s="484"/>
      <c r="QRG6" s="484"/>
      <c r="QRH6" s="484"/>
      <c r="QRI6" s="484"/>
      <c r="QRJ6" s="484"/>
      <c r="QRK6" s="484"/>
      <c r="QRL6" s="484"/>
      <c r="QRM6" s="484"/>
      <c r="QRN6" s="484"/>
      <c r="QRO6" s="484"/>
      <c r="QRP6" s="484"/>
      <c r="QRQ6" s="484"/>
      <c r="QRR6" s="484"/>
      <c r="QRS6" s="484"/>
      <c r="QRT6" s="484"/>
      <c r="QRU6" s="484"/>
      <c r="QRV6" s="484"/>
      <c r="QRW6" s="484"/>
      <c r="QRX6" s="484"/>
      <c r="QRY6" s="484"/>
      <c r="QRZ6" s="484"/>
      <c r="QSA6" s="484"/>
      <c r="QSB6" s="484"/>
      <c r="QSC6" s="484"/>
      <c r="QSD6" s="484"/>
      <c r="QSE6" s="484"/>
      <c r="QSF6" s="484"/>
      <c r="QSG6" s="484"/>
      <c r="QSH6" s="484"/>
      <c r="QSI6" s="484"/>
      <c r="QSJ6" s="484"/>
      <c r="QSK6" s="484"/>
      <c r="QSL6" s="484"/>
      <c r="QSM6" s="484"/>
      <c r="QSN6" s="484"/>
      <c r="QSO6" s="484"/>
      <c r="QSP6" s="484"/>
      <c r="QSQ6" s="484"/>
      <c r="QSR6" s="484"/>
      <c r="QSS6" s="484"/>
      <c r="QST6" s="484"/>
      <c r="QSU6" s="484"/>
      <c r="QSV6" s="484"/>
      <c r="QSW6" s="484"/>
      <c r="QSX6" s="484"/>
      <c r="QSY6" s="484"/>
      <c r="QSZ6" s="484"/>
      <c r="QTA6" s="484"/>
      <c r="QTB6" s="484"/>
      <c r="QTC6" s="484"/>
      <c r="QTD6" s="484"/>
      <c r="QTE6" s="484"/>
      <c r="QTF6" s="484"/>
      <c r="QTG6" s="484"/>
      <c r="QTH6" s="484"/>
      <c r="QTI6" s="484"/>
      <c r="QTJ6" s="484"/>
      <c r="QTK6" s="484"/>
      <c r="QTL6" s="484"/>
      <c r="QTM6" s="484"/>
      <c r="QTN6" s="484"/>
      <c r="QTO6" s="484"/>
      <c r="QTP6" s="484"/>
      <c r="QTQ6" s="484"/>
      <c r="QTR6" s="484"/>
      <c r="QTS6" s="484"/>
      <c r="QTT6" s="484"/>
      <c r="QTU6" s="484"/>
      <c r="QTV6" s="484"/>
      <c r="QTW6" s="484"/>
      <c r="QTX6" s="484"/>
      <c r="QTY6" s="484"/>
      <c r="QTZ6" s="484"/>
      <c r="QUA6" s="484"/>
      <c r="QUB6" s="484"/>
      <c r="QUC6" s="484"/>
      <c r="QUD6" s="484"/>
      <c r="QUE6" s="484"/>
      <c r="QUF6" s="484"/>
      <c r="QUG6" s="484"/>
      <c r="QUH6" s="484"/>
      <c r="QUI6" s="484"/>
      <c r="QUJ6" s="484"/>
      <c r="QUK6" s="484"/>
      <c r="QUL6" s="484"/>
      <c r="QUM6" s="484"/>
      <c r="QUN6" s="484"/>
      <c r="QUO6" s="484"/>
      <c r="QUP6" s="484"/>
      <c r="QUQ6" s="484"/>
      <c r="QUR6" s="484"/>
      <c r="QUS6" s="484"/>
      <c r="QUT6" s="484"/>
      <c r="QUU6" s="484"/>
      <c r="QUV6" s="484"/>
      <c r="QUW6" s="484"/>
      <c r="QUX6" s="484"/>
      <c r="QUY6" s="484"/>
      <c r="QUZ6" s="484"/>
      <c r="QVA6" s="484"/>
      <c r="QVB6" s="484"/>
      <c r="QVC6" s="484"/>
      <c r="QVD6" s="484"/>
      <c r="QVE6" s="484"/>
      <c r="QVF6" s="484"/>
      <c r="QVG6" s="484"/>
      <c r="QVH6" s="484"/>
      <c r="QVI6" s="484"/>
      <c r="QVJ6" s="484"/>
      <c r="QVK6" s="484"/>
      <c r="QVL6" s="484"/>
      <c r="QVM6" s="484"/>
      <c r="QVN6" s="484"/>
      <c r="QVO6" s="484"/>
      <c r="QVP6" s="484"/>
      <c r="QVQ6" s="484"/>
      <c r="QVR6" s="484"/>
      <c r="QVS6" s="484"/>
      <c r="QVT6" s="484"/>
      <c r="QVU6" s="484"/>
      <c r="QVV6" s="484"/>
      <c r="QVW6" s="484"/>
      <c r="QVX6" s="484"/>
      <c r="QVY6" s="484"/>
      <c r="QVZ6" s="484"/>
      <c r="QWA6" s="484"/>
      <c r="QWB6" s="484"/>
      <c r="QWC6" s="484"/>
      <c r="QWD6" s="484"/>
      <c r="QWE6" s="484"/>
      <c r="QWF6" s="484"/>
      <c r="QWG6" s="484"/>
      <c r="QWH6" s="484"/>
      <c r="QWI6" s="484"/>
      <c r="QWJ6" s="484"/>
      <c r="QWK6" s="484"/>
      <c r="QWL6" s="484"/>
      <c r="QWM6" s="484"/>
      <c r="QWN6" s="484"/>
      <c r="QWO6" s="484"/>
      <c r="QWP6" s="484"/>
      <c r="QWQ6" s="484"/>
      <c r="QWR6" s="484"/>
      <c r="QWS6" s="484"/>
      <c r="QWT6" s="484"/>
      <c r="QWU6" s="484"/>
      <c r="QWV6" s="484"/>
      <c r="QWW6" s="484"/>
      <c r="QWX6" s="484"/>
      <c r="QWY6" s="484"/>
      <c r="QWZ6" s="484"/>
      <c r="QXA6" s="484"/>
      <c r="QXB6" s="484"/>
      <c r="QXC6" s="484"/>
      <c r="QXD6" s="484"/>
      <c r="QXE6" s="484"/>
      <c r="QXF6" s="484"/>
      <c r="QXG6" s="484"/>
      <c r="QXH6" s="484"/>
      <c r="QXI6" s="484"/>
      <c r="QXJ6" s="484"/>
      <c r="QXK6" s="484"/>
      <c r="QXL6" s="484"/>
      <c r="QXM6" s="484"/>
      <c r="QXN6" s="484"/>
      <c r="QXO6" s="484"/>
      <c r="QXP6" s="484"/>
      <c r="QXQ6" s="484"/>
      <c r="QXR6" s="484"/>
      <c r="QXS6" s="484"/>
      <c r="QXT6" s="484"/>
      <c r="QXU6" s="484"/>
      <c r="QXV6" s="484"/>
      <c r="QXW6" s="484"/>
      <c r="QXX6" s="484"/>
      <c r="QXY6" s="484"/>
      <c r="QXZ6" s="484"/>
      <c r="QYA6" s="484"/>
      <c r="QYB6" s="484"/>
      <c r="QYC6" s="484"/>
      <c r="QYD6" s="484"/>
      <c r="QYE6" s="484"/>
      <c r="QYF6" s="484"/>
      <c r="QYG6" s="484"/>
      <c r="QYH6" s="484"/>
      <c r="QYI6" s="484"/>
      <c r="QYJ6" s="484"/>
      <c r="QYK6" s="484"/>
      <c r="QYL6" s="484"/>
      <c r="QYM6" s="484"/>
      <c r="QYN6" s="484"/>
      <c r="QYO6" s="484"/>
      <c r="QYP6" s="484"/>
      <c r="QYQ6" s="484"/>
      <c r="QYR6" s="484"/>
      <c r="QYS6" s="484"/>
      <c r="QYT6" s="484"/>
      <c r="QYU6" s="484"/>
      <c r="QYV6" s="484"/>
      <c r="QYW6" s="484"/>
      <c r="QYX6" s="484"/>
      <c r="QYY6" s="484"/>
      <c r="QYZ6" s="484"/>
      <c r="QZA6" s="484"/>
      <c r="QZB6" s="484"/>
      <c r="QZC6" s="484"/>
      <c r="QZD6" s="484"/>
      <c r="QZE6" s="484"/>
      <c r="QZF6" s="484"/>
      <c r="QZG6" s="484"/>
      <c r="QZH6" s="484"/>
      <c r="QZI6" s="484"/>
      <c r="QZJ6" s="484"/>
      <c r="QZK6" s="484"/>
      <c r="QZL6" s="484"/>
      <c r="QZM6" s="484"/>
      <c r="QZN6" s="484"/>
      <c r="QZO6" s="484"/>
      <c r="QZP6" s="484"/>
      <c r="QZQ6" s="484"/>
      <c r="QZR6" s="484"/>
      <c r="QZS6" s="484"/>
      <c r="QZT6" s="484"/>
      <c r="QZU6" s="484"/>
      <c r="QZV6" s="484"/>
      <c r="QZW6" s="484"/>
      <c r="QZX6" s="484"/>
      <c r="QZY6" s="484"/>
      <c r="QZZ6" s="484"/>
      <c r="RAA6" s="484"/>
      <c r="RAB6" s="484"/>
      <c r="RAC6" s="484"/>
      <c r="RAD6" s="484"/>
      <c r="RAE6" s="484"/>
      <c r="RAF6" s="484"/>
      <c r="RAG6" s="484"/>
      <c r="RAH6" s="484"/>
      <c r="RAI6" s="484"/>
      <c r="RAJ6" s="484"/>
      <c r="RAK6" s="484"/>
      <c r="RAL6" s="484"/>
      <c r="RAM6" s="484"/>
      <c r="RAN6" s="484"/>
      <c r="RAO6" s="484"/>
      <c r="RAP6" s="484"/>
      <c r="RAQ6" s="484"/>
      <c r="RAR6" s="484"/>
      <c r="RAS6" s="484"/>
      <c r="RAT6" s="484"/>
      <c r="RAU6" s="484"/>
      <c r="RAV6" s="484"/>
      <c r="RAW6" s="484"/>
      <c r="RAX6" s="484"/>
      <c r="RAY6" s="484"/>
      <c r="RAZ6" s="484"/>
      <c r="RBA6" s="484"/>
      <c r="RBB6" s="484"/>
      <c r="RBC6" s="484"/>
      <c r="RBD6" s="484"/>
      <c r="RBE6" s="484"/>
      <c r="RBF6" s="484"/>
      <c r="RBG6" s="484"/>
      <c r="RBH6" s="484"/>
      <c r="RBI6" s="484"/>
      <c r="RBJ6" s="484"/>
      <c r="RBK6" s="484"/>
      <c r="RBL6" s="484"/>
      <c r="RBM6" s="484"/>
      <c r="RBN6" s="484"/>
      <c r="RBO6" s="484"/>
      <c r="RBP6" s="484"/>
      <c r="RBQ6" s="484"/>
      <c r="RBR6" s="484"/>
      <c r="RBS6" s="484"/>
      <c r="RBT6" s="484"/>
      <c r="RBU6" s="484"/>
      <c r="RBV6" s="484"/>
      <c r="RBW6" s="484"/>
      <c r="RBX6" s="484"/>
      <c r="RBY6" s="484"/>
      <c r="RBZ6" s="484"/>
      <c r="RCA6" s="484"/>
      <c r="RCB6" s="484"/>
      <c r="RCC6" s="484"/>
      <c r="RCD6" s="484"/>
      <c r="RCE6" s="484"/>
      <c r="RCF6" s="484"/>
      <c r="RCG6" s="484"/>
      <c r="RCH6" s="484"/>
      <c r="RCI6" s="484"/>
      <c r="RCJ6" s="484"/>
      <c r="RCK6" s="484"/>
      <c r="RCL6" s="484"/>
      <c r="RCM6" s="484"/>
      <c r="RCN6" s="484"/>
      <c r="RCO6" s="484"/>
      <c r="RCP6" s="484"/>
      <c r="RCQ6" s="484"/>
      <c r="RCR6" s="484"/>
      <c r="RCS6" s="484"/>
      <c r="RCT6" s="484"/>
      <c r="RCU6" s="484"/>
      <c r="RCV6" s="484"/>
      <c r="RCW6" s="484"/>
      <c r="RCX6" s="484"/>
      <c r="RCY6" s="484"/>
      <c r="RCZ6" s="484"/>
      <c r="RDA6" s="484"/>
      <c r="RDB6" s="484"/>
      <c r="RDC6" s="484"/>
      <c r="RDD6" s="484"/>
      <c r="RDE6" s="484"/>
      <c r="RDF6" s="484"/>
      <c r="RDG6" s="484"/>
      <c r="RDH6" s="484"/>
      <c r="RDI6" s="484"/>
      <c r="RDJ6" s="484"/>
      <c r="RDK6" s="484"/>
      <c r="RDL6" s="484"/>
      <c r="RDM6" s="484"/>
      <c r="RDN6" s="484"/>
      <c r="RDO6" s="484"/>
      <c r="RDP6" s="484"/>
      <c r="RDQ6" s="484"/>
      <c r="RDR6" s="484"/>
      <c r="RDS6" s="484"/>
      <c r="RDT6" s="484"/>
      <c r="RDU6" s="484"/>
      <c r="RDV6" s="484"/>
      <c r="RDW6" s="484"/>
      <c r="RDX6" s="484"/>
      <c r="RDY6" s="484"/>
      <c r="RDZ6" s="484"/>
      <c r="REA6" s="484"/>
      <c r="REB6" s="484"/>
      <c r="REC6" s="484"/>
      <c r="RED6" s="484"/>
      <c r="REE6" s="484"/>
      <c r="REF6" s="484"/>
      <c r="REG6" s="484"/>
      <c r="REH6" s="484"/>
      <c r="REI6" s="484"/>
      <c r="REJ6" s="484"/>
      <c r="REK6" s="484"/>
      <c r="REL6" s="484"/>
      <c r="REM6" s="484"/>
      <c r="REN6" s="484"/>
      <c r="REO6" s="484"/>
      <c r="REP6" s="484"/>
      <c r="REQ6" s="484"/>
      <c r="RER6" s="484"/>
      <c r="RES6" s="484"/>
      <c r="RET6" s="484"/>
      <c r="REU6" s="484"/>
      <c r="REV6" s="484"/>
      <c r="REW6" s="484"/>
      <c r="REX6" s="484"/>
      <c r="REY6" s="484"/>
      <c r="REZ6" s="484"/>
      <c r="RFA6" s="484"/>
      <c r="RFB6" s="484"/>
      <c r="RFC6" s="484"/>
      <c r="RFD6" s="484"/>
      <c r="RFE6" s="484"/>
      <c r="RFF6" s="484"/>
      <c r="RFG6" s="484"/>
      <c r="RFH6" s="484"/>
      <c r="RFI6" s="484"/>
      <c r="RFJ6" s="484"/>
      <c r="RFK6" s="484"/>
      <c r="RFL6" s="484"/>
      <c r="RFM6" s="484"/>
      <c r="RFN6" s="484"/>
      <c r="RFO6" s="484"/>
      <c r="RFP6" s="484"/>
      <c r="RFQ6" s="484"/>
      <c r="RFR6" s="484"/>
      <c r="RFS6" s="484"/>
      <c r="RFT6" s="484"/>
      <c r="RFU6" s="484"/>
      <c r="RFV6" s="484"/>
      <c r="RFW6" s="484"/>
      <c r="RFX6" s="484"/>
      <c r="RFY6" s="484"/>
      <c r="RFZ6" s="484"/>
      <c r="RGA6" s="484"/>
      <c r="RGB6" s="484"/>
      <c r="RGC6" s="484"/>
      <c r="RGD6" s="484"/>
      <c r="RGE6" s="484"/>
      <c r="RGF6" s="484"/>
      <c r="RGG6" s="484"/>
      <c r="RGH6" s="484"/>
      <c r="RGI6" s="484"/>
      <c r="RGJ6" s="484"/>
      <c r="RGK6" s="484"/>
      <c r="RGL6" s="484"/>
      <c r="RGM6" s="484"/>
      <c r="RGN6" s="484"/>
      <c r="RGO6" s="484"/>
      <c r="RGP6" s="484"/>
      <c r="RGQ6" s="484"/>
      <c r="RGR6" s="484"/>
      <c r="RGS6" s="484"/>
      <c r="RGT6" s="484"/>
      <c r="RGU6" s="484"/>
      <c r="RGV6" s="484"/>
      <c r="RGW6" s="484"/>
      <c r="RGX6" s="484"/>
      <c r="RGY6" s="484"/>
      <c r="RGZ6" s="484"/>
      <c r="RHA6" s="484"/>
      <c r="RHB6" s="484"/>
      <c r="RHC6" s="484"/>
      <c r="RHD6" s="484"/>
      <c r="RHE6" s="484"/>
      <c r="RHF6" s="484"/>
      <c r="RHG6" s="484"/>
      <c r="RHH6" s="484"/>
      <c r="RHI6" s="484"/>
      <c r="RHJ6" s="484"/>
      <c r="RHK6" s="484"/>
      <c r="RHL6" s="484"/>
      <c r="RHM6" s="484"/>
      <c r="RHN6" s="484"/>
      <c r="RHO6" s="484"/>
      <c r="RHP6" s="484"/>
      <c r="RHQ6" s="484"/>
      <c r="RHR6" s="484"/>
      <c r="RHS6" s="484"/>
      <c r="RHT6" s="484"/>
      <c r="RHU6" s="484"/>
      <c r="RHV6" s="484"/>
      <c r="RHW6" s="484"/>
      <c r="RHX6" s="484"/>
      <c r="RHY6" s="484"/>
      <c r="RHZ6" s="484"/>
      <c r="RIA6" s="484"/>
      <c r="RIB6" s="484"/>
      <c r="RIC6" s="484"/>
      <c r="RID6" s="484"/>
      <c r="RIE6" s="484"/>
      <c r="RIF6" s="484"/>
      <c r="RIG6" s="484"/>
      <c r="RIH6" s="484"/>
      <c r="RII6" s="484"/>
      <c r="RIJ6" s="484"/>
      <c r="RIK6" s="484"/>
      <c r="RIL6" s="484"/>
      <c r="RIM6" s="484"/>
      <c r="RIN6" s="484"/>
      <c r="RIO6" s="484"/>
      <c r="RIP6" s="484"/>
      <c r="RIQ6" s="484"/>
      <c r="RIR6" s="484"/>
      <c r="RIS6" s="484"/>
      <c r="RIT6" s="484"/>
      <c r="RIU6" s="484"/>
      <c r="RIV6" s="484"/>
      <c r="RIW6" s="484"/>
      <c r="RIX6" s="484"/>
      <c r="RIY6" s="484"/>
      <c r="RIZ6" s="484"/>
      <c r="RJA6" s="484"/>
      <c r="RJB6" s="484"/>
      <c r="RJC6" s="484"/>
      <c r="RJD6" s="484"/>
      <c r="RJE6" s="484"/>
      <c r="RJF6" s="484"/>
      <c r="RJG6" s="484"/>
      <c r="RJH6" s="484"/>
      <c r="RJI6" s="484"/>
      <c r="RJJ6" s="484"/>
      <c r="RJK6" s="484"/>
      <c r="RJL6" s="484"/>
      <c r="RJM6" s="484"/>
      <c r="RJN6" s="484"/>
      <c r="RJO6" s="484"/>
      <c r="RJP6" s="484"/>
      <c r="RJQ6" s="484"/>
      <c r="RJR6" s="484"/>
      <c r="RJS6" s="484"/>
      <c r="RJT6" s="484"/>
      <c r="RJU6" s="484"/>
      <c r="RJV6" s="484"/>
      <c r="RJW6" s="484"/>
      <c r="RJX6" s="484"/>
      <c r="RJY6" s="484"/>
      <c r="RJZ6" s="484"/>
      <c r="RKA6" s="484"/>
      <c r="RKB6" s="484"/>
      <c r="RKC6" s="484"/>
      <c r="RKD6" s="484"/>
      <c r="RKE6" s="484"/>
      <c r="RKF6" s="484"/>
      <c r="RKG6" s="484"/>
      <c r="RKH6" s="484"/>
      <c r="RKI6" s="484"/>
      <c r="RKJ6" s="484"/>
      <c r="RKK6" s="484"/>
      <c r="RKL6" s="484"/>
      <c r="RKM6" s="484"/>
      <c r="RKN6" s="484"/>
      <c r="RKO6" s="484"/>
      <c r="RKP6" s="484"/>
      <c r="RKQ6" s="484"/>
      <c r="RKR6" s="484"/>
      <c r="RKS6" s="484"/>
      <c r="RKT6" s="484"/>
      <c r="RKU6" s="484"/>
      <c r="RKV6" s="484"/>
      <c r="RKW6" s="484"/>
      <c r="RKX6" s="484"/>
      <c r="RKY6" s="484"/>
      <c r="RKZ6" s="484"/>
      <c r="RLA6" s="484"/>
      <c r="RLB6" s="484"/>
      <c r="RLC6" s="484"/>
      <c r="RLD6" s="484"/>
      <c r="RLE6" s="484"/>
      <c r="RLF6" s="484"/>
      <c r="RLG6" s="484"/>
      <c r="RLH6" s="484"/>
      <c r="RLI6" s="484"/>
      <c r="RLJ6" s="484"/>
      <c r="RLK6" s="484"/>
      <c r="RLL6" s="484"/>
      <c r="RLM6" s="484"/>
      <c r="RLN6" s="484"/>
      <c r="RLO6" s="484"/>
      <c r="RLP6" s="484"/>
      <c r="RLQ6" s="484"/>
      <c r="RLR6" s="484"/>
      <c r="RLS6" s="484"/>
      <c r="RLT6" s="484"/>
      <c r="RLU6" s="484"/>
      <c r="RLV6" s="484"/>
      <c r="RLW6" s="484"/>
      <c r="RLX6" s="484"/>
      <c r="RLY6" s="484"/>
      <c r="RLZ6" s="484"/>
      <c r="RMA6" s="484"/>
      <c r="RMB6" s="484"/>
      <c r="RMC6" s="484"/>
      <c r="RMD6" s="484"/>
      <c r="RME6" s="484"/>
      <c r="RMF6" s="484"/>
      <c r="RMG6" s="484"/>
      <c r="RMH6" s="484"/>
      <c r="RMI6" s="484"/>
      <c r="RMJ6" s="484"/>
      <c r="RMK6" s="484"/>
      <c r="RML6" s="484"/>
      <c r="RMM6" s="484"/>
      <c r="RMN6" s="484"/>
      <c r="RMO6" s="484"/>
      <c r="RMP6" s="484"/>
      <c r="RMQ6" s="484"/>
      <c r="RMR6" s="484"/>
      <c r="RMS6" s="484"/>
      <c r="RMT6" s="484"/>
      <c r="RMU6" s="484"/>
      <c r="RMV6" s="484"/>
      <c r="RMW6" s="484"/>
      <c r="RMX6" s="484"/>
      <c r="RMY6" s="484"/>
      <c r="RMZ6" s="484"/>
      <c r="RNA6" s="484"/>
      <c r="RNB6" s="484"/>
      <c r="RNC6" s="484"/>
      <c r="RND6" s="484"/>
      <c r="RNE6" s="484"/>
      <c r="RNF6" s="484"/>
      <c r="RNG6" s="484"/>
      <c r="RNH6" s="484"/>
      <c r="RNI6" s="484"/>
      <c r="RNJ6" s="484"/>
      <c r="RNK6" s="484"/>
      <c r="RNL6" s="484"/>
      <c r="RNM6" s="484"/>
      <c r="RNN6" s="484"/>
      <c r="RNO6" s="484"/>
      <c r="RNP6" s="484"/>
      <c r="RNQ6" s="484"/>
      <c r="RNR6" s="484"/>
      <c r="RNS6" s="484"/>
      <c r="RNT6" s="484"/>
      <c r="RNU6" s="484"/>
      <c r="RNV6" s="484"/>
      <c r="RNW6" s="484"/>
      <c r="RNX6" s="484"/>
      <c r="RNY6" s="484"/>
      <c r="RNZ6" s="484"/>
      <c r="ROA6" s="484"/>
      <c r="ROB6" s="484"/>
      <c r="ROC6" s="484"/>
      <c r="ROD6" s="484"/>
      <c r="ROE6" s="484"/>
      <c r="ROF6" s="484"/>
      <c r="ROG6" s="484"/>
      <c r="ROH6" s="484"/>
      <c r="ROI6" s="484"/>
      <c r="ROJ6" s="484"/>
      <c r="ROK6" s="484"/>
      <c r="ROL6" s="484"/>
      <c r="ROM6" s="484"/>
      <c r="RON6" s="484"/>
      <c r="ROO6" s="484"/>
      <c r="ROP6" s="484"/>
      <c r="ROQ6" s="484"/>
      <c r="ROR6" s="484"/>
      <c r="ROS6" s="484"/>
      <c r="ROT6" s="484"/>
      <c r="ROU6" s="484"/>
      <c r="ROV6" s="484"/>
      <c r="ROW6" s="484"/>
      <c r="ROX6" s="484"/>
      <c r="ROY6" s="484"/>
      <c r="ROZ6" s="484"/>
      <c r="RPA6" s="484"/>
      <c r="RPB6" s="484"/>
      <c r="RPC6" s="484"/>
      <c r="RPD6" s="484"/>
      <c r="RPE6" s="484"/>
      <c r="RPF6" s="484"/>
      <c r="RPG6" s="484"/>
      <c r="RPH6" s="484"/>
      <c r="RPI6" s="484"/>
      <c r="RPJ6" s="484"/>
      <c r="RPK6" s="484"/>
      <c r="RPL6" s="484"/>
      <c r="RPM6" s="484"/>
      <c r="RPN6" s="484"/>
      <c r="RPO6" s="484"/>
      <c r="RPP6" s="484"/>
      <c r="RPQ6" s="484"/>
      <c r="RPR6" s="484"/>
      <c r="RPS6" s="484"/>
      <c r="RPT6" s="484"/>
      <c r="RPU6" s="484"/>
      <c r="RPV6" s="484"/>
      <c r="RPW6" s="484"/>
      <c r="RPX6" s="484"/>
      <c r="RPY6" s="484"/>
      <c r="RPZ6" s="484"/>
      <c r="RQA6" s="484"/>
      <c r="RQB6" s="484"/>
      <c r="RQC6" s="484"/>
      <c r="RQD6" s="484"/>
      <c r="RQE6" s="484"/>
      <c r="RQF6" s="484"/>
      <c r="RQG6" s="484"/>
      <c r="RQH6" s="484"/>
      <c r="RQI6" s="484"/>
      <c r="RQJ6" s="484"/>
      <c r="RQK6" s="484"/>
      <c r="RQL6" s="484"/>
      <c r="RQM6" s="484"/>
      <c r="RQN6" s="484"/>
      <c r="RQO6" s="484"/>
      <c r="RQP6" s="484"/>
      <c r="RQQ6" s="484"/>
      <c r="RQR6" s="484"/>
      <c r="RQS6" s="484"/>
      <c r="RQT6" s="484"/>
      <c r="RQU6" s="484"/>
      <c r="RQV6" s="484"/>
      <c r="RQW6" s="484"/>
      <c r="RQX6" s="484"/>
      <c r="RQY6" s="484"/>
      <c r="RQZ6" s="484"/>
      <c r="RRA6" s="484"/>
      <c r="RRB6" s="484"/>
      <c r="RRC6" s="484"/>
      <c r="RRD6" s="484"/>
      <c r="RRE6" s="484"/>
      <c r="RRF6" s="484"/>
      <c r="RRG6" s="484"/>
      <c r="RRH6" s="484"/>
      <c r="RRI6" s="484"/>
      <c r="RRJ6" s="484"/>
      <c r="RRK6" s="484"/>
      <c r="RRL6" s="484"/>
      <c r="RRM6" s="484"/>
      <c r="RRN6" s="484"/>
      <c r="RRO6" s="484"/>
      <c r="RRP6" s="484"/>
      <c r="RRQ6" s="484"/>
      <c r="RRR6" s="484"/>
      <c r="RRS6" s="484"/>
      <c r="RRT6" s="484"/>
      <c r="RRU6" s="484"/>
      <c r="RRV6" s="484"/>
      <c r="RRW6" s="484"/>
      <c r="RRX6" s="484"/>
      <c r="RRY6" s="484"/>
      <c r="RRZ6" s="484"/>
      <c r="RSA6" s="484"/>
      <c r="RSB6" s="484"/>
      <c r="RSC6" s="484"/>
      <c r="RSD6" s="484"/>
      <c r="RSE6" s="484"/>
      <c r="RSF6" s="484"/>
      <c r="RSG6" s="484"/>
      <c r="RSH6" s="484"/>
      <c r="RSI6" s="484"/>
      <c r="RSJ6" s="484"/>
      <c r="RSK6" s="484"/>
      <c r="RSL6" s="484"/>
      <c r="RSM6" s="484"/>
      <c r="RSN6" s="484"/>
      <c r="RSO6" s="484"/>
      <c r="RSP6" s="484"/>
      <c r="RSQ6" s="484"/>
      <c r="RSR6" s="484"/>
      <c r="RSS6" s="484"/>
      <c r="RST6" s="484"/>
      <c r="RSU6" s="484"/>
      <c r="RSV6" s="484"/>
      <c r="RSW6" s="484"/>
      <c r="RSX6" s="484"/>
      <c r="RSY6" s="484"/>
      <c r="RSZ6" s="484"/>
      <c r="RTA6" s="484"/>
      <c r="RTB6" s="484"/>
      <c r="RTC6" s="484"/>
      <c r="RTD6" s="484"/>
      <c r="RTE6" s="484"/>
      <c r="RTF6" s="484"/>
      <c r="RTG6" s="484"/>
      <c r="RTH6" s="484"/>
      <c r="RTI6" s="484"/>
      <c r="RTJ6" s="484"/>
      <c r="RTK6" s="484"/>
      <c r="RTL6" s="484"/>
      <c r="RTM6" s="484"/>
      <c r="RTN6" s="484"/>
      <c r="RTO6" s="484"/>
      <c r="RTP6" s="484"/>
      <c r="RTQ6" s="484"/>
      <c r="RTR6" s="484"/>
      <c r="RTS6" s="484"/>
      <c r="RTT6" s="484"/>
      <c r="RTU6" s="484"/>
      <c r="RTV6" s="484"/>
      <c r="RTW6" s="484"/>
      <c r="RTX6" s="484"/>
      <c r="RTY6" s="484"/>
      <c r="RTZ6" s="484"/>
      <c r="RUA6" s="484"/>
      <c r="RUB6" s="484"/>
      <c r="RUC6" s="484"/>
      <c r="RUD6" s="484"/>
      <c r="RUE6" s="484"/>
      <c r="RUF6" s="484"/>
      <c r="RUG6" s="484"/>
      <c r="RUH6" s="484"/>
      <c r="RUI6" s="484"/>
      <c r="RUJ6" s="484"/>
      <c r="RUK6" s="484"/>
      <c r="RUL6" s="484"/>
      <c r="RUM6" s="484"/>
      <c r="RUN6" s="484"/>
      <c r="RUO6" s="484"/>
      <c r="RUP6" s="484"/>
      <c r="RUQ6" s="484"/>
      <c r="RUR6" s="484"/>
      <c r="RUS6" s="484"/>
      <c r="RUT6" s="484"/>
      <c r="RUU6" s="484"/>
      <c r="RUV6" s="484"/>
      <c r="RUW6" s="484"/>
      <c r="RUX6" s="484"/>
      <c r="RUY6" s="484"/>
      <c r="RUZ6" s="484"/>
      <c r="RVA6" s="484"/>
      <c r="RVB6" s="484"/>
      <c r="RVC6" s="484"/>
      <c r="RVD6" s="484"/>
      <c r="RVE6" s="484"/>
      <c r="RVF6" s="484"/>
      <c r="RVG6" s="484"/>
      <c r="RVH6" s="484"/>
      <c r="RVI6" s="484"/>
      <c r="RVJ6" s="484"/>
      <c r="RVK6" s="484"/>
      <c r="RVL6" s="484"/>
      <c r="RVM6" s="484"/>
      <c r="RVN6" s="484"/>
      <c r="RVO6" s="484"/>
      <c r="RVP6" s="484"/>
      <c r="RVQ6" s="484"/>
      <c r="RVR6" s="484"/>
      <c r="RVS6" s="484"/>
      <c r="RVT6" s="484"/>
      <c r="RVU6" s="484"/>
      <c r="RVV6" s="484"/>
      <c r="RVW6" s="484"/>
      <c r="RVX6" s="484"/>
      <c r="RVY6" s="484"/>
      <c r="RVZ6" s="484"/>
      <c r="RWA6" s="484"/>
      <c r="RWB6" s="484"/>
      <c r="RWC6" s="484"/>
      <c r="RWD6" s="484"/>
      <c r="RWE6" s="484"/>
      <c r="RWF6" s="484"/>
      <c r="RWG6" s="484"/>
      <c r="RWH6" s="484"/>
      <c r="RWI6" s="484"/>
      <c r="RWJ6" s="484"/>
      <c r="RWK6" s="484"/>
      <c r="RWL6" s="484"/>
      <c r="RWM6" s="484"/>
      <c r="RWN6" s="484"/>
      <c r="RWO6" s="484"/>
      <c r="RWP6" s="484"/>
      <c r="RWQ6" s="484"/>
      <c r="RWR6" s="484"/>
      <c r="RWS6" s="484"/>
      <c r="RWT6" s="484"/>
      <c r="RWU6" s="484"/>
      <c r="RWV6" s="484"/>
      <c r="RWW6" s="484"/>
      <c r="RWX6" s="484"/>
      <c r="RWY6" s="484"/>
      <c r="RWZ6" s="484"/>
      <c r="RXA6" s="484"/>
      <c r="RXB6" s="484"/>
      <c r="RXC6" s="484"/>
      <c r="RXD6" s="484"/>
      <c r="RXE6" s="484"/>
      <c r="RXF6" s="484"/>
      <c r="RXG6" s="484"/>
      <c r="RXH6" s="484"/>
      <c r="RXI6" s="484"/>
      <c r="RXJ6" s="484"/>
      <c r="RXK6" s="484"/>
      <c r="RXL6" s="484"/>
      <c r="RXM6" s="484"/>
      <c r="RXN6" s="484"/>
      <c r="RXO6" s="484"/>
      <c r="RXP6" s="484"/>
      <c r="RXQ6" s="484"/>
      <c r="RXR6" s="484"/>
      <c r="RXS6" s="484"/>
      <c r="RXT6" s="484"/>
      <c r="RXU6" s="484"/>
      <c r="RXV6" s="484"/>
      <c r="RXW6" s="484"/>
      <c r="RXX6" s="484"/>
      <c r="RXY6" s="484"/>
      <c r="RXZ6" s="484"/>
      <c r="RYA6" s="484"/>
      <c r="RYB6" s="484"/>
      <c r="RYC6" s="484"/>
      <c r="RYD6" s="484"/>
      <c r="RYE6" s="484"/>
      <c r="RYF6" s="484"/>
      <c r="RYG6" s="484"/>
      <c r="RYH6" s="484"/>
      <c r="RYI6" s="484"/>
      <c r="RYJ6" s="484"/>
      <c r="RYK6" s="484"/>
      <c r="RYL6" s="484"/>
      <c r="RYM6" s="484"/>
      <c r="RYN6" s="484"/>
      <c r="RYO6" s="484"/>
      <c r="RYP6" s="484"/>
      <c r="RYQ6" s="484"/>
      <c r="RYR6" s="484"/>
      <c r="RYS6" s="484"/>
      <c r="RYT6" s="484"/>
      <c r="RYU6" s="484"/>
      <c r="RYV6" s="484"/>
      <c r="RYW6" s="484"/>
      <c r="RYX6" s="484"/>
      <c r="RYY6" s="484"/>
      <c r="RYZ6" s="484"/>
      <c r="RZA6" s="484"/>
      <c r="RZB6" s="484"/>
      <c r="RZC6" s="484"/>
      <c r="RZD6" s="484"/>
      <c r="RZE6" s="484"/>
      <c r="RZF6" s="484"/>
      <c r="RZG6" s="484"/>
      <c r="RZH6" s="484"/>
      <c r="RZI6" s="484"/>
      <c r="RZJ6" s="484"/>
      <c r="RZK6" s="484"/>
      <c r="RZL6" s="484"/>
      <c r="RZM6" s="484"/>
      <c r="RZN6" s="484"/>
      <c r="RZO6" s="484"/>
      <c r="RZP6" s="484"/>
      <c r="RZQ6" s="484"/>
      <c r="RZR6" s="484"/>
      <c r="RZS6" s="484"/>
      <c r="RZT6" s="484"/>
      <c r="RZU6" s="484"/>
      <c r="RZV6" s="484"/>
      <c r="RZW6" s="484"/>
      <c r="RZX6" s="484"/>
      <c r="RZY6" s="484"/>
      <c r="RZZ6" s="484"/>
      <c r="SAA6" s="484"/>
      <c r="SAB6" s="484"/>
      <c r="SAC6" s="484"/>
      <c r="SAD6" s="484"/>
      <c r="SAE6" s="484"/>
      <c r="SAF6" s="484"/>
      <c r="SAG6" s="484"/>
      <c r="SAH6" s="484"/>
      <c r="SAI6" s="484"/>
      <c r="SAJ6" s="484"/>
      <c r="SAK6" s="484"/>
      <c r="SAL6" s="484"/>
      <c r="SAM6" s="484"/>
      <c r="SAN6" s="484"/>
      <c r="SAO6" s="484"/>
      <c r="SAP6" s="484"/>
      <c r="SAQ6" s="484"/>
      <c r="SAR6" s="484"/>
      <c r="SAS6" s="484"/>
      <c r="SAT6" s="484"/>
      <c r="SAU6" s="484"/>
      <c r="SAV6" s="484"/>
      <c r="SAW6" s="484"/>
      <c r="SAX6" s="484"/>
      <c r="SAY6" s="484"/>
      <c r="SAZ6" s="484"/>
      <c r="SBA6" s="484"/>
      <c r="SBB6" s="484"/>
      <c r="SBC6" s="484"/>
      <c r="SBD6" s="484"/>
      <c r="SBE6" s="484"/>
      <c r="SBF6" s="484"/>
      <c r="SBG6" s="484"/>
      <c r="SBH6" s="484"/>
      <c r="SBI6" s="484"/>
      <c r="SBJ6" s="484"/>
      <c r="SBK6" s="484"/>
      <c r="SBL6" s="484"/>
      <c r="SBM6" s="484"/>
      <c r="SBN6" s="484"/>
      <c r="SBO6" s="484"/>
      <c r="SBP6" s="484"/>
      <c r="SBQ6" s="484"/>
      <c r="SBR6" s="484"/>
      <c r="SBS6" s="484"/>
      <c r="SBT6" s="484"/>
      <c r="SBU6" s="484"/>
      <c r="SBV6" s="484"/>
      <c r="SBW6" s="484"/>
      <c r="SBX6" s="484"/>
      <c r="SBY6" s="484"/>
      <c r="SBZ6" s="484"/>
      <c r="SCA6" s="484"/>
      <c r="SCB6" s="484"/>
      <c r="SCC6" s="484"/>
      <c r="SCD6" s="484"/>
      <c r="SCE6" s="484"/>
      <c r="SCF6" s="484"/>
      <c r="SCG6" s="484"/>
      <c r="SCH6" s="484"/>
      <c r="SCI6" s="484"/>
      <c r="SCJ6" s="484"/>
      <c r="SCK6" s="484"/>
      <c r="SCL6" s="484"/>
      <c r="SCM6" s="484"/>
      <c r="SCN6" s="484"/>
      <c r="SCO6" s="484"/>
      <c r="SCP6" s="484"/>
      <c r="SCQ6" s="484"/>
      <c r="SCR6" s="484"/>
      <c r="SCS6" s="484"/>
      <c r="SCT6" s="484"/>
      <c r="SCU6" s="484"/>
      <c r="SCV6" s="484"/>
      <c r="SCW6" s="484"/>
      <c r="SCX6" s="484"/>
      <c r="SCY6" s="484"/>
      <c r="SCZ6" s="484"/>
      <c r="SDA6" s="484"/>
      <c r="SDB6" s="484"/>
      <c r="SDC6" s="484"/>
      <c r="SDD6" s="484"/>
      <c r="SDE6" s="484"/>
      <c r="SDF6" s="484"/>
      <c r="SDG6" s="484"/>
      <c r="SDH6" s="484"/>
      <c r="SDI6" s="484"/>
      <c r="SDJ6" s="484"/>
      <c r="SDK6" s="484"/>
      <c r="SDL6" s="484"/>
      <c r="SDM6" s="484"/>
      <c r="SDN6" s="484"/>
      <c r="SDO6" s="484"/>
      <c r="SDP6" s="484"/>
      <c r="SDQ6" s="484"/>
      <c r="SDR6" s="484"/>
      <c r="SDS6" s="484"/>
      <c r="SDT6" s="484"/>
      <c r="SDU6" s="484"/>
      <c r="SDV6" s="484"/>
      <c r="SDW6" s="484"/>
      <c r="SDX6" s="484"/>
      <c r="SDY6" s="484"/>
      <c r="SDZ6" s="484"/>
      <c r="SEA6" s="484"/>
      <c r="SEB6" s="484"/>
      <c r="SEC6" s="484"/>
      <c r="SED6" s="484"/>
      <c r="SEE6" s="484"/>
      <c r="SEF6" s="484"/>
      <c r="SEG6" s="484"/>
      <c r="SEH6" s="484"/>
      <c r="SEI6" s="484"/>
      <c r="SEJ6" s="484"/>
      <c r="SEK6" s="484"/>
      <c r="SEL6" s="484"/>
      <c r="SEM6" s="484"/>
      <c r="SEN6" s="484"/>
      <c r="SEO6" s="484"/>
      <c r="SEP6" s="484"/>
      <c r="SEQ6" s="484"/>
      <c r="SER6" s="484"/>
      <c r="SES6" s="484"/>
      <c r="SET6" s="484"/>
      <c r="SEU6" s="484"/>
      <c r="SEV6" s="484"/>
      <c r="SEW6" s="484"/>
      <c r="SEX6" s="484"/>
      <c r="SEY6" s="484"/>
      <c r="SEZ6" s="484"/>
      <c r="SFA6" s="484"/>
      <c r="SFB6" s="484"/>
      <c r="SFC6" s="484"/>
      <c r="SFD6" s="484"/>
      <c r="SFE6" s="484"/>
      <c r="SFF6" s="484"/>
      <c r="SFG6" s="484"/>
      <c r="SFH6" s="484"/>
      <c r="SFI6" s="484"/>
      <c r="SFJ6" s="484"/>
      <c r="SFK6" s="484"/>
      <c r="SFL6" s="484"/>
      <c r="SFM6" s="484"/>
      <c r="SFN6" s="484"/>
      <c r="SFO6" s="484"/>
      <c r="SFP6" s="484"/>
      <c r="SFQ6" s="484"/>
      <c r="SFR6" s="484"/>
      <c r="SFS6" s="484"/>
      <c r="SFT6" s="484"/>
      <c r="SFU6" s="484"/>
      <c r="SFV6" s="484"/>
      <c r="SFW6" s="484"/>
      <c r="SFX6" s="484"/>
      <c r="SFY6" s="484"/>
      <c r="SFZ6" s="484"/>
      <c r="SGA6" s="484"/>
      <c r="SGB6" s="484"/>
      <c r="SGC6" s="484"/>
      <c r="SGD6" s="484"/>
      <c r="SGE6" s="484"/>
      <c r="SGF6" s="484"/>
      <c r="SGG6" s="484"/>
      <c r="SGH6" s="484"/>
      <c r="SGI6" s="484"/>
      <c r="SGJ6" s="484"/>
      <c r="SGK6" s="484"/>
      <c r="SGL6" s="484"/>
      <c r="SGM6" s="484"/>
      <c r="SGN6" s="484"/>
      <c r="SGO6" s="484"/>
      <c r="SGP6" s="484"/>
      <c r="SGQ6" s="484"/>
      <c r="SGR6" s="484"/>
      <c r="SGS6" s="484"/>
      <c r="SGT6" s="484"/>
      <c r="SGU6" s="484"/>
      <c r="SGV6" s="484"/>
      <c r="SGW6" s="484"/>
      <c r="SGX6" s="484"/>
      <c r="SGY6" s="484"/>
      <c r="SGZ6" s="484"/>
      <c r="SHA6" s="484"/>
      <c r="SHB6" s="484"/>
      <c r="SHC6" s="484"/>
      <c r="SHD6" s="484"/>
      <c r="SHE6" s="484"/>
      <c r="SHF6" s="484"/>
      <c r="SHG6" s="484"/>
      <c r="SHH6" s="484"/>
      <c r="SHI6" s="484"/>
      <c r="SHJ6" s="484"/>
      <c r="SHK6" s="484"/>
      <c r="SHL6" s="484"/>
      <c r="SHM6" s="484"/>
      <c r="SHN6" s="484"/>
      <c r="SHO6" s="484"/>
      <c r="SHP6" s="484"/>
      <c r="SHQ6" s="484"/>
      <c r="SHR6" s="484"/>
      <c r="SHS6" s="484"/>
      <c r="SHT6" s="484"/>
      <c r="SHU6" s="484"/>
      <c r="SHV6" s="484"/>
      <c r="SHW6" s="484"/>
      <c r="SHX6" s="484"/>
      <c r="SHY6" s="484"/>
      <c r="SHZ6" s="484"/>
      <c r="SIA6" s="484"/>
      <c r="SIB6" s="484"/>
      <c r="SIC6" s="484"/>
      <c r="SID6" s="484"/>
      <c r="SIE6" s="484"/>
      <c r="SIF6" s="484"/>
      <c r="SIG6" s="484"/>
      <c r="SIH6" s="484"/>
      <c r="SII6" s="484"/>
      <c r="SIJ6" s="484"/>
      <c r="SIK6" s="484"/>
      <c r="SIL6" s="484"/>
      <c r="SIM6" s="484"/>
      <c r="SIN6" s="484"/>
      <c r="SIO6" s="484"/>
      <c r="SIP6" s="484"/>
      <c r="SIQ6" s="484"/>
      <c r="SIR6" s="484"/>
      <c r="SIS6" s="484"/>
      <c r="SIT6" s="484"/>
      <c r="SIU6" s="484"/>
      <c r="SIV6" s="484"/>
      <c r="SIW6" s="484"/>
      <c r="SIX6" s="484"/>
      <c r="SIY6" s="484"/>
      <c r="SIZ6" s="484"/>
      <c r="SJA6" s="484"/>
      <c r="SJB6" s="484"/>
      <c r="SJC6" s="484"/>
      <c r="SJD6" s="484"/>
      <c r="SJE6" s="484"/>
      <c r="SJF6" s="484"/>
      <c r="SJG6" s="484"/>
      <c r="SJH6" s="484"/>
      <c r="SJI6" s="484"/>
      <c r="SJJ6" s="484"/>
      <c r="SJK6" s="484"/>
      <c r="SJL6" s="484"/>
      <c r="SJM6" s="484"/>
      <c r="SJN6" s="484"/>
      <c r="SJO6" s="484"/>
      <c r="SJP6" s="484"/>
      <c r="SJQ6" s="484"/>
      <c r="SJR6" s="484"/>
      <c r="SJS6" s="484"/>
      <c r="SJT6" s="484"/>
      <c r="SJU6" s="484"/>
      <c r="SJV6" s="484"/>
      <c r="SJW6" s="484"/>
      <c r="SJX6" s="484"/>
      <c r="SJY6" s="484"/>
      <c r="SJZ6" s="484"/>
      <c r="SKA6" s="484"/>
      <c r="SKB6" s="484"/>
      <c r="SKC6" s="484"/>
      <c r="SKD6" s="484"/>
      <c r="SKE6" s="484"/>
      <c r="SKF6" s="484"/>
      <c r="SKG6" s="484"/>
      <c r="SKH6" s="484"/>
      <c r="SKI6" s="484"/>
      <c r="SKJ6" s="484"/>
      <c r="SKK6" s="484"/>
      <c r="SKL6" s="484"/>
      <c r="SKM6" s="484"/>
      <c r="SKN6" s="484"/>
      <c r="SKO6" s="484"/>
      <c r="SKP6" s="484"/>
      <c r="SKQ6" s="484"/>
      <c r="SKR6" s="484"/>
      <c r="SKS6" s="484"/>
      <c r="SKT6" s="484"/>
      <c r="SKU6" s="484"/>
      <c r="SKV6" s="484"/>
      <c r="SKW6" s="484"/>
      <c r="SKX6" s="484"/>
      <c r="SKY6" s="484"/>
      <c r="SKZ6" s="484"/>
      <c r="SLA6" s="484"/>
      <c r="SLB6" s="484"/>
      <c r="SLC6" s="484"/>
      <c r="SLD6" s="484"/>
      <c r="SLE6" s="484"/>
      <c r="SLF6" s="484"/>
      <c r="SLG6" s="484"/>
      <c r="SLH6" s="484"/>
      <c r="SLI6" s="484"/>
      <c r="SLJ6" s="484"/>
      <c r="SLK6" s="484"/>
      <c r="SLL6" s="484"/>
      <c r="SLM6" s="484"/>
      <c r="SLN6" s="484"/>
      <c r="SLO6" s="484"/>
      <c r="SLP6" s="484"/>
      <c r="SLQ6" s="484"/>
      <c r="SLR6" s="484"/>
      <c r="SLS6" s="484"/>
      <c r="SLT6" s="484"/>
      <c r="SLU6" s="484"/>
      <c r="SLV6" s="484"/>
      <c r="SLW6" s="484"/>
      <c r="SLX6" s="484"/>
      <c r="SLY6" s="484"/>
      <c r="SLZ6" s="484"/>
      <c r="SMA6" s="484"/>
      <c r="SMB6" s="484"/>
      <c r="SMC6" s="484"/>
      <c r="SMD6" s="484"/>
      <c r="SME6" s="484"/>
      <c r="SMF6" s="484"/>
      <c r="SMG6" s="484"/>
      <c r="SMH6" s="484"/>
      <c r="SMI6" s="484"/>
      <c r="SMJ6" s="484"/>
      <c r="SMK6" s="484"/>
      <c r="SML6" s="484"/>
      <c r="SMM6" s="484"/>
      <c r="SMN6" s="484"/>
      <c r="SMO6" s="484"/>
      <c r="SMP6" s="484"/>
      <c r="SMQ6" s="484"/>
      <c r="SMR6" s="484"/>
      <c r="SMS6" s="484"/>
      <c r="SMT6" s="484"/>
      <c r="SMU6" s="484"/>
      <c r="SMV6" s="484"/>
      <c r="SMW6" s="484"/>
      <c r="SMX6" s="484"/>
      <c r="SMY6" s="484"/>
      <c r="SMZ6" s="484"/>
      <c r="SNA6" s="484"/>
      <c r="SNB6" s="484"/>
      <c r="SNC6" s="484"/>
      <c r="SND6" s="484"/>
      <c r="SNE6" s="484"/>
      <c r="SNF6" s="484"/>
      <c r="SNG6" s="484"/>
      <c r="SNH6" s="484"/>
      <c r="SNI6" s="484"/>
      <c r="SNJ6" s="484"/>
      <c r="SNK6" s="484"/>
      <c r="SNL6" s="484"/>
      <c r="SNM6" s="484"/>
      <c r="SNN6" s="484"/>
      <c r="SNO6" s="484"/>
      <c r="SNP6" s="484"/>
      <c r="SNQ6" s="484"/>
      <c r="SNR6" s="484"/>
      <c r="SNS6" s="484"/>
      <c r="SNT6" s="484"/>
      <c r="SNU6" s="484"/>
      <c r="SNV6" s="484"/>
      <c r="SNW6" s="484"/>
      <c r="SNX6" s="484"/>
      <c r="SNY6" s="484"/>
      <c r="SNZ6" s="484"/>
      <c r="SOA6" s="484"/>
      <c r="SOB6" s="484"/>
      <c r="SOC6" s="484"/>
      <c r="SOD6" s="484"/>
      <c r="SOE6" s="484"/>
      <c r="SOF6" s="484"/>
      <c r="SOG6" s="484"/>
      <c r="SOH6" s="484"/>
      <c r="SOI6" s="484"/>
      <c r="SOJ6" s="484"/>
      <c r="SOK6" s="484"/>
      <c r="SOL6" s="484"/>
      <c r="SOM6" s="484"/>
      <c r="SON6" s="484"/>
      <c r="SOO6" s="484"/>
      <c r="SOP6" s="484"/>
      <c r="SOQ6" s="484"/>
      <c r="SOR6" s="484"/>
      <c r="SOS6" s="484"/>
      <c r="SOT6" s="484"/>
      <c r="SOU6" s="484"/>
      <c r="SOV6" s="484"/>
      <c r="SOW6" s="484"/>
      <c r="SOX6" s="484"/>
      <c r="SOY6" s="484"/>
      <c r="SOZ6" s="484"/>
      <c r="SPA6" s="484"/>
      <c r="SPB6" s="484"/>
      <c r="SPC6" s="484"/>
      <c r="SPD6" s="484"/>
      <c r="SPE6" s="484"/>
      <c r="SPF6" s="484"/>
      <c r="SPG6" s="484"/>
      <c r="SPH6" s="484"/>
      <c r="SPI6" s="484"/>
      <c r="SPJ6" s="484"/>
      <c r="SPK6" s="484"/>
      <c r="SPL6" s="484"/>
      <c r="SPM6" s="484"/>
      <c r="SPN6" s="484"/>
      <c r="SPO6" s="484"/>
      <c r="SPP6" s="484"/>
      <c r="SPQ6" s="484"/>
      <c r="SPR6" s="484"/>
      <c r="SPS6" s="484"/>
      <c r="SPT6" s="484"/>
      <c r="SPU6" s="484"/>
      <c r="SPV6" s="484"/>
      <c r="SPW6" s="484"/>
      <c r="SPX6" s="484"/>
      <c r="SPY6" s="484"/>
      <c r="SPZ6" s="484"/>
      <c r="SQA6" s="484"/>
      <c r="SQB6" s="484"/>
      <c r="SQC6" s="484"/>
      <c r="SQD6" s="484"/>
      <c r="SQE6" s="484"/>
      <c r="SQF6" s="484"/>
      <c r="SQG6" s="484"/>
      <c r="SQH6" s="484"/>
      <c r="SQI6" s="484"/>
      <c r="SQJ6" s="484"/>
      <c r="SQK6" s="484"/>
      <c r="SQL6" s="484"/>
      <c r="SQM6" s="484"/>
      <c r="SQN6" s="484"/>
      <c r="SQO6" s="484"/>
      <c r="SQP6" s="484"/>
      <c r="SQQ6" s="484"/>
      <c r="SQR6" s="484"/>
      <c r="SQS6" s="484"/>
      <c r="SQT6" s="484"/>
      <c r="SQU6" s="484"/>
      <c r="SQV6" s="484"/>
      <c r="SQW6" s="484"/>
      <c r="SQX6" s="484"/>
      <c r="SQY6" s="484"/>
      <c r="SQZ6" s="484"/>
      <c r="SRA6" s="484"/>
      <c r="SRB6" s="484"/>
      <c r="SRC6" s="484"/>
      <c r="SRD6" s="484"/>
      <c r="SRE6" s="484"/>
      <c r="SRF6" s="484"/>
      <c r="SRG6" s="484"/>
      <c r="SRH6" s="484"/>
      <c r="SRI6" s="484"/>
      <c r="SRJ6" s="484"/>
      <c r="SRK6" s="484"/>
      <c r="SRL6" s="484"/>
      <c r="SRM6" s="484"/>
      <c r="SRN6" s="484"/>
      <c r="SRO6" s="484"/>
      <c r="SRP6" s="484"/>
      <c r="SRQ6" s="484"/>
      <c r="SRR6" s="484"/>
      <c r="SRS6" s="484"/>
      <c r="SRT6" s="484"/>
      <c r="SRU6" s="484"/>
      <c r="SRV6" s="484"/>
      <c r="SRW6" s="484"/>
      <c r="SRX6" s="484"/>
      <c r="SRY6" s="484"/>
      <c r="SRZ6" s="484"/>
      <c r="SSA6" s="484"/>
      <c r="SSB6" s="484"/>
      <c r="SSC6" s="484"/>
      <c r="SSD6" s="484"/>
      <c r="SSE6" s="484"/>
      <c r="SSF6" s="484"/>
      <c r="SSG6" s="484"/>
      <c r="SSH6" s="484"/>
      <c r="SSI6" s="484"/>
      <c r="SSJ6" s="484"/>
      <c r="SSK6" s="484"/>
      <c r="SSL6" s="484"/>
      <c r="SSM6" s="484"/>
      <c r="SSN6" s="484"/>
      <c r="SSO6" s="484"/>
      <c r="SSP6" s="484"/>
      <c r="SSQ6" s="484"/>
      <c r="SSR6" s="484"/>
      <c r="SSS6" s="484"/>
      <c r="SST6" s="484"/>
      <c r="SSU6" s="484"/>
      <c r="SSV6" s="484"/>
      <c r="SSW6" s="484"/>
      <c r="SSX6" s="484"/>
      <c r="SSY6" s="484"/>
      <c r="SSZ6" s="484"/>
      <c r="STA6" s="484"/>
      <c r="STB6" s="484"/>
      <c r="STC6" s="484"/>
      <c r="STD6" s="484"/>
      <c r="STE6" s="484"/>
      <c r="STF6" s="484"/>
      <c r="STG6" s="484"/>
      <c r="STH6" s="484"/>
      <c r="STI6" s="484"/>
      <c r="STJ6" s="484"/>
      <c r="STK6" s="484"/>
      <c r="STL6" s="484"/>
      <c r="STM6" s="484"/>
      <c r="STN6" s="484"/>
      <c r="STO6" s="484"/>
      <c r="STP6" s="484"/>
      <c r="STQ6" s="484"/>
      <c r="STR6" s="484"/>
      <c r="STS6" s="484"/>
      <c r="STT6" s="484"/>
      <c r="STU6" s="484"/>
      <c r="STV6" s="484"/>
      <c r="STW6" s="484"/>
      <c r="STX6" s="484"/>
      <c r="STY6" s="484"/>
      <c r="STZ6" s="484"/>
      <c r="SUA6" s="484"/>
      <c r="SUB6" s="484"/>
      <c r="SUC6" s="484"/>
      <c r="SUD6" s="484"/>
      <c r="SUE6" s="484"/>
      <c r="SUF6" s="484"/>
      <c r="SUG6" s="484"/>
      <c r="SUH6" s="484"/>
      <c r="SUI6" s="484"/>
      <c r="SUJ6" s="484"/>
      <c r="SUK6" s="484"/>
      <c r="SUL6" s="484"/>
      <c r="SUM6" s="484"/>
      <c r="SUN6" s="484"/>
      <c r="SUO6" s="484"/>
      <c r="SUP6" s="484"/>
      <c r="SUQ6" s="484"/>
      <c r="SUR6" s="484"/>
      <c r="SUS6" s="484"/>
      <c r="SUT6" s="484"/>
      <c r="SUU6" s="484"/>
      <c r="SUV6" s="484"/>
      <c r="SUW6" s="484"/>
      <c r="SUX6" s="484"/>
      <c r="SUY6" s="484"/>
      <c r="SUZ6" s="484"/>
      <c r="SVA6" s="484"/>
      <c r="SVB6" s="484"/>
      <c r="SVC6" s="484"/>
      <c r="SVD6" s="484"/>
      <c r="SVE6" s="484"/>
      <c r="SVF6" s="484"/>
      <c r="SVG6" s="484"/>
      <c r="SVH6" s="484"/>
      <c r="SVI6" s="484"/>
      <c r="SVJ6" s="484"/>
      <c r="SVK6" s="484"/>
      <c r="SVL6" s="484"/>
      <c r="SVM6" s="484"/>
      <c r="SVN6" s="484"/>
      <c r="SVO6" s="484"/>
      <c r="SVP6" s="484"/>
      <c r="SVQ6" s="484"/>
      <c r="SVR6" s="484"/>
      <c r="SVS6" s="484"/>
      <c r="SVT6" s="484"/>
      <c r="SVU6" s="484"/>
      <c r="SVV6" s="484"/>
      <c r="SVW6" s="484"/>
      <c r="SVX6" s="484"/>
      <c r="SVY6" s="484"/>
      <c r="SVZ6" s="484"/>
      <c r="SWA6" s="484"/>
      <c r="SWB6" s="484"/>
      <c r="SWC6" s="484"/>
      <c r="SWD6" s="484"/>
      <c r="SWE6" s="484"/>
      <c r="SWF6" s="484"/>
      <c r="SWG6" s="484"/>
      <c r="SWH6" s="484"/>
      <c r="SWI6" s="484"/>
      <c r="SWJ6" s="484"/>
      <c r="SWK6" s="484"/>
      <c r="SWL6" s="484"/>
      <c r="SWM6" s="484"/>
      <c r="SWN6" s="484"/>
      <c r="SWO6" s="484"/>
      <c r="SWP6" s="484"/>
      <c r="SWQ6" s="484"/>
      <c r="SWR6" s="484"/>
      <c r="SWS6" s="484"/>
      <c r="SWT6" s="484"/>
      <c r="SWU6" s="484"/>
      <c r="SWV6" s="484"/>
      <c r="SWW6" s="484"/>
      <c r="SWX6" s="484"/>
      <c r="SWY6" s="484"/>
      <c r="SWZ6" s="484"/>
      <c r="SXA6" s="484"/>
      <c r="SXB6" s="484"/>
      <c r="SXC6" s="484"/>
      <c r="SXD6" s="484"/>
      <c r="SXE6" s="484"/>
      <c r="SXF6" s="484"/>
      <c r="SXG6" s="484"/>
      <c r="SXH6" s="484"/>
      <c r="SXI6" s="484"/>
      <c r="SXJ6" s="484"/>
      <c r="SXK6" s="484"/>
      <c r="SXL6" s="484"/>
      <c r="SXM6" s="484"/>
      <c r="SXN6" s="484"/>
      <c r="SXO6" s="484"/>
      <c r="SXP6" s="484"/>
      <c r="SXQ6" s="484"/>
      <c r="SXR6" s="484"/>
      <c r="SXS6" s="484"/>
      <c r="SXT6" s="484"/>
      <c r="SXU6" s="484"/>
      <c r="SXV6" s="484"/>
      <c r="SXW6" s="484"/>
      <c r="SXX6" s="484"/>
      <c r="SXY6" s="484"/>
      <c r="SXZ6" s="484"/>
      <c r="SYA6" s="484"/>
      <c r="SYB6" s="484"/>
      <c r="SYC6" s="484"/>
      <c r="SYD6" s="484"/>
      <c r="SYE6" s="484"/>
      <c r="SYF6" s="484"/>
      <c r="SYG6" s="484"/>
      <c r="SYH6" s="484"/>
      <c r="SYI6" s="484"/>
      <c r="SYJ6" s="484"/>
      <c r="SYK6" s="484"/>
      <c r="SYL6" s="484"/>
      <c r="SYM6" s="484"/>
      <c r="SYN6" s="484"/>
      <c r="SYO6" s="484"/>
      <c r="SYP6" s="484"/>
      <c r="SYQ6" s="484"/>
      <c r="SYR6" s="484"/>
      <c r="SYS6" s="484"/>
      <c r="SYT6" s="484"/>
      <c r="SYU6" s="484"/>
      <c r="SYV6" s="484"/>
      <c r="SYW6" s="484"/>
      <c r="SYX6" s="484"/>
      <c r="SYY6" s="484"/>
      <c r="SYZ6" s="484"/>
      <c r="SZA6" s="484"/>
      <c r="SZB6" s="484"/>
      <c r="SZC6" s="484"/>
      <c r="SZD6" s="484"/>
      <c r="SZE6" s="484"/>
      <c r="SZF6" s="484"/>
      <c r="SZG6" s="484"/>
      <c r="SZH6" s="484"/>
      <c r="SZI6" s="484"/>
      <c r="SZJ6" s="484"/>
      <c r="SZK6" s="484"/>
      <c r="SZL6" s="484"/>
      <c r="SZM6" s="484"/>
      <c r="SZN6" s="484"/>
      <c r="SZO6" s="484"/>
      <c r="SZP6" s="484"/>
      <c r="SZQ6" s="484"/>
      <c r="SZR6" s="484"/>
      <c r="SZS6" s="484"/>
      <c r="SZT6" s="484"/>
      <c r="SZU6" s="484"/>
      <c r="SZV6" s="484"/>
      <c r="SZW6" s="484"/>
      <c r="SZX6" s="484"/>
      <c r="SZY6" s="484"/>
      <c r="SZZ6" s="484"/>
      <c r="TAA6" s="484"/>
      <c r="TAB6" s="484"/>
      <c r="TAC6" s="484"/>
      <c r="TAD6" s="484"/>
      <c r="TAE6" s="484"/>
      <c r="TAF6" s="484"/>
      <c r="TAG6" s="484"/>
      <c r="TAH6" s="484"/>
      <c r="TAI6" s="484"/>
      <c r="TAJ6" s="484"/>
      <c r="TAK6" s="484"/>
      <c r="TAL6" s="484"/>
      <c r="TAM6" s="484"/>
      <c r="TAN6" s="484"/>
      <c r="TAO6" s="484"/>
      <c r="TAP6" s="484"/>
      <c r="TAQ6" s="484"/>
      <c r="TAR6" s="484"/>
      <c r="TAS6" s="484"/>
      <c r="TAT6" s="484"/>
      <c r="TAU6" s="484"/>
      <c r="TAV6" s="484"/>
      <c r="TAW6" s="484"/>
      <c r="TAX6" s="484"/>
      <c r="TAY6" s="484"/>
      <c r="TAZ6" s="484"/>
      <c r="TBA6" s="484"/>
      <c r="TBB6" s="484"/>
      <c r="TBC6" s="484"/>
      <c r="TBD6" s="484"/>
      <c r="TBE6" s="484"/>
      <c r="TBF6" s="484"/>
      <c r="TBG6" s="484"/>
      <c r="TBH6" s="484"/>
      <c r="TBI6" s="484"/>
      <c r="TBJ6" s="484"/>
      <c r="TBK6" s="484"/>
      <c r="TBL6" s="484"/>
      <c r="TBM6" s="484"/>
      <c r="TBN6" s="484"/>
      <c r="TBO6" s="484"/>
      <c r="TBP6" s="484"/>
      <c r="TBQ6" s="484"/>
      <c r="TBR6" s="484"/>
      <c r="TBS6" s="484"/>
      <c r="TBT6" s="484"/>
      <c r="TBU6" s="484"/>
      <c r="TBV6" s="484"/>
      <c r="TBW6" s="484"/>
      <c r="TBX6" s="484"/>
      <c r="TBY6" s="484"/>
      <c r="TBZ6" s="484"/>
      <c r="TCA6" s="484"/>
      <c r="TCB6" s="484"/>
      <c r="TCC6" s="484"/>
      <c r="TCD6" s="484"/>
      <c r="TCE6" s="484"/>
      <c r="TCF6" s="484"/>
      <c r="TCG6" s="484"/>
      <c r="TCH6" s="484"/>
      <c r="TCI6" s="484"/>
      <c r="TCJ6" s="484"/>
      <c r="TCK6" s="484"/>
      <c r="TCL6" s="484"/>
      <c r="TCM6" s="484"/>
      <c r="TCN6" s="484"/>
      <c r="TCO6" s="484"/>
      <c r="TCP6" s="484"/>
      <c r="TCQ6" s="484"/>
      <c r="TCR6" s="484"/>
      <c r="TCS6" s="484"/>
      <c r="TCT6" s="484"/>
      <c r="TCU6" s="484"/>
      <c r="TCV6" s="484"/>
      <c r="TCW6" s="484"/>
      <c r="TCX6" s="484"/>
      <c r="TCY6" s="484"/>
      <c r="TCZ6" s="484"/>
      <c r="TDA6" s="484"/>
      <c r="TDB6" s="484"/>
      <c r="TDC6" s="484"/>
      <c r="TDD6" s="484"/>
      <c r="TDE6" s="484"/>
      <c r="TDF6" s="484"/>
      <c r="TDG6" s="484"/>
      <c r="TDH6" s="484"/>
      <c r="TDI6" s="484"/>
      <c r="TDJ6" s="484"/>
      <c r="TDK6" s="484"/>
      <c r="TDL6" s="484"/>
      <c r="TDM6" s="484"/>
      <c r="TDN6" s="484"/>
      <c r="TDO6" s="484"/>
      <c r="TDP6" s="484"/>
      <c r="TDQ6" s="484"/>
      <c r="TDR6" s="484"/>
      <c r="TDS6" s="484"/>
      <c r="TDT6" s="484"/>
      <c r="TDU6" s="484"/>
      <c r="TDV6" s="484"/>
      <c r="TDW6" s="484"/>
      <c r="TDX6" s="484"/>
      <c r="TDY6" s="484"/>
      <c r="TDZ6" s="484"/>
      <c r="TEA6" s="484"/>
      <c r="TEB6" s="484"/>
      <c r="TEC6" s="484"/>
      <c r="TED6" s="484"/>
      <c r="TEE6" s="484"/>
      <c r="TEF6" s="484"/>
      <c r="TEG6" s="484"/>
      <c r="TEH6" s="484"/>
      <c r="TEI6" s="484"/>
      <c r="TEJ6" s="484"/>
      <c r="TEK6" s="484"/>
      <c r="TEL6" s="484"/>
      <c r="TEM6" s="484"/>
      <c r="TEN6" s="484"/>
      <c r="TEO6" s="484"/>
      <c r="TEP6" s="484"/>
      <c r="TEQ6" s="484"/>
      <c r="TER6" s="484"/>
      <c r="TES6" s="484"/>
      <c r="TET6" s="484"/>
      <c r="TEU6" s="484"/>
      <c r="TEV6" s="484"/>
      <c r="TEW6" s="484"/>
      <c r="TEX6" s="484"/>
      <c r="TEY6" s="484"/>
      <c r="TEZ6" s="484"/>
      <c r="TFA6" s="484"/>
      <c r="TFB6" s="484"/>
      <c r="TFC6" s="484"/>
      <c r="TFD6" s="484"/>
      <c r="TFE6" s="484"/>
      <c r="TFF6" s="484"/>
      <c r="TFG6" s="484"/>
      <c r="TFH6" s="484"/>
      <c r="TFI6" s="484"/>
      <c r="TFJ6" s="484"/>
      <c r="TFK6" s="484"/>
      <c r="TFL6" s="484"/>
      <c r="TFM6" s="484"/>
      <c r="TFN6" s="484"/>
      <c r="TFO6" s="484"/>
      <c r="TFP6" s="484"/>
      <c r="TFQ6" s="484"/>
      <c r="TFR6" s="484"/>
      <c r="TFS6" s="484"/>
      <c r="TFT6" s="484"/>
      <c r="TFU6" s="484"/>
      <c r="TFV6" s="484"/>
      <c r="TFW6" s="484"/>
      <c r="TFX6" s="484"/>
      <c r="TFY6" s="484"/>
      <c r="TFZ6" s="484"/>
      <c r="TGA6" s="484"/>
      <c r="TGB6" s="484"/>
      <c r="TGC6" s="484"/>
      <c r="TGD6" s="484"/>
      <c r="TGE6" s="484"/>
      <c r="TGF6" s="484"/>
      <c r="TGG6" s="484"/>
      <c r="TGH6" s="484"/>
      <c r="TGI6" s="484"/>
      <c r="TGJ6" s="484"/>
      <c r="TGK6" s="484"/>
      <c r="TGL6" s="484"/>
      <c r="TGM6" s="484"/>
      <c r="TGN6" s="484"/>
      <c r="TGO6" s="484"/>
      <c r="TGP6" s="484"/>
      <c r="TGQ6" s="484"/>
      <c r="TGR6" s="484"/>
      <c r="TGS6" s="484"/>
      <c r="TGT6" s="484"/>
      <c r="TGU6" s="484"/>
      <c r="TGV6" s="484"/>
      <c r="TGW6" s="484"/>
      <c r="TGX6" s="484"/>
      <c r="TGY6" s="484"/>
      <c r="TGZ6" s="484"/>
      <c r="THA6" s="484"/>
      <c r="THB6" s="484"/>
      <c r="THC6" s="484"/>
      <c r="THD6" s="484"/>
      <c r="THE6" s="484"/>
      <c r="THF6" s="484"/>
      <c r="THG6" s="484"/>
      <c r="THH6" s="484"/>
      <c r="THI6" s="484"/>
      <c r="THJ6" s="484"/>
      <c r="THK6" s="484"/>
      <c r="THL6" s="484"/>
      <c r="THM6" s="484"/>
      <c r="THN6" s="484"/>
      <c r="THO6" s="484"/>
      <c r="THP6" s="484"/>
      <c r="THQ6" s="484"/>
      <c r="THR6" s="484"/>
      <c r="THS6" s="484"/>
      <c r="THT6" s="484"/>
      <c r="THU6" s="484"/>
      <c r="THV6" s="484"/>
      <c r="THW6" s="484"/>
      <c r="THX6" s="484"/>
      <c r="THY6" s="484"/>
      <c r="THZ6" s="484"/>
      <c r="TIA6" s="484"/>
      <c r="TIB6" s="484"/>
      <c r="TIC6" s="484"/>
      <c r="TID6" s="484"/>
      <c r="TIE6" s="484"/>
      <c r="TIF6" s="484"/>
      <c r="TIG6" s="484"/>
      <c r="TIH6" s="484"/>
      <c r="TII6" s="484"/>
      <c r="TIJ6" s="484"/>
      <c r="TIK6" s="484"/>
      <c r="TIL6" s="484"/>
      <c r="TIM6" s="484"/>
      <c r="TIN6" s="484"/>
      <c r="TIO6" s="484"/>
      <c r="TIP6" s="484"/>
      <c r="TIQ6" s="484"/>
      <c r="TIR6" s="484"/>
      <c r="TIS6" s="484"/>
      <c r="TIT6" s="484"/>
      <c r="TIU6" s="484"/>
      <c r="TIV6" s="484"/>
      <c r="TIW6" s="484"/>
      <c r="TIX6" s="484"/>
      <c r="TIY6" s="484"/>
      <c r="TIZ6" s="484"/>
      <c r="TJA6" s="484"/>
      <c r="TJB6" s="484"/>
      <c r="TJC6" s="484"/>
      <c r="TJD6" s="484"/>
      <c r="TJE6" s="484"/>
      <c r="TJF6" s="484"/>
      <c r="TJG6" s="484"/>
      <c r="TJH6" s="484"/>
      <c r="TJI6" s="484"/>
      <c r="TJJ6" s="484"/>
      <c r="TJK6" s="484"/>
      <c r="TJL6" s="484"/>
      <c r="TJM6" s="484"/>
      <c r="TJN6" s="484"/>
      <c r="TJO6" s="484"/>
      <c r="TJP6" s="484"/>
      <c r="TJQ6" s="484"/>
      <c r="TJR6" s="484"/>
      <c r="TJS6" s="484"/>
      <c r="TJT6" s="484"/>
      <c r="TJU6" s="484"/>
      <c r="TJV6" s="484"/>
      <c r="TJW6" s="484"/>
      <c r="TJX6" s="484"/>
      <c r="TJY6" s="484"/>
      <c r="TJZ6" s="484"/>
      <c r="TKA6" s="484"/>
      <c r="TKB6" s="484"/>
      <c r="TKC6" s="484"/>
      <c r="TKD6" s="484"/>
      <c r="TKE6" s="484"/>
      <c r="TKF6" s="484"/>
      <c r="TKG6" s="484"/>
      <c r="TKH6" s="484"/>
      <c r="TKI6" s="484"/>
      <c r="TKJ6" s="484"/>
      <c r="TKK6" s="484"/>
      <c r="TKL6" s="484"/>
      <c r="TKM6" s="484"/>
      <c r="TKN6" s="484"/>
      <c r="TKO6" s="484"/>
      <c r="TKP6" s="484"/>
      <c r="TKQ6" s="484"/>
      <c r="TKR6" s="484"/>
      <c r="TKS6" s="484"/>
      <c r="TKT6" s="484"/>
      <c r="TKU6" s="484"/>
      <c r="TKV6" s="484"/>
      <c r="TKW6" s="484"/>
      <c r="TKX6" s="484"/>
      <c r="TKY6" s="484"/>
      <c r="TKZ6" s="484"/>
      <c r="TLA6" s="484"/>
      <c r="TLB6" s="484"/>
      <c r="TLC6" s="484"/>
      <c r="TLD6" s="484"/>
      <c r="TLE6" s="484"/>
      <c r="TLF6" s="484"/>
      <c r="TLG6" s="484"/>
      <c r="TLH6" s="484"/>
      <c r="TLI6" s="484"/>
      <c r="TLJ6" s="484"/>
      <c r="TLK6" s="484"/>
      <c r="TLL6" s="484"/>
      <c r="TLM6" s="484"/>
      <c r="TLN6" s="484"/>
      <c r="TLO6" s="484"/>
      <c r="TLP6" s="484"/>
      <c r="TLQ6" s="484"/>
      <c r="TLR6" s="484"/>
      <c r="TLS6" s="484"/>
      <c r="TLT6" s="484"/>
      <c r="TLU6" s="484"/>
      <c r="TLV6" s="484"/>
      <c r="TLW6" s="484"/>
      <c r="TLX6" s="484"/>
      <c r="TLY6" s="484"/>
      <c r="TLZ6" s="484"/>
      <c r="TMA6" s="484"/>
      <c r="TMB6" s="484"/>
      <c r="TMC6" s="484"/>
      <c r="TMD6" s="484"/>
      <c r="TME6" s="484"/>
      <c r="TMF6" s="484"/>
      <c r="TMG6" s="484"/>
      <c r="TMH6" s="484"/>
      <c r="TMI6" s="484"/>
      <c r="TMJ6" s="484"/>
      <c r="TMK6" s="484"/>
      <c r="TML6" s="484"/>
      <c r="TMM6" s="484"/>
      <c r="TMN6" s="484"/>
      <c r="TMO6" s="484"/>
      <c r="TMP6" s="484"/>
      <c r="TMQ6" s="484"/>
      <c r="TMR6" s="484"/>
      <c r="TMS6" s="484"/>
      <c r="TMT6" s="484"/>
      <c r="TMU6" s="484"/>
      <c r="TMV6" s="484"/>
      <c r="TMW6" s="484"/>
      <c r="TMX6" s="484"/>
      <c r="TMY6" s="484"/>
      <c r="TMZ6" s="484"/>
      <c r="TNA6" s="484"/>
      <c r="TNB6" s="484"/>
      <c r="TNC6" s="484"/>
      <c r="TND6" s="484"/>
      <c r="TNE6" s="484"/>
      <c r="TNF6" s="484"/>
      <c r="TNG6" s="484"/>
      <c r="TNH6" s="484"/>
      <c r="TNI6" s="484"/>
      <c r="TNJ6" s="484"/>
      <c r="TNK6" s="484"/>
      <c r="TNL6" s="484"/>
      <c r="TNM6" s="484"/>
      <c r="TNN6" s="484"/>
      <c r="TNO6" s="484"/>
      <c r="TNP6" s="484"/>
      <c r="TNQ6" s="484"/>
      <c r="TNR6" s="484"/>
      <c r="TNS6" s="484"/>
      <c r="TNT6" s="484"/>
      <c r="TNU6" s="484"/>
      <c r="TNV6" s="484"/>
      <c r="TNW6" s="484"/>
      <c r="TNX6" s="484"/>
      <c r="TNY6" s="484"/>
      <c r="TNZ6" s="484"/>
      <c r="TOA6" s="484"/>
      <c r="TOB6" s="484"/>
      <c r="TOC6" s="484"/>
      <c r="TOD6" s="484"/>
      <c r="TOE6" s="484"/>
      <c r="TOF6" s="484"/>
      <c r="TOG6" s="484"/>
      <c r="TOH6" s="484"/>
      <c r="TOI6" s="484"/>
      <c r="TOJ6" s="484"/>
      <c r="TOK6" s="484"/>
      <c r="TOL6" s="484"/>
      <c r="TOM6" s="484"/>
      <c r="TON6" s="484"/>
      <c r="TOO6" s="484"/>
      <c r="TOP6" s="484"/>
      <c r="TOQ6" s="484"/>
      <c r="TOR6" s="484"/>
      <c r="TOS6" s="484"/>
      <c r="TOT6" s="484"/>
      <c r="TOU6" s="484"/>
      <c r="TOV6" s="484"/>
      <c r="TOW6" s="484"/>
      <c r="TOX6" s="484"/>
      <c r="TOY6" s="484"/>
      <c r="TOZ6" s="484"/>
      <c r="TPA6" s="484"/>
      <c r="TPB6" s="484"/>
      <c r="TPC6" s="484"/>
      <c r="TPD6" s="484"/>
      <c r="TPE6" s="484"/>
      <c r="TPF6" s="484"/>
      <c r="TPG6" s="484"/>
      <c r="TPH6" s="484"/>
      <c r="TPI6" s="484"/>
      <c r="TPJ6" s="484"/>
      <c r="TPK6" s="484"/>
      <c r="TPL6" s="484"/>
      <c r="TPM6" s="484"/>
      <c r="TPN6" s="484"/>
      <c r="TPO6" s="484"/>
      <c r="TPP6" s="484"/>
      <c r="TPQ6" s="484"/>
      <c r="TPR6" s="484"/>
      <c r="TPS6" s="484"/>
      <c r="TPT6" s="484"/>
      <c r="TPU6" s="484"/>
      <c r="TPV6" s="484"/>
      <c r="TPW6" s="484"/>
      <c r="TPX6" s="484"/>
      <c r="TPY6" s="484"/>
      <c r="TPZ6" s="484"/>
      <c r="TQA6" s="484"/>
      <c r="TQB6" s="484"/>
      <c r="TQC6" s="484"/>
      <c r="TQD6" s="484"/>
      <c r="TQE6" s="484"/>
      <c r="TQF6" s="484"/>
      <c r="TQG6" s="484"/>
      <c r="TQH6" s="484"/>
      <c r="TQI6" s="484"/>
      <c r="TQJ6" s="484"/>
      <c r="TQK6" s="484"/>
      <c r="TQL6" s="484"/>
      <c r="TQM6" s="484"/>
      <c r="TQN6" s="484"/>
      <c r="TQO6" s="484"/>
      <c r="TQP6" s="484"/>
      <c r="TQQ6" s="484"/>
      <c r="TQR6" s="484"/>
      <c r="TQS6" s="484"/>
      <c r="TQT6" s="484"/>
      <c r="TQU6" s="484"/>
      <c r="TQV6" s="484"/>
      <c r="TQW6" s="484"/>
      <c r="TQX6" s="484"/>
      <c r="TQY6" s="484"/>
      <c r="TQZ6" s="484"/>
      <c r="TRA6" s="484"/>
      <c r="TRB6" s="484"/>
      <c r="TRC6" s="484"/>
      <c r="TRD6" s="484"/>
      <c r="TRE6" s="484"/>
      <c r="TRF6" s="484"/>
      <c r="TRG6" s="484"/>
      <c r="TRH6" s="484"/>
      <c r="TRI6" s="484"/>
      <c r="TRJ6" s="484"/>
      <c r="TRK6" s="484"/>
      <c r="TRL6" s="484"/>
      <c r="TRM6" s="484"/>
      <c r="TRN6" s="484"/>
      <c r="TRO6" s="484"/>
      <c r="TRP6" s="484"/>
      <c r="TRQ6" s="484"/>
      <c r="TRR6" s="484"/>
      <c r="TRS6" s="484"/>
      <c r="TRT6" s="484"/>
      <c r="TRU6" s="484"/>
      <c r="TRV6" s="484"/>
      <c r="TRW6" s="484"/>
      <c r="TRX6" s="484"/>
      <c r="TRY6" s="484"/>
      <c r="TRZ6" s="484"/>
      <c r="TSA6" s="484"/>
      <c r="TSB6" s="484"/>
      <c r="TSC6" s="484"/>
      <c r="TSD6" s="484"/>
      <c r="TSE6" s="484"/>
      <c r="TSF6" s="484"/>
      <c r="TSG6" s="484"/>
      <c r="TSH6" s="484"/>
      <c r="TSI6" s="484"/>
      <c r="TSJ6" s="484"/>
      <c r="TSK6" s="484"/>
      <c r="TSL6" s="484"/>
      <c r="TSM6" s="484"/>
      <c r="TSN6" s="484"/>
      <c r="TSO6" s="484"/>
      <c r="TSP6" s="484"/>
      <c r="TSQ6" s="484"/>
      <c r="TSR6" s="484"/>
      <c r="TSS6" s="484"/>
      <c r="TST6" s="484"/>
      <c r="TSU6" s="484"/>
      <c r="TSV6" s="484"/>
      <c r="TSW6" s="484"/>
      <c r="TSX6" s="484"/>
      <c r="TSY6" s="484"/>
      <c r="TSZ6" s="484"/>
      <c r="TTA6" s="484"/>
      <c r="TTB6" s="484"/>
      <c r="TTC6" s="484"/>
      <c r="TTD6" s="484"/>
      <c r="TTE6" s="484"/>
      <c r="TTF6" s="484"/>
      <c r="TTG6" s="484"/>
      <c r="TTH6" s="484"/>
      <c r="TTI6" s="484"/>
      <c r="TTJ6" s="484"/>
      <c r="TTK6" s="484"/>
      <c r="TTL6" s="484"/>
      <c r="TTM6" s="484"/>
      <c r="TTN6" s="484"/>
      <c r="TTO6" s="484"/>
      <c r="TTP6" s="484"/>
      <c r="TTQ6" s="484"/>
      <c r="TTR6" s="484"/>
      <c r="TTS6" s="484"/>
      <c r="TTT6" s="484"/>
      <c r="TTU6" s="484"/>
      <c r="TTV6" s="484"/>
      <c r="TTW6" s="484"/>
      <c r="TTX6" s="484"/>
      <c r="TTY6" s="484"/>
      <c r="TTZ6" s="484"/>
      <c r="TUA6" s="484"/>
      <c r="TUB6" s="484"/>
      <c r="TUC6" s="484"/>
      <c r="TUD6" s="484"/>
      <c r="TUE6" s="484"/>
      <c r="TUF6" s="484"/>
      <c r="TUG6" s="484"/>
      <c r="TUH6" s="484"/>
      <c r="TUI6" s="484"/>
      <c r="TUJ6" s="484"/>
      <c r="TUK6" s="484"/>
      <c r="TUL6" s="484"/>
      <c r="TUM6" s="484"/>
      <c r="TUN6" s="484"/>
      <c r="TUO6" s="484"/>
      <c r="TUP6" s="484"/>
      <c r="TUQ6" s="484"/>
      <c r="TUR6" s="484"/>
      <c r="TUS6" s="484"/>
      <c r="TUT6" s="484"/>
      <c r="TUU6" s="484"/>
      <c r="TUV6" s="484"/>
      <c r="TUW6" s="484"/>
      <c r="TUX6" s="484"/>
      <c r="TUY6" s="484"/>
      <c r="TUZ6" s="484"/>
      <c r="TVA6" s="484"/>
      <c r="TVB6" s="484"/>
      <c r="TVC6" s="484"/>
      <c r="TVD6" s="484"/>
      <c r="TVE6" s="484"/>
      <c r="TVF6" s="484"/>
      <c r="TVG6" s="484"/>
      <c r="TVH6" s="484"/>
      <c r="TVI6" s="484"/>
      <c r="TVJ6" s="484"/>
      <c r="TVK6" s="484"/>
      <c r="TVL6" s="484"/>
      <c r="TVM6" s="484"/>
      <c r="TVN6" s="484"/>
      <c r="TVO6" s="484"/>
      <c r="TVP6" s="484"/>
      <c r="TVQ6" s="484"/>
      <c r="TVR6" s="484"/>
      <c r="TVS6" s="484"/>
      <c r="TVT6" s="484"/>
      <c r="TVU6" s="484"/>
      <c r="TVV6" s="484"/>
      <c r="TVW6" s="484"/>
      <c r="TVX6" s="484"/>
      <c r="TVY6" s="484"/>
      <c r="TVZ6" s="484"/>
      <c r="TWA6" s="484"/>
      <c r="TWB6" s="484"/>
      <c r="TWC6" s="484"/>
      <c r="TWD6" s="484"/>
      <c r="TWE6" s="484"/>
      <c r="TWF6" s="484"/>
      <c r="TWG6" s="484"/>
      <c r="TWH6" s="484"/>
      <c r="TWI6" s="484"/>
      <c r="TWJ6" s="484"/>
      <c r="TWK6" s="484"/>
      <c r="TWL6" s="484"/>
      <c r="TWM6" s="484"/>
      <c r="TWN6" s="484"/>
      <c r="TWO6" s="484"/>
      <c r="TWP6" s="484"/>
      <c r="TWQ6" s="484"/>
      <c r="TWR6" s="484"/>
      <c r="TWS6" s="484"/>
      <c r="TWT6" s="484"/>
      <c r="TWU6" s="484"/>
      <c r="TWV6" s="484"/>
      <c r="TWW6" s="484"/>
      <c r="TWX6" s="484"/>
      <c r="TWY6" s="484"/>
      <c r="TWZ6" s="484"/>
      <c r="TXA6" s="484"/>
      <c r="TXB6" s="484"/>
      <c r="TXC6" s="484"/>
      <c r="TXD6" s="484"/>
      <c r="TXE6" s="484"/>
      <c r="TXF6" s="484"/>
      <c r="TXG6" s="484"/>
      <c r="TXH6" s="484"/>
      <c r="TXI6" s="484"/>
      <c r="TXJ6" s="484"/>
      <c r="TXK6" s="484"/>
      <c r="TXL6" s="484"/>
      <c r="TXM6" s="484"/>
      <c r="TXN6" s="484"/>
      <c r="TXO6" s="484"/>
      <c r="TXP6" s="484"/>
      <c r="TXQ6" s="484"/>
      <c r="TXR6" s="484"/>
      <c r="TXS6" s="484"/>
      <c r="TXT6" s="484"/>
      <c r="TXU6" s="484"/>
      <c r="TXV6" s="484"/>
      <c r="TXW6" s="484"/>
      <c r="TXX6" s="484"/>
      <c r="TXY6" s="484"/>
      <c r="TXZ6" s="484"/>
      <c r="TYA6" s="484"/>
      <c r="TYB6" s="484"/>
      <c r="TYC6" s="484"/>
      <c r="TYD6" s="484"/>
      <c r="TYE6" s="484"/>
      <c r="TYF6" s="484"/>
      <c r="TYG6" s="484"/>
      <c r="TYH6" s="484"/>
      <c r="TYI6" s="484"/>
      <c r="TYJ6" s="484"/>
      <c r="TYK6" s="484"/>
      <c r="TYL6" s="484"/>
      <c r="TYM6" s="484"/>
      <c r="TYN6" s="484"/>
      <c r="TYO6" s="484"/>
      <c r="TYP6" s="484"/>
      <c r="TYQ6" s="484"/>
      <c r="TYR6" s="484"/>
      <c r="TYS6" s="484"/>
      <c r="TYT6" s="484"/>
      <c r="TYU6" s="484"/>
      <c r="TYV6" s="484"/>
      <c r="TYW6" s="484"/>
      <c r="TYX6" s="484"/>
      <c r="TYY6" s="484"/>
      <c r="TYZ6" s="484"/>
      <c r="TZA6" s="484"/>
      <c r="TZB6" s="484"/>
      <c r="TZC6" s="484"/>
      <c r="TZD6" s="484"/>
      <c r="TZE6" s="484"/>
      <c r="TZF6" s="484"/>
      <c r="TZG6" s="484"/>
      <c r="TZH6" s="484"/>
      <c r="TZI6" s="484"/>
      <c r="TZJ6" s="484"/>
      <c r="TZK6" s="484"/>
      <c r="TZL6" s="484"/>
      <c r="TZM6" s="484"/>
      <c r="TZN6" s="484"/>
      <c r="TZO6" s="484"/>
      <c r="TZP6" s="484"/>
      <c r="TZQ6" s="484"/>
      <c r="TZR6" s="484"/>
      <c r="TZS6" s="484"/>
      <c r="TZT6" s="484"/>
      <c r="TZU6" s="484"/>
      <c r="TZV6" s="484"/>
      <c r="TZW6" s="484"/>
      <c r="TZX6" s="484"/>
      <c r="TZY6" s="484"/>
      <c r="TZZ6" s="484"/>
      <c r="UAA6" s="484"/>
      <c r="UAB6" s="484"/>
      <c r="UAC6" s="484"/>
      <c r="UAD6" s="484"/>
      <c r="UAE6" s="484"/>
      <c r="UAF6" s="484"/>
      <c r="UAG6" s="484"/>
      <c r="UAH6" s="484"/>
      <c r="UAI6" s="484"/>
      <c r="UAJ6" s="484"/>
      <c r="UAK6" s="484"/>
      <c r="UAL6" s="484"/>
      <c r="UAM6" s="484"/>
      <c r="UAN6" s="484"/>
      <c r="UAO6" s="484"/>
      <c r="UAP6" s="484"/>
      <c r="UAQ6" s="484"/>
      <c r="UAR6" s="484"/>
      <c r="UAS6" s="484"/>
      <c r="UAT6" s="484"/>
      <c r="UAU6" s="484"/>
      <c r="UAV6" s="484"/>
      <c r="UAW6" s="484"/>
      <c r="UAX6" s="484"/>
      <c r="UAY6" s="484"/>
      <c r="UAZ6" s="484"/>
      <c r="UBA6" s="484"/>
      <c r="UBB6" s="484"/>
      <c r="UBC6" s="484"/>
      <c r="UBD6" s="484"/>
      <c r="UBE6" s="484"/>
      <c r="UBF6" s="484"/>
      <c r="UBG6" s="484"/>
      <c r="UBH6" s="484"/>
      <c r="UBI6" s="484"/>
      <c r="UBJ6" s="484"/>
      <c r="UBK6" s="484"/>
      <c r="UBL6" s="484"/>
      <c r="UBM6" s="484"/>
      <c r="UBN6" s="484"/>
      <c r="UBO6" s="484"/>
      <c r="UBP6" s="484"/>
      <c r="UBQ6" s="484"/>
      <c r="UBR6" s="484"/>
      <c r="UBS6" s="484"/>
      <c r="UBT6" s="484"/>
      <c r="UBU6" s="484"/>
      <c r="UBV6" s="484"/>
      <c r="UBW6" s="484"/>
      <c r="UBX6" s="484"/>
      <c r="UBY6" s="484"/>
      <c r="UBZ6" s="484"/>
      <c r="UCA6" s="484"/>
      <c r="UCB6" s="484"/>
      <c r="UCC6" s="484"/>
      <c r="UCD6" s="484"/>
      <c r="UCE6" s="484"/>
      <c r="UCF6" s="484"/>
      <c r="UCG6" s="484"/>
      <c r="UCH6" s="484"/>
      <c r="UCI6" s="484"/>
      <c r="UCJ6" s="484"/>
      <c r="UCK6" s="484"/>
      <c r="UCL6" s="484"/>
      <c r="UCM6" s="484"/>
      <c r="UCN6" s="484"/>
      <c r="UCO6" s="484"/>
      <c r="UCP6" s="484"/>
      <c r="UCQ6" s="484"/>
      <c r="UCR6" s="484"/>
      <c r="UCS6" s="484"/>
      <c r="UCT6" s="484"/>
      <c r="UCU6" s="484"/>
      <c r="UCV6" s="484"/>
      <c r="UCW6" s="484"/>
      <c r="UCX6" s="484"/>
      <c r="UCY6" s="484"/>
      <c r="UCZ6" s="484"/>
      <c r="UDA6" s="484"/>
      <c r="UDB6" s="484"/>
      <c r="UDC6" s="484"/>
      <c r="UDD6" s="484"/>
      <c r="UDE6" s="484"/>
      <c r="UDF6" s="484"/>
      <c r="UDG6" s="484"/>
      <c r="UDH6" s="484"/>
      <c r="UDI6" s="484"/>
      <c r="UDJ6" s="484"/>
      <c r="UDK6" s="484"/>
      <c r="UDL6" s="484"/>
      <c r="UDM6" s="484"/>
      <c r="UDN6" s="484"/>
      <c r="UDO6" s="484"/>
      <c r="UDP6" s="484"/>
      <c r="UDQ6" s="484"/>
      <c r="UDR6" s="484"/>
      <c r="UDS6" s="484"/>
      <c r="UDT6" s="484"/>
      <c r="UDU6" s="484"/>
      <c r="UDV6" s="484"/>
      <c r="UDW6" s="484"/>
      <c r="UDX6" s="484"/>
      <c r="UDY6" s="484"/>
      <c r="UDZ6" s="484"/>
      <c r="UEA6" s="484"/>
      <c r="UEB6" s="484"/>
      <c r="UEC6" s="484"/>
      <c r="UED6" s="484"/>
      <c r="UEE6" s="484"/>
      <c r="UEF6" s="484"/>
      <c r="UEG6" s="484"/>
      <c r="UEH6" s="484"/>
      <c r="UEI6" s="484"/>
      <c r="UEJ6" s="484"/>
      <c r="UEK6" s="484"/>
      <c r="UEL6" s="484"/>
      <c r="UEM6" s="484"/>
      <c r="UEN6" s="484"/>
      <c r="UEO6" s="484"/>
      <c r="UEP6" s="484"/>
      <c r="UEQ6" s="484"/>
      <c r="UER6" s="484"/>
      <c r="UES6" s="484"/>
      <c r="UET6" s="484"/>
      <c r="UEU6" s="484"/>
      <c r="UEV6" s="484"/>
      <c r="UEW6" s="484"/>
      <c r="UEX6" s="484"/>
      <c r="UEY6" s="484"/>
      <c r="UEZ6" s="484"/>
      <c r="UFA6" s="484"/>
      <c r="UFB6" s="484"/>
      <c r="UFC6" s="484"/>
      <c r="UFD6" s="484"/>
      <c r="UFE6" s="484"/>
      <c r="UFF6" s="484"/>
      <c r="UFG6" s="484"/>
      <c r="UFH6" s="484"/>
      <c r="UFI6" s="484"/>
      <c r="UFJ6" s="484"/>
      <c r="UFK6" s="484"/>
      <c r="UFL6" s="484"/>
      <c r="UFM6" s="484"/>
      <c r="UFN6" s="484"/>
      <c r="UFO6" s="484"/>
      <c r="UFP6" s="484"/>
      <c r="UFQ6" s="484"/>
      <c r="UFR6" s="484"/>
      <c r="UFS6" s="484"/>
      <c r="UFT6" s="484"/>
      <c r="UFU6" s="484"/>
      <c r="UFV6" s="484"/>
      <c r="UFW6" s="484"/>
      <c r="UFX6" s="484"/>
      <c r="UFY6" s="484"/>
      <c r="UFZ6" s="484"/>
      <c r="UGA6" s="484"/>
      <c r="UGB6" s="484"/>
      <c r="UGC6" s="484"/>
      <c r="UGD6" s="484"/>
      <c r="UGE6" s="484"/>
      <c r="UGF6" s="484"/>
      <c r="UGG6" s="484"/>
      <c r="UGH6" s="484"/>
      <c r="UGI6" s="484"/>
      <c r="UGJ6" s="484"/>
      <c r="UGK6" s="484"/>
      <c r="UGL6" s="484"/>
      <c r="UGM6" s="484"/>
      <c r="UGN6" s="484"/>
      <c r="UGO6" s="484"/>
      <c r="UGP6" s="484"/>
      <c r="UGQ6" s="484"/>
      <c r="UGR6" s="484"/>
      <c r="UGS6" s="484"/>
      <c r="UGT6" s="484"/>
      <c r="UGU6" s="484"/>
      <c r="UGV6" s="484"/>
      <c r="UGW6" s="484"/>
      <c r="UGX6" s="484"/>
      <c r="UGY6" s="484"/>
      <c r="UGZ6" s="484"/>
      <c r="UHA6" s="484"/>
      <c r="UHB6" s="484"/>
      <c r="UHC6" s="484"/>
      <c r="UHD6" s="484"/>
      <c r="UHE6" s="484"/>
      <c r="UHF6" s="484"/>
      <c r="UHG6" s="484"/>
      <c r="UHH6" s="484"/>
      <c r="UHI6" s="484"/>
      <c r="UHJ6" s="484"/>
      <c r="UHK6" s="484"/>
      <c r="UHL6" s="484"/>
      <c r="UHM6" s="484"/>
      <c r="UHN6" s="484"/>
      <c r="UHO6" s="484"/>
      <c r="UHP6" s="484"/>
      <c r="UHQ6" s="484"/>
      <c r="UHR6" s="484"/>
      <c r="UHS6" s="484"/>
      <c r="UHT6" s="484"/>
      <c r="UHU6" s="484"/>
      <c r="UHV6" s="484"/>
      <c r="UHW6" s="484"/>
      <c r="UHX6" s="484"/>
      <c r="UHY6" s="484"/>
      <c r="UHZ6" s="484"/>
      <c r="UIA6" s="484"/>
      <c r="UIB6" s="484"/>
      <c r="UIC6" s="484"/>
      <c r="UID6" s="484"/>
      <c r="UIE6" s="484"/>
      <c r="UIF6" s="484"/>
      <c r="UIG6" s="484"/>
      <c r="UIH6" s="484"/>
      <c r="UII6" s="484"/>
      <c r="UIJ6" s="484"/>
      <c r="UIK6" s="484"/>
      <c r="UIL6" s="484"/>
      <c r="UIM6" s="484"/>
      <c r="UIN6" s="484"/>
      <c r="UIO6" s="484"/>
      <c r="UIP6" s="484"/>
      <c r="UIQ6" s="484"/>
      <c r="UIR6" s="484"/>
      <c r="UIS6" s="484"/>
      <c r="UIT6" s="484"/>
      <c r="UIU6" s="484"/>
      <c r="UIV6" s="484"/>
      <c r="UIW6" s="484"/>
      <c r="UIX6" s="484"/>
      <c r="UIY6" s="484"/>
      <c r="UIZ6" s="484"/>
      <c r="UJA6" s="484"/>
      <c r="UJB6" s="484"/>
      <c r="UJC6" s="484"/>
      <c r="UJD6" s="484"/>
      <c r="UJE6" s="484"/>
      <c r="UJF6" s="484"/>
      <c r="UJG6" s="484"/>
      <c r="UJH6" s="484"/>
      <c r="UJI6" s="484"/>
      <c r="UJJ6" s="484"/>
      <c r="UJK6" s="484"/>
      <c r="UJL6" s="484"/>
      <c r="UJM6" s="484"/>
      <c r="UJN6" s="484"/>
      <c r="UJO6" s="484"/>
      <c r="UJP6" s="484"/>
      <c r="UJQ6" s="484"/>
      <c r="UJR6" s="484"/>
      <c r="UJS6" s="484"/>
      <c r="UJT6" s="484"/>
      <c r="UJU6" s="484"/>
      <c r="UJV6" s="484"/>
      <c r="UJW6" s="484"/>
      <c r="UJX6" s="484"/>
      <c r="UJY6" s="484"/>
      <c r="UJZ6" s="484"/>
      <c r="UKA6" s="484"/>
      <c r="UKB6" s="484"/>
      <c r="UKC6" s="484"/>
      <c r="UKD6" s="484"/>
      <c r="UKE6" s="484"/>
      <c r="UKF6" s="484"/>
      <c r="UKG6" s="484"/>
      <c r="UKH6" s="484"/>
      <c r="UKI6" s="484"/>
      <c r="UKJ6" s="484"/>
      <c r="UKK6" s="484"/>
      <c r="UKL6" s="484"/>
      <c r="UKM6" s="484"/>
      <c r="UKN6" s="484"/>
      <c r="UKO6" s="484"/>
      <c r="UKP6" s="484"/>
      <c r="UKQ6" s="484"/>
      <c r="UKR6" s="484"/>
      <c r="UKS6" s="484"/>
      <c r="UKT6" s="484"/>
      <c r="UKU6" s="484"/>
      <c r="UKV6" s="484"/>
      <c r="UKW6" s="484"/>
      <c r="UKX6" s="484"/>
      <c r="UKY6" s="484"/>
      <c r="UKZ6" s="484"/>
      <c r="ULA6" s="484"/>
      <c r="ULB6" s="484"/>
      <c r="ULC6" s="484"/>
      <c r="ULD6" s="484"/>
      <c r="ULE6" s="484"/>
      <c r="ULF6" s="484"/>
      <c r="ULG6" s="484"/>
      <c r="ULH6" s="484"/>
      <c r="ULI6" s="484"/>
      <c r="ULJ6" s="484"/>
      <c r="ULK6" s="484"/>
      <c r="ULL6" s="484"/>
      <c r="ULM6" s="484"/>
      <c r="ULN6" s="484"/>
      <c r="ULO6" s="484"/>
      <c r="ULP6" s="484"/>
      <c r="ULQ6" s="484"/>
      <c r="ULR6" s="484"/>
      <c r="ULS6" s="484"/>
      <c r="ULT6" s="484"/>
      <c r="ULU6" s="484"/>
      <c r="ULV6" s="484"/>
      <c r="ULW6" s="484"/>
      <c r="ULX6" s="484"/>
      <c r="ULY6" s="484"/>
      <c r="ULZ6" s="484"/>
      <c r="UMA6" s="484"/>
      <c r="UMB6" s="484"/>
      <c r="UMC6" s="484"/>
      <c r="UMD6" s="484"/>
      <c r="UME6" s="484"/>
      <c r="UMF6" s="484"/>
      <c r="UMG6" s="484"/>
      <c r="UMH6" s="484"/>
      <c r="UMI6" s="484"/>
      <c r="UMJ6" s="484"/>
      <c r="UMK6" s="484"/>
      <c r="UML6" s="484"/>
      <c r="UMM6" s="484"/>
      <c r="UMN6" s="484"/>
      <c r="UMO6" s="484"/>
      <c r="UMP6" s="484"/>
      <c r="UMQ6" s="484"/>
      <c r="UMR6" s="484"/>
      <c r="UMS6" s="484"/>
      <c r="UMT6" s="484"/>
      <c r="UMU6" s="484"/>
      <c r="UMV6" s="484"/>
      <c r="UMW6" s="484"/>
      <c r="UMX6" s="484"/>
      <c r="UMY6" s="484"/>
      <c r="UMZ6" s="484"/>
      <c r="UNA6" s="484"/>
      <c r="UNB6" s="484"/>
      <c r="UNC6" s="484"/>
      <c r="UND6" s="484"/>
      <c r="UNE6" s="484"/>
      <c r="UNF6" s="484"/>
      <c r="UNG6" s="484"/>
      <c r="UNH6" s="484"/>
      <c r="UNI6" s="484"/>
      <c r="UNJ6" s="484"/>
      <c r="UNK6" s="484"/>
      <c r="UNL6" s="484"/>
      <c r="UNM6" s="484"/>
      <c r="UNN6" s="484"/>
      <c r="UNO6" s="484"/>
      <c r="UNP6" s="484"/>
      <c r="UNQ6" s="484"/>
      <c r="UNR6" s="484"/>
      <c r="UNS6" s="484"/>
      <c r="UNT6" s="484"/>
      <c r="UNU6" s="484"/>
      <c r="UNV6" s="484"/>
      <c r="UNW6" s="484"/>
      <c r="UNX6" s="484"/>
      <c r="UNY6" s="484"/>
      <c r="UNZ6" s="484"/>
      <c r="UOA6" s="484"/>
      <c r="UOB6" s="484"/>
      <c r="UOC6" s="484"/>
      <c r="UOD6" s="484"/>
      <c r="UOE6" s="484"/>
      <c r="UOF6" s="484"/>
      <c r="UOG6" s="484"/>
      <c r="UOH6" s="484"/>
      <c r="UOI6" s="484"/>
      <c r="UOJ6" s="484"/>
      <c r="UOK6" s="484"/>
      <c r="UOL6" s="484"/>
      <c r="UOM6" s="484"/>
      <c r="UON6" s="484"/>
      <c r="UOO6" s="484"/>
      <c r="UOP6" s="484"/>
      <c r="UOQ6" s="484"/>
      <c r="UOR6" s="484"/>
      <c r="UOS6" s="484"/>
      <c r="UOT6" s="484"/>
      <c r="UOU6" s="484"/>
      <c r="UOV6" s="484"/>
      <c r="UOW6" s="484"/>
      <c r="UOX6" s="484"/>
      <c r="UOY6" s="484"/>
      <c r="UOZ6" s="484"/>
      <c r="UPA6" s="484"/>
      <c r="UPB6" s="484"/>
      <c r="UPC6" s="484"/>
      <c r="UPD6" s="484"/>
      <c r="UPE6" s="484"/>
      <c r="UPF6" s="484"/>
      <c r="UPG6" s="484"/>
      <c r="UPH6" s="484"/>
      <c r="UPI6" s="484"/>
      <c r="UPJ6" s="484"/>
      <c r="UPK6" s="484"/>
      <c r="UPL6" s="484"/>
      <c r="UPM6" s="484"/>
      <c r="UPN6" s="484"/>
      <c r="UPO6" s="484"/>
      <c r="UPP6" s="484"/>
      <c r="UPQ6" s="484"/>
      <c r="UPR6" s="484"/>
      <c r="UPS6" s="484"/>
      <c r="UPT6" s="484"/>
      <c r="UPU6" s="484"/>
      <c r="UPV6" s="484"/>
      <c r="UPW6" s="484"/>
      <c r="UPX6" s="484"/>
      <c r="UPY6" s="484"/>
      <c r="UPZ6" s="484"/>
      <c r="UQA6" s="484"/>
      <c r="UQB6" s="484"/>
      <c r="UQC6" s="484"/>
      <c r="UQD6" s="484"/>
      <c r="UQE6" s="484"/>
      <c r="UQF6" s="484"/>
      <c r="UQG6" s="484"/>
      <c r="UQH6" s="484"/>
      <c r="UQI6" s="484"/>
      <c r="UQJ6" s="484"/>
      <c r="UQK6" s="484"/>
      <c r="UQL6" s="484"/>
      <c r="UQM6" s="484"/>
      <c r="UQN6" s="484"/>
      <c r="UQO6" s="484"/>
      <c r="UQP6" s="484"/>
      <c r="UQQ6" s="484"/>
      <c r="UQR6" s="484"/>
      <c r="UQS6" s="484"/>
      <c r="UQT6" s="484"/>
      <c r="UQU6" s="484"/>
      <c r="UQV6" s="484"/>
      <c r="UQW6" s="484"/>
      <c r="UQX6" s="484"/>
      <c r="UQY6" s="484"/>
      <c r="UQZ6" s="484"/>
      <c r="URA6" s="484"/>
      <c r="URB6" s="484"/>
      <c r="URC6" s="484"/>
      <c r="URD6" s="484"/>
      <c r="URE6" s="484"/>
      <c r="URF6" s="484"/>
      <c r="URG6" s="484"/>
      <c r="URH6" s="484"/>
      <c r="URI6" s="484"/>
      <c r="URJ6" s="484"/>
      <c r="URK6" s="484"/>
      <c r="URL6" s="484"/>
      <c r="URM6" s="484"/>
      <c r="URN6" s="484"/>
      <c r="URO6" s="484"/>
      <c r="URP6" s="484"/>
      <c r="URQ6" s="484"/>
      <c r="URR6" s="484"/>
      <c r="URS6" s="484"/>
      <c r="URT6" s="484"/>
      <c r="URU6" s="484"/>
      <c r="URV6" s="484"/>
      <c r="URW6" s="484"/>
      <c r="URX6" s="484"/>
      <c r="URY6" s="484"/>
      <c r="URZ6" s="484"/>
      <c r="USA6" s="484"/>
      <c r="USB6" s="484"/>
      <c r="USC6" s="484"/>
      <c r="USD6" s="484"/>
      <c r="USE6" s="484"/>
      <c r="USF6" s="484"/>
      <c r="USG6" s="484"/>
      <c r="USH6" s="484"/>
      <c r="USI6" s="484"/>
      <c r="USJ6" s="484"/>
      <c r="USK6" s="484"/>
      <c r="USL6" s="484"/>
      <c r="USM6" s="484"/>
      <c r="USN6" s="484"/>
      <c r="USO6" s="484"/>
      <c r="USP6" s="484"/>
      <c r="USQ6" s="484"/>
      <c r="USR6" s="484"/>
      <c r="USS6" s="484"/>
      <c r="UST6" s="484"/>
      <c r="USU6" s="484"/>
      <c r="USV6" s="484"/>
      <c r="USW6" s="484"/>
      <c r="USX6" s="484"/>
      <c r="USY6" s="484"/>
      <c r="USZ6" s="484"/>
      <c r="UTA6" s="484"/>
      <c r="UTB6" s="484"/>
      <c r="UTC6" s="484"/>
      <c r="UTD6" s="484"/>
      <c r="UTE6" s="484"/>
      <c r="UTF6" s="484"/>
      <c r="UTG6" s="484"/>
      <c r="UTH6" s="484"/>
      <c r="UTI6" s="484"/>
      <c r="UTJ6" s="484"/>
      <c r="UTK6" s="484"/>
      <c r="UTL6" s="484"/>
      <c r="UTM6" s="484"/>
      <c r="UTN6" s="484"/>
      <c r="UTO6" s="484"/>
      <c r="UTP6" s="484"/>
      <c r="UTQ6" s="484"/>
      <c r="UTR6" s="484"/>
      <c r="UTS6" s="484"/>
      <c r="UTT6" s="484"/>
      <c r="UTU6" s="484"/>
      <c r="UTV6" s="484"/>
      <c r="UTW6" s="484"/>
      <c r="UTX6" s="484"/>
      <c r="UTY6" s="484"/>
      <c r="UTZ6" s="484"/>
      <c r="UUA6" s="484"/>
      <c r="UUB6" s="484"/>
      <c r="UUC6" s="484"/>
      <c r="UUD6" s="484"/>
      <c r="UUE6" s="484"/>
      <c r="UUF6" s="484"/>
      <c r="UUG6" s="484"/>
      <c r="UUH6" s="484"/>
      <c r="UUI6" s="484"/>
      <c r="UUJ6" s="484"/>
      <c r="UUK6" s="484"/>
      <c r="UUL6" s="484"/>
      <c r="UUM6" s="484"/>
      <c r="UUN6" s="484"/>
      <c r="UUO6" s="484"/>
      <c r="UUP6" s="484"/>
      <c r="UUQ6" s="484"/>
      <c r="UUR6" s="484"/>
      <c r="UUS6" s="484"/>
      <c r="UUT6" s="484"/>
      <c r="UUU6" s="484"/>
      <c r="UUV6" s="484"/>
      <c r="UUW6" s="484"/>
      <c r="UUX6" s="484"/>
      <c r="UUY6" s="484"/>
      <c r="UUZ6" s="484"/>
      <c r="UVA6" s="484"/>
      <c r="UVB6" s="484"/>
      <c r="UVC6" s="484"/>
      <c r="UVD6" s="484"/>
      <c r="UVE6" s="484"/>
      <c r="UVF6" s="484"/>
      <c r="UVG6" s="484"/>
      <c r="UVH6" s="484"/>
      <c r="UVI6" s="484"/>
      <c r="UVJ6" s="484"/>
      <c r="UVK6" s="484"/>
      <c r="UVL6" s="484"/>
      <c r="UVM6" s="484"/>
      <c r="UVN6" s="484"/>
      <c r="UVO6" s="484"/>
      <c r="UVP6" s="484"/>
      <c r="UVQ6" s="484"/>
      <c r="UVR6" s="484"/>
      <c r="UVS6" s="484"/>
      <c r="UVT6" s="484"/>
      <c r="UVU6" s="484"/>
      <c r="UVV6" s="484"/>
      <c r="UVW6" s="484"/>
      <c r="UVX6" s="484"/>
      <c r="UVY6" s="484"/>
      <c r="UVZ6" s="484"/>
      <c r="UWA6" s="484"/>
      <c r="UWB6" s="484"/>
      <c r="UWC6" s="484"/>
      <c r="UWD6" s="484"/>
      <c r="UWE6" s="484"/>
      <c r="UWF6" s="484"/>
      <c r="UWG6" s="484"/>
      <c r="UWH6" s="484"/>
      <c r="UWI6" s="484"/>
      <c r="UWJ6" s="484"/>
      <c r="UWK6" s="484"/>
      <c r="UWL6" s="484"/>
      <c r="UWM6" s="484"/>
      <c r="UWN6" s="484"/>
      <c r="UWO6" s="484"/>
      <c r="UWP6" s="484"/>
      <c r="UWQ6" s="484"/>
      <c r="UWR6" s="484"/>
      <c r="UWS6" s="484"/>
      <c r="UWT6" s="484"/>
      <c r="UWU6" s="484"/>
      <c r="UWV6" s="484"/>
      <c r="UWW6" s="484"/>
      <c r="UWX6" s="484"/>
      <c r="UWY6" s="484"/>
      <c r="UWZ6" s="484"/>
      <c r="UXA6" s="484"/>
      <c r="UXB6" s="484"/>
      <c r="UXC6" s="484"/>
      <c r="UXD6" s="484"/>
      <c r="UXE6" s="484"/>
      <c r="UXF6" s="484"/>
      <c r="UXG6" s="484"/>
      <c r="UXH6" s="484"/>
      <c r="UXI6" s="484"/>
      <c r="UXJ6" s="484"/>
      <c r="UXK6" s="484"/>
      <c r="UXL6" s="484"/>
      <c r="UXM6" s="484"/>
      <c r="UXN6" s="484"/>
      <c r="UXO6" s="484"/>
      <c r="UXP6" s="484"/>
      <c r="UXQ6" s="484"/>
      <c r="UXR6" s="484"/>
      <c r="UXS6" s="484"/>
      <c r="UXT6" s="484"/>
      <c r="UXU6" s="484"/>
      <c r="UXV6" s="484"/>
      <c r="UXW6" s="484"/>
      <c r="UXX6" s="484"/>
      <c r="UXY6" s="484"/>
      <c r="UXZ6" s="484"/>
      <c r="UYA6" s="484"/>
      <c r="UYB6" s="484"/>
      <c r="UYC6" s="484"/>
      <c r="UYD6" s="484"/>
      <c r="UYE6" s="484"/>
      <c r="UYF6" s="484"/>
      <c r="UYG6" s="484"/>
      <c r="UYH6" s="484"/>
      <c r="UYI6" s="484"/>
      <c r="UYJ6" s="484"/>
      <c r="UYK6" s="484"/>
      <c r="UYL6" s="484"/>
      <c r="UYM6" s="484"/>
      <c r="UYN6" s="484"/>
      <c r="UYO6" s="484"/>
      <c r="UYP6" s="484"/>
      <c r="UYQ6" s="484"/>
      <c r="UYR6" s="484"/>
      <c r="UYS6" s="484"/>
      <c r="UYT6" s="484"/>
      <c r="UYU6" s="484"/>
      <c r="UYV6" s="484"/>
      <c r="UYW6" s="484"/>
      <c r="UYX6" s="484"/>
      <c r="UYY6" s="484"/>
      <c r="UYZ6" s="484"/>
      <c r="UZA6" s="484"/>
      <c r="UZB6" s="484"/>
      <c r="UZC6" s="484"/>
      <c r="UZD6" s="484"/>
      <c r="UZE6" s="484"/>
      <c r="UZF6" s="484"/>
      <c r="UZG6" s="484"/>
      <c r="UZH6" s="484"/>
      <c r="UZI6" s="484"/>
      <c r="UZJ6" s="484"/>
      <c r="UZK6" s="484"/>
      <c r="UZL6" s="484"/>
      <c r="UZM6" s="484"/>
      <c r="UZN6" s="484"/>
      <c r="UZO6" s="484"/>
      <c r="UZP6" s="484"/>
      <c r="UZQ6" s="484"/>
      <c r="UZR6" s="484"/>
      <c r="UZS6" s="484"/>
      <c r="UZT6" s="484"/>
      <c r="UZU6" s="484"/>
      <c r="UZV6" s="484"/>
      <c r="UZW6" s="484"/>
      <c r="UZX6" s="484"/>
      <c r="UZY6" s="484"/>
      <c r="UZZ6" s="484"/>
      <c r="VAA6" s="484"/>
      <c r="VAB6" s="484"/>
      <c r="VAC6" s="484"/>
      <c r="VAD6" s="484"/>
      <c r="VAE6" s="484"/>
      <c r="VAF6" s="484"/>
      <c r="VAG6" s="484"/>
      <c r="VAH6" s="484"/>
      <c r="VAI6" s="484"/>
      <c r="VAJ6" s="484"/>
      <c r="VAK6" s="484"/>
      <c r="VAL6" s="484"/>
      <c r="VAM6" s="484"/>
      <c r="VAN6" s="484"/>
      <c r="VAO6" s="484"/>
      <c r="VAP6" s="484"/>
      <c r="VAQ6" s="484"/>
      <c r="VAR6" s="484"/>
      <c r="VAS6" s="484"/>
      <c r="VAT6" s="484"/>
      <c r="VAU6" s="484"/>
      <c r="VAV6" s="484"/>
      <c r="VAW6" s="484"/>
      <c r="VAX6" s="484"/>
      <c r="VAY6" s="484"/>
      <c r="VAZ6" s="484"/>
      <c r="VBA6" s="484"/>
      <c r="VBB6" s="484"/>
      <c r="VBC6" s="484"/>
      <c r="VBD6" s="484"/>
      <c r="VBE6" s="484"/>
      <c r="VBF6" s="484"/>
      <c r="VBG6" s="484"/>
      <c r="VBH6" s="484"/>
      <c r="VBI6" s="484"/>
      <c r="VBJ6" s="484"/>
      <c r="VBK6" s="484"/>
      <c r="VBL6" s="484"/>
      <c r="VBM6" s="484"/>
      <c r="VBN6" s="484"/>
      <c r="VBO6" s="484"/>
      <c r="VBP6" s="484"/>
      <c r="VBQ6" s="484"/>
      <c r="VBR6" s="484"/>
      <c r="VBS6" s="484"/>
      <c r="VBT6" s="484"/>
      <c r="VBU6" s="484"/>
      <c r="VBV6" s="484"/>
      <c r="VBW6" s="484"/>
      <c r="VBX6" s="484"/>
      <c r="VBY6" s="484"/>
      <c r="VBZ6" s="484"/>
      <c r="VCA6" s="484"/>
      <c r="VCB6" s="484"/>
      <c r="VCC6" s="484"/>
      <c r="VCD6" s="484"/>
      <c r="VCE6" s="484"/>
      <c r="VCF6" s="484"/>
      <c r="VCG6" s="484"/>
      <c r="VCH6" s="484"/>
      <c r="VCI6" s="484"/>
      <c r="VCJ6" s="484"/>
      <c r="VCK6" s="484"/>
      <c r="VCL6" s="484"/>
      <c r="VCM6" s="484"/>
      <c r="VCN6" s="484"/>
      <c r="VCO6" s="484"/>
      <c r="VCP6" s="484"/>
      <c r="VCQ6" s="484"/>
      <c r="VCR6" s="484"/>
      <c r="VCS6" s="484"/>
      <c r="VCT6" s="484"/>
      <c r="VCU6" s="484"/>
      <c r="VCV6" s="484"/>
      <c r="VCW6" s="484"/>
      <c r="VCX6" s="484"/>
      <c r="VCY6" s="484"/>
      <c r="VCZ6" s="484"/>
      <c r="VDA6" s="484"/>
      <c r="VDB6" s="484"/>
      <c r="VDC6" s="484"/>
      <c r="VDD6" s="484"/>
      <c r="VDE6" s="484"/>
      <c r="VDF6" s="484"/>
      <c r="VDG6" s="484"/>
      <c r="VDH6" s="484"/>
      <c r="VDI6" s="484"/>
      <c r="VDJ6" s="484"/>
      <c r="VDK6" s="484"/>
      <c r="VDL6" s="484"/>
      <c r="VDM6" s="484"/>
      <c r="VDN6" s="484"/>
      <c r="VDO6" s="484"/>
      <c r="VDP6" s="484"/>
      <c r="VDQ6" s="484"/>
      <c r="VDR6" s="484"/>
      <c r="VDS6" s="484"/>
      <c r="VDT6" s="484"/>
      <c r="VDU6" s="484"/>
      <c r="VDV6" s="484"/>
      <c r="VDW6" s="484"/>
      <c r="VDX6" s="484"/>
      <c r="VDY6" s="484"/>
      <c r="VDZ6" s="484"/>
      <c r="VEA6" s="484"/>
      <c r="VEB6" s="484"/>
      <c r="VEC6" s="484"/>
      <c r="VED6" s="484"/>
      <c r="VEE6" s="484"/>
      <c r="VEF6" s="484"/>
      <c r="VEG6" s="484"/>
      <c r="VEH6" s="484"/>
      <c r="VEI6" s="484"/>
      <c r="VEJ6" s="484"/>
      <c r="VEK6" s="484"/>
      <c r="VEL6" s="484"/>
      <c r="VEM6" s="484"/>
      <c r="VEN6" s="484"/>
      <c r="VEO6" s="484"/>
      <c r="VEP6" s="484"/>
      <c r="VEQ6" s="484"/>
      <c r="VER6" s="484"/>
      <c r="VES6" s="484"/>
      <c r="VET6" s="484"/>
      <c r="VEU6" s="484"/>
      <c r="VEV6" s="484"/>
      <c r="VEW6" s="484"/>
      <c r="VEX6" s="484"/>
      <c r="VEY6" s="484"/>
      <c r="VEZ6" s="484"/>
      <c r="VFA6" s="484"/>
      <c r="VFB6" s="484"/>
      <c r="VFC6" s="484"/>
      <c r="VFD6" s="484"/>
      <c r="VFE6" s="484"/>
      <c r="VFF6" s="484"/>
      <c r="VFG6" s="484"/>
      <c r="VFH6" s="484"/>
      <c r="VFI6" s="484"/>
      <c r="VFJ6" s="484"/>
      <c r="VFK6" s="484"/>
      <c r="VFL6" s="484"/>
      <c r="VFM6" s="484"/>
      <c r="VFN6" s="484"/>
      <c r="VFO6" s="484"/>
      <c r="VFP6" s="484"/>
      <c r="VFQ6" s="484"/>
      <c r="VFR6" s="484"/>
      <c r="VFS6" s="484"/>
      <c r="VFT6" s="484"/>
      <c r="VFU6" s="484"/>
      <c r="VFV6" s="484"/>
      <c r="VFW6" s="484"/>
      <c r="VFX6" s="484"/>
      <c r="VFY6" s="484"/>
      <c r="VFZ6" s="484"/>
      <c r="VGA6" s="484"/>
      <c r="VGB6" s="484"/>
      <c r="VGC6" s="484"/>
      <c r="VGD6" s="484"/>
      <c r="VGE6" s="484"/>
      <c r="VGF6" s="484"/>
      <c r="VGG6" s="484"/>
      <c r="VGH6" s="484"/>
      <c r="VGI6" s="484"/>
      <c r="VGJ6" s="484"/>
      <c r="VGK6" s="484"/>
      <c r="VGL6" s="484"/>
      <c r="VGM6" s="484"/>
      <c r="VGN6" s="484"/>
      <c r="VGO6" s="484"/>
      <c r="VGP6" s="484"/>
      <c r="VGQ6" s="484"/>
      <c r="VGR6" s="484"/>
      <c r="VGS6" s="484"/>
      <c r="VGT6" s="484"/>
      <c r="VGU6" s="484"/>
      <c r="VGV6" s="484"/>
      <c r="VGW6" s="484"/>
      <c r="VGX6" s="484"/>
      <c r="VGY6" s="484"/>
      <c r="VGZ6" s="484"/>
      <c r="VHA6" s="484"/>
      <c r="VHB6" s="484"/>
      <c r="VHC6" s="484"/>
      <c r="VHD6" s="484"/>
      <c r="VHE6" s="484"/>
      <c r="VHF6" s="484"/>
      <c r="VHG6" s="484"/>
      <c r="VHH6" s="484"/>
      <c r="VHI6" s="484"/>
      <c r="VHJ6" s="484"/>
      <c r="VHK6" s="484"/>
      <c r="VHL6" s="484"/>
      <c r="VHM6" s="484"/>
      <c r="VHN6" s="484"/>
      <c r="VHO6" s="484"/>
      <c r="VHP6" s="484"/>
      <c r="VHQ6" s="484"/>
      <c r="VHR6" s="484"/>
      <c r="VHS6" s="484"/>
      <c r="VHT6" s="484"/>
      <c r="VHU6" s="484"/>
      <c r="VHV6" s="484"/>
      <c r="VHW6" s="484"/>
      <c r="VHX6" s="484"/>
      <c r="VHY6" s="484"/>
      <c r="VHZ6" s="484"/>
      <c r="VIA6" s="484"/>
      <c r="VIB6" s="484"/>
      <c r="VIC6" s="484"/>
      <c r="VID6" s="484"/>
      <c r="VIE6" s="484"/>
      <c r="VIF6" s="484"/>
      <c r="VIG6" s="484"/>
      <c r="VIH6" s="484"/>
      <c r="VII6" s="484"/>
      <c r="VIJ6" s="484"/>
      <c r="VIK6" s="484"/>
      <c r="VIL6" s="484"/>
      <c r="VIM6" s="484"/>
      <c r="VIN6" s="484"/>
      <c r="VIO6" s="484"/>
      <c r="VIP6" s="484"/>
      <c r="VIQ6" s="484"/>
      <c r="VIR6" s="484"/>
      <c r="VIS6" s="484"/>
      <c r="VIT6" s="484"/>
      <c r="VIU6" s="484"/>
      <c r="VIV6" s="484"/>
      <c r="VIW6" s="484"/>
      <c r="VIX6" s="484"/>
      <c r="VIY6" s="484"/>
      <c r="VIZ6" s="484"/>
      <c r="VJA6" s="484"/>
      <c r="VJB6" s="484"/>
      <c r="VJC6" s="484"/>
      <c r="VJD6" s="484"/>
      <c r="VJE6" s="484"/>
      <c r="VJF6" s="484"/>
      <c r="VJG6" s="484"/>
      <c r="VJH6" s="484"/>
      <c r="VJI6" s="484"/>
      <c r="VJJ6" s="484"/>
      <c r="VJK6" s="484"/>
      <c r="VJL6" s="484"/>
      <c r="VJM6" s="484"/>
      <c r="VJN6" s="484"/>
      <c r="VJO6" s="484"/>
      <c r="VJP6" s="484"/>
      <c r="VJQ6" s="484"/>
      <c r="VJR6" s="484"/>
      <c r="VJS6" s="484"/>
      <c r="VJT6" s="484"/>
      <c r="VJU6" s="484"/>
      <c r="VJV6" s="484"/>
      <c r="VJW6" s="484"/>
      <c r="VJX6" s="484"/>
      <c r="VJY6" s="484"/>
      <c r="VJZ6" s="484"/>
      <c r="VKA6" s="484"/>
      <c r="VKB6" s="484"/>
      <c r="VKC6" s="484"/>
      <c r="VKD6" s="484"/>
      <c r="VKE6" s="484"/>
      <c r="VKF6" s="484"/>
      <c r="VKG6" s="484"/>
      <c r="VKH6" s="484"/>
      <c r="VKI6" s="484"/>
      <c r="VKJ6" s="484"/>
      <c r="VKK6" s="484"/>
      <c r="VKL6" s="484"/>
      <c r="VKM6" s="484"/>
      <c r="VKN6" s="484"/>
      <c r="VKO6" s="484"/>
      <c r="VKP6" s="484"/>
      <c r="VKQ6" s="484"/>
      <c r="VKR6" s="484"/>
      <c r="VKS6" s="484"/>
      <c r="VKT6" s="484"/>
      <c r="VKU6" s="484"/>
      <c r="VKV6" s="484"/>
      <c r="VKW6" s="484"/>
      <c r="VKX6" s="484"/>
      <c r="VKY6" s="484"/>
      <c r="VKZ6" s="484"/>
      <c r="VLA6" s="484"/>
      <c r="VLB6" s="484"/>
      <c r="VLC6" s="484"/>
      <c r="VLD6" s="484"/>
      <c r="VLE6" s="484"/>
      <c r="VLF6" s="484"/>
      <c r="VLG6" s="484"/>
      <c r="VLH6" s="484"/>
      <c r="VLI6" s="484"/>
      <c r="VLJ6" s="484"/>
      <c r="VLK6" s="484"/>
      <c r="VLL6" s="484"/>
      <c r="VLM6" s="484"/>
      <c r="VLN6" s="484"/>
      <c r="VLO6" s="484"/>
      <c r="VLP6" s="484"/>
      <c r="VLQ6" s="484"/>
      <c r="VLR6" s="484"/>
      <c r="VLS6" s="484"/>
      <c r="VLT6" s="484"/>
      <c r="VLU6" s="484"/>
      <c r="VLV6" s="484"/>
      <c r="VLW6" s="484"/>
      <c r="VLX6" s="484"/>
      <c r="VLY6" s="484"/>
      <c r="VLZ6" s="484"/>
      <c r="VMA6" s="484"/>
      <c r="VMB6" s="484"/>
      <c r="VMC6" s="484"/>
      <c r="VMD6" s="484"/>
      <c r="VME6" s="484"/>
      <c r="VMF6" s="484"/>
      <c r="VMG6" s="484"/>
      <c r="VMH6" s="484"/>
      <c r="VMI6" s="484"/>
      <c r="VMJ6" s="484"/>
      <c r="VMK6" s="484"/>
      <c r="VML6" s="484"/>
      <c r="VMM6" s="484"/>
      <c r="VMN6" s="484"/>
      <c r="VMO6" s="484"/>
      <c r="VMP6" s="484"/>
      <c r="VMQ6" s="484"/>
      <c r="VMR6" s="484"/>
      <c r="VMS6" s="484"/>
      <c r="VMT6" s="484"/>
      <c r="VMU6" s="484"/>
      <c r="VMV6" s="484"/>
      <c r="VMW6" s="484"/>
      <c r="VMX6" s="484"/>
      <c r="VMY6" s="484"/>
      <c r="VMZ6" s="484"/>
      <c r="VNA6" s="484"/>
      <c r="VNB6" s="484"/>
      <c r="VNC6" s="484"/>
      <c r="VND6" s="484"/>
      <c r="VNE6" s="484"/>
      <c r="VNF6" s="484"/>
      <c r="VNG6" s="484"/>
      <c r="VNH6" s="484"/>
      <c r="VNI6" s="484"/>
      <c r="VNJ6" s="484"/>
      <c r="VNK6" s="484"/>
      <c r="VNL6" s="484"/>
      <c r="VNM6" s="484"/>
      <c r="VNN6" s="484"/>
      <c r="VNO6" s="484"/>
      <c r="VNP6" s="484"/>
      <c r="VNQ6" s="484"/>
      <c r="VNR6" s="484"/>
      <c r="VNS6" s="484"/>
      <c r="VNT6" s="484"/>
      <c r="VNU6" s="484"/>
      <c r="VNV6" s="484"/>
      <c r="VNW6" s="484"/>
      <c r="VNX6" s="484"/>
      <c r="VNY6" s="484"/>
      <c r="VNZ6" s="484"/>
      <c r="VOA6" s="484"/>
      <c r="VOB6" s="484"/>
      <c r="VOC6" s="484"/>
      <c r="VOD6" s="484"/>
      <c r="VOE6" s="484"/>
      <c r="VOF6" s="484"/>
      <c r="VOG6" s="484"/>
      <c r="VOH6" s="484"/>
      <c r="VOI6" s="484"/>
      <c r="VOJ6" s="484"/>
      <c r="VOK6" s="484"/>
      <c r="VOL6" s="484"/>
      <c r="VOM6" s="484"/>
      <c r="VON6" s="484"/>
      <c r="VOO6" s="484"/>
      <c r="VOP6" s="484"/>
      <c r="VOQ6" s="484"/>
      <c r="VOR6" s="484"/>
      <c r="VOS6" s="484"/>
      <c r="VOT6" s="484"/>
      <c r="VOU6" s="484"/>
      <c r="VOV6" s="484"/>
      <c r="VOW6" s="484"/>
      <c r="VOX6" s="484"/>
      <c r="VOY6" s="484"/>
      <c r="VOZ6" s="484"/>
      <c r="VPA6" s="484"/>
      <c r="VPB6" s="484"/>
      <c r="VPC6" s="484"/>
      <c r="VPD6" s="484"/>
      <c r="VPE6" s="484"/>
      <c r="VPF6" s="484"/>
      <c r="VPG6" s="484"/>
      <c r="VPH6" s="484"/>
      <c r="VPI6" s="484"/>
      <c r="VPJ6" s="484"/>
      <c r="VPK6" s="484"/>
      <c r="VPL6" s="484"/>
      <c r="VPM6" s="484"/>
      <c r="VPN6" s="484"/>
      <c r="VPO6" s="484"/>
      <c r="VPP6" s="484"/>
      <c r="VPQ6" s="484"/>
      <c r="VPR6" s="484"/>
      <c r="VPS6" s="484"/>
      <c r="VPT6" s="484"/>
      <c r="VPU6" s="484"/>
      <c r="VPV6" s="484"/>
      <c r="VPW6" s="484"/>
      <c r="VPX6" s="484"/>
      <c r="VPY6" s="484"/>
      <c r="VPZ6" s="484"/>
      <c r="VQA6" s="484"/>
      <c r="VQB6" s="484"/>
      <c r="VQC6" s="484"/>
      <c r="VQD6" s="484"/>
      <c r="VQE6" s="484"/>
      <c r="VQF6" s="484"/>
      <c r="VQG6" s="484"/>
      <c r="VQH6" s="484"/>
      <c r="VQI6" s="484"/>
      <c r="VQJ6" s="484"/>
      <c r="VQK6" s="484"/>
      <c r="VQL6" s="484"/>
      <c r="VQM6" s="484"/>
      <c r="VQN6" s="484"/>
      <c r="VQO6" s="484"/>
      <c r="VQP6" s="484"/>
      <c r="VQQ6" s="484"/>
      <c r="VQR6" s="484"/>
      <c r="VQS6" s="484"/>
      <c r="VQT6" s="484"/>
      <c r="VQU6" s="484"/>
      <c r="VQV6" s="484"/>
      <c r="VQW6" s="484"/>
      <c r="VQX6" s="484"/>
      <c r="VQY6" s="484"/>
      <c r="VQZ6" s="484"/>
      <c r="VRA6" s="484"/>
      <c r="VRB6" s="484"/>
      <c r="VRC6" s="484"/>
      <c r="VRD6" s="484"/>
      <c r="VRE6" s="484"/>
      <c r="VRF6" s="484"/>
      <c r="VRG6" s="484"/>
      <c r="VRH6" s="484"/>
      <c r="VRI6" s="484"/>
      <c r="VRJ6" s="484"/>
      <c r="VRK6" s="484"/>
      <c r="VRL6" s="484"/>
      <c r="VRM6" s="484"/>
      <c r="VRN6" s="484"/>
      <c r="VRO6" s="484"/>
      <c r="VRP6" s="484"/>
      <c r="VRQ6" s="484"/>
      <c r="VRR6" s="484"/>
      <c r="VRS6" s="484"/>
      <c r="VRT6" s="484"/>
      <c r="VRU6" s="484"/>
      <c r="VRV6" s="484"/>
      <c r="VRW6" s="484"/>
      <c r="VRX6" s="484"/>
      <c r="VRY6" s="484"/>
      <c r="VRZ6" s="484"/>
      <c r="VSA6" s="484"/>
      <c r="VSB6" s="484"/>
      <c r="VSC6" s="484"/>
      <c r="VSD6" s="484"/>
      <c r="VSE6" s="484"/>
      <c r="VSF6" s="484"/>
      <c r="VSG6" s="484"/>
      <c r="VSH6" s="484"/>
      <c r="VSI6" s="484"/>
      <c r="VSJ6" s="484"/>
      <c r="VSK6" s="484"/>
      <c r="VSL6" s="484"/>
      <c r="VSM6" s="484"/>
      <c r="VSN6" s="484"/>
      <c r="VSO6" s="484"/>
      <c r="VSP6" s="484"/>
      <c r="VSQ6" s="484"/>
      <c r="VSR6" s="484"/>
      <c r="VSS6" s="484"/>
      <c r="VST6" s="484"/>
      <c r="VSU6" s="484"/>
      <c r="VSV6" s="484"/>
      <c r="VSW6" s="484"/>
      <c r="VSX6" s="484"/>
      <c r="VSY6" s="484"/>
      <c r="VSZ6" s="484"/>
      <c r="VTA6" s="484"/>
      <c r="VTB6" s="484"/>
      <c r="VTC6" s="484"/>
      <c r="VTD6" s="484"/>
      <c r="VTE6" s="484"/>
      <c r="VTF6" s="484"/>
      <c r="VTG6" s="484"/>
      <c r="VTH6" s="484"/>
      <c r="VTI6" s="484"/>
      <c r="VTJ6" s="484"/>
      <c r="VTK6" s="484"/>
      <c r="VTL6" s="484"/>
      <c r="VTM6" s="484"/>
      <c r="VTN6" s="484"/>
      <c r="VTO6" s="484"/>
      <c r="VTP6" s="484"/>
      <c r="VTQ6" s="484"/>
      <c r="VTR6" s="484"/>
      <c r="VTS6" s="484"/>
      <c r="VTT6" s="484"/>
      <c r="VTU6" s="484"/>
      <c r="VTV6" s="484"/>
      <c r="VTW6" s="484"/>
      <c r="VTX6" s="484"/>
      <c r="VTY6" s="484"/>
      <c r="VTZ6" s="484"/>
      <c r="VUA6" s="484"/>
      <c r="VUB6" s="484"/>
      <c r="VUC6" s="484"/>
      <c r="VUD6" s="484"/>
      <c r="VUE6" s="484"/>
      <c r="VUF6" s="484"/>
      <c r="VUG6" s="484"/>
      <c r="VUH6" s="484"/>
      <c r="VUI6" s="484"/>
      <c r="VUJ6" s="484"/>
      <c r="VUK6" s="484"/>
      <c r="VUL6" s="484"/>
      <c r="VUM6" s="484"/>
      <c r="VUN6" s="484"/>
      <c r="VUO6" s="484"/>
      <c r="VUP6" s="484"/>
      <c r="VUQ6" s="484"/>
      <c r="VUR6" s="484"/>
      <c r="VUS6" s="484"/>
      <c r="VUT6" s="484"/>
      <c r="VUU6" s="484"/>
      <c r="VUV6" s="484"/>
      <c r="VUW6" s="484"/>
      <c r="VUX6" s="484"/>
      <c r="VUY6" s="484"/>
      <c r="VUZ6" s="484"/>
      <c r="VVA6" s="484"/>
      <c r="VVB6" s="484"/>
      <c r="VVC6" s="484"/>
      <c r="VVD6" s="484"/>
      <c r="VVE6" s="484"/>
      <c r="VVF6" s="484"/>
      <c r="VVG6" s="484"/>
      <c r="VVH6" s="484"/>
      <c r="VVI6" s="484"/>
      <c r="VVJ6" s="484"/>
      <c r="VVK6" s="484"/>
      <c r="VVL6" s="484"/>
      <c r="VVM6" s="484"/>
      <c r="VVN6" s="484"/>
      <c r="VVO6" s="484"/>
      <c r="VVP6" s="484"/>
      <c r="VVQ6" s="484"/>
      <c r="VVR6" s="484"/>
      <c r="VVS6" s="484"/>
      <c r="VVT6" s="484"/>
      <c r="VVU6" s="484"/>
      <c r="VVV6" s="484"/>
      <c r="VVW6" s="484"/>
      <c r="VVX6" s="484"/>
      <c r="VVY6" s="484"/>
      <c r="VVZ6" s="484"/>
      <c r="VWA6" s="484"/>
      <c r="VWB6" s="484"/>
      <c r="VWC6" s="484"/>
      <c r="VWD6" s="484"/>
      <c r="VWE6" s="484"/>
      <c r="VWF6" s="484"/>
      <c r="VWG6" s="484"/>
      <c r="VWH6" s="484"/>
      <c r="VWI6" s="484"/>
      <c r="VWJ6" s="484"/>
      <c r="VWK6" s="484"/>
      <c r="VWL6" s="484"/>
      <c r="VWM6" s="484"/>
      <c r="VWN6" s="484"/>
      <c r="VWO6" s="484"/>
      <c r="VWP6" s="484"/>
      <c r="VWQ6" s="484"/>
      <c r="VWR6" s="484"/>
      <c r="VWS6" s="484"/>
      <c r="VWT6" s="484"/>
      <c r="VWU6" s="484"/>
      <c r="VWV6" s="484"/>
      <c r="VWW6" s="484"/>
      <c r="VWX6" s="484"/>
      <c r="VWY6" s="484"/>
      <c r="VWZ6" s="484"/>
      <c r="VXA6" s="484"/>
      <c r="VXB6" s="484"/>
      <c r="VXC6" s="484"/>
      <c r="VXD6" s="484"/>
      <c r="VXE6" s="484"/>
      <c r="VXF6" s="484"/>
      <c r="VXG6" s="484"/>
      <c r="VXH6" s="484"/>
      <c r="VXI6" s="484"/>
      <c r="VXJ6" s="484"/>
      <c r="VXK6" s="484"/>
      <c r="VXL6" s="484"/>
      <c r="VXM6" s="484"/>
      <c r="VXN6" s="484"/>
      <c r="VXO6" s="484"/>
      <c r="VXP6" s="484"/>
      <c r="VXQ6" s="484"/>
      <c r="VXR6" s="484"/>
      <c r="VXS6" s="484"/>
      <c r="VXT6" s="484"/>
      <c r="VXU6" s="484"/>
      <c r="VXV6" s="484"/>
      <c r="VXW6" s="484"/>
      <c r="VXX6" s="484"/>
      <c r="VXY6" s="484"/>
      <c r="VXZ6" s="484"/>
      <c r="VYA6" s="484"/>
      <c r="VYB6" s="484"/>
      <c r="VYC6" s="484"/>
      <c r="VYD6" s="484"/>
      <c r="VYE6" s="484"/>
      <c r="VYF6" s="484"/>
      <c r="VYG6" s="484"/>
      <c r="VYH6" s="484"/>
      <c r="VYI6" s="484"/>
      <c r="VYJ6" s="484"/>
      <c r="VYK6" s="484"/>
      <c r="VYL6" s="484"/>
      <c r="VYM6" s="484"/>
      <c r="VYN6" s="484"/>
      <c r="VYO6" s="484"/>
      <c r="VYP6" s="484"/>
      <c r="VYQ6" s="484"/>
      <c r="VYR6" s="484"/>
      <c r="VYS6" s="484"/>
      <c r="VYT6" s="484"/>
      <c r="VYU6" s="484"/>
      <c r="VYV6" s="484"/>
      <c r="VYW6" s="484"/>
      <c r="VYX6" s="484"/>
      <c r="VYY6" s="484"/>
      <c r="VYZ6" s="484"/>
      <c r="VZA6" s="484"/>
      <c r="VZB6" s="484"/>
      <c r="VZC6" s="484"/>
      <c r="VZD6" s="484"/>
      <c r="VZE6" s="484"/>
      <c r="VZF6" s="484"/>
      <c r="VZG6" s="484"/>
      <c r="VZH6" s="484"/>
      <c r="VZI6" s="484"/>
      <c r="VZJ6" s="484"/>
      <c r="VZK6" s="484"/>
      <c r="VZL6" s="484"/>
      <c r="VZM6" s="484"/>
      <c r="VZN6" s="484"/>
      <c r="VZO6" s="484"/>
      <c r="VZP6" s="484"/>
      <c r="VZQ6" s="484"/>
      <c r="VZR6" s="484"/>
      <c r="VZS6" s="484"/>
      <c r="VZT6" s="484"/>
      <c r="VZU6" s="484"/>
      <c r="VZV6" s="484"/>
      <c r="VZW6" s="484"/>
      <c r="VZX6" s="484"/>
      <c r="VZY6" s="484"/>
      <c r="VZZ6" s="484"/>
      <c r="WAA6" s="484"/>
      <c r="WAB6" s="484"/>
      <c r="WAC6" s="484"/>
      <c r="WAD6" s="484"/>
      <c r="WAE6" s="484"/>
      <c r="WAF6" s="484"/>
      <c r="WAG6" s="484"/>
      <c r="WAH6" s="484"/>
      <c r="WAI6" s="484"/>
      <c r="WAJ6" s="484"/>
      <c r="WAK6" s="484"/>
      <c r="WAL6" s="484"/>
      <c r="WAM6" s="484"/>
      <c r="WAN6" s="484"/>
      <c r="WAO6" s="484"/>
      <c r="WAP6" s="484"/>
      <c r="WAQ6" s="484"/>
      <c r="WAR6" s="484"/>
      <c r="WAS6" s="484"/>
      <c r="WAT6" s="484"/>
      <c r="WAU6" s="484"/>
      <c r="WAV6" s="484"/>
      <c r="WAW6" s="484"/>
      <c r="WAX6" s="484"/>
      <c r="WAY6" s="484"/>
      <c r="WAZ6" s="484"/>
      <c r="WBA6" s="484"/>
      <c r="WBB6" s="484"/>
      <c r="WBC6" s="484"/>
      <c r="WBD6" s="484"/>
      <c r="WBE6" s="484"/>
      <c r="WBF6" s="484"/>
      <c r="WBG6" s="484"/>
      <c r="WBH6" s="484"/>
      <c r="WBI6" s="484"/>
      <c r="WBJ6" s="484"/>
      <c r="WBK6" s="484"/>
      <c r="WBL6" s="484"/>
      <c r="WBM6" s="484"/>
      <c r="WBN6" s="484"/>
      <c r="WBO6" s="484"/>
      <c r="WBP6" s="484"/>
      <c r="WBQ6" s="484"/>
      <c r="WBR6" s="484"/>
      <c r="WBS6" s="484"/>
      <c r="WBT6" s="484"/>
      <c r="WBU6" s="484"/>
      <c r="WBV6" s="484"/>
      <c r="WBW6" s="484"/>
      <c r="WBX6" s="484"/>
      <c r="WBY6" s="484"/>
      <c r="WBZ6" s="484"/>
      <c r="WCA6" s="484"/>
      <c r="WCB6" s="484"/>
      <c r="WCC6" s="484"/>
      <c r="WCD6" s="484"/>
      <c r="WCE6" s="484"/>
      <c r="WCF6" s="484"/>
      <c r="WCG6" s="484"/>
      <c r="WCH6" s="484"/>
      <c r="WCI6" s="484"/>
      <c r="WCJ6" s="484"/>
      <c r="WCK6" s="484"/>
      <c r="WCL6" s="484"/>
      <c r="WCM6" s="484"/>
      <c r="WCN6" s="484"/>
      <c r="WCO6" s="484"/>
      <c r="WCP6" s="484"/>
      <c r="WCQ6" s="484"/>
      <c r="WCR6" s="484"/>
      <c r="WCS6" s="484"/>
      <c r="WCT6" s="484"/>
      <c r="WCU6" s="484"/>
      <c r="WCV6" s="484"/>
      <c r="WCW6" s="484"/>
      <c r="WCX6" s="484"/>
      <c r="WCY6" s="484"/>
      <c r="WCZ6" s="484"/>
      <c r="WDA6" s="484"/>
      <c r="WDB6" s="484"/>
      <c r="WDC6" s="484"/>
      <c r="WDD6" s="484"/>
      <c r="WDE6" s="484"/>
      <c r="WDF6" s="484"/>
      <c r="WDG6" s="484"/>
      <c r="WDH6" s="484"/>
      <c r="WDI6" s="484"/>
      <c r="WDJ6" s="484"/>
      <c r="WDK6" s="484"/>
      <c r="WDL6" s="484"/>
      <c r="WDM6" s="484"/>
      <c r="WDN6" s="484"/>
      <c r="WDO6" s="484"/>
      <c r="WDP6" s="484"/>
      <c r="WDQ6" s="484"/>
      <c r="WDR6" s="484"/>
      <c r="WDS6" s="484"/>
      <c r="WDT6" s="484"/>
      <c r="WDU6" s="484"/>
      <c r="WDV6" s="484"/>
      <c r="WDW6" s="484"/>
      <c r="WDX6" s="484"/>
      <c r="WDY6" s="484"/>
      <c r="WDZ6" s="484"/>
      <c r="WEA6" s="484"/>
      <c r="WEB6" s="484"/>
      <c r="WEC6" s="484"/>
      <c r="WED6" s="484"/>
      <c r="WEE6" s="484"/>
      <c r="WEF6" s="484"/>
      <c r="WEG6" s="484"/>
      <c r="WEH6" s="484"/>
      <c r="WEI6" s="484"/>
      <c r="WEJ6" s="484"/>
      <c r="WEK6" s="484"/>
      <c r="WEL6" s="484"/>
      <c r="WEM6" s="484"/>
      <c r="WEN6" s="484"/>
      <c r="WEO6" s="484"/>
      <c r="WEP6" s="484"/>
      <c r="WEQ6" s="484"/>
      <c r="WER6" s="484"/>
      <c r="WES6" s="484"/>
      <c r="WET6" s="484"/>
      <c r="WEU6" s="484"/>
      <c r="WEV6" s="484"/>
      <c r="WEW6" s="484"/>
      <c r="WEX6" s="484"/>
      <c r="WEY6" s="484"/>
      <c r="WEZ6" s="484"/>
      <c r="WFA6" s="484"/>
      <c r="WFB6" s="484"/>
      <c r="WFC6" s="484"/>
      <c r="WFD6" s="484"/>
      <c r="WFE6" s="484"/>
      <c r="WFF6" s="484"/>
      <c r="WFG6" s="484"/>
      <c r="WFH6" s="484"/>
      <c r="WFI6" s="484"/>
      <c r="WFJ6" s="484"/>
      <c r="WFK6" s="484"/>
      <c r="WFL6" s="484"/>
      <c r="WFM6" s="484"/>
      <c r="WFN6" s="484"/>
      <c r="WFO6" s="484"/>
      <c r="WFP6" s="484"/>
      <c r="WFQ6" s="484"/>
      <c r="WFR6" s="484"/>
      <c r="WFS6" s="484"/>
      <c r="WFT6" s="484"/>
      <c r="WFU6" s="484"/>
      <c r="WFV6" s="484"/>
      <c r="WFW6" s="484"/>
      <c r="WFX6" s="484"/>
      <c r="WFY6" s="484"/>
      <c r="WFZ6" s="484"/>
      <c r="WGA6" s="484"/>
      <c r="WGB6" s="484"/>
      <c r="WGC6" s="484"/>
      <c r="WGD6" s="484"/>
      <c r="WGE6" s="484"/>
      <c r="WGF6" s="484"/>
      <c r="WGG6" s="484"/>
      <c r="WGH6" s="484"/>
      <c r="WGI6" s="484"/>
      <c r="WGJ6" s="484"/>
      <c r="WGK6" s="484"/>
      <c r="WGL6" s="484"/>
      <c r="WGM6" s="484"/>
      <c r="WGN6" s="484"/>
      <c r="WGO6" s="484"/>
      <c r="WGP6" s="484"/>
      <c r="WGQ6" s="484"/>
      <c r="WGR6" s="484"/>
      <c r="WGS6" s="484"/>
      <c r="WGT6" s="484"/>
      <c r="WGU6" s="484"/>
      <c r="WGV6" s="484"/>
      <c r="WGW6" s="484"/>
      <c r="WGX6" s="484"/>
      <c r="WGY6" s="484"/>
      <c r="WGZ6" s="484"/>
      <c r="WHA6" s="484"/>
      <c r="WHB6" s="484"/>
      <c r="WHC6" s="484"/>
      <c r="WHD6" s="484"/>
      <c r="WHE6" s="484"/>
      <c r="WHF6" s="484"/>
      <c r="WHG6" s="484"/>
      <c r="WHH6" s="484"/>
      <c r="WHI6" s="484"/>
      <c r="WHJ6" s="484"/>
      <c r="WHK6" s="484"/>
      <c r="WHL6" s="484"/>
      <c r="WHM6" s="484"/>
      <c r="WHN6" s="484"/>
      <c r="WHO6" s="484"/>
      <c r="WHP6" s="484"/>
      <c r="WHQ6" s="484"/>
      <c r="WHR6" s="484"/>
      <c r="WHS6" s="484"/>
      <c r="WHT6" s="484"/>
      <c r="WHU6" s="484"/>
      <c r="WHV6" s="484"/>
      <c r="WHW6" s="484"/>
      <c r="WHX6" s="484"/>
      <c r="WHY6" s="484"/>
      <c r="WHZ6" s="484"/>
      <c r="WIA6" s="484"/>
      <c r="WIB6" s="484"/>
      <c r="WIC6" s="484"/>
      <c r="WID6" s="484"/>
      <c r="WIE6" s="484"/>
      <c r="WIF6" s="484"/>
      <c r="WIG6" s="484"/>
      <c r="WIH6" s="484"/>
      <c r="WII6" s="484"/>
      <c r="WIJ6" s="484"/>
      <c r="WIK6" s="484"/>
      <c r="WIL6" s="484"/>
      <c r="WIM6" s="484"/>
      <c r="WIN6" s="484"/>
      <c r="WIO6" s="484"/>
      <c r="WIP6" s="484"/>
      <c r="WIQ6" s="484"/>
      <c r="WIR6" s="484"/>
      <c r="WIS6" s="484"/>
      <c r="WIT6" s="484"/>
      <c r="WIU6" s="484"/>
      <c r="WIV6" s="484"/>
      <c r="WIW6" s="484"/>
      <c r="WIX6" s="484"/>
      <c r="WIY6" s="484"/>
      <c r="WIZ6" s="484"/>
      <c r="WJA6" s="484"/>
      <c r="WJB6" s="484"/>
      <c r="WJC6" s="484"/>
      <c r="WJD6" s="484"/>
      <c r="WJE6" s="484"/>
      <c r="WJF6" s="484"/>
      <c r="WJG6" s="484"/>
      <c r="WJH6" s="484"/>
      <c r="WJI6" s="484"/>
      <c r="WJJ6" s="484"/>
      <c r="WJK6" s="484"/>
      <c r="WJL6" s="484"/>
      <c r="WJM6" s="484"/>
      <c r="WJN6" s="484"/>
      <c r="WJO6" s="484"/>
      <c r="WJP6" s="484"/>
      <c r="WJQ6" s="484"/>
      <c r="WJR6" s="484"/>
      <c r="WJS6" s="484"/>
      <c r="WJT6" s="484"/>
      <c r="WJU6" s="484"/>
      <c r="WJV6" s="484"/>
      <c r="WJW6" s="484"/>
      <c r="WJX6" s="484"/>
      <c r="WJY6" s="484"/>
      <c r="WJZ6" s="484"/>
      <c r="WKA6" s="484"/>
      <c r="WKB6" s="484"/>
      <c r="WKC6" s="484"/>
      <c r="WKD6" s="484"/>
      <c r="WKE6" s="484"/>
      <c r="WKF6" s="484"/>
      <c r="WKG6" s="484"/>
      <c r="WKH6" s="484"/>
      <c r="WKI6" s="484"/>
      <c r="WKJ6" s="484"/>
      <c r="WKK6" s="484"/>
      <c r="WKL6" s="484"/>
      <c r="WKM6" s="484"/>
      <c r="WKN6" s="484"/>
      <c r="WKO6" s="484"/>
      <c r="WKP6" s="484"/>
      <c r="WKQ6" s="484"/>
      <c r="WKR6" s="484"/>
      <c r="WKS6" s="484"/>
      <c r="WKT6" s="484"/>
      <c r="WKU6" s="484"/>
      <c r="WKV6" s="484"/>
      <c r="WKW6" s="484"/>
      <c r="WKX6" s="484"/>
      <c r="WKY6" s="484"/>
      <c r="WKZ6" s="484"/>
      <c r="WLA6" s="484"/>
      <c r="WLB6" s="484"/>
      <c r="WLC6" s="484"/>
      <c r="WLD6" s="484"/>
      <c r="WLE6" s="484"/>
      <c r="WLF6" s="484"/>
      <c r="WLG6" s="484"/>
      <c r="WLH6" s="484"/>
      <c r="WLI6" s="484"/>
      <c r="WLJ6" s="484"/>
      <c r="WLK6" s="484"/>
      <c r="WLL6" s="484"/>
      <c r="WLM6" s="484"/>
      <c r="WLN6" s="484"/>
      <c r="WLO6" s="484"/>
      <c r="WLP6" s="484"/>
      <c r="WLQ6" s="484"/>
      <c r="WLR6" s="484"/>
      <c r="WLS6" s="484"/>
      <c r="WLT6" s="484"/>
      <c r="WLU6" s="484"/>
      <c r="WLV6" s="484"/>
      <c r="WLW6" s="484"/>
      <c r="WLX6" s="484"/>
      <c r="WLY6" s="484"/>
      <c r="WLZ6" s="484"/>
      <c r="WMA6" s="484"/>
      <c r="WMB6" s="484"/>
      <c r="WMC6" s="484"/>
      <c r="WMD6" s="484"/>
      <c r="WME6" s="484"/>
      <c r="WMF6" s="484"/>
      <c r="WMG6" s="484"/>
      <c r="WMH6" s="484"/>
      <c r="WMI6" s="484"/>
      <c r="WMJ6" s="484"/>
      <c r="WMK6" s="484"/>
      <c r="WML6" s="484"/>
      <c r="WMM6" s="484"/>
      <c r="WMN6" s="484"/>
      <c r="WMO6" s="484"/>
      <c r="WMP6" s="484"/>
      <c r="WMQ6" s="484"/>
      <c r="WMR6" s="484"/>
      <c r="WMS6" s="484"/>
      <c r="WMT6" s="484"/>
      <c r="WMU6" s="484"/>
      <c r="WMV6" s="484"/>
      <c r="WMW6" s="484"/>
      <c r="WMX6" s="484"/>
      <c r="WMY6" s="484"/>
      <c r="WMZ6" s="484"/>
      <c r="WNA6" s="484"/>
      <c r="WNB6" s="484"/>
      <c r="WNC6" s="484"/>
      <c r="WND6" s="484"/>
      <c r="WNE6" s="484"/>
      <c r="WNF6" s="484"/>
      <c r="WNG6" s="484"/>
      <c r="WNH6" s="484"/>
      <c r="WNI6" s="484"/>
      <c r="WNJ6" s="484"/>
      <c r="WNK6" s="484"/>
      <c r="WNL6" s="484"/>
      <c r="WNM6" s="484"/>
      <c r="WNN6" s="484"/>
      <c r="WNO6" s="484"/>
      <c r="WNP6" s="484"/>
      <c r="WNQ6" s="484"/>
      <c r="WNR6" s="484"/>
      <c r="WNS6" s="484"/>
      <c r="WNT6" s="484"/>
      <c r="WNU6" s="484"/>
      <c r="WNV6" s="484"/>
      <c r="WNW6" s="484"/>
      <c r="WNX6" s="484"/>
      <c r="WNY6" s="484"/>
      <c r="WNZ6" s="484"/>
      <c r="WOA6" s="484"/>
      <c r="WOB6" s="484"/>
      <c r="WOC6" s="484"/>
      <c r="WOD6" s="484"/>
      <c r="WOE6" s="484"/>
      <c r="WOF6" s="484"/>
      <c r="WOG6" s="484"/>
      <c r="WOH6" s="484"/>
      <c r="WOI6" s="484"/>
      <c r="WOJ6" s="484"/>
      <c r="WOK6" s="484"/>
      <c r="WOL6" s="484"/>
      <c r="WOM6" s="484"/>
      <c r="WON6" s="484"/>
      <c r="WOO6" s="484"/>
      <c r="WOP6" s="484"/>
      <c r="WOQ6" s="484"/>
      <c r="WOR6" s="484"/>
      <c r="WOS6" s="484"/>
      <c r="WOT6" s="484"/>
      <c r="WOU6" s="484"/>
      <c r="WOV6" s="484"/>
      <c r="WOW6" s="484"/>
      <c r="WOX6" s="484"/>
      <c r="WOY6" s="484"/>
      <c r="WOZ6" s="484"/>
      <c r="WPA6" s="484"/>
      <c r="WPB6" s="484"/>
      <c r="WPC6" s="484"/>
      <c r="WPD6" s="484"/>
      <c r="WPE6" s="484"/>
      <c r="WPF6" s="484"/>
      <c r="WPG6" s="484"/>
      <c r="WPH6" s="484"/>
      <c r="WPI6" s="484"/>
      <c r="WPJ6" s="484"/>
      <c r="WPK6" s="484"/>
      <c r="WPL6" s="484"/>
      <c r="WPM6" s="484"/>
      <c r="WPN6" s="484"/>
      <c r="WPO6" s="484"/>
      <c r="WPP6" s="484"/>
      <c r="WPQ6" s="484"/>
      <c r="WPR6" s="484"/>
      <c r="WPS6" s="484"/>
      <c r="WPT6" s="484"/>
      <c r="WPU6" s="484"/>
      <c r="WPV6" s="484"/>
      <c r="WPW6" s="484"/>
      <c r="WPX6" s="484"/>
      <c r="WPY6" s="484"/>
      <c r="WPZ6" s="484"/>
      <c r="WQA6" s="484"/>
      <c r="WQB6" s="484"/>
      <c r="WQC6" s="484"/>
      <c r="WQD6" s="484"/>
      <c r="WQE6" s="484"/>
      <c r="WQF6" s="484"/>
      <c r="WQG6" s="484"/>
      <c r="WQH6" s="484"/>
      <c r="WQI6" s="484"/>
      <c r="WQJ6" s="484"/>
      <c r="WQK6" s="484"/>
      <c r="WQL6" s="484"/>
      <c r="WQM6" s="484"/>
      <c r="WQN6" s="484"/>
      <c r="WQO6" s="484"/>
      <c r="WQP6" s="484"/>
      <c r="WQQ6" s="484"/>
      <c r="WQR6" s="484"/>
      <c r="WQS6" s="484"/>
      <c r="WQT6" s="484"/>
      <c r="WQU6" s="484"/>
      <c r="WQV6" s="484"/>
      <c r="WQW6" s="484"/>
      <c r="WQX6" s="484"/>
      <c r="WQY6" s="484"/>
      <c r="WQZ6" s="484"/>
      <c r="WRA6" s="484"/>
      <c r="WRB6" s="484"/>
      <c r="WRC6" s="484"/>
      <c r="WRD6" s="484"/>
      <c r="WRE6" s="484"/>
      <c r="WRF6" s="484"/>
      <c r="WRG6" s="484"/>
      <c r="WRH6" s="484"/>
      <c r="WRI6" s="484"/>
      <c r="WRJ6" s="484"/>
      <c r="WRK6" s="484"/>
      <c r="WRL6" s="484"/>
      <c r="WRM6" s="484"/>
      <c r="WRN6" s="484"/>
      <c r="WRO6" s="484"/>
      <c r="WRP6" s="484"/>
      <c r="WRQ6" s="484"/>
      <c r="WRR6" s="484"/>
      <c r="WRS6" s="484"/>
      <c r="WRT6" s="484"/>
      <c r="WRU6" s="484"/>
      <c r="WRV6" s="484"/>
      <c r="WRW6" s="484"/>
      <c r="WRX6" s="484"/>
      <c r="WRY6" s="484"/>
      <c r="WRZ6" s="484"/>
      <c r="WSA6" s="484"/>
      <c r="WSB6" s="484"/>
      <c r="WSC6" s="484"/>
      <c r="WSD6" s="484"/>
      <c r="WSE6" s="484"/>
      <c r="WSF6" s="484"/>
      <c r="WSG6" s="484"/>
      <c r="WSH6" s="484"/>
      <c r="WSI6" s="484"/>
      <c r="WSJ6" s="484"/>
      <c r="WSK6" s="484"/>
      <c r="WSL6" s="484"/>
      <c r="WSM6" s="484"/>
      <c r="WSN6" s="484"/>
      <c r="WSO6" s="484"/>
      <c r="WSP6" s="484"/>
      <c r="WSQ6" s="484"/>
      <c r="WSR6" s="484"/>
      <c r="WSS6" s="484"/>
      <c r="WST6" s="484"/>
      <c r="WSU6" s="484"/>
      <c r="WSV6" s="484"/>
      <c r="WSW6" s="484"/>
      <c r="WSX6" s="484"/>
      <c r="WSY6" s="484"/>
      <c r="WSZ6" s="484"/>
      <c r="WTA6" s="484"/>
      <c r="WTB6" s="484"/>
      <c r="WTC6" s="484"/>
      <c r="WTD6" s="484"/>
      <c r="WTE6" s="484"/>
      <c r="WTF6" s="484"/>
      <c r="WTG6" s="484"/>
      <c r="WTH6" s="484"/>
      <c r="WTI6" s="484"/>
      <c r="WTJ6" s="484"/>
      <c r="WTK6" s="484"/>
      <c r="WTL6" s="484"/>
      <c r="WTM6" s="484"/>
      <c r="WTN6" s="484"/>
      <c r="WTO6" s="484"/>
      <c r="WTP6" s="484"/>
      <c r="WTQ6" s="484"/>
      <c r="WTR6" s="484"/>
      <c r="WTS6" s="484"/>
      <c r="WTT6" s="484"/>
      <c r="WTU6" s="484"/>
      <c r="WTV6" s="484"/>
      <c r="WTW6" s="484"/>
      <c r="WTX6" s="484"/>
      <c r="WTY6" s="484"/>
      <c r="WTZ6" s="484"/>
      <c r="WUA6" s="484"/>
      <c r="WUB6" s="484"/>
      <c r="WUC6" s="484"/>
      <c r="WUD6" s="484"/>
      <c r="WUE6" s="484"/>
      <c r="WUF6" s="484"/>
      <c r="WUG6" s="484"/>
      <c r="WUH6" s="484"/>
      <c r="WUI6" s="484"/>
      <c r="WUJ6" s="484"/>
      <c r="WUK6" s="484"/>
      <c r="WUL6" s="484"/>
      <c r="WUM6" s="484"/>
      <c r="WUN6" s="484"/>
      <c r="WUO6" s="484"/>
      <c r="WUP6" s="484"/>
      <c r="WUQ6" s="484"/>
      <c r="WUR6" s="484"/>
      <c r="WUS6" s="484"/>
      <c r="WUT6" s="484"/>
      <c r="WUU6" s="484"/>
      <c r="WUV6" s="484"/>
      <c r="WUW6" s="484"/>
      <c r="WUX6" s="484"/>
      <c r="WUY6" s="484"/>
      <c r="WUZ6" s="484"/>
      <c r="WVA6" s="484"/>
      <c r="WVB6" s="484"/>
      <c r="WVC6" s="484"/>
      <c r="WVD6" s="484"/>
      <c r="WVE6" s="484"/>
      <c r="WVF6" s="484"/>
      <c r="WVG6" s="484"/>
      <c r="WVH6" s="484"/>
      <c r="WVI6" s="484"/>
      <c r="WVJ6" s="484"/>
      <c r="WVK6" s="484"/>
      <c r="WVL6" s="484"/>
      <c r="WVM6" s="484"/>
      <c r="WVN6" s="484"/>
      <c r="WVO6" s="484"/>
      <c r="WVP6" s="484"/>
      <c r="WVQ6" s="484"/>
      <c r="WVR6" s="484"/>
      <c r="WVS6" s="484"/>
      <c r="WVT6" s="484"/>
      <c r="WVU6" s="484"/>
      <c r="WVV6" s="484"/>
      <c r="WVW6" s="484"/>
      <c r="WVX6" s="484"/>
      <c r="WVY6" s="484"/>
      <c r="WVZ6" s="484"/>
      <c r="WWA6" s="484"/>
      <c r="WWB6" s="484"/>
      <c r="WWC6" s="484"/>
      <c r="WWD6" s="484"/>
      <c r="WWE6" s="484"/>
      <c r="WWF6" s="484"/>
      <c r="WWG6" s="484"/>
      <c r="WWH6" s="484"/>
      <c r="WWI6" s="484"/>
      <c r="WWJ6" s="484"/>
      <c r="WWK6" s="484"/>
      <c r="WWL6" s="484"/>
      <c r="WWM6" s="484"/>
      <c r="WWN6" s="484"/>
      <c r="WWO6" s="484"/>
      <c r="WWP6" s="484"/>
      <c r="WWQ6" s="484"/>
      <c r="WWR6" s="484"/>
      <c r="WWS6" s="484"/>
      <c r="WWT6" s="484"/>
      <c r="WWU6" s="484"/>
      <c r="WWV6" s="484"/>
      <c r="WWW6" s="484"/>
      <c r="WWX6" s="484"/>
      <c r="WWY6" s="484"/>
      <c r="WWZ6" s="484"/>
      <c r="WXA6" s="484"/>
      <c r="WXB6" s="484"/>
      <c r="WXC6" s="484"/>
      <c r="WXD6" s="484"/>
      <c r="WXE6" s="484"/>
      <c r="WXF6" s="484"/>
      <c r="WXG6" s="484"/>
      <c r="WXH6" s="484"/>
      <c r="WXI6" s="484"/>
      <c r="WXJ6" s="484"/>
      <c r="WXK6" s="484"/>
      <c r="WXL6" s="484"/>
      <c r="WXM6" s="484"/>
      <c r="WXN6" s="484"/>
      <c r="WXO6" s="484"/>
      <c r="WXP6" s="484"/>
      <c r="WXQ6" s="484"/>
      <c r="WXR6" s="484"/>
      <c r="WXS6" s="484"/>
      <c r="WXT6" s="484"/>
      <c r="WXU6" s="484"/>
      <c r="WXV6" s="484"/>
      <c r="WXW6" s="484"/>
      <c r="WXX6" s="484"/>
      <c r="WXY6" s="484"/>
      <c r="WXZ6" s="484"/>
      <c r="WYA6" s="484"/>
      <c r="WYB6" s="484"/>
      <c r="WYC6" s="484"/>
      <c r="WYD6" s="484"/>
      <c r="WYE6" s="484"/>
      <c r="WYF6" s="484"/>
      <c r="WYG6" s="484"/>
      <c r="WYH6" s="484"/>
      <c r="WYI6" s="484"/>
      <c r="WYJ6" s="484"/>
      <c r="WYK6" s="484"/>
      <c r="WYL6" s="484"/>
      <c r="WYM6" s="484"/>
      <c r="WYN6" s="484"/>
      <c r="WYO6" s="484"/>
      <c r="WYP6" s="484"/>
      <c r="WYQ6" s="484"/>
      <c r="WYR6" s="484"/>
      <c r="WYS6" s="484"/>
      <c r="WYT6" s="484"/>
      <c r="WYU6" s="484"/>
      <c r="WYV6" s="484"/>
      <c r="WYW6" s="484"/>
      <c r="WYX6" s="484"/>
      <c r="WYY6" s="484"/>
      <c r="WYZ6" s="484"/>
      <c r="WZA6" s="484"/>
      <c r="WZB6" s="484"/>
      <c r="WZC6" s="484"/>
      <c r="WZD6" s="484"/>
      <c r="WZE6" s="484"/>
      <c r="WZF6" s="484"/>
      <c r="WZG6" s="484"/>
      <c r="WZH6" s="484"/>
      <c r="WZI6" s="484"/>
      <c r="WZJ6" s="484"/>
      <c r="WZK6" s="484"/>
      <c r="WZL6" s="484"/>
      <c r="WZM6" s="484"/>
      <c r="WZN6" s="484"/>
      <c r="WZO6" s="484"/>
      <c r="WZP6" s="484"/>
      <c r="WZQ6" s="484"/>
      <c r="WZR6" s="484"/>
      <c r="WZS6" s="484"/>
      <c r="WZT6" s="484"/>
      <c r="WZU6" s="484"/>
      <c r="WZV6" s="484"/>
      <c r="WZW6" s="484"/>
      <c r="WZX6" s="484"/>
      <c r="WZY6" s="484"/>
      <c r="WZZ6" s="484"/>
      <c r="XAA6" s="484"/>
      <c r="XAB6" s="484"/>
      <c r="XAC6" s="484"/>
      <c r="XAD6" s="484"/>
      <c r="XAE6" s="484"/>
      <c r="XAF6" s="484"/>
      <c r="XAG6" s="484"/>
      <c r="XAH6" s="484"/>
      <c r="XAI6" s="484"/>
      <c r="XAJ6" s="484"/>
      <c r="XAK6" s="484"/>
      <c r="XAL6" s="484"/>
      <c r="XAM6" s="484"/>
      <c r="XAN6" s="484"/>
      <c r="XAO6" s="484"/>
      <c r="XAP6" s="484"/>
      <c r="XAQ6" s="484"/>
      <c r="XAR6" s="484"/>
      <c r="XAS6" s="484"/>
      <c r="XAT6" s="484"/>
      <c r="XAU6" s="484"/>
      <c r="XAV6" s="484"/>
      <c r="XAW6" s="484"/>
      <c r="XAX6" s="484"/>
      <c r="XAY6" s="484"/>
      <c r="XAZ6" s="484"/>
      <c r="XBA6" s="484"/>
      <c r="XBB6" s="484"/>
      <c r="XBC6" s="484"/>
      <c r="XBD6" s="484"/>
      <c r="XBE6" s="484"/>
      <c r="XBF6" s="484"/>
      <c r="XBG6" s="484"/>
      <c r="XBH6" s="484"/>
      <c r="XBI6" s="484"/>
      <c r="XBJ6" s="484"/>
      <c r="XBK6" s="484"/>
      <c r="XBL6" s="484"/>
      <c r="XBM6" s="484"/>
      <c r="XBN6" s="484"/>
      <c r="XBO6" s="484"/>
      <c r="XBP6" s="484"/>
      <c r="XBQ6" s="484"/>
      <c r="XBR6" s="484"/>
      <c r="XBS6" s="484"/>
      <c r="XBT6" s="484"/>
      <c r="XBU6" s="484"/>
      <c r="XBV6" s="484"/>
      <c r="XBW6" s="484"/>
      <c r="XBX6" s="484"/>
      <c r="XBY6" s="484"/>
      <c r="XBZ6" s="484"/>
      <c r="XCA6" s="484"/>
      <c r="XCB6" s="484"/>
      <c r="XCC6" s="484"/>
      <c r="XCD6" s="484"/>
      <c r="XCE6" s="484"/>
      <c r="XCF6" s="484"/>
      <c r="XCG6" s="484"/>
      <c r="XCH6" s="484"/>
      <c r="XCI6" s="484"/>
      <c r="XCJ6" s="484"/>
      <c r="XCK6" s="484"/>
      <c r="XCL6" s="484"/>
      <c r="XCM6" s="484"/>
      <c r="XCN6" s="484"/>
      <c r="XCO6" s="484"/>
      <c r="XCP6" s="484"/>
      <c r="XCQ6" s="484"/>
      <c r="XCR6" s="484"/>
      <c r="XCS6" s="484"/>
      <c r="XCT6" s="484"/>
      <c r="XCU6" s="484"/>
      <c r="XCV6" s="484"/>
      <c r="XCW6" s="484"/>
      <c r="XCX6" s="484"/>
      <c r="XCY6" s="484"/>
      <c r="XCZ6" s="484"/>
      <c r="XDA6" s="484"/>
      <c r="XDB6" s="484"/>
      <c r="XDC6" s="484"/>
      <c r="XDD6" s="484"/>
      <c r="XDE6" s="484"/>
      <c r="XDF6" s="484"/>
      <c r="XDG6" s="484"/>
      <c r="XDH6" s="484"/>
      <c r="XDI6" s="484"/>
      <c r="XDJ6" s="484"/>
      <c r="XDK6" s="484"/>
      <c r="XDL6" s="484"/>
      <c r="XDM6" s="484"/>
      <c r="XDN6" s="484"/>
      <c r="XDO6" s="484"/>
      <c r="XDP6" s="484"/>
      <c r="XDQ6" s="484"/>
      <c r="XDR6" s="484"/>
      <c r="XDS6" s="484"/>
      <c r="XDT6" s="484"/>
      <c r="XDU6" s="484"/>
      <c r="XDV6" s="484"/>
      <c r="XDW6" s="484"/>
      <c r="XDX6" s="484"/>
      <c r="XDY6" s="484"/>
      <c r="XDZ6" s="484"/>
      <c r="XEA6" s="484"/>
      <c r="XEB6" s="484"/>
      <c r="XEC6" s="484"/>
      <c r="XED6" s="484"/>
      <c r="XEE6" s="484"/>
      <c r="XEF6" s="484"/>
      <c r="XEG6" s="484"/>
      <c r="XEH6" s="484"/>
      <c r="XEI6" s="484"/>
      <c r="XEJ6" s="484"/>
      <c r="XEK6" s="484"/>
      <c r="XEL6" s="484"/>
      <c r="XEM6" s="484"/>
      <c r="XEN6" s="484"/>
      <c r="XEO6" s="484"/>
      <c r="XEP6" s="484"/>
      <c r="XEQ6" s="484"/>
      <c r="XER6" s="484"/>
      <c r="XES6" s="484"/>
      <c r="XET6" s="484"/>
      <c r="XEU6" s="484"/>
      <c r="XEV6" s="484"/>
      <c r="XEW6" s="484"/>
      <c r="XEX6" s="484"/>
      <c r="XEY6" s="484"/>
      <c r="XEZ6" s="484"/>
      <c r="XFA6" s="484"/>
      <c r="XFB6" s="484"/>
      <c r="XFC6" s="484"/>
      <c r="XFD6" s="4"/>
    </row>
    <row r="7" spans="1:16384" x14ac:dyDescent="0.25">
      <c r="A7" s="485"/>
      <c r="B7" s="485"/>
      <c r="C7" s="485"/>
      <c r="D7" s="484"/>
      <c r="E7" s="484"/>
      <c r="F7" s="484"/>
      <c r="G7" s="484"/>
      <c r="H7" s="484"/>
      <c r="I7" s="484"/>
      <c r="J7" s="484"/>
      <c r="K7" s="484"/>
      <c r="L7" s="484"/>
      <c r="M7" s="484"/>
      <c r="N7" s="484"/>
      <c r="O7" s="484"/>
      <c r="P7" s="484"/>
      <c r="Q7" s="484"/>
      <c r="R7" s="484"/>
      <c r="S7" s="484"/>
      <c r="T7" s="484"/>
      <c r="U7" s="484"/>
      <c r="V7" s="484"/>
      <c r="W7" s="484"/>
      <c r="X7" s="484"/>
      <c r="Y7" s="484"/>
      <c r="Z7" s="484"/>
      <c r="AA7" s="484"/>
      <c r="AB7" s="484"/>
      <c r="AC7" s="484"/>
      <c r="AD7" s="484"/>
      <c r="AE7" s="484"/>
      <c r="AF7" s="484"/>
      <c r="AG7" s="484"/>
      <c r="AH7" s="484"/>
      <c r="AI7" s="484"/>
      <c r="AJ7" s="484"/>
      <c r="AK7" s="484"/>
      <c r="AL7" s="484"/>
      <c r="AM7" s="484"/>
      <c r="AN7" s="484"/>
      <c r="AO7" s="484"/>
      <c r="AP7" s="484"/>
      <c r="AQ7" s="484"/>
      <c r="AR7" s="484"/>
      <c r="AS7" s="484"/>
      <c r="AT7" s="484"/>
      <c r="AU7" s="484"/>
      <c r="AV7" s="484"/>
      <c r="AW7" s="484"/>
      <c r="AX7" s="484"/>
      <c r="AY7" s="484"/>
      <c r="AZ7" s="484"/>
      <c r="BA7" s="484"/>
      <c r="BB7" s="484"/>
      <c r="BC7" s="484"/>
      <c r="BD7" s="484"/>
      <c r="BE7" s="484"/>
      <c r="BF7" s="484"/>
      <c r="BG7" s="484"/>
      <c r="BH7" s="484"/>
      <c r="BI7" s="484"/>
      <c r="BJ7" s="484"/>
      <c r="BK7" s="484"/>
      <c r="BL7" s="484"/>
      <c r="BM7" s="484"/>
      <c r="BN7" s="484"/>
      <c r="BO7" s="484"/>
      <c r="BP7" s="484"/>
      <c r="BQ7" s="484"/>
      <c r="BR7" s="484"/>
      <c r="BS7" s="484"/>
      <c r="BT7" s="484"/>
      <c r="BU7" s="484"/>
      <c r="BV7" s="484"/>
      <c r="BW7" s="484"/>
      <c r="BX7" s="484"/>
      <c r="BY7" s="484"/>
      <c r="BZ7" s="484"/>
      <c r="CA7" s="484"/>
      <c r="CB7" s="484"/>
      <c r="CC7" s="484"/>
      <c r="CD7" s="484"/>
      <c r="CE7" s="484"/>
      <c r="CF7" s="484"/>
      <c r="CG7" s="484"/>
      <c r="CH7" s="484"/>
      <c r="CI7" s="484"/>
      <c r="CJ7" s="484"/>
      <c r="CK7" s="484"/>
      <c r="CL7" s="484"/>
      <c r="CM7" s="484"/>
      <c r="CN7" s="484"/>
      <c r="CO7" s="484"/>
      <c r="CP7" s="484"/>
      <c r="CQ7" s="484"/>
      <c r="CR7" s="484"/>
      <c r="CS7" s="484"/>
      <c r="CT7" s="484"/>
      <c r="CU7" s="484"/>
      <c r="CV7" s="484"/>
      <c r="CW7" s="484"/>
      <c r="CX7" s="484"/>
      <c r="CY7" s="484"/>
      <c r="CZ7" s="484"/>
      <c r="DA7" s="484"/>
      <c r="DB7" s="484"/>
      <c r="DC7" s="484"/>
      <c r="DD7" s="484"/>
      <c r="DE7" s="484"/>
      <c r="DF7" s="484"/>
      <c r="DG7" s="484"/>
      <c r="DH7" s="484"/>
      <c r="DI7" s="484"/>
      <c r="DJ7" s="484"/>
      <c r="DK7" s="484"/>
      <c r="DL7" s="484"/>
      <c r="DM7" s="484"/>
      <c r="DN7" s="484"/>
      <c r="DO7" s="484"/>
      <c r="DP7" s="484"/>
      <c r="DQ7" s="484"/>
      <c r="DR7" s="484"/>
      <c r="DS7" s="484"/>
      <c r="DT7" s="484"/>
      <c r="DU7" s="484"/>
      <c r="DV7" s="484"/>
      <c r="DW7" s="484"/>
      <c r="DX7" s="484"/>
      <c r="DY7" s="484"/>
      <c r="DZ7" s="484"/>
      <c r="EA7" s="484"/>
      <c r="EB7" s="484"/>
      <c r="EC7" s="484"/>
      <c r="ED7" s="484"/>
      <c r="EE7" s="484"/>
      <c r="EF7" s="484"/>
      <c r="EG7" s="484"/>
      <c r="EH7" s="484"/>
      <c r="EI7" s="484"/>
      <c r="EJ7" s="484"/>
      <c r="EK7" s="484"/>
      <c r="EL7" s="484"/>
      <c r="EM7" s="484"/>
      <c r="EN7" s="484"/>
      <c r="EO7" s="484"/>
      <c r="EP7" s="484"/>
      <c r="EQ7" s="484"/>
      <c r="ER7" s="484"/>
      <c r="ES7" s="484"/>
      <c r="ET7" s="484"/>
      <c r="EU7" s="484"/>
      <c r="EV7" s="484"/>
      <c r="EW7" s="484"/>
      <c r="EX7" s="484"/>
      <c r="EY7" s="484"/>
      <c r="EZ7" s="484"/>
      <c r="FA7" s="484"/>
      <c r="FB7" s="484"/>
      <c r="FC7" s="484"/>
      <c r="FD7" s="484"/>
      <c r="FE7" s="484"/>
      <c r="FF7" s="484"/>
      <c r="FG7" s="484"/>
      <c r="FH7" s="484"/>
      <c r="FI7" s="484"/>
      <c r="FJ7" s="484"/>
      <c r="FK7" s="484"/>
      <c r="FL7" s="484"/>
      <c r="FM7" s="484"/>
      <c r="FN7" s="484"/>
      <c r="FO7" s="484"/>
      <c r="FP7" s="484"/>
      <c r="FQ7" s="484"/>
      <c r="FR7" s="484"/>
      <c r="FS7" s="484"/>
      <c r="FT7" s="484"/>
      <c r="FU7" s="484"/>
      <c r="FV7" s="484"/>
      <c r="FW7" s="484"/>
      <c r="FX7" s="484"/>
      <c r="FY7" s="484"/>
      <c r="FZ7" s="484"/>
      <c r="GA7" s="484"/>
      <c r="GB7" s="484"/>
      <c r="GC7" s="484"/>
      <c r="GD7" s="484"/>
      <c r="GE7" s="484"/>
      <c r="GF7" s="484"/>
      <c r="GG7" s="484"/>
      <c r="GH7" s="484"/>
      <c r="GI7" s="484"/>
      <c r="GJ7" s="484"/>
      <c r="GK7" s="484"/>
      <c r="GL7" s="484"/>
      <c r="GM7" s="484"/>
      <c r="GN7" s="484"/>
      <c r="GO7" s="484"/>
      <c r="GP7" s="484"/>
      <c r="GQ7" s="484"/>
      <c r="GR7" s="484"/>
      <c r="GS7" s="484"/>
      <c r="GT7" s="484"/>
      <c r="GU7" s="484"/>
      <c r="GV7" s="484"/>
      <c r="GW7" s="484"/>
      <c r="GX7" s="484"/>
      <c r="GY7" s="484"/>
      <c r="GZ7" s="484"/>
      <c r="HA7" s="484"/>
      <c r="HB7" s="484"/>
      <c r="HC7" s="484"/>
      <c r="HD7" s="484"/>
      <c r="HE7" s="484"/>
      <c r="HF7" s="484"/>
      <c r="HG7" s="484"/>
      <c r="HH7" s="484"/>
      <c r="HI7" s="484"/>
      <c r="HJ7" s="484"/>
      <c r="HK7" s="484"/>
      <c r="HL7" s="484"/>
      <c r="HM7" s="484"/>
      <c r="HN7" s="484"/>
      <c r="HO7" s="484"/>
      <c r="HP7" s="484"/>
      <c r="HQ7" s="484"/>
      <c r="HR7" s="484"/>
      <c r="HS7" s="484"/>
      <c r="HT7" s="484"/>
      <c r="HU7" s="484"/>
      <c r="HV7" s="484"/>
      <c r="HW7" s="484"/>
      <c r="HX7" s="484"/>
      <c r="HY7" s="484"/>
      <c r="HZ7" s="484"/>
      <c r="IA7" s="484"/>
      <c r="IB7" s="484"/>
      <c r="IC7" s="484"/>
      <c r="ID7" s="484"/>
      <c r="IE7" s="484"/>
      <c r="IF7" s="484"/>
      <c r="IG7" s="484"/>
      <c r="IH7" s="484"/>
      <c r="II7" s="484"/>
      <c r="IJ7" s="484"/>
      <c r="IK7" s="484"/>
      <c r="IL7" s="484"/>
      <c r="IM7" s="484"/>
      <c r="IN7" s="484"/>
      <c r="IO7" s="484"/>
      <c r="IP7" s="484"/>
      <c r="IQ7" s="484"/>
      <c r="IR7" s="484"/>
      <c r="IS7" s="484"/>
      <c r="IT7" s="484"/>
      <c r="IU7" s="484"/>
      <c r="IV7" s="484"/>
      <c r="IW7" s="484"/>
      <c r="IX7" s="484"/>
      <c r="IY7" s="484"/>
      <c r="IZ7" s="484"/>
      <c r="JA7" s="484"/>
      <c r="JB7" s="484"/>
      <c r="JC7" s="484"/>
      <c r="JD7" s="484"/>
      <c r="JE7" s="484"/>
      <c r="JF7" s="484"/>
      <c r="JG7" s="484"/>
      <c r="JH7" s="484"/>
      <c r="JI7" s="484"/>
      <c r="JJ7" s="484"/>
      <c r="JK7" s="484"/>
      <c r="JL7" s="484"/>
      <c r="JM7" s="484"/>
      <c r="JN7" s="484"/>
      <c r="JO7" s="484"/>
      <c r="JP7" s="484"/>
      <c r="JQ7" s="484"/>
      <c r="JR7" s="484"/>
      <c r="JS7" s="484"/>
      <c r="JT7" s="484"/>
      <c r="JU7" s="484"/>
      <c r="JV7" s="484"/>
      <c r="JW7" s="484"/>
      <c r="JX7" s="484"/>
      <c r="JY7" s="484"/>
      <c r="JZ7" s="484"/>
      <c r="KA7" s="484"/>
      <c r="KB7" s="484"/>
      <c r="KC7" s="484"/>
      <c r="KD7" s="484"/>
      <c r="KE7" s="484"/>
      <c r="KF7" s="484"/>
      <c r="KG7" s="484"/>
      <c r="KH7" s="484"/>
      <c r="KI7" s="484"/>
      <c r="KJ7" s="484"/>
      <c r="KK7" s="484"/>
      <c r="KL7" s="484"/>
      <c r="KM7" s="484"/>
      <c r="KN7" s="484"/>
      <c r="KO7" s="484"/>
      <c r="KP7" s="484"/>
      <c r="KQ7" s="484"/>
      <c r="KR7" s="484"/>
      <c r="KS7" s="484"/>
      <c r="KT7" s="484"/>
      <c r="KU7" s="484"/>
      <c r="KV7" s="484"/>
      <c r="KW7" s="484"/>
      <c r="KX7" s="484"/>
      <c r="KY7" s="484"/>
      <c r="KZ7" s="484"/>
      <c r="LA7" s="484"/>
      <c r="LB7" s="484"/>
      <c r="LC7" s="484"/>
      <c r="LD7" s="484"/>
      <c r="LE7" s="484"/>
      <c r="LF7" s="484"/>
      <c r="LG7" s="484"/>
      <c r="LH7" s="484"/>
      <c r="LI7" s="484"/>
      <c r="LJ7" s="484"/>
      <c r="LK7" s="484"/>
      <c r="LL7" s="484"/>
      <c r="LM7" s="484"/>
      <c r="LN7" s="484"/>
      <c r="LO7" s="484"/>
      <c r="LP7" s="484"/>
      <c r="LQ7" s="484"/>
      <c r="LR7" s="484"/>
      <c r="LS7" s="484"/>
      <c r="LT7" s="484"/>
      <c r="LU7" s="484"/>
      <c r="LV7" s="484"/>
      <c r="LW7" s="484"/>
      <c r="LX7" s="484"/>
      <c r="LY7" s="484"/>
      <c r="LZ7" s="484"/>
      <c r="MA7" s="484"/>
      <c r="MB7" s="484"/>
      <c r="MC7" s="484"/>
      <c r="MD7" s="484"/>
      <c r="ME7" s="484"/>
      <c r="MF7" s="484"/>
      <c r="MG7" s="484"/>
      <c r="MH7" s="484"/>
      <c r="MI7" s="484"/>
      <c r="MJ7" s="484"/>
      <c r="MK7" s="484"/>
      <c r="ML7" s="484"/>
      <c r="MM7" s="484"/>
      <c r="MN7" s="484"/>
      <c r="MO7" s="484"/>
      <c r="MP7" s="484"/>
      <c r="MQ7" s="484"/>
      <c r="MR7" s="484"/>
      <c r="MS7" s="484"/>
      <c r="MT7" s="484"/>
      <c r="MU7" s="484"/>
      <c r="MV7" s="484"/>
      <c r="MW7" s="484"/>
      <c r="MX7" s="484"/>
      <c r="MY7" s="484"/>
      <c r="MZ7" s="484"/>
      <c r="NA7" s="484"/>
      <c r="NB7" s="484"/>
      <c r="NC7" s="484"/>
      <c r="ND7" s="484"/>
      <c r="NE7" s="484"/>
      <c r="NF7" s="484"/>
      <c r="NG7" s="484"/>
      <c r="NH7" s="484"/>
      <c r="NI7" s="484"/>
      <c r="NJ7" s="484"/>
      <c r="NK7" s="484"/>
      <c r="NL7" s="484"/>
      <c r="NM7" s="484"/>
      <c r="NN7" s="484"/>
      <c r="NO7" s="484"/>
      <c r="NP7" s="484"/>
      <c r="NQ7" s="484"/>
      <c r="NR7" s="484"/>
      <c r="NS7" s="484"/>
      <c r="NT7" s="484"/>
      <c r="NU7" s="484"/>
      <c r="NV7" s="484"/>
      <c r="NW7" s="484"/>
      <c r="NX7" s="484"/>
      <c r="NY7" s="484"/>
      <c r="NZ7" s="484"/>
      <c r="OA7" s="484"/>
      <c r="OB7" s="484"/>
      <c r="OC7" s="484"/>
      <c r="OD7" s="484"/>
      <c r="OE7" s="484"/>
      <c r="OF7" s="484"/>
      <c r="OG7" s="484"/>
      <c r="OH7" s="484"/>
      <c r="OI7" s="484"/>
      <c r="OJ7" s="484"/>
      <c r="OK7" s="484"/>
      <c r="OL7" s="484"/>
      <c r="OM7" s="484"/>
      <c r="ON7" s="484"/>
      <c r="OO7" s="484"/>
      <c r="OP7" s="484"/>
      <c r="OQ7" s="484"/>
      <c r="OR7" s="484"/>
      <c r="OS7" s="484"/>
      <c r="OT7" s="484"/>
      <c r="OU7" s="484"/>
      <c r="OV7" s="484"/>
      <c r="OW7" s="484"/>
      <c r="OX7" s="484"/>
      <c r="OY7" s="484"/>
      <c r="OZ7" s="484"/>
      <c r="PA7" s="484"/>
      <c r="PB7" s="484"/>
      <c r="PC7" s="484"/>
      <c r="PD7" s="484"/>
      <c r="PE7" s="484"/>
      <c r="PF7" s="484"/>
      <c r="PG7" s="484"/>
      <c r="PH7" s="484"/>
      <c r="PI7" s="484"/>
      <c r="PJ7" s="484"/>
      <c r="PK7" s="484"/>
      <c r="PL7" s="484"/>
      <c r="PM7" s="484"/>
      <c r="PN7" s="484"/>
      <c r="PO7" s="484"/>
      <c r="PP7" s="484"/>
      <c r="PQ7" s="484"/>
      <c r="PR7" s="484"/>
      <c r="PS7" s="484"/>
      <c r="PT7" s="484"/>
      <c r="PU7" s="484"/>
      <c r="PV7" s="484"/>
      <c r="PW7" s="484"/>
      <c r="PX7" s="484"/>
      <c r="PY7" s="484"/>
      <c r="PZ7" s="484"/>
      <c r="QA7" s="484"/>
      <c r="QB7" s="484"/>
      <c r="QC7" s="484"/>
      <c r="QD7" s="484"/>
      <c r="QE7" s="484"/>
      <c r="QF7" s="484"/>
      <c r="QG7" s="484"/>
      <c r="QH7" s="484"/>
      <c r="QI7" s="484"/>
      <c r="QJ7" s="484"/>
      <c r="QK7" s="484"/>
      <c r="QL7" s="484"/>
      <c r="QM7" s="484"/>
      <c r="QN7" s="484"/>
      <c r="QO7" s="484"/>
      <c r="QP7" s="484"/>
      <c r="QQ7" s="484"/>
      <c r="QR7" s="484"/>
      <c r="QS7" s="484"/>
      <c r="QT7" s="484"/>
      <c r="QU7" s="484"/>
      <c r="QV7" s="484"/>
      <c r="QW7" s="484"/>
      <c r="QX7" s="484"/>
      <c r="QY7" s="484"/>
      <c r="QZ7" s="484"/>
      <c r="RA7" s="484"/>
      <c r="RB7" s="484"/>
      <c r="RC7" s="484"/>
      <c r="RD7" s="484"/>
      <c r="RE7" s="484"/>
      <c r="RF7" s="484"/>
      <c r="RG7" s="484"/>
      <c r="RH7" s="484"/>
      <c r="RI7" s="484"/>
      <c r="RJ7" s="484"/>
      <c r="RK7" s="484"/>
      <c r="RL7" s="484"/>
      <c r="RM7" s="484"/>
      <c r="RN7" s="484"/>
      <c r="RO7" s="484"/>
      <c r="RP7" s="484"/>
      <c r="RQ7" s="484"/>
      <c r="RR7" s="484"/>
      <c r="RS7" s="484"/>
      <c r="RT7" s="484"/>
      <c r="RU7" s="484"/>
      <c r="RV7" s="484"/>
      <c r="RW7" s="484"/>
      <c r="RX7" s="484"/>
      <c r="RY7" s="484"/>
      <c r="RZ7" s="484"/>
      <c r="SA7" s="484"/>
      <c r="SB7" s="484"/>
      <c r="SC7" s="484"/>
      <c r="SD7" s="484"/>
      <c r="SE7" s="484"/>
      <c r="SF7" s="484"/>
      <c r="SG7" s="484"/>
      <c r="SH7" s="484"/>
      <c r="SI7" s="484"/>
      <c r="SJ7" s="484"/>
      <c r="SK7" s="484"/>
      <c r="SL7" s="484"/>
      <c r="SM7" s="484"/>
      <c r="SN7" s="484"/>
      <c r="SO7" s="484"/>
      <c r="SP7" s="484"/>
      <c r="SQ7" s="484"/>
      <c r="SR7" s="484"/>
      <c r="SS7" s="484"/>
      <c r="ST7" s="484"/>
      <c r="SU7" s="484"/>
      <c r="SV7" s="484"/>
      <c r="SW7" s="484"/>
      <c r="SX7" s="484"/>
      <c r="SY7" s="484"/>
      <c r="SZ7" s="484"/>
      <c r="TA7" s="484"/>
      <c r="TB7" s="484"/>
      <c r="TC7" s="484"/>
      <c r="TD7" s="484"/>
      <c r="TE7" s="484"/>
      <c r="TF7" s="484"/>
      <c r="TG7" s="484"/>
      <c r="TH7" s="484"/>
      <c r="TI7" s="484"/>
      <c r="TJ7" s="484"/>
      <c r="TK7" s="484"/>
      <c r="TL7" s="484"/>
      <c r="TM7" s="484"/>
      <c r="TN7" s="484"/>
      <c r="TO7" s="484"/>
      <c r="TP7" s="484"/>
      <c r="TQ7" s="484"/>
      <c r="TR7" s="484"/>
      <c r="TS7" s="484"/>
      <c r="TT7" s="484"/>
      <c r="TU7" s="484"/>
      <c r="TV7" s="484"/>
      <c r="TW7" s="484"/>
      <c r="TX7" s="484"/>
      <c r="TY7" s="484"/>
      <c r="TZ7" s="484"/>
      <c r="UA7" s="484"/>
      <c r="UB7" s="484"/>
      <c r="UC7" s="484"/>
      <c r="UD7" s="484"/>
      <c r="UE7" s="484"/>
      <c r="UF7" s="484"/>
      <c r="UG7" s="484"/>
      <c r="UH7" s="484"/>
      <c r="UI7" s="484"/>
      <c r="UJ7" s="484"/>
      <c r="UK7" s="484"/>
      <c r="UL7" s="484"/>
      <c r="UM7" s="484"/>
      <c r="UN7" s="484"/>
      <c r="UO7" s="484"/>
      <c r="UP7" s="484"/>
      <c r="UQ7" s="484"/>
      <c r="UR7" s="484"/>
      <c r="US7" s="484"/>
      <c r="UT7" s="484"/>
      <c r="UU7" s="484"/>
      <c r="UV7" s="484"/>
      <c r="UW7" s="484"/>
      <c r="UX7" s="484"/>
      <c r="UY7" s="484"/>
      <c r="UZ7" s="484"/>
      <c r="VA7" s="484"/>
      <c r="VB7" s="484"/>
      <c r="VC7" s="484"/>
      <c r="VD7" s="484"/>
      <c r="VE7" s="484"/>
      <c r="VF7" s="484"/>
      <c r="VG7" s="484"/>
      <c r="VH7" s="484"/>
      <c r="VI7" s="484"/>
      <c r="VJ7" s="484"/>
      <c r="VK7" s="484"/>
      <c r="VL7" s="484"/>
      <c r="VM7" s="484"/>
      <c r="VN7" s="484"/>
      <c r="VO7" s="484"/>
      <c r="VP7" s="484"/>
      <c r="VQ7" s="484"/>
      <c r="VR7" s="484"/>
      <c r="VS7" s="484"/>
      <c r="VT7" s="484"/>
      <c r="VU7" s="484"/>
      <c r="VV7" s="484"/>
      <c r="VW7" s="484"/>
      <c r="VX7" s="484"/>
      <c r="VY7" s="484"/>
      <c r="VZ7" s="484"/>
      <c r="WA7" s="484"/>
      <c r="WB7" s="484"/>
      <c r="WC7" s="484"/>
      <c r="WD7" s="484"/>
      <c r="WE7" s="484"/>
      <c r="WF7" s="484"/>
      <c r="WG7" s="484"/>
      <c r="WH7" s="484"/>
      <c r="WI7" s="484"/>
      <c r="WJ7" s="484"/>
      <c r="WK7" s="484"/>
      <c r="WL7" s="484"/>
      <c r="WM7" s="484"/>
      <c r="WN7" s="484"/>
      <c r="WO7" s="484"/>
      <c r="WP7" s="484"/>
      <c r="WQ7" s="484"/>
      <c r="WR7" s="484"/>
      <c r="WS7" s="484"/>
      <c r="WT7" s="484"/>
      <c r="WU7" s="484"/>
      <c r="WV7" s="484"/>
      <c r="WW7" s="484"/>
      <c r="WX7" s="484"/>
      <c r="WY7" s="484"/>
      <c r="WZ7" s="484"/>
      <c r="XA7" s="484"/>
      <c r="XB7" s="484"/>
      <c r="XC7" s="484"/>
      <c r="XD7" s="484"/>
      <c r="XE7" s="484"/>
      <c r="XF7" s="484"/>
      <c r="XG7" s="484"/>
      <c r="XH7" s="484"/>
      <c r="XI7" s="484"/>
      <c r="XJ7" s="484"/>
      <c r="XK7" s="484"/>
      <c r="XL7" s="484"/>
      <c r="XM7" s="484"/>
      <c r="XN7" s="484"/>
      <c r="XO7" s="484"/>
      <c r="XP7" s="484"/>
      <c r="XQ7" s="484"/>
      <c r="XR7" s="484"/>
      <c r="XS7" s="484"/>
      <c r="XT7" s="484"/>
      <c r="XU7" s="484"/>
      <c r="XV7" s="484"/>
      <c r="XW7" s="484"/>
      <c r="XX7" s="484"/>
      <c r="XY7" s="484"/>
      <c r="XZ7" s="484"/>
      <c r="YA7" s="484"/>
      <c r="YB7" s="484"/>
      <c r="YC7" s="484"/>
      <c r="YD7" s="484"/>
      <c r="YE7" s="484"/>
      <c r="YF7" s="484"/>
      <c r="YG7" s="484"/>
      <c r="YH7" s="484"/>
      <c r="YI7" s="484"/>
      <c r="YJ7" s="484"/>
      <c r="YK7" s="484"/>
      <c r="YL7" s="484"/>
      <c r="YM7" s="484"/>
      <c r="YN7" s="484"/>
      <c r="YO7" s="484"/>
      <c r="YP7" s="484"/>
      <c r="YQ7" s="484"/>
      <c r="YR7" s="484"/>
      <c r="YS7" s="484"/>
      <c r="YT7" s="484"/>
      <c r="YU7" s="484"/>
      <c r="YV7" s="484"/>
      <c r="YW7" s="484"/>
      <c r="YX7" s="484"/>
      <c r="YY7" s="484"/>
      <c r="YZ7" s="484"/>
      <c r="ZA7" s="484"/>
      <c r="ZB7" s="484"/>
      <c r="ZC7" s="484"/>
      <c r="ZD7" s="484"/>
      <c r="ZE7" s="484"/>
      <c r="ZF7" s="484"/>
      <c r="ZG7" s="484"/>
      <c r="ZH7" s="484"/>
      <c r="ZI7" s="484"/>
      <c r="ZJ7" s="484"/>
      <c r="ZK7" s="484"/>
      <c r="ZL7" s="484"/>
      <c r="ZM7" s="484"/>
      <c r="ZN7" s="484"/>
      <c r="ZO7" s="484"/>
      <c r="ZP7" s="484"/>
      <c r="ZQ7" s="484"/>
      <c r="ZR7" s="484"/>
      <c r="ZS7" s="484"/>
      <c r="ZT7" s="484"/>
      <c r="ZU7" s="484"/>
      <c r="ZV7" s="484"/>
      <c r="ZW7" s="484"/>
      <c r="ZX7" s="484"/>
      <c r="ZY7" s="484"/>
      <c r="ZZ7" s="484"/>
      <c r="AAA7" s="484"/>
      <c r="AAB7" s="484"/>
      <c r="AAC7" s="484"/>
      <c r="AAD7" s="484"/>
      <c r="AAE7" s="484"/>
      <c r="AAF7" s="484"/>
      <c r="AAG7" s="484"/>
      <c r="AAH7" s="484"/>
      <c r="AAI7" s="484"/>
      <c r="AAJ7" s="484"/>
      <c r="AAK7" s="484"/>
      <c r="AAL7" s="484"/>
      <c r="AAM7" s="484"/>
      <c r="AAN7" s="484"/>
      <c r="AAO7" s="484"/>
      <c r="AAP7" s="484"/>
      <c r="AAQ7" s="484"/>
      <c r="AAR7" s="484"/>
      <c r="AAS7" s="484"/>
      <c r="AAT7" s="484"/>
      <c r="AAU7" s="484"/>
      <c r="AAV7" s="484"/>
      <c r="AAW7" s="484"/>
      <c r="AAX7" s="484"/>
      <c r="AAY7" s="484"/>
      <c r="AAZ7" s="484"/>
      <c r="ABA7" s="484"/>
      <c r="ABB7" s="484"/>
      <c r="ABC7" s="484"/>
      <c r="ABD7" s="484"/>
      <c r="ABE7" s="484"/>
      <c r="ABF7" s="484"/>
      <c r="ABG7" s="484"/>
      <c r="ABH7" s="484"/>
      <c r="ABI7" s="484"/>
      <c r="ABJ7" s="484"/>
      <c r="ABK7" s="484"/>
      <c r="ABL7" s="484"/>
      <c r="ABM7" s="484"/>
      <c r="ABN7" s="484"/>
      <c r="ABO7" s="484"/>
      <c r="ABP7" s="484"/>
      <c r="ABQ7" s="484"/>
      <c r="ABR7" s="484"/>
      <c r="ABS7" s="484"/>
      <c r="ABT7" s="484"/>
      <c r="ABU7" s="484"/>
      <c r="ABV7" s="484"/>
      <c r="ABW7" s="484"/>
      <c r="ABX7" s="484"/>
      <c r="ABY7" s="484"/>
      <c r="ABZ7" s="484"/>
      <c r="ACA7" s="484"/>
      <c r="ACB7" s="484"/>
      <c r="ACC7" s="484"/>
      <c r="ACD7" s="484"/>
      <c r="ACE7" s="484"/>
      <c r="ACF7" s="484"/>
      <c r="ACG7" s="484"/>
      <c r="ACH7" s="484"/>
      <c r="ACI7" s="484"/>
      <c r="ACJ7" s="484"/>
      <c r="ACK7" s="484"/>
      <c r="ACL7" s="484"/>
      <c r="ACM7" s="484"/>
      <c r="ACN7" s="484"/>
      <c r="ACO7" s="484"/>
      <c r="ACP7" s="484"/>
      <c r="ACQ7" s="484"/>
      <c r="ACR7" s="484"/>
      <c r="ACS7" s="484"/>
      <c r="ACT7" s="484"/>
      <c r="ACU7" s="484"/>
      <c r="ACV7" s="484"/>
      <c r="ACW7" s="484"/>
      <c r="ACX7" s="484"/>
      <c r="ACY7" s="484"/>
      <c r="ACZ7" s="484"/>
      <c r="ADA7" s="484"/>
      <c r="ADB7" s="484"/>
      <c r="ADC7" s="484"/>
      <c r="ADD7" s="484"/>
      <c r="ADE7" s="484"/>
      <c r="ADF7" s="484"/>
      <c r="ADG7" s="484"/>
      <c r="ADH7" s="484"/>
      <c r="ADI7" s="484"/>
      <c r="ADJ7" s="484"/>
      <c r="ADK7" s="484"/>
      <c r="ADL7" s="484"/>
      <c r="ADM7" s="484"/>
      <c r="ADN7" s="484"/>
      <c r="ADO7" s="484"/>
      <c r="ADP7" s="484"/>
      <c r="ADQ7" s="484"/>
      <c r="ADR7" s="484"/>
      <c r="ADS7" s="484"/>
      <c r="ADT7" s="484"/>
      <c r="ADU7" s="484"/>
      <c r="ADV7" s="484"/>
      <c r="ADW7" s="484"/>
      <c r="ADX7" s="484"/>
      <c r="ADY7" s="484"/>
      <c r="ADZ7" s="484"/>
      <c r="AEA7" s="484"/>
      <c r="AEB7" s="484"/>
      <c r="AEC7" s="484"/>
      <c r="AED7" s="484"/>
      <c r="AEE7" s="484"/>
      <c r="AEF7" s="484"/>
      <c r="AEG7" s="484"/>
      <c r="AEH7" s="484"/>
      <c r="AEI7" s="484"/>
      <c r="AEJ7" s="484"/>
      <c r="AEK7" s="484"/>
      <c r="AEL7" s="484"/>
      <c r="AEM7" s="484"/>
      <c r="AEN7" s="484"/>
      <c r="AEO7" s="484"/>
      <c r="AEP7" s="484"/>
      <c r="AEQ7" s="484"/>
      <c r="AER7" s="484"/>
      <c r="AES7" s="484"/>
      <c r="AET7" s="484"/>
      <c r="AEU7" s="484"/>
      <c r="AEV7" s="484"/>
      <c r="AEW7" s="484"/>
      <c r="AEX7" s="484"/>
      <c r="AEY7" s="484"/>
      <c r="AEZ7" s="484"/>
      <c r="AFA7" s="484"/>
      <c r="AFB7" s="484"/>
      <c r="AFC7" s="484"/>
      <c r="AFD7" s="484"/>
      <c r="AFE7" s="484"/>
      <c r="AFF7" s="484"/>
      <c r="AFG7" s="484"/>
      <c r="AFH7" s="484"/>
      <c r="AFI7" s="484"/>
      <c r="AFJ7" s="484"/>
      <c r="AFK7" s="484"/>
      <c r="AFL7" s="484"/>
      <c r="AFM7" s="484"/>
      <c r="AFN7" s="484"/>
      <c r="AFO7" s="484"/>
      <c r="AFP7" s="484"/>
      <c r="AFQ7" s="484"/>
      <c r="AFR7" s="484"/>
      <c r="AFS7" s="484"/>
      <c r="AFT7" s="484"/>
      <c r="AFU7" s="484"/>
      <c r="AFV7" s="484"/>
      <c r="AFW7" s="484"/>
      <c r="AFX7" s="484"/>
      <c r="AFY7" s="484"/>
      <c r="AFZ7" s="484"/>
      <c r="AGA7" s="484"/>
      <c r="AGB7" s="484"/>
      <c r="AGC7" s="484"/>
      <c r="AGD7" s="484"/>
      <c r="AGE7" s="484"/>
      <c r="AGF7" s="484"/>
      <c r="AGG7" s="484"/>
      <c r="AGH7" s="484"/>
      <c r="AGI7" s="484"/>
      <c r="AGJ7" s="484"/>
      <c r="AGK7" s="484"/>
      <c r="AGL7" s="484"/>
      <c r="AGM7" s="484"/>
      <c r="AGN7" s="484"/>
      <c r="AGO7" s="484"/>
      <c r="AGP7" s="484"/>
      <c r="AGQ7" s="484"/>
      <c r="AGR7" s="484"/>
      <c r="AGS7" s="484"/>
      <c r="AGT7" s="484"/>
      <c r="AGU7" s="484"/>
      <c r="AGV7" s="484"/>
      <c r="AGW7" s="484"/>
      <c r="AGX7" s="484"/>
      <c r="AGY7" s="484"/>
      <c r="AGZ7" s="484"/>
      <c r="AHA7" s="484"/>
      <c r="AHB7" s="484"/>
      <c r="AHC7" s="484"/>
      <c r="AHD7" s="484"/>
      <c r="AHE7" s="484"/>
      <c r="AHF7" s="484"/>
      <c r="AHG7" s="484"/>
      <c r="AHH7" s="484"/>
      <c r="AHI7" s="484"/>
      <c r="AHJ7" s="484"/>
      <c r="AHK7" s="484"/>
      <c r="AHL7" s="484"/>
      <c r="AHM7" s="484"/>
      <c r="AHN7" s="484"/>
      <c r="AHO7" s="484"/>
      <c r="AHP7" s="484"/>
      <c r="AHQ7" s="484"/>
      <c r="AHR7" s="484"/>
      <c r="AHS7" s="484"/>
      <c r="AHT7" s="484"/>
      <c r="AHU7" s="484"/>
      <c r="AHV7" s="484"/>
      <c r="AHW7" s="484"/>
      <c r="AHX7" s="484"/>
      <c r="AHY7" s="484"/>
      <c r="AHZ7" s="484"/>
      <c r="AIA7" s="484"/>
      <c r="AIB7" s="484"/>
      <c r="AIC7" s="484"/>
      <c r="AID7" s="484"/>
      <c r="AIE7" s="484"/>
      <c r="AIF7" s="484"/>
      <c r="AIG7" s="484"/>
      <c r="AIH7" s="484"/>
      <c r="AII7" s="484"/>
      <c r="AIJ7" s="484"/>
      <c r="AIK7" s="484"/>
      <c r="AIL7" s="484"/>
      <c r="AIM7" s="484"/>
      <c r="AIN7" s="484"/>
      <c r="AIO7" s="484"/>
      <c r="AIP7" s="484"/>
      <c r="AIQ7" s="484"/>
      <c r="AIR7" s="484"/>
      <c r="AIS7" s="484"/>
      <c r="AIT7" s="484"/>
      <c r="AIU7" s="484"/>
      <c r="AIV7" s="484"/>
      <c r="AIW7" s="484"/>
      <c r="AIX7" s="484"/>
      <c r="AIY7" s="484"/>
      <c r="AIZ7" s="484"/>
      <c r="AJA7" s="484"/>
      <c r="AJB7" s="484"/>
      <c r="AJC7" s="484"/>
      <c r="AJD7" s="484"/>
      <c r="AJE7" s="484"/>
      <c r="AJF7" s="484"/>
      <c r="AJG7" s="484"/>
      <c r="AJH7" s="484"/>
      <c r="AJI7" s="484"/>
      <c r="AJJ7" s="484"/>
      <c r="AJK7" s="484"/>
      <c r="AJL7" s="484"/>
      <c r="AJM7" s="484"/>
      <c r="AJN7" s="484"/>
      <c r="AJO7" s="484"/>
      <c r="AJP7" s="484"/>
      <c r="AJQ7" s="484"/>
      <c r="AJR7" s="484"/>
      <c r="AJS7" s="484"/>
      <c r="AJT7" s="484"/>
      <c r="AJU7" s="484"/>
      <c r="AJV7" s="484"/>
      <c r="AJW7" s="484"/>
      <c r="AJX7" s="484"/>
      <c r="AJY7" s="484"/>
      <c r="AJZ7" s="484"/>
      <c r="AKA7" s="484"/>
      <c r="AKB7" s="484"/>
      <c r="AKC7" s="484"/>
      <c r="AKD7" s="484"/>
      <c r="AKE7" s="484"/>
      <c r="AKF7" s="484"/>
      <c r="AKG7" s="484"/>
      <c r="AKH7" s="484"/>
      <c r="AKI7" s="484"/>
      <c r="AKJ7" s="484"/>
      <c r="AKK7" s="484"/>
      <c r="AKL7" s="484"/>
      <c r="AKM7" s="484"/>
      <c r="AKN7" s="484"/>
      <c r="AKO7" s="484"/>
      <c r="AKP7" s="484"/>
      <c r="AKQ7" s="484"/>
      <c r="AKR7" s="484"/>
      <c r="AKS7" s="484"/>
      <c r="AKT7" s="484"/>
      <c r="AKU7" s="484"/>
      <c r="AKV7" s="484"/>
      <c r="AKW7" s="484"/>
      <c r="AKX7" s="484"/>
      <c r="AKY7" s="484"/>
      <c r="AKZ7" s="484"/>
      <c r="ALA7" s="484"/>
      <c r="ALB7" s="484"/>
      <c r="ALC7" s="484"/>
      <c r="ALD7" s="484"/>
      <c r="ALE7" s="484"/>
      <c r="ALF7" s="484"/>
      <c r="ALG7" s="484"/>
      <c r="ALH7" s="484"/>
      <c r="ALI7" s="484"/>
      <c r="ALJ7" s="484"/>
      <c r="ALK7" s="484"/>
      <c r="ALL7" s="484"/>
      <c r="ALM7" s="484"/>
      <c r="ALN7" s="484"/>
      <c r="ALO7" s="484"/>
      <c r="ALP7" s="484"/>
      <c r="ALQ7" s="484"/>
      <c r="ALR7" s="484"/>
      <c r="ALS7" s="484"/>
      <c r="ALT7" s="484"/>
      <c r="ALU7" s="484"/>
      <c r="ALV7" s="484"/>
      <c r="ALW7" s="484"/>
      <c r="ALX7" s="484"/>
      <c r="ALY7" s="484"/>
      <c r="ALZ7" s="484"/>
      <c r="AMA7" s="484"/>
      <c r="AMB7" s="484"/>
      <c r="AMC7" s="484"/>
      <c r="AMD7" s="484"/>
      <c r="AME7" s="484"/>
      <c r="AMF7" s="484"/>
      <c r="AMG7" s="484"/>
      <c r="AMH7" s="484"/>
      <c r="AMI7" s="484"/>
      <c r="AMJ7" s="484"/>
      <c r="AMK7" s="484"/>
      <c r="AML7" s="484"/>
      <c r="AMM7" s="484"/>
      <c r="AMN7" s="484"/>
      <c r="AMO7" s="484"/>
      <c r="AMP7" s="484"/>
      <c r="AMQ7" s="484"/>
      <c r="AMR7" s="484"/>
      <c r="AMS7" s="484"/>
      <c r="AMT7" s="484"/>
      <c r="AMU7" s="484"/>
      <c r="AMV7" s="484"/>
      <c r="AMW7" s="484"/>
      <c r="AMX7" s="484"/>
      <c r="AMY7" s="484"/>
      <c r="AMZ7" s="484"/>
      <c r="ANA7" s="484"/>
      <c r="ANB7" s="484"/>
      <c r="ANC7" s="484"/>
      <c r="AND7" s="484"/>
      <c r="ANE7" s="484"/>
      <c r="ANF7" s="484"/>
      <c r="ANG7" s="484"/>
      <c r="ANH7" s="484"/>
      <c r="ANI7" s="484"/>
      <c r="ANJ7" s="484"/>
      <c r="ANK7" s="484"/>
      <c r="ANL7" s="484"/>
      <c r="ANM7" s="484"/>
      <c r="ANN7" s="484"/>
      <c r="ANO7" s="484"/>
      <c r="ANP7" s="484"/>
      <c r="ANQ7" s="484"/>
      <c r="ANR7" s="484"/>
      <c r="ANS7" s="484"/>
      <c r="ANT7" s="484"/>
      <c r="ANU7" s="484"/>
      <c r="ANV7" s="484"/>
      <c r="ANW7" s="484"/>
      <c r="ANX7" s="484"/>
      <c r="ANY7" s="484"/>
      <c r="ANZ7" s="484"/>
      <c r="AOA7" s="484"/>
      <c r="AOB7" s="484"/>
      <c r="AOC7" s="484"/>
      <c r="AOD7" s="484"/>
      <c r="AOE7" s="484"/>
      <c r="AOF7" s="484"/>
      <c r="AOG7" s="484"/>
      <c r="AOH7" s="484"/>
      <c r="AOI7" s="484"/>
      <c r="AOJ7" s="484"/>
      <c r="AOK7" s="484"/>
      <c r="AOL7" s="484"/>
      <c r="AOM7" s="484"/>
      <c r="AON7" s="484"/>
      <c r="AOO7" s="484"/>
      <c r="AOP7" s="484"/>
      <c r="AOQ7" s="484"/>
      <c r="AOR7" s="484"/>
      <c r="AOS7" s="484"/>
      <c r="AOT7" s="484"/>
      <c r="AOU7" s="484"/>
      <c r="AOV7" s="484"/>
      <c r="AOW7" s="484"/>
      <c r="AOX7" s="484"/>
      <c r="AOY7" s="484"/>
      <c r="AOZ7" s="484"/>
      <c r="APA7" s="484"/>
      <c r="APB7" s="484"/>
      <c r="APC7" s="484"/>
      <c r="APD7" s="484"/>
      <c r="APE7" s="484"/>
      <c r="APF7" s="484"/>
      <c r="APG7" s="484"/>
      <c r="APH7" s="484"/>
      <c r="API7" s="484"/>
      <c r="APJ7" s="484"/>
      <c r="APK7" s="484"/>
      <c r="APL7" s="484"/>
      <c r="APM7" s="484"/>
      <c r="APN7" s="484"/>
      <c r="APO7" s="484"/>
      <c r="APP7" s="484"/>
      <c r="APQ7" s="484"/>
      <c r="APR7" s="484"/>
      <c r="APS7" s="484"/>
      <c r="APT7" s="484"/>
      <c r="APU7" s="484"/>
      <c r="APV7" s="484"/>
      <c r="APW7" s="484"/>
      <c r="APX7" s="484"/>
      <c r="APY7" s="484"/>
      <c r="APZ7" s="484"/>
      <c r="AQA7" s="484"/>
      <c r="AQB7" s="484"/>
      <c r="AQC7" s="484"/>
      <c r="AQD7" s="484"/>
      <c r="AQE7" s="484"/>
      <c r="AQF7" s="484"/>
      <c r="AQG7" s="484"/>
      <c r="AQH7" s="484"/>
      <c r="AQI7" s="484"/>
      <c r="AQJ7" s="484"/>
      <c r="AQK7" s="484"/>
      <c r="AQL7" s="484"/>
      <c r="AQM7" s="484"/>
      <c r="AQN7" s="484"/>
      <c r="AQO7" s="484"/>
      <c r="AQP7" s="484"/>
      <c r="AQQ7" s="484"/>
      <c r="AQR7" s="484"/>
      <c r="AQS7" s="484"/>
      <c r="AQT7" s="484"/>
      <c r="AQU7" s="484"/>
      <c r="AQV7" s="484"/>
      <c r="AQW7" s="484"/>
      <c r="AQX7" s="484"/>
      <c r="AQY7" s="484"/>
      <c r="AQZ7" s="484"/>
      <c r="ARA7" s="484"/>
      <c r="ARB7" s="484"/>
      <c r="ARC7" s="484"/>
      <c r="ARD7" s="484"/>
      <c r="ARE7" s="484"/>
      <c r="ARF7" s="484"/>
      <c r="ARG7" s="484"/>
      <c r="ARH7" s="484"/>
      <c r="ARI7" s="484"/>
      <c r="ARJ7" s="484"/>
      <c r="ARK7" s="484"/>
      <c r="ARL7" s="484"/>
      <c r="ARM7" s="484"/>
      <c r="ARN7" s="484"/>
      <c r="ARO7" s="484"/>
      <c r="ARP7" s="484"/>
      <c r="ARQ7" s="484"/>
      <c r="ARR7" s="484"/>
      <c r="ARS7" s="484"/>
      <c r="ART7" s="484"/>
      <c r="ARU7" s="484"/>
      <c r="ARV7" s="484"/>
      <c r="ARW7" s="484"/>
      <c r="ARX7" s="484"/>
      <c r="ARY7" s="484"/>
      <c r="ARZ7" s="484"/>
      <c r="ASA7" s="484"/>
      <c r="ASB7" s="484"/>
      <c r="ASC7" s="484"/>
      <c r="ASD7" s="484"/>
      <c r="ASE7" s="484"/>
      <c r="ASF7" s="484"/>
      <c r="ASG7" s="484"/>
      <c r="ASH7" s="484"/>
      <c r="ASI7" s="484"/>
      <c r="ASJ7" s="484"/>
      <c r="ASK7" s="484"/>
      <c r="ASL7" s="484"/>
      <c r="ASM7" s="484"/>
      <c r="ASN7" s="484"/>
      <c r="ASO7" s="484"/>
      <c r="ASP7" s="484"/>
      <c r="ASQ7" s="484"/>
      <c r="ASR7" s="484"/>
      <c r="ASS7" s="484"/>
      <c r="AST7" s="484"/>
      <c r="ASU7" s="484"/>
      <c r="ASV7" s="484"/>
      <c r="ASW7" s="484"/>
      <c r="ASX7" s="484"/>
      <c r="ASY7" s="484"/>
      <c r="ASZ7" s="484"/>
      <c r="ATA7" s="484"/>
      <c r="ATB7" s="484"/>
      <c r="ATC7" s="484"/>
      <c r="ATD7" s="484"/>
      <c r="ATE7" s="484"/>
      <c r="ATF7" s="484"/>
      <c r="ATG7" s="484"/>
      <c r="ATH7" s="484"/>
      <c r="ATI7" s="484"/>
      <c r="ATJ7" s="484"/>
      <c r="ATK7" s="484"/>
      <c r="ATL7" s="484"/>
      <c r="ATM7" s="484"/>
      <c r="ATN7" s="484"/>
      <c r="ATO7" s="484"/>
      <c r="ATP7" s="484"/>
      <c r="ATQ7" s="484"/>
      <c r="ATR7" s="484"/>
      <c r="ATS7" s="484"/>
      <c r="ATT7" s="484"/>
      <c r="ATU7" s="484"/>
      <c r="ATV7" s="484"/>
      <c r="ATW7" s="484"/>
      <c r="ATX7" s="484"/>
      <c r="ATY7" s="484"/>
      <c r="ATZ7" s="484"/>
      <c r="AUA7" s="484"/>
      <c r="AUB7" s="484"/>
      <c r="AUC7" s="484"/>
      <c r="AUD7" s="484"/>
      <c r="AUE7" s="484"/>
      <c r="AUF7" s="484"/>
      <c r="AUG7" s="484"/>
      <c r="AUH7" s="484"/>
      <c r="AUI7" s="484"/>
      <c r="AUJ7" s="484"/>
      <c r="AUK7" s="484"/>
      <c r="AUL7" s="484"/>
      <c r="AUM7" s="484"/>
      <c r="AUN7" s="484"/>
      <c r="AUO7" s="484"/>
      <c r="AUP7" s="484"/>
      <c r="AUQ7" s="484"/>
      <c r="AUR7" s="484"/>
      <c r="AUS7" s="484"/>
      <c r="AUT7" s="484"/>
      <c r="AUU7" s="484"/>
      <c r="AUV7" s="484"/>
      <c r="AUW7" s="484"/>
      <c r="AUX7" s="484"/>
      <c r="AUY7" s="484"/>
      <c r="AUZ7" s="484"/>
      <c r="AVA7" s="484"/>
      <c r="AVB7" s="484"/>
      <c r="AVC7" s="484"/>
      <c r="AVD7" s="484"/>
      <c r="AVE7" s="484"/>
      <c r="AVF7" s="484"/>
      <c r="AVG7" s="484"/>
      <c r="AVH7" s="484"/>
      <c r="AVI7" s="484"/>
      <c r="AVJ7" s="484"/>
      <c r="AVK7" s="484"/>
      <c r="AVL7" s="484"/>
      <c r="AVM7" s="484"/>
      <c r="AVN7" s="484"/>
      <c r="AVO7" s="484"/>
      <c r="AVP7" s="484"/>
      <c r="AVQ7" s="484"/>
      <c r="AVR7" s="484"/>
      <c r="AVS7" s="484"/>
      <c r="AVT7" s="484"/>
      <c r="AVU7" s="484"/>
      <c r="AVV7" s="484"/>
      <c r="AVW7" s="484"/>
      <c r="AVX7" s="484"/>
      <c r="AVY7" s="484"/>
      <c r="AVZ7" s="484"/>
      <c r="AWA7" s="484"/>
      <c r="AWB7" s="484"/>
      <c r="AWC7" s="484"/>
      <c r="AWD7" s="484"/>
      <c r="AWE7" s="484"/>
      <c r="AWF7" s="484"/>
      <c r="AWG7" s="484"/>
      <c r="AWH7" s="484"/>
      <c r="AWI7" s="484"/>
      <c r="AWJ7" s="484"/>
      <c r="AWK7" s="484"/>
      <c r="AWL7" s="484"/>
      <c r="AWM7" s="484"/>
      <c r="AWN7" s="484"/>
      <c r="AWO7" s="484"/>
      <c r="AWP7" s="484"/>
      <c r="AWQ7" s="484"/>
      <c r="AWR7" s="484"/>
      <c r="AWS7" s="484"/>
      <c r="AWT7" s="484"/>
      <c r="AWU7" s="484"/>
      <c r="AWV7" s="484"/>
      <c r="AWW7" s="484"/>
      <c r="AWX7" s="484"/>
      <c r="AWY7" s="484"/>
      <c r="AWZ7" s="484"/>
      <c r="AXA7" s="484"/>
      <c r="AXB7" s="484"/>
      <c r="AXC7" s="484"/>
      <c r="AXD7" s="484"/>
      <c r="AXE7" s="484"/>
      <c r="AXF7" s="484"/>
      <c r="AXG7" s="484"/>
      <c r="AXH7" s="484"/>
      <c r="AXI7" s="484"/>
      <c r="AXJ7" s="484"/>
      <c r="AXK7" s="484"/>
      <c r="AXL7" s="484"/>
      <c r="AXM7" s="484"/>
      <c r="AXN7" s="484"/>
      <c r="AXO7" s="484"/>
      <c r="AXP7" s="484"/>
      <c r="AXQ7" s="484"/>
      <c r="AXR7" s="484"/>
      <c r="AXS7" s="484"/>
      <c r="AXT7" s="484"/>
      <c r="AXU7" s="484"/>
      <c r="AXV7" s="484"/>
      <c r="AXW7" s="484"/>
      <c r="AXX7" s="484"/>
      <c r="AXY7" s="484"/>
      <c r="AXZ7" s="484"/>
      <c r="AYA7" s="484"/>
      <c r="AYB7" s="484"/>
      <c r="AYC7" s="484"/>
      <c r="AYD7" s="484"/>
      <c r="AYE7" s="484"/>
      <c r="AYF7" s="484"/>
      <c r="AYG7" s="484"/>
      <c r="AYH7" s="484"/>
      <c r="AYI7" s="484"/>
      <c r="AYJ7" s="484"/>
      <c r="AYK7" s="484"/>
      <c r="AYL7" s="484"/>
      <c r="AYM7" s="484"/>
      <c r="AYN7" s="484"/>
      <c r="AYO7" s="484"/>
      <c r="AYP7" s="484"/>
      <c r="AYQ7" s="484"/>
      <c r="AYR7" s="484"/>
      <c r="AYS7" s="484"/>
      <c r="AYT7" s="484"/>
      <c r="AYU7" s="484"/>
      <c r="AYV7" s="484"/>
      <c r="AYW7" s="484"/>
      <c r="AYX7" s="484"/>
      <c r="AYY7" s="484"/>
      <c r="AYZ7" s="484"/>
      <c r="AZA7" s="484"/>
      <c r="AZB7" s="484"/>
      <c r="AZC7" s="484"/>
      <c r="AZD7" s="484"/>
      <c r="AZE7" s="484"/>
      <c r="AZF7" s="484"/>
      <c r="AZG7" s="484"/>
      <c r="AZH7" s="484"/>
      <c r="AZI7" s="484"/>
      <c r="AZJ7" s="484"/>
      <c r="AZK7" s="484"/>
      <c r="AZL7" s="484"/>
      <c r="AZM7" s="484"/>
      <c r="AZN7" s="484"/>
      <c r="AZO7" s="484"/>
      <c r="AZP7" s="484"/>
      <c r="AZQ7" s="484"/>
      <c r="AZR7" s="484"/>
      <c r="AZS7" s="484"/>
      <c r="AZT7" s="484"/>
      <c r="AZU7" s="484"/>
      <c r="AZV7" s="484"/>
      <c r="AZW7" s="484"/>
      <c r="AZX7" s="484"/>
      <c r="AZY7" s="484"/>
      <c r="AZZ7" s="484"/>
      <c r="BAA7" s="484"/>
      <c r="BAB7" s="484"/>
      <c r="BAC7" s="484"/>
      <c r="BAD7" s="484"/>
      <c r="BAE7" s="484"/>
      <c r="BAF7" s="484"/>
      <c r="BAG7" s="484"/>
      <c r="BAH7" s="484"/>
      <c r="BAI7" s="484"/>
      <c r="BAJ7" s="484"/>
      <c r="BAK7" s="484"/>
      <c r="BAL7" s="484"/>
      <c r="BAM7" s="484"/>
      <c r="BAN7" s="484"/>
      <c r="BAO7" s="484"/>
      <c r="BAP7" s="484"/>
      <c r="BAQ7" s="484"/>
      <c r="BAR7" s="484"/>
      <c r="BAS7" s="484"/>
      <c r="BAT7" s="484"/>
      <c r="BAU7" s="484"/>
      <c r="BAV7" s="484"/>
      <c r="BAW7" s="484"/>
      <c r="BAX7" s="484"/>
      <c r="BAY7" s="484"/>
      <c r="BAZ7" s="484"/>
      <c r="BBA7" s="484"/>
      <c r="BBB7" s="484"/>
      <c r="BBC7" s="484"/>
      <c r="BBD7" s="484"/>
      <c r="BBE7" s="484"/>
      <c r="BBF7" s="484"/>
      <c r="BBG7" s="484"/>
      <c r="BBH7" s="484"/>
      <c r="BBI7" s="484"/>
      <c r="BBJ7" s="484"/>
      <c r="BBK7" s="484"/>
      <c r="BBL7" s="484"/>
      <c r="BBM7" s="484"/>
      <c r="BBN7" s="484"/>
      <c r="BBO7" s="484"/>
      <c r="BBP7" s="484"/>
      <c r="BBQ7" s="484"/>
      <c r="BBR7" s="484"/>
      <c r="BBS7" s="484"/>
      <c r="BBT7" s="484"/>
      <c r="BBU7" s="484"/>
      <c r="BBV7" s="484"/>
      <c r="BBW7" s="484"/>
      <c r="BBX7" s="484"/>
      <c r="BBY7" s="484"/>
      <c r="BBZ7" s="484"/>
      <c r="BCA7" s="484"/>
      <c r="BCB7" s="484"/>
      <c r="BCC7" s="484"/>
      <c r="BCD7" s="484"/>
      <c r="BCE7" s="484"/>
      <c r="BCF7" s="484"/>
      <c r="BCG7" s="484"/>
      <c r="BCH7" s="484"/>
      <c r="BCI7" s="484"/>
      <c r="BCJ7" s="484"/>
      <c r="BCK7" s="484"/>
      <c r="BCL7" s="484"/>
      <c r="BCM7" s="484"/>
      <c r="BCN7" s="484"/>
      <c r="BCO7" s="484"/>
      <c r="BCP7" s="484"/>
      <c r="BCQ7" s="484"/>
      <c r="BCR7" s="484"/>
      <c r="BCS7" s="484"/>
      <c r="BCT7" s="484"/>
      <c r="BCU7" s="484"/>
      <c r="BCV7" s="484"/>
      <c r="BCW7" s="484"/>
      <c r="BCX7" s="484"/>
      <c r="BCY7" s="484"/>
      <c r="BCZ7" s="484"/>
      <c r="BDA7" s="484"/>
      <c r="BDB7" s="484"/>
      <c r="BDC7" s="484"/>
      <c r="BDD7" s="484"/>
      <c r="BDE7" s="484"/>
      <c r="BDF7" s="484"/>
      <c r="BDG7" s="484"/>
      <c r="BDH7" s="484"/>
      <c r="BDI7" s="484"/>
      <c r="BDJ7" s="484"/>
      <c r="BDK7" s="484"/>
      <c r="BDL7" s="484"/>
      <c r="BDM7" s="484"/>
      <c r="BDN7" s="484"/>
      <c r="BDO7" s="484"/>
      <c r="BDP7" s="484"/>
      <c r="BDQ7" s="484"/>
      <c r="BDR7" s="484"/>
      <c r="BDS7" s="484"/>
      <c r="BDT7" s="484"/>
      <c r="BDU7" s="484"/>
      <c r="BDV7" s="484"/>
      <c r="BDW7" s="484"/>
      <c r="BDX7" s="484"/>
      <c r="BDY7" s="484"/>
      <c r="BDZ7" s="484"/>
      <c r="BEA7" s="484"/>
      <c r="BEB7" s="484"/>
      <c r="BEC7" s="484"/>
      <c r="BED7" s="484"/>
      <c r="BEE7" s="484"/>
      <c r="BEF7" s="484"/>
      <c r="BEG7" s="484"/>
      <c r="BEH7" s="484"/>
      <c r="BEI7" s="484"/>
      <c r="BEJ7" s="484"/>
      <c r="BEK7" s="484"/>
      <c r="BEL7" s="484"/>
      <c r="BEM7" s="484"/>
      <c r="BEN7" s="484"/>
      <c r="BEO7" s="484"/>
      <c r="BEP7" s="484"/>
      <c r="BEQ7" s="484"/>
      <c r="BER7" s="484"/>
      <c r="BES7" s="484"/>
      <c r="BET7" s="484"/>
      <c r="BEU7" s="484"/>
      <c r="BEV7" s="484"/>
      <c r="BEW7" s="484"/>
      <c r="BEX7" s="484"/>
      <c r="BEY7" s="484"/>
      <c r="BEZ7" s="484"/>
      <c r="BFA7" s="484"/>
      <c r="BFB7" s="484"/>
      <c r="BFC7" s="484"/>
      <c r="BFD7" s="484"/>
      <c r="BFE7" s="484"/>
      <c r="BFF7" s="484"/>
      <c r="BFG7" s="484"/>
      <c r="BFH7" s="484"/>
      <c r="BFI7" s="484"/>
      <c r="BFJ7" s="484"/>
      <c r="BFK7" s="484"/>
      <c r="BFL7" s="484"/>
      <c r="BFM7" s="484"/>
      <c r="BFN7" s="484"/>
      <c r="BFO7" s="484"/>
      <c r="BFP7" s="484"/>
      <c r="BFQ7" s="484"/>
      <c r="BFR7" s="484"/>
      <c r="BFS7" s="484"/>
      <c r="BFT7" s="484"/>
      <c r="BFU7" s="484"/>
      <c r="BFV7" s="484"/>
      <c r="BFW7" s="484"/>
      <c r="BFX7" s="484"/>
      <c r="BFY7" s="484"/>
      <c r="BFZ7" s="484"/>
      <c r="BGA7" s="484"/>
      <c r="BGB7" s="484"/>
      <c r="BGC7" s="484"/>
      <c r="BGD7" s="484"/>
      <c r="BGE7" s="484"/>
      <c r="BGF7" s="484"/>
      <c r="BGG7" s="484"/>
      <c r="BGH7" s="484"/>
      <c r="BGI7" s="484"/>
      <c r="BGJ7" s="484"/>
      <c r="BGK7" s="484"/>
      <c r="BGL7" s="484"/>
      <c r="BGM7" s="484"/>
      <c r="BGN7" s="484"/>
      <c r="BGO7" s="484"/>
      <c r="BGP7" s="484"/>
      <c r="BGQ7" s="484"/>
      <c r="BGR7" s="484"/>
      <c r="BGS7" s="484"/>
      <c r="BGT7" s="484"/>
      <c r="BGU7" s="484"/>
      <c r="BGV7" s="484"/>
      <c r="BGW7" s="484"/>
      <c r="BGX7" s="484"/>
      <c r="BGY7" s="484"/>
      <c r="BGZ7" s="484"/>
      <c r="BHA7" s="484"/>
      <c r="BHB7" s="484"/>
      <c r="BHC7" s="484"/>
      <c r="BHD7" s="484"/>
      <c r="BHE7" s="484"/>
      <c r="BHF7" s="484"/>
      <c r="BHG7" s="484"/>
      <c r="BHH7" s="484"/>
      <c r="BHI7" s="484"/>
      <c r="BHJ7" s="484"/>
      <c r="BHK7" s="484"/>
      <c r="BHL7" s="484"/>
      <c r="BHM7" s="484"/>
      <c r="BHN7" s="484"/>
      <c r="BHO7" s="484"/>
      <c r="BHP7" s="484"/>
      <c r="BHQ7" s="484"/>
      <c r="BHR7" s="484"/>
      <c r="BHS7" s="484"/>
      <c r="BHT7" s="484"/>
      <c r="BHU7" s="484"/>
      <c r="BHV7" s="484"/>
      <c r="BHW7" s="484"/>
      <c r="BHX7" s="484"/>
      <c r="BHY7" s="484"/>
      <c r="BHZ7" s="484"/>
      <c r="BIA7" s="484"/>
      <c r="BIB7" s="484"/>
      <c r="BIC7" s="484"/>
      <c r="BID7" s="484"/>
      <c r="BIE7" s="484"/>
      <c r="BIF7" s="484"/>
      <c r="BIG7" s="484"/>
      <c r="BIH7" s="484"/>
      <c r="BII7" s="484"/>
      <c r="BIJ7" s="484"/>
      <c r="BIK7" s="484"/>
      <c r="BIL7" s="484"/>
      <c r="BIM7" s="484"/>
      <c r="BIN7" s="484"/>
      <c r="BIO7" s="484"/>
      <c r="BIP7" s="484"/>
      <c r="BIQ7" s="484"/>
      <c r="BIR7" s="484"/>
      <c r="BIS7" s="484"/>
      <c r="BIT7" s="484"/>
      <c r="BIU7" s="484"/>
      <c r="BIV7" s="484"/>
      <c r="BIW7" s="484"/>
      <c r="BIX7" s="484"/>
      <c r="BIY7" s="484"/>
      <c r="BIZ7" s="484"/>
      <c r="BJA7" s="484"/>
      <c r="BJB7" s="484"/>
      <c r="BJC7" s="484"/>
      <c r="BJD7" s="484"/>
      <c r="BJE7" s="484"/>
      <c r="BJF7" s="484"/>
      <c r="BJG7" s="484"/>
      <c r="BJH7" s="484"/>
      <c r="BJI7" s="484"/>
      <c r="BJJ7" s="484"/>
      <c r="BJK7" s="484"/>
      <c r="BJL7" s="484"/>
      <c r="BJM7" s="484"/>
      <c r="BJN7" s="484"/>
      <c r="BJO7" s="484"/>
      <c r="BJP7" s="484"/>
      <c r="BJQ7" s="484"/>
      <c r="BJR7" s="484"/>
      <c r="BJS7" s="484"/>
      <c r="BJT7" s="484"/>
      <c r="BJU7" s="484"/>
      <c r="BJV7" s="484"/>
      <c r="BJW7" s="484"/>
      <c r="BJX7" s="484"/>
      <c r="BJY7" s="484"/>
      <c r="BJZ7" s="484"/>
      <c r="BKA7" s="484"/>
      <c r="BKB7" s="484"/>
      <c r="BKC7" s="484"/>
      <c r="BKD7" s="484"/>
      <c r="BKE7" s="484"/>
      <c r="BKF7" s="484"/>
      <c r="BKG7" s="484"/>
      <c r="BKH7" s="484"/>
      <c r="BKI7" s="484"/>
      <c r="BKJ7" s="484"/>
      <c r="BKK7" s="484"/>
      <c r="BKL7" s="484"/>
      <c r="BKM7" s="484"/>
      <c r="BKN7" s="484"/>
      <c r="BKO7" s="484"/>
      <c r="BKP7" s="484"/>
      <c r="BKQ7" s="484"/>
      <c r="BKR7" s="484"/>
      <c r="BKS7" s="484"/>
      <c r="BKT7" s="484"/>
      <c r="BKU7" s="484"/>
      <c r="BKV7" s="484"/>
      <c r="BKW7" s="484"/>
      <c r="BKX7" s="484"/>
      <c r="BKY7" s="484"/>
      <c r="BKZ7" s="484"/>
      <c r="BLA7" s="484"/>
      <c r="BLB7" s="484"/>
      <c r="BLC7" s="484"/>
      <c r="BLD7" s="484"/>
      <c r="BLE7" s="484"/>
      <c r="BLF7" s="484"/>
      <c r="BLG7" s="484"/>
      <c r="BLH7" s="484"/>
      <c r="BLI7" s="484"/>
      <c r="BLJ7" s="484"/>
      <c r="BLK7" s="484"/>
      <c r="BLL7" s="484"/>
      <c r="BLM7" s="484"/>
      <c r="BLN7" s="484"/>
      <c r="BLO7" s="484"/>
      <c r="BLP7" s="484"/>
      <c r="BLQ7" s="484"/>
      <c r="BLR7" s="484"/>
      <c r="BLS7" s="484"/>
      <c r="BLT7" s="484"/>
      <c r="BLU7" s="484"/>
      <c r="BLV7" s="484"/>
      <c r="BLW7" s="484"/>
      <c r="BLX7" s="484"/>
      <c r="BLY7" s="484"/>
      <c r="BLZ7" s="484"/>
      <c r="BMA7" s="484"/>
      <c r="BMB7" s="484"/>
      <c r="BMC7" s="484"/>
      <c r="BMD7" s="484"/>
      <c r="BME7" s="484"/>
      <c r="BMF7" s="484"/>
      <c r="BMG7" s="484"/>
      <c r="BMH7" s="484"/>
      <c r="BMI7" s="484"/>
      <c r="BMJ7" s="484"/>
      <c r="BMK7" s="484"/>
      <c r="BML7" s="484"/>
      <c r="BMM7" s="484"/>
      <c r="BMN7" s="484"/>
      <c r="BMO7" s="484"/>
      <c r="BMP7" s="484"/>
      <c r="BMQ7" s="484"/>
      <c r="BMR7" s="484"/>
      <c r="BMS7" s="484"/>
      <c r="BMT7" s="484"/>
      <c r="BMU7" s="484"/>
      <c r="BMV7" s="484"/>
      <c r="BMW7" s="484"/>
      <c r="BMX7" s="484"/>
      <c r="BMY7" s="484"/>
      <c r="BMZ7" s="484"/>
      <c r="BNA7" s="484"/>
      <c r="BNB7" s="484"/>
      <c r="BNC7" s="484"/>
      <c r="BND7" s="484"/>
      <c r="BNE7" s="484"/>
      <c r="BNF7" s="484"/>
      <c r="BNG7" s="484"/>
      <c r="BNH7" s="484"/>
      <c r="BNI7" s="484"/>
      <c r="BNJ7" s="484"/>
      <c r="BNK7" s="484"/>
      <c r="BNL7" s="484"/>
      <c r="BNM7" s="484"/>
      <c r="BNN7" s="484"/>
      <c r="BNO7" s="484"/>
      <c r="BNP7" s="484"/>
      <c r="BNQ7" s="484"/>
      <c r="BNR7" s="484"/>
      <c r="BNS7" s="484"/>
      <c r="BNT7" s="484"/>
      <c r="BNU7" s="484"/>
      <c r="BNV7" s="484"/>
      <c r="BNW7" s="484"/>
      <c r="BNX7" s="484"/>
      <c r="BNY7" s="484"/>
      <c r="BNZ7" s="484"/>
      <c r="BOA7" s="484"/>
      <c r="BOB7" s="484"/>
      <c r="BOC7" s="484"/>
      <c r="BOD7" s="484"/>
      <c r="BOE7" s="484"/>
      <c r="BOF7" s="484"/>
      <c r="BOG7" s="484"/>
      <c r="BOH7" s="484"/>
      <c r="BOI7" s="484"/>
      <c r="BOJ7" s="484"/>
      <c r="BOK7" s="484"/>
      <c r="BOL7" s="484"/>
      <c r="BOM7" s="484"/>
      <c r="BON7" s="484"/>
      <c r="BOO7" s="484"/>
      <c r="BOP7" s="484"/>
      <c r="BOQ7" s="484"/>
      <c r="BOR7" s="484"/>
      <c r="BOS7" s="484"/>
      <c r="BOT7" s="484"/>
      <c r="BOU7" s="484"/>
      <c r="BOV7" s="484"/>
      <c r="BOW7" s="484"/>
      <c r="BOX7" s="484"/>
      <c r="BOY7" s="484"/>
      <c r="BOZ7" s="484"/>
      <c r="BPA7" s="484"/>
      <c r="BPB7" s="484"/>
      <c r="BPC7" s="484"/>
      <c r="BPD7" s="484"/>
      <c r="BPE7" s="484"/>
      <c r="BPF7" s="484"/>
      <c r="BPG7" s="484"/>
      <c r="BPH7" s="484"/>
      <c r="BPI7" s="484"/>
      <c r="BPJ7" s="484"/>
      <c r="BPK7" s="484"/>
      <c r="BPL7" s="484"/>
      <c r="BPM7" s="484"/>
      <c r="BPN7" s="484"/>
      <c r="BPO7" s="484"/>
      <c r="BPP7" s="484"/>
      <c r="BPQ7" s="484"/>
      <c r="BPR7" s="484"/>
      <c r="BPS7" s="484"/>
      <c r="BPT7" s="484"/>
      <c r="BPU7" s="484"/>
      <c r="BPV7" s="484"/>
      <c r="BPW7" s="484"/>
      <c r="BPX7" s="484"/>
      <c r="BPY7" s="484"/>
      <c r="BPZ7" s="484"/>
      <c r="BQA7" s="484"/>
      <c r="BQB7" s="484"/>
      <c r="BQC7" s="484"/>
      <c r="BQD7" s="484"/>
      <c r="BQE7" s="484"/>
      <c r="BQF7" s="484"/>
      <c r="BQG7" s="484"/>
      <c r="BQH7" s="484"/>
      <c r="BQI7" s="484"/>
      <c r="BQJ7" s="484"/>
      <c r="BQK7" s="484"/>
      <c r="BQL7" s="484"/>
      <c r="BQM7" s="484"/>
      <c r="BQN7" s="484"/>
      <c r="BQO7" s="484"/>
      <c r="BQP7" s="484"/>
      <c r="BQQ7" s="484"/>
      <c r="BQR7" s="484"/>
      <c r="BQS7" s="484"/>
      <c r="BQT7" s="484"/>
      <c r="BQU7" s="484"/>
      <c r="BQV7" s="484"/>
      <c r="BQW7" s="484"/>
      <c r="BQX7" s="484"/>
      <c r="BQY7" s="484"/>
      <c r="BQZ7" s="484"/>
      <c r="BRA7" s="484"/>
      <c r="BRB7" s="484"/>
      <c r="BRC7" s="484"/>
      <c r="BRD7" s="484"/>
      <c r="BRE7" s="484"/>
      <c r="BRF7" s="484"/>
      <c r="BRG7" s="484"/>
      <c r="BRH7" s="484"/>
      <c r="BRI7" s="484"/>
      <c r="BRJ7" s="484"/>
      <c r="BRK7" s="484"/>
      <c r="BRL7" s="484"/>
      <c r="BRM7" s="484"/>
      <c r="BRN7" s="484"/>
      <c r="BRO7" s="484"/>
      <c r="BRP7" s="484"/>
      <c r="BRQ7" s="484"/>
      <c r="BRR7" s="484"/>
      <c r="BRS7" s="484"/>
      <c r="BRT7" s="484"/>
      <c r="BRU7" s="484"/>
      <c r="BRV7" s="484"/>
      <c r="BRW7" s="484"/>
      <c r="BRX7" s="484"/>
      <c r="BRY7" s="484"/>
      <c r="BRZ7" s="484"/>
      <c r="BSA7" s="484"/>
      <c r="BSB7" s="484"/>
      <c r="BSC7" s="484"/>
      <c r="BSD7" s="484"/>
      <c r="BSE7" s="484"/>
      <c r="BSF7" s="484"/>
      <c r="BSG7" s="484"/>
      <c r="BSH7" s="484"/>
      <c r="BSI7" s="484"/>
      <c r="BSJ7" s="484"/>
      <c r="BSK7" s="484"/>
      <c r="BSL7" s="484"/>
      <c r="BSM7" s="484"/>
      <c r="BSN7" s="484"/>
      <c r="BSO7" s="484"/>
      <c r="BSP7" s="484"/>
      <c r="BSQ7" s="484"/>
      <c r="BSR7" s="484"/>
      <c r="BSS7" s="484"/>
      <c r="BST7" s="484"/>
      <c r="BSU7" s="484"/>
      <c r="BSV7" s="484"/>
      <c r="BSW7" s="484"/>
      <c r="BSX7" s="484"/>
      <c r="BSY7" s="484"/>
      <c r="BSZ7" s="484"/>
      <c r="BTA7" s="484"/>
      <c r="BTB7" s="484"/>
      <c r="BTC7" s="484"/>
      <c r="BTD7" s="484"/>
      <c r="BTE7" s="484"/>
      <c r="BTF7" s="484"/>
      <c r="BTG7" s="484"/>
      <c r="BTH7" s="484"/>
      <c r="BTI7" s="484"/>
      <c r="BTJ7" s="484"/>
      <c r="BTK7" s="484"/>
      <c r="BTL7" s="484"/>
      <c r="BTM7" s="484"/>
      <c r="BTN7" s="484"/>
      <c r="BTO7" s="484"/>
      <c r="BTP7" s="484"/>
      <c r="BTQ7" s="484"/>
      <c r="BTR7" s="484"/>
      <c r="BTS7" s="484"/>
      <c r="BTT7" s="484"/>
      <c r="BTU7" s="484"/>
      <c r="BTV7" s="484"/>
      <c r="BTW7" s="484"/>
      <c r="BTX7" s="484"/>
      <c r="BTY7" s="484"/>
      <c r="BTZ7" s="484"/>
      <c r="BUA7" s="484"/>
      <c r="BUB7" s="484"/>
      <c r="BUC7" s="484"/>
      <c r="BUD7" s="484"/>
      <c r="BUE7" s="484"/>
      <c r="BUF7" s="484"/>
      <c r="BUG7" s="484"/>
      <c r="BUH7" s="484"/>
      <c r="BUI7" s="484"/>
      <c r="BUJ7" s="484"/>
      <c r="BUK7" s="484"/>
      <c r="BUL7" s="484"/>
      <c r="BUM7" s="484"/>
      <c r="BUN7" s="484"/>
      <c r="BUO7" s="484"/>
      <c r="BUP7" s="484"/>
      <c r="BUQ7" s="484"/>
      <c r="BUR7" s="484"/>
      <c r="BUS7" s="484"/>
      <c r="BUT7" s="484"/>
      <c r="BUU7" s="484"/>
      <c r="BUV7" s="484"/>
      <c r="BUW7" s="484"/>
      <c r="BUX7" s="484"/>
      <c r="BUY7" s="484"/>
      <c r="BUZ7" s="484"/>
      <c r="BVA7" s="484"/>
      <c r="BVB7" s="484"/>
      <c r="BVC7" s="484"/>
      <c r="BVD7" s="484"/>
      <c r="BVE7" s="484"/>
      <c r="BVF7" s="484"/>
      <c r="BVG7" s="484"/>
      <c r="BVH7" s="484"/>
      <c r="BVI7" s="484"/>
      <c r="BVJ7" s="484"/>
      <c r="BVK7" s="484"/>
      <c r="BVL7" s="484"/>
      <c r="BVM7" s="484"/>
      <c r="BVN7" s="484"/>
      <c r="BVO7" s="484"/>
      <c r="BVP7" s="484"/>
      <c r="BVQ7" s="484"/>
      <c r="BVR7" s="484"/>
      <c r="BVS7" s="484"/>
      <c r="BVT7" s="484"/>
      <c r="BVU7" s="484"/>
      <c r="BVV7" s="484"/>
      <c r="BVW7" s="484"/>
      <c r="BVX7" s="484"/>
      <c r="BVY7" s="484"/>
      <c r="BVZ7" s="484"/>
      <c r="BWA7" s="484"/>
      <c r="BWB7" s="484"/>
      <c r="BWC7" s="484"/>
      <c r="BWD7" s="484"/>
      <c r="BWE7" s="484"/>
      <c r="BWF7" s="484"/>
      <c r="BWG7" s="484"/>
      <c r="BWH7" s="484"/>
      <c r="BWI7" s="484"/>
      <c r="BWJ7" s="484"/>
      <c r="BWK7" s="484"/>
      <c r="BWL7" s="484"/>
      <c r="BWM7" s="484"/>
      <c r="BWN7" s="484"/>
      <c r="BWO7" s="484"/>
      <c r="BWP7" s="484"/>
      <c r="BWQ7" s="484"/>
      <c r="BWR7" s="484"/>
      <c r="BWS7" s="484"/>
      <c r="BWT7" s="484"/>
      <c r="BWU7" s="484"/>
      <c r="BWV7" s="484"/>
      <c r="BWW7" s="484"/>
      <c r="BWX7" s="484"/>
      <c r="BWY7" s="484"/>
      <c r="BWZ7" s="484"/>
      <c r="BXA7" s="484"/>
      <c r="BXB7" s="484"/>
      <c r="BXC7" s="484"/>
      <c r="BXD7" s="484"/>
      <c r="BXE7" s="484"/>
      <c r="BXF7" s="484"/>
      <c r="BXG7" s="484"/>
      <c r="BXH7" s="484"/>
      <c r="BXI7" s="484"/>
      <c r="BXJ7" s="484"/>
      <c r="BXK7" s="484"/>
      <c r="BXL7" s="484"/>
      <c r="BXM7" s="484"/>
      <c r="BXN7" s="484"/>
      <c r="BXO7" s="484"/>
      <c r="BXP7" s="484"/>
      <c r="BXQ7" s="484"/>
      <c r="BXR7" s="484"/>
      <c r="BXS7" s="484"/>
      <c r="BXT7" s="484"/>
      <c r="BXU7" s="484"/>
      <c r="BXV7" s="484"/>
      <c r="BXW7" s="484"/>
      <c r="BXX7" s="484"/>
      <c r="BXY7" s="484"/>
      <c r="BXZ7" s="484"/>
      <c r="BYA7" s="484"/>
      <c r="BYB7" s="484"/>
      <c r="BYC7" s="484"/>
      <c r="BYD7" s="484"/>
      <c r="BYE7" s="484"/>
      <c r="BYF7" s="484"/>
      <c r="BYG7" s="484"/>
      <c r="BYH7" s="484"/>
      <c r="BYI7" s="484"/>
      <c r="BYJ7" s="484"/>
      <c r="BYK7" s="484"/>
      <c r="BYL7" s="484"/>
      <c r="BYM7" s="484"/>
      <c r="BYN7" s="484"/>
      <c r="BYO7" s="484"/>
      <c r="BYP7" s="484"/>
      <c r="BYQ7" s="484"/>
      <c r="BYR7" s="484"/>
      <c r="BYS7" s="484"/>
      <c r="BYT7" s="484"/>
      <c r="BYU7" s="484"/>
      <c r="BYV7" s="484"/>
      <c r="BYW7" s="484"/>
      <c r="BYX7" s="484"/>
      <c r="BYY7" s="484"/>
      <c r="BYZ7" s="484"/>
      <c r="BZA7" s="484"/>
      <c r="BZB7" s="484"/>
      <c r="BZC7" s="484"/>
      <c r="BZD7" s="484"/>
      <c r="BZE7" s="484"/>
      <c r="BZF7" s="484"/>
      <c r="BZG7" s="484"/>
      <c r="BZH7" s="484"/>
      <c r="BZI7" s="484"/>
      <c r="BZJ7" s="484"/>
      <c r="BZK7" s="484"/>
      <c r="BZL7" s="484"/>
      <c r="BZM7" s="484"/>
      <c r="BZN7" s="484"/>
      <c r="BZO7" s="484"/>
      <c r="BZP7" s="484"/>
      <c r="BZQ7" s="484"/>
      <c r="BZR7" s="484"/>
      <c r="BZS7" s="484"/>
      <c r="BZT7" s="484"/>
      <c r="BZU7" s="484"/>
      <c r="BZV7" s="484"/>
      <c r="BZW7" s="484"/>
      <c r="BZX7" s="484"/>
      <c r="BZY7" s="484"/>
      <c r="BZZ7" s="484"/>
      <c r="CAA7" s="484"/>
      <c r="CAB7" s="484"/>
      <c r="CAC7" s="484"/>
      <c r="CAD7" s="484"/>
      <c r="CAE7" s="484"/>
      <c r="CAF7" s="484"/>
      <c r="CAG7" s="484"/>
      <c r="CAH7" s="484"/>
      <c r="CAI7" s="484"/>
      <c r="CAJ7" s="484"/>
      <c r="CAK7" s="484"/>
      <c r="CAL7" s="484"/>
      <c r="CAM7" s="484"/>
      <c r="CAN7" s="484"/>
      <c r="CAO7" s="484"/>
      <c r="CAP7" s="484"/>
      <c r="CAQ7" s="484"/>
      <c r="CAR7" s="484"/>
      <c r="CAS7" s="484"/>
      <c r="CAT7" s="484"/>
      <c r="CAU7" s="484"/>
      <c r="CAV7" s="484"/>
      <c r="CAW7" s="484"/>
      <c r="CAX7" s="484"/>
      <c r="CAY7" s="484"/>
      <c r="CAZ7" s="484"/>
      <c r="CBA7" s="484"/>
      <c r="CBB7" s="484"/>
      <c r="CBC7" s="484"/>
      <c r="CBD7" s="484"/>
      <c r="CBE7" s="484"/>
      <c r="CBF7" s="484"/>
      <c r="CBG7" s="484"/>
      <c r="CBH7" s="484"/>
      <c r="CBI7" s="484"/>
      <c r="CBJ7" s="484"/>
      <c r="CBK7" s="484"/>
      <c r="CBL7" s="484"/>
      <c r="CBM7" s="484"/>
      <c r="CBN7" s="484"/>
      <c r="CBO7" s="484"/>
      <c r="CBP7" s="484"/>
      <c r="CBQ7" s="484"/>
      <c r="CBR7" s="484"/>
      <c r="CBS7" s="484"/>
      <c r="CBT7" s="484"/>
      <c r="CBU7" s="484"/>
      <c r="CBV7" s="484"/>
      <c r="CBW7" s="484"/>
      <c r="CBX7" s="484"/>
      <c r="CBY7" s="484"/>
      <c r="CBZ7" s="484"/>
      <c r="CCA7" s="484"/>
      <c r="CCB7" s="484"/>
      <c r="CCC7" s="484"/>
      <c r="CCD7" s="484"/>
      <c r="CCE7" s="484"/>
      <c r="CCF7" s="484"/>
      <c r="CCG7" s="484"/>
      <c r="CCH7" s="484"/>
      <c r="CCI7" s="484"/>
      <c r="CCJ7" s="484"/>
      <c r="CCK7" s="484"/>
      <c r="CCL7" s="484"/>
      <c r="CCM7" s="484"/>
      <c r="CCN7" s="484"/>
      <c r="CCO7" s="484"/>
      <c r="CCP7" s="484"/>
      <c r="CCQ7" s="484"/>
      <c r="CCR7" s="484"/>
      <c r="CCS7" s="484"/>
      <c r="CCT7" s="484"/>
      <c r="CCU7" s="484"/>
      <c r="CCV7" s="484"/>
      <c r="CCW7" s="484"/>
      <c r="CCX7" s="484"/>
      <c r="CCY7" s="484"/>
      <c r="CCZ7" s="484"/>
      <c r="CDA7" s="484"/>
      <c r="CDB7" s="484"/>
      <c r="CDC7" s="484"/>
      <c r="CDD7" s="484"/>
      <c r="CDE7" s="484"/>
      <c r="CDF7" s="484"/>
      <c r="CDG7" s="484"/>
      <c r="CDH7" s="484"/>
      <c r="CDI7" s="484"/>
      <c r="CDJ7" s="484"/>
      <c r="CDK7" s="484"/>
      <c r="CDL7" s="484"/>
      <c r="CDM7" s="484"/>
      <c r="CDN7" s="484"/>
      <c r="CDO7" s="484"/>
      <c r="CDP7" s="484"/>
      <c r="CDQ7" s="484"/>
      <c r="CDR7" s="484"/>
      <c r="CDS7" s="484"/>
      <c r="CDT7" s="484"/>
      <c r="CDU7" s="484"/>
      <c r="CDV7" s="484"/>
      <c r="CDW7" s="484"/>
      <c r="CDX7" s="484"/>
      <c r="CDY7" s="484"/>
      <c r="CDZ7" s="484"/>
      <c r="CEA7" s="484"/>
      <c r="CEB7" s="484"/>
      <c r="CEC7" s="484"/>
      <c r="CED7" s="484"/>
      <c r="CEE7" s="484"/>
      <c r="CEF7" s="484"/>
      <c r="CEG7" s="484"/>
      <c r="CEH7" s="484"/>
      <c r="CEI7" s="484"/>
      <c r="CEJ7" s="484"/>
      <c r="CEK7" s="484"/>
      <c r="CEL7" s="484"/>
      <c r="CEM7" s="484"/>
      <c r="CEN7" s="484"/>
      <c r="CEO7" s="484"/>
      <c r="CEP7" s="484"/>
      <c r="CEQ7" s="484"/>
      <c r="CER7" s="484"/>
      <c r="CES7" s="484"/>
      <c r="CET7" s="484"/>
      <c r="CEU7" s="484"/>
      <c r="CEV7" s="484"/>
      <c r="CEW7" s="484"/>
      <c r="CEX7" s="484"/>
      <c r="CEY7" s="484"/>
      <c r="CEZ7" s="484"/>
      <c r="CFA7" s="484"/>
      <c r="CFB7" s="484"/>
      <c r="CFC7" s="484"/>
      <c r="CFD7" s="484"/>
      <c r="CFE7" s="484"/>
      <c r="CFF7" s="484"/>
      <c r="CFG7" s="484"/>
      <c r="CFH7" s="484"/>
      <c r="CFI7" s="484"/>
      <c r="CFJ7" s="484"/>
      <c r="CFK7" s="484"/>
      <c r="CFL7" s="484"/>
      <c r="CFM7" s="484"/>
      <c r="CFN7" s="484"/>
      <c r="CFO7" s="484"/>
      <c r="CFP7" s="484"/>
      <c r="CFQ7" s="484"/>
      <c r="CFR7" s="484"/>
      <c r="CFS7" s="484"/>
      <c r="CFT7" s="484"/>
      <c r="CFU7" s="484"/>
      <c r="CFV7" s="484"/>
      <c r="CFW7" s="484"/>
      <c r="CFX7" s="484"/>
      <c r="CFY7" s="484"/>
      <c r="CFZ7" s="484"/>
      <c r="CGA7" s="484"/>
      <c r="CGB7" s="484"/>
      <c r="CGC7" s="484"/>
      <c r="CGD7" s="484"/>
      <c r="CGE7" s="484"/>
      <c r="CGF7" s="484"/>
      <c r="CGG7" s="484"/>
      <c r="CGH7" s="484"/>
      <c r="CGI7" s="484"/>
      <c r="CGJ7" s="484"/>
      <c r="CGK7" s="484"/>
      <c r="CGL7" s="484"/>
      <c r="CGM7" s="484"/>
      <c r="CGN7" s="484"/>
      <c r="CGO7" s="484"/>
      <c r="CGP7" s="484"/>
      <c r="CGQ7" s="484"/>
      <c r="CGR7" s="484"/>
      <c r="CGS7" s="484"/>
      <c r="CGT7" s="484"/>
      <c r="CGU7" s="484"/>
      <c r="CGV7" s="484"/>
      <c r="CGW7" s="484"/>
      <c r="CGX7" s="484"/>
      <c r="CGY7" s="484"/>
      <c r="CGZ7" s="484"/>
      <c r="CHA7" s="484"/>
      <c r="CHB7" s="484"/>
      <c r="CHC7" s="484"/>
      <c r="CHD7" s="484"/>
      <c r="CHE7" s="484"/>
      <c r="CHF7" s="484"/>
      <c r="CHG7" s="484"/>
      <c r="CHH7" s="484"/>
      <c r="CHI7" s="484"/>
      <c r="CHJ7" s="484"/>
      <c r="CHK7" s="484"/>
      <c r="CHL7" s="484"/>
      <c r="CHM7" s="484"/>
      <c r="CHN7" s="484"/>
      <c r="CHO7" s="484"/>
      <c r="CHP7" s="484"/>
      <c r="CHQ7" s="484"/>
      <c r="CHR7" s="484"/>
      <c r="CHS7" s="484"/>
      <c r="CHT7" s="484"/>
      <c r="CHU7" s="484"/>
      <c r="CHV7" s="484"/>
      <c r="CHW7" s="484"/>
      <c r="CHX7" s="484"/>
      <c r="CHY7" s="484"/>
      <c r="CHZ7" s="484"/>
      <c r="CIA7" s="484"/>
      <c r="CIB7" s="484"/>
      <c r="CIC7" s="484"/>
      <c r="CID7" s="484"/>
      <c r="CIE7" s="484"/>
      <c r="CIF7" s="484"/>
      <c r="CIG7" s="484"/>
      <c r="CIH7" s="484"/>
      <c r="CII7" s="484"/>
      <c r="CIJ7" s="484"/>
      <c r="CIK7" s="484"/>
      <c r="CIL7" s="484"/>
      <c r="CIM7" s="484"/>
      <c r="CIN7" s="484"/>
      <c r="CIO7" s="484"/>
      <c r="CIP7" s="484"/>
      <c r="CIQ7" s="484"/>
      <c r="CIR7" s="484"/>
      <c r="CIS7" s="484"/>
      <c r="CIT7" s="484"/>
      <c r="CIU7" s="484"/>
      <c r="CIV7" s="484"/>
      <c r="CIW7" s="484"/>
      <c r="CIX7" s="484"/>
      <c r="CIY7" s="484"/>
      <c r="CIZ7" s="484"/>
      <c r="CJA7" s="484"/>
      <c r="CJB7" s="484"/>
      <c r="CJC7" s="484"/>
      <c r="CJD7" s="484"/>
      <c r="CJE7" s="484"/>
      <c r="CJF7" s="484"/>
      <c r="CJG7" s="484"/>
      <c r="CJH7" s="484"/>
      <c r="CJI7" s="484"/>
      <c r="CJJ7" s="484"/>
      <c r="CJK7" s="484"/>
      <c r="CJL7" s="484"/>
      <c r="CJM7" s="484"/>
      <c r="CJN7" s="484"/>
      <c r="CJO7" s="484"/>
      <c r="CJP7" s="484"/>
      <c r="CJQ7" s="484"/>
      <c r="CJR7" s="484"/>
      <c r="CJS7" s="484"/>
      <c r="CJT7" s="484"/>
      <c r="CJU7" s="484"/>
      <c r="CJV7" s="484"/>
      <c r="CJW7" s="484"/>
      <c r="CJX7" s="484"/>
      <c r="CJY7" s="484"/>
      <c r="CJZ7" s="484"/>
      <c r="CKA7" s="484"/>
      <c r="CKB7" s="484"/>
      <c r="CKC7" s="484"/>
      <c r="CKD7" s="484"/>
      <c r="CKE7" s="484"/>
      <c r="CKF7" s="484"/>
      <c r="CKG7" s="484"/>
      <c r="CKH7" s="484"/>
      <c r="CKI7" s="484"/>
      <c r="CKJ7" s="484"/>
      <c r="CKK7" s="484"/>
      <c r="CKL7" s="484"/>
      <c r="CKM7" s="484"/>
      <c r="CKN7" s="484"/>
      <c r="CKO7" s="484"/>
      <c r="CKP7" s="484"/>
      <c r="CKQ7" s="484"/>
      <c r="CKR7" s="484"/>
      <c r="CKS7" s="484"/>
      <c r="CKT7" s="484"/>
      <c r="CKU7" s="484"/>
      <c r="CKV7" s="484"/>
      <c r="CKW7" s="484"/>
      <c r="CKX7" s="484"/>
      <c r="CKY7" s="484"/>
      <c r="CKZ7" s="484"/>
      <c r="CLA7" s="484"/>
      <c r="CLB7" s="484"/>
      <c r="CLC7" s="484"/>
      <c r="CLD7" s="484"/>
      <c r="CLE7" s="484"/>
      <c r="CLF7" s="484"/>
      <c r="CLG7" s="484"/>
      <c r="CLH7" s="484"/>
      <c r="CLI7" s="484"/>
      <c r="CLJ7" s="484"/>
      <c r="CLK7" s="484"/>
      <c r="CLL7" s="484"/>
      <c r="CLM7" s="484"/>
      <c r="CLN7" s="484"/>
      <c r="CLO7" s="484"/>
      <c r="CLP7" s="484"/>
      <c r="CLQ7" s="484"/>
      <c r="CLR7" s="484"/>
      <c r="CLS7" s="484"/>
      <c r="CLT7" s="484"/>
      <c r="CLU7" s="484"/>
      <c r="CLV7" s="484"/>
      <c r="CLW7" s="484"/>
      <c r="CLX7" s="484"/>
      <c r="CLY7" s="484"/>
      <c r="CLZ7" s="484"/>
      <c r="CMA7" s="484"/>
      <c r="CMB7" s="484"/>
      <c r="CMC7" s="484"/>
      <c r="CMD7" s="484"/>
      <c r="CME7" s="484"/>
      <c r="CMF7" s="484"/>
      <c r="CMG7" s="484"/>
      <c r="CMH7" s="484"/>
      <c r="CMI7" s="484"/>
      <c r="CMJ7" s="484"/>
      <c r="CMK7" s="484"/>
      <c r="CML7" s="484"/>
      <c r="CMM7" s="484"/>
      <c r="CMN7" s="484"/>
      <c r="CMO7" s="484"/>
      <c r="CMP7" s="484"/>
      <c r="CMQ7" s="484"/>
      <c r="CMR7" s="484"/>
      <c r="CMS7" s="484"/>
      <c r="CMT7" s="484"/>
      <c r="CMU7" s="484"/>
      <c r="CMV7" s="484"/>
      <c r="CMW7" s="484"/>
      <c r="CMX7" s="484"/>
      <c r="CMY7" s="484"/>
      <c r="CMZ7" s="484"/>
      <c r="CNA7" s="484"/>
      <c r="CNB7" s="484"/>
      <c r="CNC7" s="484"/>
      <c r="CND7" s="484"/>
      <c r="CNE7" s="484"/>
      <c r="CNF7" s="484"/>
      <c r="CNG7" s="484"/>
      <c r="CNH7" s="484"/>
      <c r="CNI7" s="484"/>
      <c r="CNJ7" s="484"/>
      <c r="CNK7" s="484"/>
      <c r="CNL7" s="484"/>
      <c r="CNM7" s="484"/>
      <c r="CNN7" s="484"/>
      <c r="CNO7" s="484"/>
      <c r="CNP7" s="484"/>
      <c r="CNQ7" s="484"/>
      <c r="CNR7" s="484"/>
      <c r="CNS7" s="484"/>
      <c r="CNT7" s="484"/>
      <c r="CNU7" s="484"/>
      <c r="CNV7" s="484"/>
      <c r="CNW7" s="484"/>
      <c r="CNX7" s="484"/>
      <c r="CNY7" s="484"/>
      <c r="CNZ7" s="484"/>
      <c r="COA7" s="484"/>
      <c r="COB7" s="484"/>
      <c r="COC7" s="484"/>
      <c r="COD7" s="484"/>
      <c r="COE7" s="484"/>
      <c r="COF7" s="484"/>
      <c r="COG7" s="484"/>
      <c r="COH7" s="484"/>
      <c r="COI7" s="484"/>
      <c r="COJ7" s="484"/>
      <c r="COK7" s="484"/>
      <c r="COL7" s="484"/>
      <c r="COM7" s="484"/>
      <c r="CON7" s="484"/>
      <c r="COO7" s="484"/>
      <c r="COP7" s="484"/>
      <c r="COQ7" s="484"/>
      <c r="COR7" s="484"/>
      <c r="COS7" s="484"/>
      <c r="COT7" s="484"/>
      <c r="COU7" s="484"/>
      <c r="COV7" s="484"/>
      <c r="COW7" s="484"/>
      <c r="COX7" s="484"/>
      <c r="COY7" s="484"/>
      <c r="COZ7" s="484"/>
      <c r="CPA7" s="484"/>
      <c r="CPB7" s="484"/>
      <c r="CPC7" s="484"/>
      <c r="CPD7" s="484"/>
      <c r="CPE7" s="484"/>
      <c r="CPF7" s="484"/>
      <c r="CPG7" s="484"/>
      <c r="CPH7" s="484"/>
      <c r="CPI7" s="484"/>
      <c r="CPJ7" s="484"/>
      <c r="CPK7" s="484"/>
      <c r="CPL7" s="484"/>
      <c r="CPM7" s="484"/>
      <c r="CPN7" s="484"/>
      <c r="CPO7" s="484"/>
      <c r="CPP7" s="484"/>
      <c r="CPQ7" s="484"/>
      <c r="CPR7" s="484"/>
      <c r="CPS7" s="484"/>
      <c r="CPT7" s="484"/>
      <c r="CPU7" s="484"/>
      <c r="CPV7" s="484"/>
      <c r="CPW7" s="484"/>
      <c r="CPX7" s="484"/>
      <c r="CPY7" s="484"/>
      <c r="CPZ7" s="484"/>
      <c r="CQA7" s="484"/>
      <c r="CQB7" s="484"/>
      <c r="CQC7" s="484"/>
      <c r="CQD7" s="484"/>
      <c r="CQE7" s="484"/>
      <c r="CQF7" s="484"/>
      <c r="CQG7" s="484"/>
      <c r="CQH7" s="484"/>
      <c r="CQI7" s="484"/>
      <c r="CQJ7" s="484"/>
      <c r="CQK7" s="484"/>
      <c r="CQL7" s="484"/>
      <c r="CQM7" s="484"/>
      <c r="CQN7" s="484"/>
      <c r="CQO7" s="484"/>
      <c r="CQP7" s="484"/>
      <c r="CQQ7" s="484"/>
      <c r="CQR7" s="484"/>
      <c r="CQS7" s="484"/>
      <c r="CQT7" s="484"/>
      <c r="CQU7" s="484"/>
      <c r="CQV7" s="484"/>
      <c r="CQW7" s="484"/>
      <c r="CQX7" s="484"/>
      <c r="CQY7" s="484"/>
      <c r="CQZ7" s="484"/>
      <c r="CRA7" s="484"/>
      <c r="CRB7" s="484"/>
      <c r="CRC7" s="484"/>
      <c r="CRD7" s="484"/>
      <c r="CRE7" s="484"/>
      <c r="CRF7" s="484"/>
      <c r="CRG7" s="484"/>
      <c r="CRH7" s="484"/>
      <c r="CRI7" s="484"/>
      <c r="CRJ7" s="484"/>
      <c r="CRK7" s="484"/>
      <c r="CRL7" s="484"/>
      <c r="CRM7" s="484"/>
      <c r="CRN7" s="484"/>
      <c r="CRO7" s="484"/>
      <c r="CRP7" s="484"/>
      <c r="CRQ7" s="484"/>
      <c r="CRR7" s="484"/>
      <c r="CRS7" s="484"/>
      <c r="CRT7" s="484"/>
      <c r="CRU7" s="484"/>
      <c r="CRV7" s="484"/>
      <c r="CRW7" s="484"/>
      <c r="CRX7" s="484"/>
      <c r="CRY7" s="484"/>
      <c r="CRZ7" s="484"/>
      <c r="CSA7" s="484"/>
      <c r="CSB7" s="484"/>
      <c r="CSC7" s="484"/>
      <c r="CSD7" s="484"/>
      <c r="CSE7" s="484"/>
      <c r="CSF7" s="484"/>
      <c r="CSG7" s="484"/>
      <c r="CSH7" s="484"/>
      <c r="CSI7" s="484"/>
      <c r="CSJ7" s="484"/>
      <c r="CSK7" s="484"/>
      <c r="CSL7" s="484"/>
      <c r="CSM7" s="484"/>
      <c r="CSN7" s="484"/>
      <c r="CSO7" s="484"/>
      <c r="CSP7" s="484"/>
      <c r="CSQ7" s="484"/>
      <c r="CSR7" s="484"/>
      <c r="CSS7" s="484"/>
      <c r="CST7" s="484"/>
      <c r="CSU7" s="484"/>
      <c r="CSV7" s="484"/>
      <c r="CSW7" s="484"/>
      <c r="CSX7" s="484"/>
      <c r="CSY7" s="484"/>
      <c r="CSZ7" s="484"/>
      <c r="CTA7" s="484"/>
      <c r="CTB7" s="484"/>
      <c r="CTC7" s="484"/>
      <c r="CTD7" s="484"/>
      <c r="CTE7" s="484"/>
      <c r="CTF7" s="484"/>
      <c r="CTG7" s="484"/>
      <c r="CTH7" s="484"/>
      <c r="CTI7" s="484"/>
      <c r="CTJ7" s="484"/>
      <c r="CTK7" s="484"/>
      <c r="CTL7" s="484"/>
      <c r="CTM7" s="484"/>
      <c r="CTN7" s="484"/>
      <c r="CTO7" s="484"/>
      <c r="CTP7" s="484"/>
      <c r="CTQ7" s="484"/>
      <c r="CTR7" s="484"/>
      <c r="CTS7" s="484"/>
      <c r="CTT7" s="484"/>
      <c r="CTU7" s="484"/>
      <c r="CTV7" s="484"/>
      <c r="CTW7" s="484"/>
      <c r="CTX7" s="484"/>
      <c r="CTY7" s="484"/>
      <c r="CTZ7" s="484"/>
      <c r="CUA7" s="484"/>
      <c r="CUB7" s="484"/>
      <c r="CUC7" s="484"/>
      <c r="CUD7" s="484"/>
      <c r="CUE7" s="484"/>
      <c r="CUF7" s="484"/>
      <c r="CUG7" s="484"/>
      <c r="CUH7" s="484"/>
      <c r="CUI7" s="484"/>
      <c r="CUJ7" s="484"/>
      <c r="CUK7" s="484"/>
      <c r="CUL7" s="484"/>
      <c r="CUM7" s="484"/>
      <c r="CUN7" s="484"/>
      <c r="CUO7" s="484"/>
      <c r="CUP7" s="484"/>
      <c r="CUQ7" s="484"/>
      <c r="CUR7" s="484"/>
      <c r="CUS7" s="484"/>
      <c r="CUT7" s="484"/>
      <c r="CUU7" s="484"/>
      <c r="CUV7" s="484"/>
      <c r="CUW7" s="484"/>
      <c r="CUX7" s="484"/>
      <c r="CUY7" s="484"/>
      <c r="CUZ7" s="484"/>
      <c r="CVA7" s="484"/>
      <c r="CVB7" s="484"/>
      <c r="CVC7" s="484"/>
      <c r="CVD7" s="484"/>
      <c r="CVE7" s="484"/>
      <c r="CVF7" s="484"/>
      <c r="CVG7" s="484"/>
      <c r="CVH7" s="484"/>
      <c r="CVI7" s="484"/>
      <c r="CVJ7" s="484"/>
      <c r="CVK7" s="484"/>
      <c r="CVL7" s="484"/>
      <c r="CVM7" s="484"/>
      <c r="CVN7" s="484"/>
      <c r="CVO7" s="484"/>
      <c r="CVP7" s="484"/>
      <c r="CVQ7" s="484"/>
      <c r="CVR7" s="484"/>
      <c r="CVS7" s="484"/>
      <c r="CVT7" s="484"/>
      <c r="CVU7" s="484"/>
      <c r="CVV7" s="484"/>
      <c r="CVW7" s="484"/>
      <c r="CVX7" s="484"/>
      <c r="CVY7" s="484"/>
      <c r="CVZ7" s="484"/>
      <c r="CWA7" s="484"/>
      <c r="CWB7" s="484"/>
      <c r="CWC7" s="484"/>
      <c r="CWD7" s="484"/>
      <c r="CWE7" s="484"/>
      <c r="CWF7" s="484"/>
      <c r="CWG7" s="484"/>
      <c r="CWH7" s="484"/>
      <c r="CWI7" s="484"/>
      <c r="CWJ7" s="484"/>
      <c r="CWK7" s="484"/>
      <c r="CWL7" s="484"/>
      <c r="CWM7" s="484"/>
      <c r="CWN7" s="484"/>
      <c r="CWO7" s="484"/>
      <c r="CWP7" s="484"/>
      <c r="CWQ7" s="484"/>
      <c r="CWR7" s="484"/>
      <c r="CWS7" s="484"/>
      <c r="CWT7" s="484"/>
      <c r="CWU7" s="484"/>
      <c r="CWV7" s="484"/>
      <c r="CWW7" s="484"/>
      <c r="CWX7" s="484"/>
      <c r="CWY7" s="484"/>
      <c r="CWZ7" s="484"/>
      <c r="CXA7" s="484"/>
      <c r="CXB7" s="484"/>
      <c r="CXC7" s="484"/>
      <c r="CXD7" s="484"/>
      <c r="CXE7" s="484"/>
      <c r="CXF7" s="484"/>
      <c r="CXG7" s="484"/>
      <c r="CXH7" s="484"/>
      <c r="CXI7" s="484"/>
      <c r="CXJ7" s="484"/>
      <c r="CXK7" s="484"/>
      <c r="CXL7" s="484"/>
      <c r="CXM7" s="484"/>
      <c r="CXN7" s="484"/>
      <c r="CXO7" s="484"/>
      <c r="CXP7" s="484"/>
      <c r="CXQ7" s="484"/>
      <c r="CXR7" s="484"/>
      <c r="CXS7" s="484"/>
      <c r="CXT7" s="484"/>
      <c r="CXU7" s="484"/>
      <c r="CXV7" s="484"/>
      <c r="CXW7" s="484"/>
      <c r="CXX7" s="484"/>
      <c r="CXY7" s="484"/>
      <c r="CXZ7" s="484"/>
      <c r="CYA7" s="484"/>
      <c r="CYB7" s="484"/>
      <c r="CYC7" s="484"/>
      <c r="CYD7" s="484"/>
      <c r="CYE7" s="484"/>
      <c r="CYF7" s="484"/>
      <c r="CYG7" s="484"/>
      <c r="CYH7" s="484"/>
      <c r="CYI7" s="484"/>
      <c r="CYJ7" s="484"/>
      <c r="CYK7" s="484"/>
      <c r="CYL7" s="484"/>
      <c r="CYM7" s="484"/>
      <c r="CYN7" s="484"/>
      <c r="CYO7" s="484"/>
      <c r="CYP7" s="484"/>
      <c r="CYQ7" s="484"/>
      <c r="CYR7" s="484"/>
      <c r="CYS7" s="484"/>
      <c r="CYT7" s="484"/>
      <c r="CYU7" s="484"/>
      <c r="CYV7" s="484"/>
      <c r="CYW7" s="484"/>
      <c r="CYX7" s="484"/>
      <c r="CYY7" s="484"/>
      <c r="CYZ7" s="484"/>
      <c r="CZA7" s="484"/>
      <c r="CZB7" s="484"/>
      <c r="CZC7" s="484"/>
      <c r="CZD7" s="484"/>
      <c r="CZE7" s="484"/>
      <c r="CZF7" s="484"/>
      <c r="CZG7" s="484"/>
      <c r="CZH7" s="484"/>
      <c r="CZI7" s="484"/>
      <c r="CZJ7" s="484"/>
      <c r="CZK7" s="484"/>
      <c r="CZL7" s="484"/>
      <c r="CZM7" s="484"/>
      <c r="CZN7" s="484"/>
      <c r="CZO7" s="484"/>
      <c r="CZP7" s="484"/>
      <c r="CZQ7" s="484"/>
      <c r="CZR7" s="484"/>
      <c r="CZS7" s="484"/>
      <c r="CZT7" s="484"/>
      <c r="CZU7" s="484"/>
      <c r="CZV7" s="484"/>
      <c r="CZW7" s="484"/>
      <c r="CZX7" s="484"/>
      <c r="CZY7" s="484"/>
      <c r="CZZ7" s="484"/>
      <c r="DAA7" s="484"/>
      <c r="DAB7" s="484"/>
      <c r="DAC7" s="484"/>
      <c r="DAD7" s="484"/>
      <c r="DAE7" s="484"/>
      <c r="DAF7" s="484"/>
      <c r="DAG7" s="484"/>
      <c r="DAH7" s="484"/>
      <c r="DAI7" s="484"/>
      <c r="DAJ7" s="484"/>
      <c r="DAK7" s="484"/>
      <c r="DAL7" s="484"/>
      <c r="DAM7" s="484"/>
      <c r="DAN7" s="484"/>
      <c r="DAO7" s="484"/>
      <c r="DAP7" s="484"/>
      <c r="DAQ7" s="484"/>
      <c r="DAR7" s="484"/>
      <c r="DAS7" s="484"/>
      <c r="DAT7" s="484"/>
      <c r="DAU7" s="484"/>
      <c r="DAV7" s="484"/>
      <c r="DAW7" s="484"/>
      <c r="DAX7" s="484"/>
      <c r="DAY7" s="484"/>
      <c r="DAZ7" s="484"/>
      <c r="DBA7" s="484"/>
      <c r="DBB7" s="484"/>
      <c r="DBC7" s="484"/>
      <c r="DBD7" s="484"/>
      <c r="DBE7" s="484"/>
      <c r="DBF7" s="484"/>
      <c r="DBG7" s="484"/>
      <c r="DBH7" s="484"/>
      <c r="DBI7" s="484"/>
      <c r="DBJ7" s="484"/>
      <c r="DBK7" s="484"/>
      <c r="DBL7" s="484"/>
      <c r="DBM7" s="484"/>
      <c r="DBN7" s="484"/>
      <c r="DBO7" s="484"/>
      <c r="DBP7" s="484"/>
      <c r="DBQ7" s="484"/>
      <c r="DBR7" s="484"/>
      <c r="DBS7" s="484"/>
      <c r="DBT7" s="484"/>
      <c r="DBU7" s="484"/>
      <c r="DBV7" s="484"/>
      <c r="DBW7" s="484"/>
      <c r="DBX7" s="484"/>
      <c r="DBY7" s="484"/>
      <c r="DBZ7" s="484"/>
      <c r="DCA7" s="484"/>
      <c r="DCB7" s="484"/>
      <c r="DCC7" s="484"/>
      <c r="DCD7" s="484"/>
      <c r="DCE7" s="484"/>
      <c r="DCF7" s="484"/>
      <c r="DCG7" s="484"/>
      <c r="DCH7" s="484"/>
      <c r="DCI7" s="484"/>
      <c r="DCJ7" s="484"/>
      <c r="DCK7" s="484"/>
      <c r="DCL7" s="484"/>
      <c r="DCM7" s="484"/>
      <c r="DCN7" s="484"/>
      <c r="DCO7" s="484"/>
      <c r="DCP7" s="484"/>
      <c r="DCQ7" s="484"/>
      <c r="DCR7" s="484"/>
      <c r="DCS7" s="484"/>
      <c r="DCT7" s="484"/>
      <c r="DCU7" s="484"/>
      <c r="DCV7" s="484"/>
      <c r="DCW7" s="484"/>
      <c r="DCX7" s="484"/>
      <c r="DCY7" s="484"/>
      <c r="DCZ7" s="484"/>
      <c r="DDA7" s="484"/>
      <c r="DDB7" s="484"/>
      <c r="DDC7" s="484"/>
      <c r="DDD7" s="484"/>
      <c r="DDE7" s="484"/>
      <c r="DDF7" s="484"/>
      <c r="DDG7" s="484"/>
      <c r="DDH7" s="484"/>
      <c r="DDI7" s="484"/>
      <c r="DDJ7" s="484"/>
      <c r="DDK7" s="484"/>
      <c r="DDL7" s="484"/>
      <c r="DDM7" s="484"/>
      <c r="DDN7" s="484"/>
      <c r="DDO7" s="484"/>
      <c r="DDP7" s="484"/>
      <c r="DDQ7" s="484"/>
      <c r="DDR7" s="484"/>
      <c r="DDS7" s="484"/>
      <c r="DDT7" s="484"/>
      <c r="DDU7" s="484"/>
      <c r="DDV7" s="484"/>
      <c r="DDW7" s="484"/>
      <c r="DDX7" s="484"/>
      <c r="DDY7" s="484"/>
      <c r="DDZ7" s="484"/>
      <c r="DEA7" s="484"/>
      <c r="DEB7" s="484"/>
      <c r="DEC7" s="484"/>
      <c r="DED7" s="484"/>
      <c r="DEE7" s="484"/>
      <c r="DEF7" s="484"/>
      <c r="DEG7" s="484"/>
      <c r="DEH7" s="484"/>
      <c r="DEI7" s="484"/>
      <c r="DEJ7" s="484"/>
      <c r="DEK7" s="484"/>
      <c r="DEL7" s="484"/>
      <c r="DEM7" s="484"/>
      <c r="DEN7" s="484"/>
      <c r="DEO7" s="484"/>
      <c r="DEP7" s="484"/>
      <c r="DEQ7" s="484"/>
      <c r="DER7" s="484"/>
      <c r="DES7" s="484"/>
      <c r="DET7" s="484"/>
      <c r="DEU7" s="484"/>
      <c r="DEV7" s="484"/>
      <c r="DEW7" s="484"/>
      <c r="DEX7" s="484"/>
      <c r="DEY7" s="484"/>
      <c r="DEZ7" s="484"/>
      <c r="DFA7" s="484"/>
      <c r="DFB7" s="484"/>
      <c r="DFC7" s="484"/>
      <c r="DFD7" s="484"/>
      <c r="DFE7" s="484"/>
      <c r="DFF7" s="484"/>
      <c r="DFG7" s="484"/>
      <c r="DFH7" s="484"/>
      <c r="DFI7" s="484"/>
      <c r="DFJ7" s="484"/>
      <c r="DFK7" s="484"/>
      <c r="DFL7" s="484"/>
      <c r="DFM7" s="484"/>
      <c r="DFN7" s="484"/>
      <c r="DFO7" s="484"/>
      <c r="DFP7" s="484"/>
      <c r="DFQ7" s="484"/>
      <c r="DFR7" s="484"/>
      <c r="DFS7" s="484"/>
      <c r="DFT7" s="484"/>
      <c r="DFU7" s="484"/>
      <c r="DFV7" s="484"/>
      <c r="DFW7" s="484"/>
      <c r="DFX7" s="484"/>
      <c r="DFY7" s="484"/>
      <c r="DFZ7" s="484"/>
      <c r="DGA7" s="484"/>
      <c r="DGB7" s="484"/>
      <c r="DGC7" s="484"/>
      <c r="DGD7" s="484"/>
      <c r="DGE7" s="484"/>
      <c r="DGF7" s="484"/>
      <c r="DGG7" s="484"/>
      <c r="DGH7" s="484"/>
      <c r="DGI7" s="484"/>
      <c r="DGJ7" s="484"/>
      <c r="DGK7" s="484"/>
      <c r="DGL7" s="484"/>
      <c r="DGM7" s="484"/>
      <c r="DGN7" s="484"/>
      <c r="DGO7" s="484"/>
      <c r="DGP7" s="484"/>
      <c r="DGQ7" s="484"/>
      <c r="DGR7" s="484"/>
      <c r="DGS7" s="484"/>
      <c r="DGT7" s="484"/>
      <c r="DGU7" s="484"/>
      <c r="DGV7" s="484"/>
      <c r="DGW7" s="484"/>
      <c r="DGX7" s="484"/>
      <c r="DGY7" s="484"/>
      <c r="DGZ7" s="484"/>
      <c r="DHA7" s="484"/>
      <c r="DHB7" s="484"/>
      <c r="DHC7" s="484"/>
      <c r="DHD7" s="484"/>
      <c r="DHE7" s="484"/>
      <c r="DHF7" s="484"/>
      <c r="DHG7" s="484"/>
      <c r="DHH7" s="484"/>
      <c r="DHI7" s="484"/>
      <c r="DHJ7" s="484"/>
      <c r="DHK7" s="484"/>
      <c r="DHL7" s="484"/>
      <c r="DHM7" s="484"/>
      <c r="DHN7" s="484"/>
      <c r="DHO7" s="484"/>
      <c r="DHP7" s="484"/>
      <c r="DHQ7" s="484"/>
      <c r="DHR7" s="484"/>
      <c r="DHS7" s="484"/>
      <c r="DHT7" s="484"/>
      <c r="DHU7" s="484"/>
      <c r="DHV7" s="484"/>
      <c r="DHW7" s="484"/>
      <c r="DHX7" s="484"/>
      <c r="DHY7" s="484"/>
      <c r="DHZ7" s="484"/>
      <c r="DIA7" s="484"/>
      <c r="DIB7" s="484"/>
      <c r="DIC7" s="484"/>
      <c r="DID7" s="484"/>
      <c r="DIE7" s="484"/>
      <c r="DIF7" s="484"/>
      <c r="DIG7" s="484"/>
      <c r="DIH7" s="484"/>
      <c r="DII7" s="484"/>
      <c r="DIJ7" s="484"/>
      <c r="DIK7" s="484"/>
      <c r="DIL7" s="484"/>
      <c r="DIM7" s="484"/>
      <c r="DIN7" s="484"/>
      <c r="DIO7" s="484"/>
      <c r="DIP7" s="484"/>
      <c r="DIQ7" s="484"/>
      <c r="DIR7" s="484"/>
      <c r="DIS7" s="484"/>
      <c r="DIT7" s="484"/>
      <c r="DIU7" s="484"/>
      <c r="DIV7" s="484"/>
      <c r="DIW7" s="484"/>
      <c r="DIX7" s="484"/>
      <c r="DIY7" s="484"/>
      <c r="DIZ7" s="484"/>
      <c r="DJA7" s="484"/>
      <c r="DJB7" s="484"/>
      <c r="DJC7" s="484"/>
      <c r="DJD7" s="484"/>
      <c r="DJE7" s="484"/>
      <c r="DJF7" s="484"/>
      <c r="DJG7" s="484"/>
      <c r="DJH7" s="484"/>
      <c r="DJI7" s="484"/>
      <c r="DJJ7" s="484"/>
      <c r="DJK7" s="484"/>
      <c r="DJL7" s="484"/>
      <c r="DJM7" s="484"/>
      <c r="DJN7" s="484"/>
      <c r="DJO7" s="484"/>
      <c r="DJP7" s="484"/>
      <c r="DJQ7" s="484"/>
      <c r="DJR7" s="484"/>
      <c r="DJS7" s="484"/>
      <c r="DJT7" s="484"/>
      <c r="DJU7" s="484"/>
      <c r="DJV7" s="484"/>
      <c r="DJW7" s="484"/>
      <c r="DJX7" s="484"/>
      <c r="DJY7" s="484"/>
      <c r="DJZ7" s="484"/>
      <c r="DKA7" s="484"/>
      <c r="DKB7" s="484"/>
      <c r="DKC7" s="484"/>
      <c r="DKD7" s="484"/>
      <c r="DKE7" s="484"/>
      <c r="DKF7" s="484"/>
      <c r="DKG7" s="484"/>
      <c r="DKH7" s="484"/>
      <c r="DKI7" s="484"/>
      <c r="DKJ7" s="484"/>
      <c r="DKK7" s="484"/>
      <c r="DKL7" s="484"/>
      <c r="DKM7" s="484"/>
      <c r="DKN7" s="484"/>
      <c r="DKO7" s="484"/>
      <c r="DKP7" s="484"/>
      <c r="DKQ7" s="484"/>
      <c r="DKR7" s="484"/>
      <c r="DKS7" s="484"/>
      <c r="DKT7" s="484"/>
      <c r="DKU7" s="484"/>
      <c r="DKV7" s="484"/>
      <c r="DKW7" s="484"/>
      <c r="DKX7" s="484"/>
      <c r="DKY7" s="484"/>
      <c r="DKZ7" s="484"/>
      <c r="DLA7" s="484"/>
      <c r="DLB7" s="484"/>
      <c r="DLC7" s="484"/>
      <c r="DLD7" s="484"/>
      <c r="DLE7" s="484"/>
      <c r="DLF7" s="484"/>
      <c r="DLG7" s="484"/>
      <c r="DLH7" s="484"/>
      <c r="DLI7" s="484"/>
      <c r="DLJ7" s="484"/>
      <c r="DLK7" s="484"/>
      <c r="DLL7" s="484"/>
      <c r="DLM7" s="484"/>
      <c r="DLN7" s="484"/>
      <c r="DLO7" s="484"/>
      <c r="DLP7" s="484"/>
      <c r="DLQ7" s="484"/>
      <c r="DLR7" s="484"/>
      <c r="DLS7" s="484"/>
      <c r="DLT7" s="484"/>
      <c r="DLU7" s="484"/>
      <c r="DLV7" s="484"/>
      <c r="DLW7" s="484"/>
      <c r="DLX7" s="484"/>
      <c r="DLY7" s="484"/>
      <c r="DLZ7" s="484"/>
      <c r="DMA7" s="484"/>
      <c r="DMB7" s="484"/>
      <c r="DMC7" s="484"/>
      <c r="DMD7" s="484"/>
      <c r="DME7" s="484"/>
      <c r="DMF7" s="484"/>
      <c r="DMG7" s="484"/>
      <c r="DMH7" s="484"/>
      <c r="DMI7" s="484"/>
      <c r="DMJ7" s="484"/>
      <c r="DMK7" s="484"/>
      <c r="DML7" s="484"/>
      <c r="DMM7" s="484"/>
      <c r="DMN7" s="484"/>
      <c r="DMO7" s="484"/>
      <c r="DMP7" s="484"/>
      <c r="DMQ7" s="484"/>
      <c r="DMR7" s="484"/>
      <c r="DMS7" s="484"/>
      <c r="DMT7" s="484"/>
      <c r="DMU7" s="484"/>
      <c r="DMV7" s="484"/>
      <c r="DMW7" s="484"/>
      <c r="DMX7" s="484"/>
      <c r="DMY7" s="484"/>
      <c r="DMZ7" s="484"/>
      <c r="DNA7" s="484"/>
      <c r="DNB7" s="484"/>
      <c r="DNC7" s="484"/>
      <c r="DND7" s="484"/>
      <c r="DNE7" s="484"/>
      <c r="DNF7" s="484"/>
      <c r="DNG7" s="484"/>
      <c r="DNH7" s="484"/>
      <c r="DNI7" s="484"/>
      <c r="DNJ7" s="484"/>
      <c r="DNK7" s="484"/>
      <c r="DNL7" s="484"/>
      <c r="DNM7" s="484"/>
      <c r="DNN7" s="484"/>
      <c r="DNO7" s="484"/>
      <c r="DNP7" s="484"/>
      <c r="DNQ7" s="484"/>
      <c r="DNR7" s="484"/>
      <c r="DNS7" s="484"/>
      <c r="DNT7" s="484"/>
      <c r="DNU7" s="484"/>
      <c r="DNV7" s="484"/>
      <c r="DNW7" s="484"/>
      <c r="DNX7" s="484"/>
      <c r="DNY7" s="484"/>
      <c r="DNZ7" s="484"/>
      <c r="DOA7" s="484"/>
      <c r="DOB7" s="484"/>
      <c r="DOC7" s="484"/>
      <c r="DOD7" s="484"/>
      <c r="DOE7" s="484"/>
      <c r="DOF7" s="484"/>
      <c r="DOG7" s="484"/>
      <c r="DOH7" s="484"/>
      <c r="DOI7" s="484"/>
      <c r="DOJ7" s="484"/>
      <c r="DOK7" s="484"/>
      <c r="DOL7" s="484"/>
      <c r="DOM7" s="484"/>
      <c r="DON7" s="484"/>
      <c r="DOO7" s="484"/>
      <c r="DOP7" s="484"/>
      <c r="DOQ7" s="484"/>
      <c r="DOR7" s="484"/>
      <c r="DOS7" s="484"/>
      <c r="DOT7" s="484"/>
      <c r="DOU7" s="484"/>
      <c r="DOV7" s="484"/>
      <c r="DOW7" s="484"/>
      <c r="DOX7" s="484"/>
      <c r="DOY7" s="484"/>
      <c r="DOZ7" s="484"/>
      <c r="DPA7" s="484"/>
      <c r="DPB7" s="484"/>
      <c r="DPC7" s="484"/>
      <c r="DPD7" s="484"/>
      <c r="DPE7" s="484"/>
      <c r="DPF7" s="484"/>
      <c r="DPG7" s="484"/>
      <c r="DPH7" s="484"/>
      <c r="DPI7" s="484"/>
      <c r="DPJ7" s="484"/>
      <c r="DPK7" s="484"/>
      <c r="DPL7" s="484"/>
      <c r="DPM7" s="484"/>
      <c r="DPN7" s="484"/>
      <c r="DPO7" s="484"/>
      <c r="DPP7" s="484"/>
      <c r="DPQ7" s="484"/>
      <c r="DPR7" s="484"/>
      <c r="DPS7" s="484"/>
      <c r="DPT7" s="484"/>
      <c r="DPU7" s="484"/>
      <c r="DPV7" s="484"/>
      <c r="DPW7" s="484"/>
      <c r="DPX7" s="484"/>
      <c r="DPY7" s="484"/>
      <c r="DPZ7" s="484"/>
      <c r="DQA7" s="484"/>
      <c r="DQB7" s="484"/>
      <c r="DQC7" s="484"/>
      <c r="DQD7" s="484"/>
      <c r="DQE7" s="484"/>
      <c r="DQF7" s="484"/>
      <c r="DQG7" s="484"/>
      <c r="DQH7" s="484"/>
      <c r="DQI7" s="484"/>
      <c r="DQJ7" s="484"/>
      <c r="DQK7" s="484"/>
      <c r="DQL7" s="484"/>
      <c r="DQM7" s="484"/>
      <c r="DQN7" s="484"/>
      <c r="DQO7" s="484"/>
      <c r="DQP7" s="484"/>
      <c r="DQQ7" s="484"/>
      <c r="DQR7" s="484"/>
      <c r="DQS7" s="484"/>
      <c r="DQT7" s="484"/>
      <c r="DQU7" s="484"/>
      <c r="DQV7" s="484"/>
      <c r="DQW7" s="484"/>
      <c r="DQX7" s="484"/>
      <c r="DQY7" s="484"/>
      <c r="DQZ7" s="484"/>
      <c r="DRA7" s="484"/>
      <c r="DRB7" s="484"/>
      <c r="DRC7" s="484"/>
      <c r="DRD7" s="484"/>
      <c r="DRE7" s="484"/>
      <c r="DRF7" s="484"/>
      <c r="DRG7" s="484"/>
      <c r="DRH7" s="484"/>
      <c r="DRI7" s="484"/>
      <c r="DRJ7" s="484"/>
      <c r="DRK7" s="484"/>
      <c r="DRL7" s="484"/>
      <c r="DRM7" s="484"/>
      <c r="DRN7" s="484"/>
      <c r="DRO7" s="484"/>
      <c r="DRP7" s="484"/>
      <c r="DRQ7" s="484"/>
      <c r="DRR7" s="484"/>
      <c r="DRS7" s="484"/>
      <c r="DRT7" s="484"/>
      <c r="DRU7" s="484"/>
      <c r="DRV7" s="484"/>
      <c r="DRW7" s="484"/>
      <c r="DRX7" s="484"/>
      <c r="DRY7" s="484"/>
      <c r="DRZ7" s="484"/>
      <c r="DSA7" s="484"/>
      <c r="DSB7" s="484"/>
      <c r="DSC7" s="484"/>
      <c r="DSD7" s="484"/>
      <c r="DSE7" s="484"/>
      <c r="DSF7" s="484"/>
      <c r="DSG7" s="484"/>
      <c r="DSH7" s="484"/>
      <c r="DSI7" s="484"/>
      <c r="DSJ7" s="484"/>
      <c r="DSK7" s="484"/>
      <c r="DSL7" s="484"/>
      <c r="DSM7" s="484"/>
      <c r="DSN7" s="484"/>
      <c r="DSO7" s="484"/>
      <c r="DSP7" s="484"/>
      <c r="DSQ7" s="484"/>
      <c r="DSR7" s="484"/>
      <c r="DSS7" s="484"/>
      <c r="DST7" s="484"/>
      <c r="DSU7" s="484"/>
      <c r="DSV7" s="484"/>
      <c r="DSW7" s="484"/>
      <c r="DSX7" s="484"/>
      <c r="DSY7" s="484"/>
      <c r="DSZ7" s="484"/>
      <c r="DTA7" s="484"/>
      <c r="DTB7" s="484"/>
      <c r="DTC7" s="484"/>
      <c r="DTD7" s="484"/>
      <c r="DTE7" s="484"/>
      <c r="DTF7" s="484"/>
      <c r="DTG7" s="484"/>
      <c r="DTH7" s="484"/>
      <c r="DTI7" s="484"/>
      <c r="DTJ7" s="484"/>
      <c r="DTK7" s="484"/>
      <c r="DTL7" s="484"/>
      <c r="DTM7" s="484"/>
      <c r="DTN7" s="484"/>
      <c r="DTO7" s="484"/>
      <c r="DTP7" s="484"/>
      <c r="DTQ7" s="484"/>
      <c r="DTR7" s="484"/>
      <c r="DTS7" s="484"/>
      <c r="DTT7" s="484"/>
      <c r="DTU7" s="484"/>
      <c r="DTV7" s="484"/>
      <c r="DTW7" s="484"/>
      <c r="DTX7" s="484"/>
      <c r="DTY7" s="484"/>
      <c r="DTZ7" s="484"/>
      <c r="DUA7" s="484"/>
      <c r="DUB7" s="484"/>
      <c r="DUC7" s="484"/>
      <c r="DUD7" s="484"/>
      <c r="DUE7" s="484"/>
      <c r="DUF7" s="484"/>
      <c r="DUG7" s="484"/>
      <c r="DUH7" s="484"/>
      <c r="DUI7" s="484"/>
      <c r="DUJ7" s="484"/>
      <c r="DUK7" s="484"/>
      <c r="DUL7" s="484"/>
      <c r="DUM7" s="484"/>
      <c r="DUN7" s="484"/>
      <c r="DUO7" s="484"/>
      <c r="DUP7" s="484"/>
      <c r="DUQ7" s="484"/>
      <c r="DUR7" s="484"/>
      <c r="DUS7" s="484"/>
      <c r="DUT7" s="484"/>
      <c r="DUU7" s="484"/>
      <c r="DUV7" s="484"/>
      <c r="DUW7" s="484"/>
      <c r="DUX7" s="484"/>
      <c r="DUY7" s="484"/>
      <c r="DUZ7" s="484"/>
      <c r="DVA7" s="484"/>
      <c r="DVB7" s="484"/>
      <c r="DVC7" s="484"/>
      <c r="DVD7" s="484"/>
      <c r="DVE7" s="484"/>
      <c r="DVF7" s="484"/>
      <c r="DVG7" s="484"/>
      <c r="DVH7" s="484"/>
      <c r="DVI7" s="484"/>
      <c r="DVJ7" s="484"/>
      <c r="DVK7" s="484"/>
      <c r="DVL7" s="484"/>
      <c r="DVM7" s="484"/>
      <c r="DVN7" s="484"/>
      <c r="DVO7" s="484"/>
      <c r="DVP7" s="484"/>
      <c r="DVQ7" s="484"/>
      <c r="DVR7" s="484"/>
      <c r="DVS7" s="484"/>
      <c r="DVT7" s="484"/>
      <c r="DVU7" s="484"/>
      <c r="DVV7" s="484"/>
      <c r="DVW7" s="484"/>
      <c r="DVX7" s="484"/>
      <c r="DVY7" s="484"/>
      <c r="DVZ7" s="484"/>
      <c r="DWA7" s="484"/>
      <c r="DWB7" s="484"/>
      <c r="DWC7" s="484"/>
      <c r="DWD7" s="484"/>
      <c r="DWE7" s="484"/>
      <c r="DWF7" s="484"/>
      <c r="DWG7" s="484"/>
      <c r="DWH7" s="484"/>
      <c r="DWI7" s="484"/>
      <c r="DWJ7" s="484"/>
      <c r="DWK7" s="484"/>
      <c r="DWL7" s="484"/>
      <c r="DWM7" s="484"/>
      <c r="DWN7" s="484"/>
      <c r="DWO7" s="484"/>
      <c r="DWP7" s="484"/>
      <c r="DWQ7" s="484"/>
      <c r="DWR7" s="484"/>
      <c r="DWS7" s="484"/>
      <c r="DWT7" s="484"/>
      <c r="DWU7" s="484"/>
      <c r="DWV7" s="484"/>
      <c r="DWW7" s="484"/>
      <c r="DWX7" s="484"/>
      <c r="DWY7" s="484"/>
      <c r="DWZ7" s="484"/>
      <c r="DXA7" s="484"/>
      <c r="DXB7" s="484"/>
      <c r="DXC7" s="484"/>
      <c r="DXD7" s="484"/>
      <c r="DXE7" s="484"/>
      <c r="DXF7" s="484"/>
      <c r="DXG7" s="484"/>
      <c r="DXH7" s="484"/>
      <c r="DXI7" s="484"/>
      <c r="DXJ7" s="484"/>
      <c r="DXK7" s="484"/>
      <c r="DXL7" s="484"/>
      <c r="DXM7" s="484"/>
      <c r="DXN7" s="484"/>
      <c r="DXO7" s="484"/>
      <c r="DXP7" s="484"/>
      <c r="DXQ7" s="484"/>
      <c r="DXR7" s="484"/>
      <c r="DXS7" s="484"/>
      <c r="DXT7" s="484"/>
      <c r="DXU7" s="484"/>
      <c r="DXV7" s="484"/>
      <c r="DXW7" s="484"/>
      <c r="DXX7" s="484"/>
      <c r="DXY7" s="484"/>
      <c r="DXZ7" s="484"/>
      <c r="DYA7" s="484"/>
      <c r="DYB7" s="484"/>
      <c r="DYC7" s="484"/>
      <c r="DYD7" s="484"/>
      <c r="DYE7" s="484"/>
      <c r="DYF7" s="484"/>
      <c r="DYG7" s="484"/>
      <c r="DYH7" s="484"/>
      <c r="DYI7" s="484"/>
      <c r="DYJ7" s="484"/>
      <c r="DYK7" s="484"/>
      <c r="DYL7" s="484"/>
      <c r="DYM7" s="484"/>
      <c r="DYN7" s="484"/>
      <c r="DYO7" s="484"/>
      <c r="DYP7" s="484"/>
      <c r="DYQ7" s="484"/>
      <c r="DYR7" s="484"/>
      <c r="DYS7" s="484"/>
      <c r="DYT7" s="484"/>
      <c r="DYU7" s="484"/>
      <c r="DYV7" s="484"/>
      <c r="DYW7" s="484"/>
      <c r="DYX7" s="484"/>
      <c r="DYY7" s="484"/>
      <c r="DYZ7" s="484"/>
      <c r="DZA7" s="484"/>
      <c r="DZB7" s="484"/>
      <c r="DZC7" s="484"/>
      <c r="DZD7" s="484"/>
      <c r="DZE7" s="484"/>
      <c r="DZF7" s="484"/>
      <c r="DZG7" s="484"/>
      <c r="DZH7" s="484"/>
      <c r="DZI7" s="484"/>
      <c r="DZJ7" s="484"/>
      <c r="DZK7" s="484"/>
      <c r="DZL7" s="484"/>
      <c r="DZM7" s="484"/>
      <c r="DZN7" s="484"/>
      <c r="DZO7" s="484"/>
      <c r="DZP7" s="484"/>
      <c r="DZQ7" s="484"/>
      <c r="DZR7" s="484"/>
      <c r="DZS7" s="484"/>
      <c r="DZT7" s="484"/>
      <c r="DZU7" s="484"/>
      <c r="DZV7" s="484"/>
      <c r="DZW7" s="484"/>
      <c r="DZX7" s="484"/>
      <c r="DZY7" s="484"/>
      <c r="DZZ7" s="484"/>
      <c r="EAA7" s="484"/>
      <c r="EAB7" s="484"/>
      <c r="EAC7" s="484"/>
      <c r="EAD7" s="484"/>
      <c r="EAE7" s="484"/>
      <c r="EAF7" s="484"/>
      <c r="EAG7" s="484"/>
      <c r="EAH7" s="484"/>
      <c r="EAI7" s="484"/>
      <c r="EAJ7" s="484"/>
      <c r="EAK7" s="484"/>
      <c r="EAL7" s="484"/>
      <c r="EAM7" s="484"/>
      <c r="EAN7" s="484"/>
      <c r="EAO7" s="484"/>
      <c r="EAP7" s="484"/>
      <c r="EAQ7" s="484"/>
      <c r="EAR7" s="484"/>
      <c r="EAS7" s="484"/>
      <c r="EAT7" s="484"/>
      <c r="EAU7" s="484"/>
      <c r="EAV7" s="484"/>
      <c r="EAW7" s="484"/>
      <c r="EAX7" s="484"/>
      <c r="EAY7" s="484"/>
      <c r="EAZ7" s="484"/>
      <c r="EBA7" s="484"/>
      <c r="EBB7" s="484"/>
      <c r="EBC7" s="484"/>
      <c r="EBD7" s="484"/>
      <c r="EBE7" s="484"/>
      <c r="EBF7" s="484"/>
      <c r="EBG7" s="484"/>
      <c r="EBH7" s="484"/>
      <c r="EBI7" s="484"/>
      <c r="EBJ7" s="484"/>
      <c r="EBK7" s="484"/>
      <c r="EBL7" s="484"/>
      <c r="EBM7" s="484"/>
      <c r="EBN7" s="484"/>
      <c r="EBO7" s="484"/>
      <c r="EBP7" s="484"/>
      <c r="EBQ7" s="484"/>
      <c r="EBR7" s="484"/>
      <c r="EBS7" s="484"/>
      <c r="EBT7" s="484"/>
      <c r="EBU7" s="484"/>
      <c r="EBV7" s="484"/>
      <c r="EBW7" s="484"/>
      <c r="EBX7" s="484"/>
      <c r="EBY7" s="484"/>
      <c r="EBZ7" s="484"/>
      <c r="ECA7" s="484"/>
      <c r="ECB7" s="484"/>
      <c r="ECC7" s="484"/>
      <c r="ECD7" s="484"/>
      <c r="ECE7" s="484"/>
      <c r="ECF7" s="484"/>
      <c r="ECG7" s="484"/>
      <c r="ECH7" s="484"/>
      <c r="ECI7" s="484"/>
      <c r="ECJ7" s="484"/>
      <c r="ECK7" s="484"/>
      <c r="ECL7" s="484"/>
      <c r="ECM7" s="484"/>
      <c r="ECN7" s="484"/>
      <c r="ECO7" s="484"/>
      <c r="ECP7" s="484"/>
      <c r="ECQ7" s="484"/>
      <c r="ECR7" s="484"/>
      <c r="ECS7" s="484"/>
      <c r="ECT7" s="484"/>
      <c r="ECU7" s="484"/>
      <c r="ECV7" s="484"/>
      <c r="ECW7" s="484"/>
      <c r="ECX7" s="484"/>
      <c r="ECY7" s="484"/>
      <c r="ECZ7" s="484"/>
      <c r="EDA7" s="484"/>
      <c r="EDB7" s="484"/>
      <c r="EDC7" s="484"/>
      <c r="EDD7" s="484"/>
      <c r="EDE7" s="484"/>
      <c r="EDF7" s="484"/>
      <c r="EDG7" s="484"/>
      <c r="EDH7" s="484"/>
      <c r="EDI7" s="484"/>
      <c r="EDJ7" s="484"/>
      <c r="EDK7" s="484"/>
      <c r="EDL7" s="484"/>
      <c r="EDM7" s="484"/>
      <c r="EDN7" s="484"/>
      <c r="EDO7" s="484"/>
      <c r="EDP7" s="484"/>
      <c r="EDQ7" s="484"/>
      <c r="EDR7" s="484"/>
      <c r="EDS7" s="484"/>
      <c r="EDT7" s="484"/>
      <c r="EDU7" s="484"/>
      <c r="EDV7" s="484"/>
      <c r="EDW7" s="484"/>
      <c r="EDX7" s="484"/>
      <c r="EDY7" s="484"/>
      <c r="EDZ7" s="484"/>
      <c r="EEA7" s="484"/>
      <c r="EEB7" s="484"/>
      <c r="EEC7" s="484"/>
      <c r="EED7" s="484"/>
      <c r="EEE7" s="484"/>
      <c r="EEF7" s="484"/>
      <c r="EEG7" s="484"/>
      <c r="EEH7" s="484"/>
      <c r="EEI7" s="484"/>
      <c r="EEJ7" s="484"/>
      <c r="EEK7" s="484"/>
      <c r="EEL7" s="484"/>
      <c r="EEM7" s="484"/>
      <c r="EEN7" s="484"/>
      <c r="EEO7" s="484"/>
      <c r="EEP7" s="484"/>
      <c r="EEQ7" s="484"/>
      <c r="EER7" s="484"/>
      <c r="EES7" s="484"/>
      <c r="EET7" s="484"/>
      <c r="EEU7" s="484"/>
      <c r="EEV7" s="484"/>
      <c r="EEW7" s="484"/>
      <c r="EEX7" s="484"/>
      <c r="EEY7" s="484"/>
      <c r="EEZ7" s="484"/>
      <c r="EFA7" s="484"/>
      <c r="EFB7" s="484"/>
      <c r="EFC7" s="484"/>
      <c r="EFD7" s="484"/>
      <c r="EFE7" s="484"/>
      <c r="EFF7" s="484"/>
      <c r="EFG7" s="484"/>
      <c r="EFH7" s="484"/>
      <c r="EFI7" s="484"/>
      <c r="EFJ7" s="484"/>
      <c r="EFK7" s="484"/>
      <c r="EFL7" s="484"/>
      <c r="EFM7" s="484"/>
      <c r="EFN7" s="484"/>
      <c r="EFO7" s="484"/>
      <c r="EFP7" s="484"/>
      <c r="EFQ7" s="484"/>
      <c r="EFR7" s="484"/>
      <c r="EFS7" s="484"/>
      <c r="EFT7" s="484"/>
      <c r="EFU7" s="484"/>
      <c r="EFV7" s="484"/>
      <c r="EFW7" s="484"/>
      <c r="EFX7" s="484"/>
      <c r="EFY7" s="484"/>
      <c r="EFZ7" s="484"/>
      <c r="EGA7" s="484"/>
      <c r="EGB7" s="484"/>
      <c r="EGC7" s="484"/>
      <c r="EGD7" s="484"/>
      <c r="EGE7" s="484"/>
      <c r="EGF7" s="484"/>
      <c r="EGG7" s="484"/>
      <c r="EGH7" s="484"/>
      <c r="EGI7" s="484"/>
      <c r="EGJ7" s="484"/>
      <c r="EGK7" s="484"/>
      <c r="EGL7" s="484"/>
      <c r="EGM7" s="484"/>
      <c r="EGN7" s="484"/>
      <c r="EGO7" s="484"/>
      <c r="EGP7" s="484"/>
      <c r="EGQ7" s="484"/>
      <c r="EGR7" s="484"/>
      <c r="EGS7" s="484"/>
      <c r="EGT7" s="484"/>
      <c r="EGU7" s="484"/>
      <c r="EGV7" s="484"/>
      <c r="EGW7" s="484"/>
      <c r="EGX7" s="484"/>
      <c r="EGY7" s="484"/>
      <c r="EGZ7" s="484"/>
      <c r="EHA7" s="484"/>
      <c r="EHB7" s="484"/>
      <c r="EHC7" s="484"/>
      <c r="EHD7" s="484"/>
      <c r="EHE7" s="484"/>
      <c r="EHF7" s="484"/>
      <c r="EHG7" s="484"/>
      <c r="EHH7" s="484"/>
      <c r="EHI7" s="484"/>
      <c r="EHJ7" s="484"/>
      <c r="EHK7" s="484"/>
      <c r="EHL7" s="484"/>
      <c r="EHM7" s="484"/>
      <c r="EHN7" s="484"/>
      <c r="EHO7" s="484"/>
      <c r="EHP7" s="484"/>
      <c r="EHQ7" s="484"/>
      <c r="EHR7" s="484"/>
      <c r="EHS7" s="484"/>
      <c r="EHT7" s="484"/>
      <c r="EHU7" s="484"/>
      <c r="EHV7" s="484"/>
      <c r="EHW7" s="484"/>
      <c r="EHX7" s="484"/>
      <c r="EHY7" s="484"/>
      <c r="EHZ7" s="484"/>
      <c r="EIA7" s="484"/>
      <c r="EIB7" s="484"/>
      <c r="EIC7" s="484"/>
      <c r="EID7" s="484"/>
      <c r="EIE7" s="484"/>
      <c r="EIF7" s="484"/>
      <c r="EIG7" s="484"/>
      <c r="EIH7" s="484"/>
      <c r="EII7" s="484"/>
      <c r="EIJ7" s="484"/>
      <c r="EIK7" s="484"/>
      <c r="EIL7" s="484"/>
      <c r="EIM7" s="484"/>
      <c r="EIN7" s="484"/>
      <c r="EIO7" s="484"/>
      <c r="EIP7" s="484"/>
      <c r="EIQ7" s="484"/>
      <c r="EIR7" s="484"/>
      <c r="EIS7" s="484"/>
      <c r="EIT7" s="484"/>
      <c r="EIU7" s="484"/>
      <c r="EIV7" s="484"/>
      <c r="EIW7" s="484"/>
      <c r="EIX7" s="484"/>
      <c r="EIY7" s="484"/>
      <c r="EIZ7" s="484"/>
      <c r="EJA7" s="484"/>
      <c r="EJB7" s="484"/>
      <c r="EJC7" s="484"/>
      <c r="EJD7" s="484"/>
      <c r="EJE7" s="484"/>
      <c r="EJF7" s="484"/>
      <c r="EJG7" s="484"/>
      <c r="EJH7" s="484"/>
      <c r="EJI7" s="484"/>
      <c r="EJJ7" s="484"/>
      <c r="EJK7" s="484"/>
      <c r="EJL7" s="484"/>
      <c r="EJM7" s="484"/>
      <c r="EJN7" s="484"/>
      <c r="EJO7" s="484"/>
      <c r="EJP7" s="484"/>
      <c r="EJQ7" s="484"/>
      <c r="EJR7" s="484"/>
      <c r="EJS7" s="484"/>
      <c r="EJT7" s="484"/>
      <c r="EJU7" s="484"/>
      <c r="EJV7" s="484"/>
      <c r="EJW7" s="484"/>
      <c r="EJX7" s="484"/>
      <c r="EJY7" s="484"/>
      <c r="EJZ7" s="484"/>
      <c r="EKA7" s="484"/>
      <c r="EKB7" s="484"/>
      <c r="EKC7" s="484"/>
      <c r="EKD7" s="484"/>
      <c r="EKE7" s="484"/>
      <c r="EKF7" s="484"/>
      <c r="EKG7" s="484"/>
      <c r="EKH7" s="484"/>
      <c r="EKI7" s="484"/>
      <c r="EKJ7" s="484"/>
      <c r="EKK7" s="484"/>
      <c r="EKL7" s="484"/>
      <c r="EKM7" s="484"/>
      <c r="EKN7" s="484"/>
      <c r="EKO7" s="484"/>
      <c r="EKP7" s="484"/>
      <c r="EKQ7" s="484"/>
      <c r="EKR7" s="484"/>
      <c r="EKS7" s="484"/>
      <c r="EKT7" s="484"/>
      <c r="EKU7" s="484"/>
      <c r="EKV7" s="484"/>
      <c r="EKW7" s="484"/>
      <c r="EKX7" s="484"/>
      <c r="EKY7" s="484"/>
      <c r="EKZ7" s="484"/>
      <c r="ELA7" s="484"/>
      <c r="ELB7" s="484"/>
      <c r="ELC7" s="484"/>
      <c r="ELD7" s="484"/>
      <c r="ELE7" s="484"/>
      <c r="ELF7" s="484"/>
      <c r="ELG7" s="484"/>
      <c r="ELH7" s="484"/>
      <c r="ELI7" s="484"/>
      <c r="ELJ7" s="484"/>
      <c r="ELK7" s="484"/>
      <c r="ELL7" s="484"/>
      <c r="ELM7" s="484"/>
      <c r="ELN7" s="484"/>
      <c r="ELO7" s="484"/>
      <c r="ELP7" s="484"/>
      <c r="ELQ7" s="484"/>
      <c r="ELR7" s="484"/>
      <c r="ELS7" s="484"/>
      <c r="ELT7" s="484"/>
      <c r="ELU7" s="484"/>
      <c r="ELV7" s="484"/>
      <c r="ELW7" s="484"/>
      <c r="ELX7" s="484"/>
      <c r="ELY7" s="484"/>
      <c r="ELZ7" s="484"/>
      <c r="EMA7" s="484"/>
      <c r="EMB7" s="484"/>
      <c r="EMC7" s="484"/>
      <c r="EMD7" s="484"/>
      <c r="EME7" s="484"/>
      <c r="EMF7" s="484"/>
      <c r="EMG7" s="484"/>
      <c r="EMH7" s="484"/>
      <c r="EMI7" s="484"/>
      <c r="EMJ7" s="484"/>
      <c r="EMK7" s="484"/>
      <c r="EML7" s="484"/>
      <c r="EMM7" s="484"/>
      <c r="EMN7" s="484"/>
      <c r="EMO7" s="484"/>
      <c r="EMP7" s="484"/>
      <c r="EMQ7" s="484"/>
      <c r="EMR7" s="484"/>
      <c r="EMS7" s="484"/>
      <c r="EMT7" s="484"/>
      <c r="EMU7" s="484"/>
      <c r="EMV7" s="484"/>
      <c r="EMW7" s="484"/>
      <c r="EMX7" s="484"/>
      <c r="EMY7" s="484"/>
      <c r="EMZ7" s="484"/>
      <c r="ENA7" s="484"/>
      <c r="ENB7" s="484"/>
      <c r="ENC7" s="484"/>
      <c r="END7" s="484"/>
      <c r="ENE7" s="484"/>
      <c r="ENF7" s="484"/>
      <c r="ENG7" s="484"/>
      <c r="ENH7" s="484"/>
      <c r="ENI7" s="484"/>
      <c r="ENJ7" s="484"/>
      <c r="ENK7" s="484"/>
      <c r="ENL7" s="484"/>
      <c r="ENM7" s="484"/>
      <c r="ENN7" s="484"/>
      <c r="ENO7" s="484"/>
      <c r="ENP7" s="484"/>
      <c r="ENQ7" s="484"/>
      <c r="ENR7" s="484"/>
      <c r="ENS7" s="484"/>
      <c r="ENT7" s="484"/>
      <c r="ENU7" s="484"/>
      <c r="ENV7" s="484"/>
      <c r="ENW7" s="484"/>
      <c r="ENX7" s="484"/>
      <c r="ENY7" s="484"/>
      <c r="ENZ7" s="484"/>
      <c r="EOA7" s="484"/>
      <c r="EOB7" s="484"/>
      <c r="EOC7" s="484"/>
      <c r="EOD7" s="484"/>
      <c r="EOE7" s="484"/>
      <c r="EOF7" s="484"/>
      <c r="EOG7" s="484"/>
      <c r="EOH7" s="484"/>
      <c r="EOI7" s="484"/>
      <c r="EOJ7" s="484"/>
      <c r="EOK7" s="484"/>
      <c r="EOL7" s="484"/>
      <c r="EOM7" s="484"/>
      <c r="EON7" s="484"/>
      <c r="EOO7" s="484"/>
      <c r="EOP7" s="484"/>
      <c r="EOQ7" s="484"/>
      <c r="EOR7" s="484"/>
      <c r="EOS7" s="484"/>
      <c r="EOT7" s="484"/>
      <c r="EOU7" s="484"/>
      <c r="EOV7" s="484"/>
      <c r="EOW7" s="484"/>
      <c r="EOX7" s="484"/>
      <c r="EOY7" s="484"/>
      <c r="EOZ7" s="484"/>
      <c r="EPA7" s="484"/>
      <c r="EPB7" s="484"/>
      <c r="EPC7" s="484"/>
      <c r="EPD7" s="484"/>
      <c r="EPE7" s="484"/>
      <c r="EPF7" s="484"/>
      <c r="EPG7" s="484"/>
      <c r="EPH7" s="484"/>
      <c r="EPI7" s="484"/>
      <c r="EPJ7" s="484"/>
      <c r="EPK7" s="484"/>
      <c r="EPL7" s="484"/>
      <c r="EPM7" s="484"/>
      <c r="EPN7" s="484"/>
      <c r="EPO7" s="484"/>
      <c r="EPP7" s="484"/>
      <c r="EPQ7" s="484"/>
      <c r="EPR7" s="484"/>
      <c r="EPS7" s="484"/>
      <c r="EPT7" s="484"/>
      <c r="EPU7" s="484"/>
      <c r="EPV7" s="484"/>
      <c r="EPW7" s="484"/>
      <c r="EPX7" s="484"/>
      <c r="EPY7" s="484"/>
      <c r="EPZ7" s="484"/>
      <c r="EQA7" s="484"/>
      <c r="EQB7" s="484"/>
      <c r="EQC7" s="484"/>
      <c r="EQD7" s="484"/>
      <c r="EQE7" s="484"/>
      <c r="EQF7" s="484"/>
      <c r="EQG7" s="484"/>
      <c r="EQH7" s="484"/>
      <c r="EQI7" s="484"/>
      <c r="EQJ7" s="484"/>
      <c r="EQK7" s="484"/>
      <c r="EQL7" s="484"/>
      <c r="EQM7" s="484"/>
      <c r="EQN7" s="484"/>
      <c r="EQO7" s="484"/>
      <c r="EQP7" s="484"/>
      <c r="EQQ7" s="484"/>
      <c r="EQR7" s="484"/>
      <c r="EQS7" s="484"/>
      <c r="EQT7" s="484"/>
      <c r="EQU7" s="484"/>
      <c r="EQV7" s="484"/>
      <c r="EQW7" s="484"/>
      <c r="EQX7" s="484"/>
      <c r="EQY7" s="484"/>
      <c r="EQZ7" s="484"/>
      <c r="ERA7" s="484"/>
      <c r="ERB7" s="484"/>
      <c r="ERC7" s="484"/>
      <c r="ERD7" s="484"/>
      <c r="ERE7" s="484"/>
      <c r="ERF7" s="484"/>
      <c r="ERG7" s="484"/>
      <c r="ERH7" s="484"/>
      <c r="ERI7" s="484"/>
      <c r="ERJ7" s="484"/>
      <c r="ERK7" s="484"/>
      <c r="ERL7" s="484"/>
      <c r="ERM7" s="484"/>
      <c r="ERN7" s="484"/>
      <c r="ERO7" s="484"/>
      <c r="ERP7" s="484"/>
      <c r="ERQ7" s="484"/>
      <c r="ERR7" s="484"/>
      <c r="ERS7" s="484"/>
      <c r="ERT7" s="484"/>
      <c r="ERU7" s="484"/>
      <c r="ERV7" s="484"/>
      <c r="ERW7" s="484"/>
      <c r="ERX7" s="484"/>
      <c r="ERY7" s="484"/>
      <c r="ERZ7" s="484"/>
      <c r="ESA7" s="484"/>
      <c r="ESB7" s="484"/>
      <c r="ESC7" s="484"/>
      <c r="ESD7" s="484"/>
      <c r="ESE7" s="484"/>
      <c r="ESF7" s="484"/>
      <c r="ESG7" s="484"/>
      <c r="ESH7" s="484"/>
      <c r="ESI7" s="484"/>
      <c r="ESJ7" s="484"/>
      <c r="ESK7" s="484"/>
      <c r="ESL7" s="484"/>
      <c r="ESM7" s="484"/>
      <c r="ESN7" s="484"/>
      <c r="ESO7" s="484"/>
      <c r="ESP7" s="484"/>
      <c r="ESQ7" s="484"/>
      <c r="ESR7" s="484"/>
      <c r="ESS7" s="484"/>
      <c r="EST7" s="484"/>
      <c r="ESU7" s="484"/>
      <c r="ESV7" s="484"/>
      <c r="ESW7" s="484"/>
      <c r="ESX7" s="484"/>
      <c r="ESY7" s="484"/>
      <c r="ESZ7" s="484"/>
      <c r="ETA7" s="484"/>
      <c r="ETB7" s="484"/>
      <c r="ETC7" s="484"/>
      <c r="ETD7" s="484"/>
      <c r="ETE7" s="484"/>
      <c r="ETF7" s="484"/>
      <c r="ETG7" s="484"/>
      <c r="ETH7" s="484"/>
      <c r="ETI7" s="484"/>
      <c r="ETJ7" s="484"/>
      <c r="ETK7" s="484"/>
      <c r="ETL7" s="484"/>
      <c r="ETM7" s="484"/>
      <c r="ETN7" s="484"/>
      <c r="ETO7" s="484"/>
      <c r="ETP7" s="484"/>
      <c r="ETQ7" s="484"/>
      <c r="ETR7" s="484"/>
      <c r="ETS7" s="484"/>
      <c r="ETT7" s="484"/>
      <c r="ETU7" s="484"/>
      <c r="ETV7" s="484"/>
      <c r="ETW7" s="484"/>
      <c r="ETX7" s="484"/>
      <c r="ETY7" s="484"/>
      <c r="ETZ7" s="484"/>
      <c r="EUA7" s="484"/>
      <c r="EUB7" s="484"/>
      <c r="EUC7" s="484"/>
      <c r="EUD7" s="484"/>
      <c r="EUE7" s="484"/>
      <c r="EUF7" s="484"/>
      <c r="EUG7" s="484"/>
      <c r="EUH7" s="484"/>
      <c r="EUI7" s="484"/>
      <c r="EUJ7" s="484"/>
      <c r="EUK7" s="484"/>
      <c r="EUL7" s="484"/>
      <c r="EUM7" s="484"/>
      <c r="EUN7" s="484"/>
      <c r="EUO7" s="484"/>
      <c r="EUP7" s="484"/>
      <c r="EUQ7" s="484"/>
      <c r="EUR7" s="484"/>
      <c r="EUS7" s="484"/>
      <c r="EUT7" s="484"/>
      <c r="EUU7" s="484"/>
      <c r="EUV7" s="484"/>
      <c r="EUW7" s="484"/>
      <c r="EUX7" s="484"/>
      <c r="EUY7" s="484"/>
      <c r="EUZ7" s="484"/>
      <c r="EVA7" s="484"/>
      <c r="EVB7" s="484"/>
      <c r="EVC7" s="484"/>
      <c r="EVD7" s="484"/>
      <c r="EVE7" s="484"/>
      <c r="EVF7" s="484"/>
      <c r="EVG7" s="484"/>
      <c r="EVH7" s="484"/>
      <c r="EVI7" s="484"/>
      <c r="EVJ7" s="484"/>
      <c r="EVK7" s="484"/>
      <c r="EVL7" s="484"/>
      <c r="EVM7" s="484"/>
      <c r="EVN7" s="484"/>
      <c r="EVO7" s="484"/>
      <c r="EVP7" s="484"/>
      <c r="EVQ7" s="484"/>
      <c r="EVR7" s="484"/>
      <c r="EVS7" s="484"/>
      <c r="EVT7" s="484"/>
      <c r="EVU7" s="484"/>
      <c r="EVV7" s="484"/>
      <c r="EVW7" s="484"/>
      <c r="EVX7" s="484"/>
      <c r="EVY7" s="484"/>
      <c r="EVZ7" s="484"/>
      <c r="EWA7" s="484"/>
      <c r="EWB7" s="484"/>
      <c r="EWC7" s="484"/>
      <c r="EWD7" s="484"/>
      <c r="EWE7" s="484"/>
      <c r="EWF7" s="484"/>
      <c r="EWG7" s="484"/>
      <c r="EWH7" s="484"/>
      <c r="EWI7" s="484"/>
      <c r="EWJ7" s="484"/>
      <c r="EWK7" s="484"/>
      <c r="EWL7" s="484"/>
      <c r="EWM7" s="484"/>
      <c r="EWN7" s="484"/>
      <c r="EWO7" s="484"/>
      <c r="EWP7" s="484"/>
      <c r="EWQ7" s="484"/>
      <c r="EWR7" s="484"/>
      <c r="EWS7" s="484"/>
      <c r="EWT7" s="484"/>
      <c r="EWU7" s="484"/>
      <c r="EWV7" s="484"/>
      <c r="EWW7" s="484"/>
      <c r="EWX7" s="484"/>
      <c r="EWY7" s="484"/>
      <c r="EWZ7" s="484"/>
      <c r="EXA7" s="484"/>
      <c r="EXB7" s="484"/>
      <c r="EXC7" s="484"/>
      <c r="EXD7" s="484"/>
      <c r="EXE7" s="484"/>
      <c r="EXF7" s="484"/>
      <c r="EXG7" s="484"/>
      <c r="EXH7" s="484"/>
      <c r="EXI7" s="484"/>
      <c r="EXJ7" s="484"/>
      <c r="EXK7" s="484"/>
      <c r="EXL7" s="484"/>
      <c r="EXM7" s="484"/>
      <c r="EXN7" s="484"/>
      <c r="EXO7" s="484"/>
      <c r="EXP7" s="484"/>
      <c r="EXQ7" s="484"/>
      <c r="EXR7" s="484"/>
      <c r="EXS7" s="484"/>
      <c r="EXT7" s="484"/>
      <c r="EXU7" s="484"/>
      <c r="EXV7" s="484"/>
      <c r="EXW7" s="484"/>
      <c r="EXX7" s="484"/>
      <c r="EXY7" s="484"/>
      <c r="EXZ7" s="484"/>
      <c r="EYA7" s="484"/>
      <c r="EYB7" s="484"/>
      <c r="EYC7" s="484"/>
      <c r="EYD7" s="484"/>
      <c r="EYE7" s="484"/>
      <c r="EYF7" s="484"/>
      <c r="EYG7" s="484"/>
      <c r="EYH7" s="484"/>
      <c r="EYI7" s="484"/>
      <c r="EYJ7" s="484"/>
      <c r="EYK7" s="484"/>
      <c r="EYL7" s="484"/>
      <c r="EYM7" s="484"/>
      <c r="EYN7" s="484"/>
      <c r="EYO7" s="484"/>
      <c r="EYP7" s="484"/>
      <c r="EYQ7" s="484"/>
      <c r="EYR7" s="484"/>
      <c r="EYS7" s="484"/>
      <c r="EYT7" s="484"/>
      <c r="EYU7" s="484"/>
      <c r="EYV7" s="484"/>
      <c r="EYW7" s="484"/>
      <c r="EYX7" s="484"/>
      <c r="EYY7" s="484"/>
      <c r="EYZ7" s="484"/>
      <c r="EZA7" s="484"/>
      <c r="EZB7" s="484"/>
      <c r="EZC7" s="484"/>
      <c r="EZD7" s="484"/>
      <c r="EZE7" s="484"/>
      <c r="EZF7" s="484"/>
      <c r="EZG7" s="484"/>
      <c r="EZH7" s="484"/>
      <c r="EZI7" s="484"/>
      <c r="EZJ7" s="484"/>
      <c r="EZK7" s="484"/>
      <c r="EZL7" s="484"/>
      <c r="EZM7" s="484"/>
      <c r="EZN7" s="484"/>
      <c r="EZO7" s="484"/>
      <c r="EZP7" s="484"/>
      <c r="EZQ7" s="484"/>
      <c r="EZR7" s="484"/>
      <c r="EZS7" s="484"/>
      <c r="EZT7" s="484"/>
      <c r="EZU7" s="484"/>
      <c r="EZV7" s="484"/>
      <c r="EZW7" s="484"/>
      <c r="EZX7" s="484"/>
      <c r="EZY7" s="484"/>
      <c r="EZZ7" s="484"/>
      <c r="FAA7" s="484"/>
      <c r="FAB7" s="484"/>
      <c r="FAC7" s="484"/>
      <c r="FAD7" s="484"/>
      <c r="FAE7" s="484"/>
      <c r="FAF7" s="484"/>
      <c r="FAG7" s="484"/>
      <c r="FAH7" s="484"/>
      <c r="FAI7" s="484"/>
      <c r="FAJ7" s="484"/>
      <c r="FAK7" s="484"/>
      <c r="FAL7" s="484"/>
      <c r="FAM7" s="484"/>
      <c r="FAN7" s="484"/>
      <c r="FAO7" s="484"/>
      <c r="FAP7" s="484"/>
      <c r="FAQ7" s="484"/>
      <c r="FAR7" s="484"/>
      <c r="FAS7" s="484"/>
      <c r="FAT7" s="484"/>
      <c r="FAU7" s="484"/>
      <c r="FAV7" s="484"/>
      <c r="FAW7" s="484"/>
      <c r="FAX7" s="484"/>
      <c r="FAY7" s="484"/>
      <c r="FAZ7" s="484"/>
      <c r="FBA7" s="484"/>
      <c r="FBB7" s="484"/>
      <c r="FBC7" s="484"/>
      <c r="FBD7" s="484"/>
      <c r="FBE7" s="484"/>
      <c r="FBF7" s="484"/>
      <c r="FBG7" s="484"/>
      <c r="FBH7" s="484"/>
      <c r="FBI7" s="484"/>
      <c r="FBJ7" s="484"/>
      <c r="FBK7" s="484"/>
      <c r="FBL7" s="484"/>
      <c r="FBM7" s="484"/>
      <c r="FBN7" s="484"/>
      <c r="FBO7" s="484"/>
      <c r="FBP7" s="484"/>
      <c r="FBQ7" s="484"/>
      <c r="FBR7" s="484"/>
      <c r="FBS7" s="484"/>
      <c r="FBT7" s="484"/>
      <c r="FBU7" s="484"/>
      <c r="FBV7" s="484"/>
      <c r="FBW7" s="484"/>
      <c r="FBX7" s="484"/>
      <c r="FBY7" s="484"/>
      <c r="FBZ7" s="484"/>
      <c r="FCA7" s="484"/>
      <c r="FCB7" s="484"/>
      <c r="FCC7" s="484"/>
      <c r="FCD7" s="484"/>
      <c r="FCE7" s="484"/>
      <c r="FCF7" s="484"/>
      <c r="FCG7" s="484"/>
      <c r="FCH7" s="484"/>
      <c r="FCI7" s="484"/>
      <c r="FCJ7" s="484"/>
      <c r="FCK7" s="484"/>
      <c r="FCL7" s="484"/>
      <c r="FCM7" s="484"/>
      <c r="FCN7" s="484"/>
      <c r="FCO7" s="484"/>
      <c r="FCP7" s="484"/>
      <c r="FCQ7" s="484"/>
      <c r="FCR7" s="484"/>
      <c r="FCS7" s="484"/>
      <c r="FCT7" s="484"/>
      <c r="FCU7" s="484"/>
      <c r="FCV7" s="484"/>
      <c r="FCW7" s="484"/>
      <c r="FCX7" s="484"/>
      <c r="FCY7" s="484"/>
      <c r="FCZ7" s="484"/>
      <c r="FDA7" s="484"/>
      <c r="FDB7" s="484"/>
      <c r="FDC7" s="484"/>
      <c r="FDD7" s="484"/>
      <c r="FDE7" s="484"/>
      <c r="FDF7" s="484"/>
      <c r="FDG7" s="484"/>
      <c r="FDH7" s="484"/>
      <c r="FDI7" s="484"/>
      <c r="FDJ7" s="484"/>
      <c r="FDK7" s="484"/>
      <c r="FDL7" s="484"/>
      <c r="FDM7" s="484"/>
      <c r="FDN7" s="484"/>
      <c r="FDO7" s="484"/>
      <c r="FDP7" s="484"/>
      <c r="FDQ7" s="484"/>
      <c r="FDR7" s="484"/>
      <c r="FDS7" s="484"/>
      <c r="FDT7" s="484"/>
      <c r="FDU7" s="484"/>
      <c r="FDV7" s="484"/>
      <c r="FDW7" s="484"/>
      <c r="FDX7" s="484"/>
      <c r="FDY7" s="484"/>
      <c r="FDZ7" s="484"/>
      <c r="FEA7" s="484"/>
      <c r="FEB7" s="484"/>
      <c r="FEC7" s="484"/>
      <c r="FED7" s="484"/>
      <c r="FEE7" s="484"/>
      <c r="FEF7" s="484"/>
      <c r="FEG7" s="484"/>
      <c r="FEH7" s="484"/>
      <c r="FEI7" s="484"/>
      <c r="FEJ7" s="484"/>
      <c r="FEK7" s="484"/>
      <c r="FEL7" s="484"/>
      <c r="FEM7" s="484"/>
      <c r="FEN7" s="484"/>
      <c r="FEO7" s="484"/>
      <c r="FEP7" s="484"/>
      <c r="FEQ7" s="484"/>
      <c r="FER7" s="484"/>
      <c r="FES7" s="484"/>
      <c r="FET7" s="484"/>
      <c r="FEU7" s="484"/>
      <c r="FEV7" s="484"/>
      <c r="FEW7" s="484"/>
      <c r="FEX7" s="484"/>
      <c r="FEY7" s="484"/>
      <c r="FEZ7" s="484"/>
      <c r="FFA7" s="484"/>
      <c r="FFB7" s="484"/>
      <c r="FFC7" s="484"/>
      <c r="FFD7" s="484"/>
      <c r="FFE7" s="484"/>
      <c r="FFF7" s="484"/>
      <c r="FFG7" s="484"/>
      <c r="FFH7" s="484"/>
      <c r="FFI7" s="484"/>
      <c r="FFJ7" s="484"/>
      <c r="FFK7" s="484"/>
      <c r="FFL7" s="484"/>
      <c r="FFM7" s="484"/>
      <c r="FFN7" s="484"/>
      <c r="FFO7" s="484"/>
      <c r="FFP7" s="484"/>
      <c r="FFQ7" s="484"/>
      <c r="FFR7" s="484"/>
      <c r="FFS7" s="484"/>
      <c r="FFT7" s="484"/>
      <c r="FFU7" s="484"/>
      <c r="FFV7" s="484"/>
      <c r="FFW7" s="484"/>
      <c r="FFX7" s="484"/>
      <c r="FFY7" s="484"/>
      <c r="FFZ7" s="484"/>
      <c r="FGA7" s="484"/>
      <c r="FGB7" s="484"/>
      <c r="FGC7" s="484"/>
      <c r="FGD7" s="484"/>
      <c r="FGE7" s="484"/>
      <c r="FGF7" s="484"/>
      <c r="FGG7" s="484"/>
      <c r="FGH7" s="484"/>
      <c r="FGI7" s="484"/>
      <c r="FGJ7" s="484"/>
      <c r="FGK7" s="484"/>
      <c r="FGL7" s="484"/>
      <c r="FGM7" s="484"/>
      <c r="FGN7" s="484"/>
      <c r="FGO7" s="484"/>
      <c r="FGP7" s="484"/>
      <c r="FGQ7" s="484"/>
      <c r="FGR7" s="484"/>
      <c r="FGS7" s="484"/>
      <c r="FGT7" s="484"/>
      <c r="FGU7" s="484"/>
      <c r="FGV7" s="484"/>
      <c r="FGW7" s="484"/>
      <c r="FGX7" s="484"/>
      <c r="FGY7" s="484"/>
      <c r="FGZ7" s="484"/>
      <c r="FHA7" s="484"/>
      <c r="FHB7" s="484"/>
      <c r="FHC7" s="484"/>
      <c r="FHD7" s="484"/>
      <c r="FHE7" s="484"/>
      <c r="FHF7" s="484"/>
      <c r="FHG7" s="484"/>
      <c r="FHH7" s="484"/>
      <c r="FHI7" s="484"/>
      <c r="FHJ7" s="484"/>
      <c r="FHK7" s="484"/>
      <c r="FHL7" s="484"/>
      <c r="FHM7" s="484"/>
      <c r="FHN7" s="484"/>
      <c r="FHO7" s="484"/>
      <c r="FHP7" s="484"/>
      <c r="FHQ7" s="484"/>
      <c r="FHR7" s="484"/>
      <c r="FHS7" s="484"/>
      <c r="FHT7" s="484"/>
      <c r="FHU7" s="484"/>
      <c r="FHV7" s="484"/>
      <c r="FHW7" s="484"/>
      <c r="FHX7" s="484"/>
      <c r="FHY7" s="484"/>
      <c r="FHZ7" s="484"/>
      <c r="FIA7" s="484"/>
      <c r="FIB7" s="484"/>
      <c r="FIC7" s="484"/>
      <c r="FID7" s="484"/>
      <c r="FIE7" s="484"/>
      <c r="FIF7" s="484"/>
      <c r="FIG7" s="484"/>
      <c r="FIH7" s="484"/>
      <c r="FII7" s="484"/>
      <c r="FIJ7" s="484"/>
      <c r="FIK7" s="484"/>
      <c r="FIL7" s="484"/>
      <c r="FIM7" s="484"/>
      <c r="FIN7" s="484"/>
      <c r="FIO7" s="484"/>
      <c r="FIP7" s="484"/>
      <c r="FIQ7" s="484"/>
      <c r="FIR7" s="484"/>
      <c r="FIS7" s="484"/>
      <c r="FIT7" s="484"/>
      <c r="FIU7" s="484"/>
      <c r="FIV7" s="484"/>
      <c r="FIW7" s="484"/>
      <c r="FIX7" s="484"/>
      <c r="FIY7" s="484"/>
      <c r="FIZ7" s="484"/>
      <c r="FJA7" s="484"/>
      <c r="FJB7" s="484"/>
      <c r="FJC7" s="484"/>
      <c r="FJD7" s="484"/>
      <c r="FJE7" s="484"/>
      <c r="FJF7" s="484"/>
      <c r="FJG7" s="484"/>
      <c r="FJH7" s="484"/>
      <c r="FJI7" s="484"/>
      <c r="FJJ7" s="484"/>
      <c r="FJK7" s="484"/>
      <c r="FJL7" s="484"/>
      <c r="FJM7" s="484"/>
      <c r="FJN7" s="484"/>
      <c r="FJO7" s="484"/>
      <c r="FJP7" s="484"/>
      <c r="FJQ7" s="484"/>
      <c r="FJR7" s="484"/>
      <c r="FJS7" s="484"/>
      <c r="FJT7" s="484"/>
      <c r="FJU7" s="484"/>
      <c r="FJV7" s="484"/>
      <c r="FJW7" s="484"/>
      <c r="FJX7" s="484"/>
      <c r="FJY7" s="484"/>
      <c r="FJZ7" s="484"/>
      <c r="FKA7" s="484"/>
      <c r="FKB7" s="484"/>
      <c r="FKC7" s="484"/>
      <c r="FKD7" s="484"/>
      <c r="FKE7" s="484"/>
      <c r="FKF7" s="484"/>
      <c r="FKG7" s="484"/>
      <c r="FKH7" s="484"/>
      <c r="FKI7" s="484"/>
      <c r="FKJ7" s="484"/>
      <c r="FKK7" s="484"/>
      <c r="FKL7" s="484"/>
      <c r="FKM7" s="484"/>
      <c r="FKN7" s="484"/>
      <c r="FKO7" s="484"/>
      <c r="FKP7" s="484"/>
      <c r="FKQ7" s="484"/>
      <c r="FKR7" s="484"/>
      <c r="FKS7" s="484"/>
      <c r="FKT7" s="484"/>
      <c r="FKU7" s="484"/>
      <c r="FKV7" s="484"/>
      <c r="FKW7" s="484"/>
      <c r="FKX7" s="484"/>
      <c r="FKY7" s="484"/>
      <c r="FKZ7" s="484"/>
      <c r="FLA7" s="484"/>
      <c r="FLB7" s="484"/>
      <c r="FLC7" s="484"/>
      <c r="FLD7" s="484"/>
      <c r="FLE7" s="484"/>
      <c r="FLF7" s="484"/>
      <c r="FLG7" s="484"/>
      <c r="FLH7" s="484"/>
      <c r="FLI7" s="484"/>
      <c r="FLJ7" s="484"/>
      <c r="FLK7" s="484"/>
      <c r="FLL7" s="484"/>
      <c r="FLM7" s="484"/>
      <c r="FLN7" s="484"/>
      <c r="FLO7" s="484"/>
      <c r="FLP7" s="484"/>
      <c r="FLQ7" s="484"/>
      <c r="FLR7" s="484"/>
      <c r="FLS7" s="484"/>
      <c r="FLT7" s="484"/>
      <c r="FLU7" s="484"/>
      <c r="FLV7" s="484"/>
      <c r="FLW7" s="484"/>
      <c r="FLX7" s="484"/>
      <c r="FLY7" s="484"/>
      <c r="FLZ7" s="484"/>
      <c r="FMA7" s="484"/>
      <c r="FMB7" s="484"/>
      <c r="FMC7" s="484"/>
      <c r="FMD7" s="484"/>
      <c r="FME7" s="484"/>
      <c r="FMF7" s="484"/>
      <c r="FMG7" s="484"/>
      <c r="FMH7" s="484"/>
      <c r="FMI7" s="484"/>
      <c r="FMJ7" s="484"/>
      <c r="FMK7" s="484"/>
      <c r="FML7" s="484"/>
      <c r="FMM7" s="484"/>
      <c r="FMN7" s="484"/>
      <c r="FMO7" s="484"/>
      <c r="FMP7" s="484"/>
      <c r="FMQ7" s="484"/>
      <c r="FMR7" s="484"/>
      <c r="FMS7" s="484"/>
      <c r="FMT7" s="484"/>
      <c r="FMU7" s="484"/>
      <c r="FMV7" s="484"/>
      <c r="FMW7" s="484"/>
      <c r="FMX7" s="484"/>
      <c r="FMY7" s="484"/>
      <c r="FMZ7" s="484"/>
      <c r="FNA7" s="484"/>
      <c r="FNB7" s="484"/>
      <c r="FNC7" s="484"/>
      <c r="FND7" s="484"/>
      <c r="FNE7" s="484"/>
      <c r="FNF7" s="484"/>
      <c r="FNG7" s="484"/>
      <c r="FNH7" s="484"/>
      <c r="FNI7" s="484"/>
      <c r="FNJ7" s="484"/>
      <c r="FNK7" s="484"/>
      <c r="FNL7" s="484"/>
      <c r="FNM7" s="484"/>
      <c r="FNN7" s="484"/>
      <c r="FNO7" s="484"/>
      <c r="FNP7" s="484"/>
      <c r="FNQ7" s="484"/>
      <c r="FNR7" s="484"/>
      <c r="FNS7" s="484"/>
      <c r="FNT7" s="484"/>
      <c r="FNU7" s="484"/>
      <c r="FNV7" s="484"/>
      <c r="FNW7" s="484"/>
      <c r="FNX7" s="484"/>
      <c r="FNY7" s="484"/>
      <c r="FNZ7" s="484"/>
      <c r="FOA7" s="484"/>
      <c r="FOB7" s="484"/>
      <c r="FOC7" s="484"/>
      <c r="FOD7" s="484"/>
      <c r="FOE7" s="484"/>
      <c r="FOF7" s="484"/>
      <c r="FOG7" s="484"/>
      <c r="FOH7" s="484"/>
      <c r="FOI7" s="484"/>
      <c r="FOJ7" s="484"/>
      <c r="FOK7" s="484"/>
      <c r="FOL7" s="484"/>
      <c r="FOM7" s="484"/>
      <c r="FON7" s="484"/>
      <c r="FOO7" s="484"/>
      <c r="FOP7" s="484"/>
      <c r="FOQ7" s="484"/>
      <c r="FOR7" s="484"/>
      <c r="FOS7" s="484"/>
      <c r="FOT7" s="484"/>
      <c r="FOU7" s="484"/>
      <c r="FOV7" s="484"/>
      <c r="FOW7" s="484"/>
      <c r="FOX7" s="484"/>
      <c r="FOY7" s="484"/>
      <c r="FOZ7" s="484"/>
      <c r="FPA7" s="484"/>
      <c r="FPB7" s="484"/>
      <c r="FPC7" s="484"/>
      <c r="FPD7" s="484"/>
      <c r="FPE7" s="484"/>
      <c r="FPF7" s="484"/>
      <c r="FPG7" s="484"/>
      <c r="FPH7" s="484"/>
      <c r="FPI7" s="484"/>
      <c r="FPJ7" s="484"/>
      <c r="FPK7" s="484"/>
      <c r="FPL7" s="484"/>
      <c r="FPM7" s="484"/>
      <c r="FPN7" s="484"/>
      <c r="FPO7" s="484"/>
      <c r="FPP7" s="484"/>
      <c r="FPQ7" s="484"/>
      <c r="FPR7" s="484"/>
      <c r="FPS7" s="484"/>
      <c r="FPT7" s="484"/>
      <c r="FPU7" s="484"/>
      <c r="FPV7" s="484"/>
      <c r="FPW7" s="484"/>
      <c r="FPX7" s="484"/>
      <c r="FPY7" s="484"/>
      <c r="FPZ7" s="484"/>
      <c r="FQA7" s="484"/>
      <c r="FQB7" s="484"/>
      <c r="FQC7" s="484"/>
      <c r="FQD7" s="484"/>
      <c r="FQE7" s="484"/>
      <c r="FQF7" s="484"/>
      <c r="FQG7" s="484"/>
      <c r="FQH7" s="484"/>
      <c r="FQI7" s="484"/>
      <c r="FQJ7" s="484"/>
      <c r="FQK7" s="484"/>
      <c r="FQL7" s="484"/>
      <c r="FQM7" s="484"/>
      <c r="FQN7" s="484"/>
      <c r="FQO7" s="484"/>
      <c r="FQP7" s="484"/>
      <c r="FQQ7" s="484"/>
      <c r="FQR7" s="484"/>
      <c r="FQS7" s="484"/>
      <c r="FQT7" s="484"/>
      <c r="FQU7" s="484"/>
      <c r="FQV7" s="484"/>
      <c r="FQW7" s="484"/>
      <c r="FQX7" s="484"/>
      <c r="FQY7" s="484"/>
      <c r="FQZ7" s="484"/>
      <c r="FRA7" s="484"/>
      <c r="FRB7" s="484"/>
      <c r="FRC7" s="484"/>
      <c r="FRD7" s="484"/>
      <c r="FRE7" s="484"/>
      <c r="FRF7" s="484"/>
      <c r="FRG7" s="484"/>
      <c r="FRH7" s="484"/>
      <c r="FRI7" s="484"/>
      <c r="FRJ7" s="484"/>
      <c r="FRK7" s="484"/>
      <c r="FRL7" s="484"/>
      <c r="FRM7" s="484"/>
      <c r="FRN7" s="484"/>
      <c r="FRO7" s="484"/>
      <c r="FRP7" s="484"/>
      <c r="FRQ7" s="484"/>
      <c r="FRR7" s="484"/>
      <c r="FRS7" s="484"/>
      <c r="FRT7" s="484"/>
      <c r="FRU7" s="484"/>
      <c r="FRV7" s="484"/>
      <c r="FRW7" s="484"/>
      <c r="FRX7" s="484"/>
      <c r="FRY7" s="484"/>
      <c r="FRZ7" s="484"/>
      <c r="FSA7" s="484"/>
      <c r="FSB7" s="484"/>
      <c r="FSC7" s="484"/>
      <c r="FSD7" s="484"/>
      <c r="FSE7" s="484"/>
      <c r="FSF7" s="484"/>
      <c r="FSG7" s="484"/>
      <c r="FSH7" s="484"/>
      <c r="FSI7" s="484"/>
      <c r="FSJ7" s="484"/>
      <c r="FSK7" s="484"/>
      <c r="FSL7" s="484"/>
      <c r="FSM7" s="484"/>
      <c r="FSN7" s="484"/>
      <c r="FSO7" s="484"/>
      <c r="FSP7" s="484"/>
      <c r="FSQ7" s="484"/>
      <c r="FSR7" s="484"/>
      <c r="FSS7" s="484"/>
      <c r="FST7" s="484"/>
      <c r="FSU7" s="484"/>
      <c r="FSV7" s="484"/>
      <c r="FSW7" s="484"/>
      <c r="FSX7" s="484"/>
      <c r="FSY7" s="484"/>
      <c r="FSZ7" s="484"/>
      <c r="FTA7" s="484"/>
      <c r="FTB7" s="484"/>
      <c r="FTC7" s="484"/>
      <c r="FTD7" s="484"/>
      <c r="FTE7" s="484"/>
      <c r="FTF7" s="484"/>
      <c r="FTG7" s="484"/>
      <c r="FTH7" s="484"/>
      <c r="FTI7" s="484"/>
      <c r="FTJ7" s="484"/>
      <c r="FTK7" s="484"/>
      <c r="FTL7" s="484"/>
      <c r="FTM7" s="484"/>
      <c r="FTN7" s="484"/>
      <c r="FTO7" s="484"/>
      <c r="FTP7" s="484"/>
      <c r="FTQ7" s="484"/>
      <c r="FTR7" s="484"/>
      <c r="FTS7" s="484"/>
      <c r="FTT7" s="484"/>
      <c r="FTU7" s="484"/>
      <c r="FTV7" s="484"/>
      <c r="FTW7" s="484"/>
      <c r="FTX7" s="484"/>
      <c r="FTY7" s="484"/>
      <c r="FTZ7" s="484"/>
      <c r="FUA7" s="484"/>
      <c r="FUB7" s="484"/>
      <c r="FUC7" s="484"/>
      <c r="FUD7" s="484"/>
      <c r="FUE7" s="484"/>
      <c r="FUF7" s="484"/>
      <c r="FUG7" s="484"/>
      <c r="FUH7" s="484"/>
      <c r="FUI7" s="484"/>
      <c r="FUJ7" s="484"/>
      <c r="FUK7" s="484"/>
      <c r="FUL7" s="484"/>
      <c r="FUM7" s="484"/>
      <c r="FUN7" s="484"/>
      <c r="FUO7" s="484"/>
      <c r="FUP7" s="484"/>
      <c r="FUQ7" s="484"/>
      <c r="FUR7" s="484"/>
      <c r="FUS7" s="484"/>
      <c r="FUT7" s="484"/>
      <c r="FUU7" s="484"/>
      <c r="FUV7" s="484"/>
      <c r="FUW7" s="484"/>
      <c r="FUX7" s="484"/>
      <c r="FUY7" s="484"/>
      <c r="FUZ7" s="484"/>
      <c r="FVA7" s="484"/>
      <c r="FVB7" s="484"/>
      <c r="FVC7" s="484"/>
      <c r="FVD7" s="484"/>
      <c r="FVE7" s="484"/>
      <c r="FVF7" s="484"/>
      <c r="FVG7" s="484"/>
      <c r="FVH7" s="484"/>
      <c r="FVI7" s="484"/>
      <c r="FVJ7" s="484"/>
      <c r="FVK7" s="484"/>
      <c r="FVL7" s="484"/>
      <c r="FVM7" s="484"/>
      <c r="FVN7" s="484"/>
      <c r="FVO7" s="484"/>
      <c r="FVP7" s="484"/>
      <c r="FVQ7" s="484"/>
      <c r="FVR7" s="484"/>
      <c r="FVS7" s="484"/>
      <c r="FVT7" s="484"/>
      <c r="FVU7" s="484"/>
      <c r="FVV7" s="484"/>
      <c r="FVW7" s="484"/>
      <c r="FVX7" s="484"/>
      <c r="FVY7" s="484"/>
      <c r="FVZ7" s="484"/>
      <c r="FWA7" s="484"/>
      <c r="FWB7" s="484"/>
      <c r="FWC7" s="484"/>
      <c r="FWD7" s="484"/>
      <c r="FWE7" s="484"/>
      <c r="FWF7" s="484"/>
      <c r="FWG7" s="484"/>
      <c r="FWH7" s="484"/>
      <c r="FWI7" s="484"/>
      <c r="FWJ7" s="484"/>
      <c r="FWK7" s="484"/>
      <c r="FWL7" s="484"/>
      <c r="FWM7" s="484"/>
      <c r="FWN7" s="484"/>
      <c r="FWO7" s="484"/>
      <c r="FWP7" s="484"/>
      <c r="FWQ7" s="484"/>
      <c r="FWR7" s="484"/>
      <c r="FWS7" s="484"/>
      <c r="FWT7" s="484"/>
      <c r="FWU7" s="484"/>
      <c r="FWV7" s="484"/>
      <c r="FWW7" s="484"/>
      <c r="FWX7" s="484"/>
      <c r="FWY7" s="484"/>
      <c r="FWZ7" s="484"/>
      <c r="FXA7" s="484"/>
      <c r="FXB7" s="484"/>
      <c r="FXC7" s="484"/>
      <c r="FXD7" s="484"/>
      <c r="FXE7" s="484"/>
      <c r="FXF7" s="484"/>
      <c r="FXG7" s="484"/>
      <c r="FXH7" s="484"/>
      <c r="FXI7" s="484"/>
      <c r="FXJ7" s="484"/>
      <c r="FXK7" s="484"/>
      <c r="FXL7" s="484"/>
      <c r="FXM7" s="484"/>
      <c r="FXN7" s="484"/>
      <c r="FXO7" s="484"/>
      <c r="FXP7" s="484"/>
      <c r="FXQ7" s="484"/>
      <c r="FXR7" s="484"/>
      <c r="FXS7" s="484"/>
      <c r="FXT7" s="484"/>
      <c r="FXU7" s="484"/>
      <c r="FXV7" s="484"/>
      <c r="FXW7" s="484"/>
      <c r="FXX7" s="484"/>
      <c r="FXY7" s="484"/>
      <c r="FXZ7" s="484"/>
      <c r="FYA7" s="484"/>
      <c r="FYB7" s="484"/>
      <c r="FYC7" s="484"/>
      <c r="FYD7" s="484"/>
      <c r="FYE7" s="484"/>
      <c r="FYF7" s="484"/>
      <c r="FYG7" s="484"/>
      <c r="FYH7" s="484"/>
      <c r="FYI7" s="484"/>
      <c r="FYJ7" s="484"/>
      <c r="FYK7" s="484"/>
      <c r="FYL7" s="484"/>
      <c r="FYM7" s="484"/>
      <c r="FYN7" s="484"/>
      <c r="FYO7" s="484"/>
      <c r="FYP7" s="484"/>
      <c r="FYQ7" s="484"/>
      <c r="FYR7" s="484"/>
      <c r="FYS7" s="484"/>
      <c r="FYT7" s="484"/>
      <c r="FYU7" s="484"/>
      <c r="FYV7" s="484"/>
      <c r="FYW7" s="484"/>
      <c r="FYX7" s="484"/>
      <c r="FYY7" s="484"/>
      <c r="FYZ7" s="484"/>
      <c r="FZA7" s="484"/>
      <c r="FZB7" s="484"/>
      <c r="FZC7" s="484"/>
      <c r="FZD7" s="484"/>
      <c r="FZE7" s="484"/>
      <c r="FZF7" s="484"/>
      <c r="FZG7" s="484"/>
      <c r="FZH7" s="484"/>
      <c r="FZI7" s="484"/>
      <c r="FZJ7" s="484"/>
      <c r="FZK7" s="484"/>
      <c r="FZL7" s="484"/>
      <c r="FZM7" s="484"/>
      <c r="FZN7" s="484"/>
      <c r="FZO7" s="484"/>
      <c r="FZP7" s="484"/>
      <c r="FZQ7" s="484"/>
      <c r="FZR7" s="484"/>
      <c r="FZS7" s="484"/>
      <c r="FZT7" s="484"/>
      <c r="FZU7" s="484"/>
      <c r="FZV7" s="484"/>
      <c r="FZW7" s="484"/>
      <c r="FZX7" s="484"/>
      <c r="FZY7" s="484"/>
      <c r="FZZ7" s="484"/>
      <c r="GAA7" s="484"/>
      <c r="GAB7" s="484"/>
      <c r="GAC7" s="484"/>
      <c r="GAD7" s="484"/>
      <c r="GAE7" s="484"/>
      <c r="GAF7" s="484"/>
      <c r="GAG7" s="484"/>
      <c r="GAH7" s="484"/>
      <c r="GAI7" s="484"/>
      <c r="GAJ7" s="484"/>
      <c r="GAK7" s="484"/>
      <c r="GAL7" s="484"/>
      <c r="GAM7" s="484"/>
      <c r="GAN7" s="484"/>
      <c r="GAO7" s="484"/>
      <c r="GAP7" s="484"/>
      <c r="GAQ7" s="484"/>
      <c r="GAR7" s="484"/>
      <c r="GAS7" s="484"/>
      <c r="GAT7" s="484"/>
      <c r="GAU7" s="484"/>
      <c r="GAV7" s="484"/>
      <c r="GAW7" s="484"/>
      <c r="GAX7" s="484"/>
      <c r="GAY7" s="484"/>
      <c r="GAZ7" s="484"/>
      <c r="GBA7" s="484"/>
      <c r="GBB7" s="484"/>
      <c r="GBC7" s="484"/>
      <c r="GBD7" s="484"/>
      <c r="GBE7" s="484"/>
      <c r="GBF7" s="484"/>
      <c r="GBG7" s="484"/>
      <c r="GBH7" s="484"/>
      <c r="GBI7" s="484"/>
      <c r="GBJ7" s="484"/>
      <c r="GBK7" s="484"/>
      <c r="GBL7" s="484"/>
      <c r="GBM7" s="484"/>
      <c r="GBN7" s="484"/>
      <c r="GBO7" s="484"/>
      <c r="GBP7" s="484"/>
      <c r="GBQ7" s="484"/>
      <c r="GBR7" s="484"/>
      <c r="GBS7" s="484"/>
      <c r="GBT7" s="484"/>
      <c r="GBU7" s="484"/>
      <c r="GBV7" s="484"/>
      <c r="GBW7" s="484"/>
      <c r="GBX7" s="484"/>
      <c r="GBY7" s="484"/>
      <c r="GBZ7" s="484"/>
      <c r="GCA7" s="484"/>
      <c r="GCB7" s="484"/>
      <c r="GCC7" s="484"/>
      <c r="GCD7" s="484"/>
      <c r="GCE7" s="484"/>
      <c r="GCF7" s="484"/>
      <c r="GCG7" s="484"/>
      <c r="GCH7" s="484"/>
      <c r="GCI7" s="484"/>
      <c r="GCJ7" s="484"/>
      <c r="GCK7" s="484"/>
      <c r="GCL7" s="484"/>
      <c r="GCM7" s="484"/>
      <c r="GCN7" s="484"/>
      <c r="GCO7" s="484"/>
      <c r="GCP7" s="484"/>
      <c r="GCQ7" s="484"/>
      <c r="GCR7" s="484"/>
      <c r="GCS7" s="484"/>
      <c r="GCT7" s="484"/>
      <c r="GCU7" s="484"/>
      <c r="GCV7" s="484"/>
      <c r="GCW7" s="484"/>
      <c r="GCX7" s="484"/>
      <c r="GCY7" s="484"/>
      <c r="GCZ7" s="484"/>
      <c r="GDA7" s="484"/>
      <c r="GDB7" s="484"/>
      <c r="GDC7" s="484"/>
      <c r="GDD7" s="484"/>
      <c r="GDE7" s="484"/>
      <c r="GDF7" s="484"/>
      <c r="GDG7" s="484"/>
      <c r="GDH7" s="484"/>
      <c r="GDI7" s="484"/>
      <c r="GDJ7" s="484"/>
      <c r="GDK7" s="484"/>
      <c r="GDL7" s="484"/>
      <c r="GDM7" s="484"/>
      <c r="GDN7" s="484"/>
      <c r="GDO7" s="484"/>
      <c r="GDP7" s="484"/>
      <c r="GDQ7" s="484"/>
      <c r="GDR7" s="484"/>
      <c r="GDS7" s="484"/>
      <c r="GDT7" s="484"/>
      <c r="GDU7" s="484"/>
      <c r="GDV7" s="484"/>
      <c r="GDW7" s="484"/>
      <c r="GDX7" s="484"/>
      <c r="GDY7" s="484"/>
      <c r="GDZ7" s="484"/>
      <c r="GEA7" s="484"/>
      <c r="GEB7" s="484"/>
      <c r="GEC7" s="484"/>
      <c r="GED7" s="484"/>
      <c r="GEE7" s="484"/>
      <c r="GEF7" s="484"/>
      <c r="GEG7" s="484"/>
      <c r="GEH7" s="484"/>
      <c r="GEI7" s="484"/>
      <c r="GEJ7" s="484"/>
      <c r="GEK7" s="484"/>
      <c r="GEL7" s="484"/>
      <c r="GEM7" s="484"/>
      <c r="GEN7" s="484"/>
      <c r="GEO7" s="484"/>
      <c r="GEP7" s="484"/>
      <c r="GEQ7" s="484"/>
      <c r="GER7" s="484"/>
      <c r="GES7" s="484"/>
      <c r="GET7" s="484"/>
      <c r="GEU7" s="484"/>
      <c r="GEV7" s="484"/>
      <c r="GEW7" s="484"/>
      <c r="GEX7" s="484"/>
      <c r="GEY7" s="484"/>
      <c r="GEZ7" s="484"/>
      <c r="GFA7" s="484"/>
      <c r="GFB7" s="484"/>
      <c r="GFC7" s="484"/>
      <c r="GFD7" s="484"/>
      <c r="GFE7" s="484"/>
      <c r="GFF7" s="484"/>
      <c r="GFG7" s="484"/>
      <c r="GFH7" s="484"/>
      <c r="GFI7" s="484"/>
      <c r="GFJ7" s="484"/>
      <c r="GFK7" s="484"/>
      <c r="GFL7" s="484"/>
      <c r="GFM7" s="484"/>
      <c r="GFN7" s="484"/>
      <c r="GFO7" s="484"/>
      <c r="GFP7" s="484"/>
      <c r="GFQ7" s="484"/>
      <c r="GFR7" s="484"/>
      <c r="GFS7" s="484"/>
      <c r="GFT7" s="484"/>
      <c r="GFU7" s="484"/>
      <c r="GFV7" s="484"/>
      <c r="GFW7" s="484"/>
      <c r="GFX7" s="484"/>
      <c r="GFY7" s="484"/>
      <c r="GFZ7" s="484"/>
      <c r="GGA7" s="484"/>
      <c r="GGB7" s="484"/>
      <c r="GGC7" s="484"/>
      <c r="GGD7" s="484"/>
      <c r="GGE7" s="484"/>
      <c r="GGF7" s="484"/>
      <c r="GGG7" s="484"/>
      <c r="GGH7" s="484"/>
      <c r="GGI7" s="484"/>
      <c r="GGJ7" s="484"/>
      <c r="GGK7" s="484"/>
      <c r="GGL7" s="484"/>
      <c r="GGM7" s="484"/>
      <c r="GGN7" s="484"/>
      <c r="GGO7" s="484"/>
      <c r="GGP7" s="484"/>
      <c r="GGQ7" s="484"/>
      <c r="GGR7" s="484"/>
      <c r="GGS7" s="484"/>
      <c r="GGT7" s="484"/>
      <c r="GGU7" s="484"/>
      <c r="GGV7" s="484"/>
      <c r="GGW7" s="484"/>
      <c r="GGX7" s="484"/>
      <c r="GGY7" s="484"/>
      <c r="GGZ7" s="484"/>
      <c r="GHA7" s="484"/>
      <c r="GHB7" s="484"/>
      <c r="GHC7" s="484"/>
      <c r="GHD7" s="484"/>
      <c r="GHE7" s="484"/>
      <c r="GHF7" s="484"/>
      <c r="GHG7" s="484"/>
      <c r="GHH7" s="484"/>
      <c r="GHI7" s="484"/>
      <c r="GHJ7" s="484"/>
      <c r="GHK7" s="484"/>
      <c r="GHL7" s="484"/>
      <c r="GHM7" s="484"/>
      <c r="GHN7" s="484"/>
      <c r="GHO7" s="484"/>
      <c r="GHP7" s="484"/>
      <c r="GHQ7" s="484"/>
      <c r="GHR7" s="484"/>
      <c r="GHS7" s="484"/>
      <c r="GHT7" s="484"/>
      <c r="GHU7" s="484"/>
      <c r="GHV7" s="484"/>
      <c r="GHW7" s="484"/>
      <c r="GHX7" s="484"/>
      <c r="GHY7" s="484"/>
      <c r="GHZ7" s="484"/>
      <c r="GIA7" s="484"/>
      <c r="GIB7" s="484"/>
      <c r="GIC7" s="484"/>
      <c r="GID7" s="484"/>
      <c r="GIE7" s="484"/>
      <c r="GIF7" s="484"/>
      <c r="GIG7" s="484"/>
      <c r="GIH7" s="484"/>
      <c r="GII7" s="484"/>
      <c r="GIJ7" s="484"/>
      <c r="GIK7" s="484"/>
      <c r="GIL7" s="484"/>
      <c r="GIM7" s="484"/>
      <c r="GIN7" s="484"/>
      <c r="GIO7" s="484"/>
      <c r="GIP7" s="484"/>
      <c r="GIQ7" s="484"/>
      <c r="GIR7" s="484"/>
      <c r="GIS7" s="484"/>
      <c r="GIT7" s="484"/>
      <c r="GIU7" s="484"/>
      <c r="GIV7" s="484"/>
      <c r="GIW7" s="484"/>
      <c r="GIX7" s="484"/>
      <c r="GIY7" s="484"/>
      <c r="GIZ7" s="484"/>
      <c r="GJA7" s="484"/>
      <c r="GJB7" s="484"/>
      <c r="GJC7" s="484"/>
      <c r="GJD7" s="484"/>
      <c r="GJE7" s="484"/>
      <c r="GJF7" s="484"/>
      <c r="GJG7" s="484"/>
      <c r="GJH7" s="484"/>
      <c r="GJI7" s="484"/>
      <c r="GJJ7" s="484"/>
      <c r="GJK7" s="484"/>
      <c r="GJL7" s="484"/>
      <c r="GJM7" s="484"/>
      <c r="GJN7" s="484"/>
      <c r="GJO7" s="484"/>
      <c r="GJP7" s="484"/>
      <c r="GJQ7" s="484"/>
      <c r="GJR7" s="484"/>
      <c r="GJS7" s="484"/>
      <c r="GJT7" s="484"/>
      <c r="GJU7" s="484"/>
      <c r="GJV7" s="484"/>
      <c r="GJW7" s="484"/>
      <c r="GJX7" s="484"/>
      <c r="GJY7" s="484"/>
      <c r="GJZ7" s="484"/>
      <c r="GKA7" s="484"/>
      <c r="GKB7" s="484"/>
      <c r="GKC7" s="484"/>
      <c r="GKD7" s="484"/>
      <c r="GKE7" s="484"/>
      <c r="GKF7" s="484"/>
      <c r="GKG7" s="484"/>
      <c r="GKH7" s="484"/>
      <c r="GKI7" s="484"/>
      <c r="GKJ7" s="484"/>
      <c r="GKK7" s="484"/>
      <c r="GKL7" s="484"/>
      <c r="GKM7" s="484"/>
      <c r="GKN7" s="484"/>
      <c r="GKO7" s="484"/>
      <c r="GKP7" s="484"/>
      <c r="GKQ7" s="484"/>
      <c r="GKR7" s="484"/>
      <c r="GKS7" s="484"/>
      <c r="GKT7" s="484"/>
      <c r="GKU7" s="484"/>
      <c r="GKV7" s="484"/>
      <c r="GKW7" s="484"/>
      <c r="GKX7" s="484"/>
      <c r="GKY7" s="484"/>
      <c r="GKZ7" s="484"/>
      <c r="GLA7" s="484"/>
      <c r="GLB7" s="484"/>
      <c r="GLC7" s="484"/>
      <c r="GLD7" s="484"/>
      <c r="GLE7" s="484"/>
      <c r="GLF7" s="484"/>
      <c r="GLG7" s="484"/>
      <c r="GLH7" s="484"/>
      <c r="GLI7" s="484"/>
      <c r="GLJ7" s="484"/>
      <c r="GLK7" s="484"/>
      <c r="GLL7" s="484"/>
      <c r="GLM7" s="484"/>
      <c r="GLN7" s="484"/>
      <c r="GLO7" s="484"/>
      <c r="GLP7" s="484"/>
      <c r="GLQ7" s="484"/>
      <c r="GLR7" s="484"/>
      <c r="GLS7" s="484"/>
      <c r="GLT7" s="484"/>
      <c r="GLU7" s="484"/>
      <c r="GLV7" s="484"/>
      <c r="GLW7" s="484"/>
      <c r="GLX7" s="484"/>
      <c r="GLY7" s="484"/>
      <c r="GLZ7" s="484"/>
      <c r="GMA7" s="484"/>
      <c r="GMB7" s="484"/>
      <c r="GMC7" s="484"/>
      <c r="GMD7" s="484"/>
      <c r="GME7" s="484"/>
      <c r="GMF7" s="484"/>
      <c r="GMG7" s="484"/>
      <c r="GMH7" s="484"/>
      <c r="GMI7" s="484"/>
      <c r="GMJ7" s="484"/>
      <c r="GMK7" s="484"/>
      <c r="GML7" s="484"/>
      <c r="GMM7" s="484"/>
      <c r="GMN7" s="484"/>
      <c r="GMO7" s="484"/>
      <c r="GMP7" s="484"/>
      <c r="GMQ7" s="484"/>
      <c r="GMR7" s="484"/>
      <c r="GMS7" s="484"/>
      <c r="GMT7" s="484"/>
      <c r="GMU7" s="484"/>
      <c r="GMV7" s="484"/>
      <c r="GMW7" s="484"/>
      <c r="GMX7" s="484"/>
      <c r="GMY7" s="484"/>
      <c r="GMZ7" s="484"/>
      <c r="GNA7" s="484"/>
      <c r="GNB7" s="484"/>
      <c r="GNC7" s="484"/>
      <c r="GND7" s="484"/>
      <c r="GNE7" s="484"/>
      <c r="GNF7" s="484"/>
      <c r="GNG7" s="484"/>
      <c r="GNH7" s="484"/>
      <c r="GNI7" s="484"/>
      <c r="GNJ7" s="484"/>
      <c r="GNK7" s="484"/>
      <c r="GNL7" s="484"/>
      <c r="GNM7" s="484"/>
      <c r="GNN7" s="484"/>
      <c r="GNO7" s="484"/>
      <c r="GNP7" s="484"/>
      <c r="GNQ7" s="484"/>
      <c r="GNR7" s="484"/>
      <c r="GNS7" s="484"/>
      <c r="GNT7" s="484"/>
      <c r="GNU7" s="484"/>
      <c r="GNV7" s="484"/>
      <c r="GNW7" s="484"/>
      <c r="GNX7" s="484"/>
      <c r="GNY7" s="484"/>
      <c r="GNZ7" s="484"/>
      <c r="GOA7" s="484"/>
      <c r="GOB7" s="484"/>
      <c r="GOC7" s="484"/>
      <c r="GOD7" s="484"/>
      <c r="GOE7" s="484"/>
      <c r="GOF7" s="484"/>
      <c r="GOG7" s="484"/>
      <c r="GOH7" s="484"/>
      <c r="GOI7" s="484"/>
      <c r="GOJ7" s="484"/>
      <c r="GOK7" s="484"/>
      <c r="GOL7" s="484"/>
      <c r="GOM7" s="484"/>
      <c r="GON7" s="484"/>
      <c r="GOO7" s="484"/>
      <c r="GOP7" s="484"/>
      <c r="GOQ7" s="484"/>
      <c r="GOR7" s="484"/>
      <c r="GOS7" s="484"/>
      <c r="GOT7" s="484"/>
      <c r="GOU7" s="484"/>
      <c r="GOV7" s="484"/>
      <c r="GOW7" s="484"/>
      <c r="GOX7" s="484"/>
      <c r="GOY7" s="484"/>
      <c r="GOZ7" s="484"/>
      <c r="GPA7" s="484"/>
      <c r="GPB7" s="484"/>
      <c r="GPC7" s="484"/>
      <c r="GPD7" s="484"/>
      <c r="GPE7" s="484"/>
      <c r="GPF7" s="484"/>
      <c r="GPG7" s="484"/>
      <c r="GPH7" s="484"/>
      <c r="GPI7" s="484"/>
      <c r="GPJ7" s="484"/>
      <c r="GPK7" s="484"/>
      <c r="GPL7" s="484"/>
      <c r="GPM7" s="484"/>
      <c r="GPN7" s="484"/>
      <c r="GPO7" s="484"/>
      <c r="GPP7" s="484"/>
      <c r="GPQ7" s="484"/>
      <c r="GPR7" s="484"/>
      <c r="GPS7" s="484"/>
      <c r="GPT7" s="484"/>
      <c r="GPU7" s="484"/>
      <c r="GPV7" s="484"/>
      <c r="GPW7" s="484"/>
      <c r="GPX7" s="484"/>
      <c r="GPY7" s="484"/>
      <c r="GPZ7" s="484"/>
      <c r="GQA7" s="484"/>
      <c r="GQB7" s="484"/>
      <c r="GQC7" s="484"/>
      <c r="GQD7" s="484"/>
      <c r="GQE7" s="484"/>
      <c r="GQF7" s="484"/>
      <c r="GQG7" s="484"/>
      <c r="GQH7" s="484"/>
      <c r="GQI7" s="484"/>
      <c r="GQJ7" s="484"/>
      <c r="GQK7" s="484"/>
      <c r="GQL7" s="484"/>
      <c r="GQM7" s="484"/>
      <c r="GQN7" s="484"/>
      <c r="GQO7" s="484"/>
      <c r="GQP7" s="484"/>
      <c r="GQQ7" s="484"/>
      <c r="GQR7" s="484"/>
      <c r="GQS7" s="484"/>
      <c r="GQT7" s="484"/>
      <c r="GQU7" s="484"/>
      <c r="GQV7" s="484"/>
      <c r="GQW7" s="484"/>
      <c r="GQX7" s="484"/>
      <c r="GQY7" s="484"/>
      <c r="GQZ7" s="484"/>
      <c r="GRA7" s="484"/>
      <c r="GRB7" s="484"/>
      <c r="GRC7" s="484"/>
      <c r="GRD7" s="484"/>
      <c r="GRE7" s="484"/>
      <c r="GRF7" s="484"/>
      <c r="GRG7" s="484"/>
      <c r="GRH7" s="484"/>
      <c r="GRI7" s="484"/>
      <c r="GRJ7" s="484"/>
      <c r="GRK7" s="484"/>
      <c r="GRL7" s="484"/>
      <c r="GRM7" s="484"/>
      <c r="GRN7" s="484"/>
      <c r="GRO7" s="484"/>
      <c r="GRP7" s="484"/>
      <c r="GRQ7" s="484"/>
      <c r="GRR7" s="484"/>
      <c r="GRS7" s="484"/>
      <c r="GRT7" s="484"/>
      <c r="GRU7" s="484"/>
      <c r="GRV7" s="484"/>
      <c r="GRW7" s="484"/>
      <c r="GRX7" s="484"/>
      <c r="GRY7" s="484"/>
      <c r="GRZ7" s="484"/>
      <c r="GSA7" s="484"/>
      <c r="GSB7" s="484"/>
      <c r="GSC7" s="484"/>
      <c r="GSD7" s="484"/>
      <c r="GSE7" s="484"/>
      <c r="GSF7" s="484"/>
      <c r="GSG7" s="484"/>
      <c r="GSH7" s="484"/>
      <c r="GSI7" s="484"/>
      <c r="GSJ7" s="484"/>
      <c r="GSK7" s="484"/>
      <c r="GSL7" s="484"/>
      <c r="GSM7" s="484"/>
      <c r="GSN7" s="484"/>
      <c r="GSO7" s="484"/>
      <c r="GSP7" s="484"/>
      <c r="GSQ7" s="484"/>
      <c r="GSR7" s="484"/>
      <c r="GSS7" s="484"/>
      <c r="GST7" s="484"/>
      <c r="GSU7" s="484"/>
      <c r="GSV7" s="484"/>
      <c r="GSW7" s="484"/>
      <c r="GSX7" s="484"/>
      <c r="GSY7" s="484"/>
      <c r="GSZ7" s="484"/>
      <c r="GTA7" s="484"/>
      <c r="GTB7" s="484"/>
      <c r="GTC7" s="484"/>
      <c r="GTD7" s="484"/>
      <c r="GTE7" s="484"/>
      <c r="GTF7" s="484"/>
      <c r="GTG7" s="484"/>
      <c r="GTH7" s="484"/>
      <c r="GTI7" s="484"/>
      <c r="GTJ7" s="484"/>
      <c r="GTK7" s="484"/>
      <c r="GTL7" s="484"/>
      <c r="GTM7" s="484"/>
      <c r="GTN7" s="484"/>
      <c r="GTO7" s="484"/>
      <c r="GTP7" s="484"/>
      <c r="GTQ7" s="484"/>
      <c r="GTR7" s="484"/>
      <c r="GTS7" s="484"/>
      <c r="GTT7" s="484"/>
      <c r="GTU7" s="484"/>
      <c r="GTV7" s="484"/>
      <c r="GTW7" s="484"/>
      <c r="GTX7" s="484"/>
      <c r="GTY7" s="484"/>
      <c r="GTZ7" s="484"/>
      <c r="GUA7" s="484"/>
      <c r="GUB7" s="484"/>
      <c r="GUC7" s="484"/>
      <c r="GUD7" s="484"/>
      <c r="GUE7" s="484"/>
      <c r="GUF7" s="484"/>
      <c r="GUG7" s="484"/>
      <c r="GUH7" s="484"/>
      <c r="GUI7" s="484"/>
      <c r="GUJ7" s="484"/>
      <c r="GUK7" s="484"/>
      <c r="GUL7" s="484"/>
      <c r="GUM7" s="484"/>
      <c r="GUN7" s="484"/>
      <c r="GUO7" s="484"/>
      <c r="GUP7" s="484"/>
      <c r="GUQ7" s="484"/>
      <c r="GUR7" s="484"/>
      <c r="GUS7" s="484"/>
      <c r="GUT7" s="484"/>
      <c r="GUU7" s="484"/>
      <c r="GUV7" s="484"/>
      <c r="GUW7" s="484"/>
      <c r="GUX7" s="484"/>
      <c r="GUY7" s="484"/>
      <c r="GUZ7" s="484"/>
      <c r="GVA7" s="484"/>
      <c r="GVB7" s="484"/>
      <c r="GVC7" s="484"/>
      <c r="GVD7" s="484"/>
      <c r="GVE7" s="484"/>
      <c r="GVF7" s="484"/>
      <c r="GVG7" s="484"/>
      <c r="GVH7" s="484"/>
      <c r="GVI7" s="484"/>
      <c r="GVJ7" s="484"/>
      <c r="GVK7" s="484"/>
      <c r="GVL7" s="484"/>
      <c r="GVM7" s="484"/>
      <c r="GVN7" s="484"/>
      <c r="GVO7" s="484"/>
      <c r="GVP7" s="484"/>
      <c r="GVQ7" s="484"/>
      <c r="GVR7" s="484"/>
      <c r="GVS7" s="484"/>
      <c r="GVT7" s="484"/>
      <c r="GVU7" s="484"/>
      <c r="GVV7" s="484"/>
      <c r="GVW7" s="484"/>
      <c r="GVX7" s="484"/>
      <c r="GVY7" s="484"/>
      <c r="GVZ7" s="484"/>
      <c r="GWA7" s="484"/>
      <c r="GWB7" s="484"/>
      <c r="GWC7" s="484"/>
      <c r="GWD7" s="484"/>
      <c r="GWE7" s="484"/>
      <c r="GWF7" s="484"/>
      <c r="GWG7" s="484"/>
      <c r="GWH7" s="484"/>
      <c r="GWI7" s="484"/>
      <c r="GWJ7" s="484"/>
      <c r="GWK7" s="484"/>
      <c r="GWL7" s="484"/>
      <c r="GWM7" s="484"/>
      <c r="GWN7" s="484"/>
      <c r="GWO7" s="484"/>
      <c r="GWP7" s="484"/>
      <c r="GWQ7" s="484"/>
      <c r="GWR7" s="484"/>
      <c r="GWS7" s="484"/>
      <c r="GWT7" s="484"/>
      <c r="GWU7" s="484"/>
      <c r="GWV7" s="484"/>
      <c r="GWW7" s="484"/>
      <c r="GWX7" s="484"/>
      <c r="GWY7" s="484"/>
      <c r="GWZ7" s="484"/>
      <c r="GXA7" s="484"/>
      <c r="GXB7" s="484"/>
      <c r="GXC7" s="484"/>
      <c r="GXD7" s="484"/>
      <c r="GXE7" s="484"/>
      <c r="GXF7" s="484"/>
      <c r="GXG7" s="484"/>
      <c r="GXH7" s="484"/>
      <c r="GXI7" s="484"/>
      <c r="GXJ7" s="484"/>
      <c r="GXK7" s="484"/>
      <c r="GXL7" s="484"/>
      <c r="GXM7" s="484"/>
      <c r="GXN7" s="484"/>
      <c r="GXO7" s="484"/>
      <c r="GXP7" s="484"/>
      <c r="GXQ7" s="484"/>
      <c r="GXR7" s="484"/>
      <c r="GXS7" s="484"/>
      <c r="GXT7" s="484"/>
      <c r="GXU7" s="484"/>
      <c r="GXV7" s="484"/>
      <c r="GXW7" s="484"/>
      <c r="GXX7" s="484"/>
      <c r="GXY7" s="484"/>
      <c r="GXZ7" s="484"/>
      <c r="GYA7" s="484"/>
      <c r="GYB7" s="484"/>
      <c r="GYC7" s="484"/>
      <c r="GYD7" s="484"/>
      <c r="GYE7" s="484"/>
      <c r="GYF7" s="484"/>
      <c r="GYG7" s="484"/>
      <c r="GYH7" s="484"/>
      <c r="GYI7" s="484"/>
      <c r="GYJ7" s="484"/>
      <c r="GYK7" s="484"/>
      <c r="GYL7" s="484"/>
      <c r="GYM7" s="484"/>
      <c r="GYN7" s="484"/>
      <c r="GYO7" s="484"/>
      <c r="GYP7" s="484"/>
      <c r="GYQ7" s="484"/>
      <c r="GYR7" s="484"/>
      <c r="GYS7" s="484"/>
      <c r="GYT7" s="484"/>
      <c r="GYU7" s="484"/>
      <c r="GYV7" s="484"/>
      <c r="GYW7" s="484"/>
      <c r="GYX7" s="484"/>
      <c r="GYY7" s="484"/>
      <c r="GYZ7" s="484"/>
      <c r="GZA7" s="484"/>
      <c r="GZB7" s="484"/>
      <c r="GZC7" s="484"/>
      <c r="GZD7" s="484"/>
      <c r="GZE7" s="484"/>
      <c r="GZF7" s="484"/>
      <c r="GZG7" s="484"/>
      <c r="GZH7" s="484"/>
      <c r="GZI7" s="484"/>
      <c r="GZJ7" s="484"/>
      <c r="GZK7" s="484"/>
      <c r="GZL7" s="484"/>
      <c r="GZM7" s="484"/>
      <c r="GZN7" s="484"/>
      <c r="GZO7" s="484"/>
      <c r="GZP7" s="484"/>
      <c r="GZQ7" s="484"/>
      <c r="GZR7" s="484"/>
      <c r="GZS7" s="484"/>
      <c r="GZT7" s="484"/>
      <c r="GZU7" s="484"/>
      <c r="GZV7" s="484"/>
      <c r="GZW7" s="484"/>
      <c r="GZX7" s="484"/>
      <c r="GZY7" s="484"/>
      <c r="GZZ7" s="484"/>
      <c r="HAA7" s="484"/>
      <c r="HAB7" s="484"/>
      <c r="HAC7" s="484"/>
      <c r="HAD7" s="484"/>
      <c r="HAE7" s="484"/>
      <c r="HAF7" s="484"/>
      <c r="HAG7" s="484"/>
      <c r="HAH7" s="484"/>
      <c r="HAI7" s="484"/>
      <c r="HAJ7" s="484"/>
      <c r="HAK7" s="484"/>
      <c r="HAL7" s="484"/>
      <c r="HAM7" s="484"/>
      <c r="HAN7" s="484"/>
      <c r="HAO7" s="484"/>
      <c r="HAP7" s="484"/>
      <c r="HAQ7" s="484"/>
      <c r="HAR7" s="484"/>
      <c r="HAS7" s="484"/>
      <c r="HAT7" s="484"/>
      <c r="HAU7" s="484"/>
      <c r="HAV7" s="484"/>
      <c r="HAW7" s="484"/>
      <c r="HAX7" s="484"/>
      <c r="HAY7" s="484"/>
      <c r="HAZ7" s="484"/>
      <c r="HBA7" s="484"/>
      <c r="HBB7" s="484"/>
      <c r="HBC7" s="484"/>
      <c r="HBD7" s="484"/>
      <c r="HBE7" s="484"/>
      <c r="HBF7" s="484"/>
      <c r="HBG7" s="484"/>
      <c r="HBH7" s="484"/>
      <c r="HBI7" s="484"/>
      <c r="HBJ7" s="484"/>
      <c r="HBK7" s="484"/>
      <c r="HBL7" s="484"/>
      <c r="HBM7" s="484"/>
      <c r="HBN7" s="484"/>
      <c r="HBO7" s="484"/>
      <c r="HBP7" s="484"/>
      <c r="HBQ7" s="484"/>
      <c r="HBR7" s="484"/>
      <c r="HBS7" s="484"/>
      <c r="HBT7" s="484"/>
      <c r="HBU7" s="484"/>
      <c r="HBV7" s="484"/>
      <c r="HBW7" s="484"/>
      <c r="HBX7" s="484"/>
      <c r="HBY7" s="484"/>
      <c r="HBZ7" s="484"/>
      <c r="HCA7" s="484"/>
      <c r="HCB7" s="484"/>
      <c r="HCC7" s="484"/>
      <c r="HCD7" s="484"/>
      <c r="HCE7" s="484"/>
      <c r="HCF7" s="484"/>
      <c r="HCG7" s="484"/>
      <c r="HCH7" s="484"/>
      <c r="HCI7" s="484"/>
      <c r="HCJ7" s="484"/>
      <c r="HCK7" s="484"/>
      <c r="HCL7" s="484"/>
      <c r="HCM7" s="484"/>
      <c r="HCN7" s="484"/>
      <c r="HCO7" s="484"/>
      <c r="HCP7" s="484"/>
      <c r="HCQ7" s="484"/>
      <c r="HCR7" s="484"/>
      <c r="HCS7" s="484"/>
      <c r="HCT7" s="484"/>
      <c r="HCU7" s="484"/>
      <c r="HCV7" s="484"/>
      <c r="HCW7" s="484"/>
      <c r="HCX7" s="484"/>
      <c r="HCY7" s="484"/>
      <c r="HCZ7" s="484"/>
      <c r="HDA7" s="484"/>
      <c r="HDB7" s="484"/>
      <c r="HDC7" s="484"/>
      <c r="HDD7" s="484"/>
      <c r="HDE7" s="484"/>
      <c r="HDF7" s="484"/>
      <c r="HDG7" s="484"/>
      <c r="HDH7" s="484"/>
      <c r="HDI7" s="484"/>
      <c r="HDJ7" s="484"/>
      <c r="HDK7" s="484"/>
      <c r="HDL7" s="484"/>
      <c r="HDM7" s="484"/>
      <c r="HDN7" s="484"/>
      <c r="HDO7" s="484"/>
      <c r="HDP7" s="484"/>
      <c r="HDQ7" s="484"/>
      <c r="HDR7" s="484"/>
      <c r="HDS7" s="484"/>
      <c r="HDT7" s="484"/>
      <c r="HDU7" s="484"/>
      <c r="HDV7" s="484"/>
      <c r="HDW7" s="484"/>
      <c r="HDX7" s="484"/>
      <c r="HDY7" s="484"/>
      <c r="HDZ7" s="484"/>
      <c r="HEA7" s="484"/>
      <c r="HEB7" s="484"/>
      <c r="HEC7" s="484"/>
      <c r="HED7" s="484"/>
      <c r="HEE7" s="484"/>
      <c r="HEF7" s="484"/>
      <c r="HEG7" s="484"/>
      <c r="HEH7" s="484"/>
      <c r="HEI7" s="484"/>
      <c r="HEJ7" s="484"/>
      <c r="HEK7" s="484"/>
      <c r="HEL7" s="484"/>
      <c r="HEM7" s="484"/>
      <c r="HEN7" s="484"/>
      <c r="HEO7" s="484"/>
      <c r="HEP7" s="484"/>
      <c r="HEQ7" s="484"/>
      <c r="HER7" s="484"/>
      <c r="HES7" s="484"/>
      <c r="HET7" s="484"/>
      <c r="HEU7" s="484"/>
      <c r="HEV7" s="484"/>
      <c r="HEW7" s="484"/>
      <c r="HEX7" s="484"/>
      <c r="HEY7" s="484"/>
      <c r="HEZ7" s="484"/>
      <c r="HFA7" s="484"/>
      <c r="HFB7" s="484"/>
      <c r="HFC7" s="484"/>
      <c r="HFD7" s="484"/>
      <c r="HFE7" s="484"/>
      <c r="HFF7" s="484"/>
      <c r="HFG7" s="484"/>
      <c r="HFH7" s="484"/>
      <c r="HFI7" s="484"/>
      <c r="HFJ7" s="484"/>
      <c r="HFK7" s="484"/>
      <c r="HFL7" s="484"/>
      <c r="HFM7" s="484"/>
      <c r="HFN7" s="484"/>
      <c r="HFO7" s="484"/>
      <c r="HFP7" s="484"/>
      <c r="HFQ7" s="484"/>
      <c r="HFR7" s="484"/>
      <c r="HFS7" s="484"/>
      <c r="HFT7" s="484"/>
      <c r="HFU7" s="484"/>
      <c r="HFV7" s="484"/>
      <c r="HFW7" s="484"/>
      <c r="HFX7" s="484"/>
      <c r="HFY7" s="484"/>
      <c r="HFZ7" s="484"/>
      <c r="HGA7" s="484"/>
      <c r="HGB7" s="484"/>
      <c r="HGC7" s="484"/>
      <c r="HGD7" s="484"/>
      <c r="HGE7" s="484"/>
      <c r="HGF7" s="484"/>
      <c r="HGG7" s="484"/>
      <c r="HGH7" s="484"/>
      <c r="HGI7" s="484"/>
      <c r="HGJ7" s="484"/>
      <c r="HGK7" s="484"/>
      <c r="HGL7" s="484"/>
      <c r="HGM7" s="484"/>
      <c r="HGN7" s="484"/>
      <c r="HGO7" s="484"/>
      <c r="HGP7" s="484"/>
      <c r="HGQ7" s="484"/>
      <c r="HGR7" s="484"/>
      <c r="HGS7" s="484"/>
      <c r="HGT7" s="484"/>
      <c r="HGU7" s="484"/>
      <c r="HGV7" s="484"/>
      <c r="HGW7" s="484"/>
      <c r="HGX7" s="484"/>
      <c r="HGY7" s="484"/>
      <c r="HGZ7" s="484"/>
      <c r="HHA7" s="484"/>
      <c r="HHB7" s="484"/>
      <c r="HHC7" s="484"/>
      <c r="HHD7" s="484"/>
      <c r="HHE7" s="484"/>
      <c r="HHF7" s="484"/>
      <c r="HHG7" s="484"/>
      <c r="HHH7" s="484"/>
      <c r="HHI7" s="484"/>
      <c r="HHJ7" s="484"/>
      <c r="HHK7" s="484"/>
      <c r="HHL7" s="484"/>
      <c r="HHM7" s="484"/>
      <c r="HHN7" s="484"/>
      <c r="HHO7" s="484"/>
      <c r="HHP7" s="484"/>
      <c r="HHQ7" s="484"/>
      <c r="HHR7" s="484"/>
      <c r="HHS7" s="484"/>
      <c r="HHT7" s="484"/>
      <c r="HHU7" s="484"/>
      <c r="HHV7" s="484"/>
      <c r="HHW7" s="484"/>
      <c r="HHX7" s="484"/>
      <c r="HHY7" s="484"/>
      <c r="HHZ7" s="484"/>
      <c r="HIA7" s="484"/>
      <c r="HIB7" s="484"/>
      <c r="HIC7" s="484"/>
      <c r="HID7" s="484"/>
      <c r="HIE7" s="484"/>
      <c r="HIF7" s="484"/>
      <c r="HIG7" s="484"/>
      <c r="HIH7" s="484"/>
      <c r="HII7" s="484"/>
      <c r="HIJ7" s="484"/>
      <c r="HIK7" s="484"/>
      <c r="HIL7" s="484"/>
      <c r="HIM7" s="484"/>
      <c r="HIN7" s="484"/>
      <c r="HIO7" s="484"/>
      <c r="HIP7" s="484"/>
      <c r="HIQ7" s="484"/>
      <c r="HIR7" s="484"/>
      <c r="HIS7" s="484"/>
      <c r="HIT7" s="484"/>
      <c r="HIU7" s="484"/>
      <c r="HIV7" s="484"/>
      <c r="HIW7" s="484"/>
      <c r="HIX7" s="484"/>
      <c r="HIY7" s="484"/>
      <c r="HIZ7" s="484"/>
      <c r="HJA7" s="484"/>
      <c r="HJB7" s="484"/>
      <c r="HJC7" s="484"/>
      <c r="HJD7" s="484"/>
      <c r="HJE7" s="484"/>
      <c r="HJF7" s="484"/>
      <c r="HJG7" s="484"/>
      <c r="HJH7" s="484"/>
      <c r="HJI7" s="484"/>
      <c r="HJJ7" s="484"/>
      <c r="HJK7" s="484"/>
      <c r="HJL7" s="484"/>
      <c r="HJM7" s="484"/>
      <c r="HJN7" s="484"/>
      <c r="HJO7" s="484"/>
      <c r="HJP7" s="484"/>
      <c r="HJQ7" s="484"/>
      <c r="HJR7" s="484"/>
      <c r="HJS7" s="484"/>
      <c r="HJT7" s="484"/>
      <c r="HJU7" s="484"/>
      <c r="HJV7" s="484"/>
      <c r="HJW7" s="484"/>
      <c r="HJX7" s="484"/>
      <c r="HJY7" s="484"/>
      <c r="HJZ7" s="484"/>
      <c r="HKA7" s="484"/>
      <c r="HKB7" s="484"/>
      <c r="HKC7" s="484"/>
      <c r="HKD7" s="484"/>
      <c r="HKE7" s="484"/>
      <c r="HKF7" s="484"/>
      <c r="HKG7" s="484"/>
      <c r="HKH7" s="484"/>
      <c r="HKI7" s="484"/>
      <c r="HKJ7" s="484"/>
      <c r="HKK7" s="484"/>
      <c r="HKL7" s="484"/>
      <c r="HKM7" s="484"/>
      <c r="HKN7" s="484"/>
      <c r="HKO7" s="484"/>
      <c r="HKP7" s="484"/>
      <c r="HKQ7" s="484"/>
      <c r="HKR7" s="484"/>
      <c r="HKS7" s="484"/>
      <c r="HKT7" s="484"/>
      <c r="HKU7" s="484"/>
      <c r="HKV7" s="484"/>
      <c r="HKW7" s="484"/>
      <c r="HKX7" s="484"/>
      <c r="HKY7" s="484"/>
      <c r="HKZ7" s="484"/>
      <c r="HLA7" s="484"/>
      <c r="HLB7" s="484"/>
      <c r="HLC7" s="484"/>
      <c r="HLD7" s="484"/>
      <c r="HLE7" s="484"/>
      <c r="HLF7" s="484"/>
      <c r="HLG7" s="484"/>
      <c r="HLH7" s="484"/>
      <c r="HLI7" s="484"/>
      <c r="HLJ7" s="484"/>
      <c r="HLK7" s="484"/>
      <c r="HLL7" s="484"/>
      <c r="HLM7" s="484"/>
      <c r="HLN7" s="484"/>
      <c r="HLO7" s="484"/>
      <c r="HLP7" s="484"/>
      <c r="HLQ7" s="484"/>
      <c r="HLR7" s="484"/>
      <c r="HLS7" s="484"/>
      <c r="HLT7" s="484"/>
      <c r="HLU7" s="484"/>
      <c r="HLV7" s="484"/>
      <c r="HLW7" s="484"/>
      <c r="HLX7" s="484"/>
      <c r="HLY7" s="484"/>
      <c r="HLZ7" s="484"/>
      <c r="HMA7" s="484"/>
      <c r="HMB7" s="484"/>
      <c r="HMC7" s="484"/>
      <c r="HMD7" s="484"/>
      <c r="HME7" s="484"/>
      <c r="HMF7" s="484"/>
      <c r="HMG7" s="484"/>
      <c r="HMH7" s="484"/>
      <c r="HMI7" s="484"/>
      <c r="HMJ7" s="484"/>
      <c r="HMK7" s="484"/>
      <c r="HML7" s="484"/>
      <c r="HMM7" s="484"/>
      <c r="HMN7" s="484"/>
      <c r="HMO7" s="484"/>
      <c r="HMP7" s="484"/>
      <c r="HMQ7" s="484"/>
      <c r="HMR7" s="484"/>
      <c r="HMS7" s="484"/>
      <c r="HMT7" s="484"/>
      <c r="HMU7" s="484"/>
      <c r="HMV7" s="484"/>
      <c r="HMW7" s="484"/>
      <c r="HMX7" s="484"/>
      <c r="HMY7" s="484"/>
      <c r="HMZ7" s="484"/>
      <c r="HNA7" s="484"/>
      <c r="HNB7" s="484"/>
      <c r="HNC7" s="484"/>
      <c r="HND7" s="484"/>
      <c r="HNE7" s="484"/>
      <c r="HNF7" s="484"/>
      <c r="HNG7" s="484"/>
      <c r="HNH7" s="484"/>
      <c r="HNI7" s="484"/>
      <c r="HNJ7" s="484"/>
      <c r="HNK7" s="484"/>
      <c r="HNL7" s="484"/>
      <c r="HNM7" s="484"/>
      <c r="HNN7" s="484"/>
      <c r="HNO7" s="484"/>
      <c r="HNP7" s="484"/>
      <c r="HNQ7" s="484"/>
      <c r="HNR7" s="484"/>
      <c r="HNS7" s="484"/>
      <c r="HNT7" s="484"/>
      <c r="HNU7" s="484"/>
      <c r="HNV7" s="484"/>
      <c r="HNW7" s="484"/>
      <c r="HNX7" s="484"/>
      <c r="HNY7" s="484"/>
      <c r="HNZ7" s="484"/>
      <c r="HOA7" s="484"/>
      <c r="HOB7" s="484"/>
      <c r="HOC7" s="484"/>
      <c r="HOD7" s="484"/>
      <c r="HOE7" s="484"/>
      <c r="HOF7" s="484"/>
      <c r="HOG7" s="484"/>
      <c r="HOH7" s="484"/>
      <c r="HOI7" s="484"/>
      <c r="HOJ7" s="484"/>
      <c r="HOK7" s="484"/>
      <c r="HOL7" s="484"/>
      <c r="HOM7" s="484"/>
      <c r="HON7" s="484"/>
      <c r="HOO7" s="484"/>
      <c r="HOP7" s="484"/>
      <c r="HOQ7" s="484"/>
      <c r="HOR7" s="484"/>
      <c r="HOS7" s="484"/>
      <c r="HOT7" s="484"/>
      <c r="HOU7" s="484"/>
      <c r="HOV7" s="484"/>
      <c r="HOW7" s="484"/>
      <c r="HOX7" s="484"/>
      <c r="HOY7" s="484"/>
      <c r="HOZ7" s="484"/>
      <c r="HPA7" s="484"/>
      <c r="HPB7" s="484"/>
      <c r="HPC7" s="484"/>
      <c r="HPD7" s="484"/>
      <c r="HPE7" s="484"/>
      <c r="HPF7" s="484"/>
      <c r="HPG7" s="484"/>
      <c r="HPH7" s="484"/>
      <c r="HPI7" s="484"/>
      <c r="HPJ7" s="484"/>
      <c r="HPK7" s="484"/>
      <c r="HPL7" s="484"/>
      <c r="HPM7" s="484"/>
      <c r="HPN7" s="484"/>
      <c r="HPO7" s="484"/>
      <c r="HPP7" s="484"/>
      <c r="HPQ7" s="484"/>
      <c r="HPR7" s="484"/>
      <c r="HPS7" s="484"/>
      <c r="HPT7" s="484"/>
      <c r="HPU7" s="484"/>
      <c r="HPV7" s="484"/>
      <c r="HPW7" s="484"/>
      <c r="HPX7" s="484"/>
      <c r="HPY7" s="484"/>
      <c r="HPZ7" s="484"/>
      <c r="HQA7" s="484"/>
      <c r="HQB7" s="484"/>
      <c r="HQC7" s="484"/>
      <c r="HQD7" s="484"/>
      <c r="HQE7" s="484"/>
      <c r="HQF7" s="484"/>
      <c r="HQG7" s="484"/>
      <c r="HQH7" s="484"/>
      <c r="HQI7" s="484"/>
      <c r="HQJ7" s="484"/>
      <c r="HQK7" s="484"/>
      <c r="HQL7" s="484"/>
      <c r="HQM7" s="484"/>
      <c r="HQN7" s="484"/>
      <c r="HQO7" s="484"/>
      <c r="HQP7" s="484"/>
      <c r="HQQ7" s="484"/>
      <c r="HQR7" s="484"/>
      <c r="HQS7" s="484"/>
      <c r="HQT7" s="484"/>
      <c r="HQU7" s="484"/>
      <c r="HQV7" s="484"/>
      <c r="HQW7" s="484"/>
      <c r="HQX7" s="484"/>
      <c r="HQY7" s="484"/>
      <c r="HQZ7" s="484"/>
      <c r="HRA7" s="484"/>
      <c r="HRB7" s="484"/>
      <c r="HRC7" s="484"/>
      <c r="HRD7" s="484"/>
      <c r="HRE7" s="484"/>
      <c r="HRF7" s="484"/>
      <c r="HRG7" s="484"/>
      <c r="HRH7" s="484"/>
      <c r="HRI7" s="484"/>
      <c r="HRJ7" s="484"/>
      <c r="HRK7" s="484"/>
      <c r="HRL7" s="484"/>
      <c r="HRM7" s="484"/>
      <c r="HRN7" s="484"/>
      <c r="HRO7" s="484"/>
      <c r="HRP7" s="484"/>
      <c r="HRQ7" s="484"/>
      <c r="HRR7" s="484"/>
      <c r="HRS7" s="484"/>
      <c r="HRT7" s="484"/>
      <c r="HRU7" s="484"/>
      <c r="HRV7" s="484"/>
      <c r="HRW7" s="484"/>
      <c r="HRX7" s="484"/>
      <c r="HRY7" s="484"/>
      <c r="HRZ7" s="484"/>
      <c r="HSA7" s="484"/>
      <c r="HSB7" s="484"/>
      <c r="HSC7" s="484"/>
      <c r="HSD7" s="484"/>
      <c r="HSE7" s="484"/>
      <c r="HSF7" s="484"/>
      <c r="HSG7" s="484"/>
      <c r="HSH7" s="484"/>
      <c r="HSI7" s="484"/>
      <c r="HSJ7" s="484"/>
      <c r="HSK7" s="484"/>
      <c r="HSL7" s="484"/>
      <c r="HSM7" s="484"/>
      <c r="HSN7" s="484"/>
      <c r="HSO7" s="484"/>
      <c r="HSP7" s="484"/>
      <c r="HSQ7" s="484"/>
      <c r="HSR7" s="484"/>
      <c r="HSS7" s="484"/>
      <c r="HST7" s="484"/>
      <c r="HSU7" s="484"/>
      <c r="HSV7" s="484"/>
      <c r="HSW7" s="484"/>
      <c r="HSX7" s="484"/>
      <c r="HSY7" s="484"/>
      <c r="HSZ7" s="484"/>
      <c r="HTA7" s="484"/>
      <c r="HTB7" s="484"/>
      <c r="HTC7" s="484"/>
      <c r="HTD7" s="484"/>
      <c r="HTE7" s="484"/>
      <c r="HTF7" s="484"/>
      <c r="HTG7" s="484"/>
      <c r="HTH7" s="484"/>
      <c r="HTI7" s="484"/>
      <c r="HTJ7" s="484"/>
      <c r="HTK7" s="484"/>
      <c r="HTL7" s="484"/>
      <c r="HTM7" s="484"/>
      <c r="HTN7" s="484"/>
      <c r="HTO7" s="484"/>
      <c r="HTP7" s="484"/>
      <c r="HTQ7" s="484"/>
      <c r="HTR7" s="484"/>
      <c r="HTS7" s="484"/>
      <c r="HTT7" s="484"/>
      <c r="HTU7" s="484"/>
      <c r="HTV7" s="484"/>
      <c r="HTW7" s="484"/>
      <c r="HTX7" s="484"/>
      <c r="HTY7" s="484"/>
      <c r="HTZ7" s="484"/>
      <c r="HUA7" s="484"/>
      <c r="HUB7" s="484"/>
      <c r="HUC7" s="484"/>
      <c r="HUD7" s="484"/>
      <c r="HUE7" s="484"/>
      <c r="HUF7" s="484"/>
      <c r="HUG7" s="484"/>
      <c r="HUH7" s="484"/>
      <c r="HUI7" s="484"/>
      <c r="HUJ7" s="484"/>
      <c r="HUK7" s="484"/>
      <c r="HUL7" s="484"/>
      <c r="HUM7" s="484"/>
      <c r="HUN7" s="484"/>
      <c r="HUO7" s="484"/>
      <c r="HUP7" s="484"/>
      <c r="HUQ7" s="484"/>
      <c r="HUR7" s="484"/>
      <c r="HUS7" s="484"/>
      <c r="HUT7" s="484"/>
      <c r="HUU7" s="484"/>
      <c r="HUV7" s="484"/>
      <c r="HUW7" s="484"/>
      <c r="HUX7" s="484"/>
      <c r="HUY7" s="484"/>
      <c r="HUZ7" s="484"/>
      <c r="HVA7" s="484"/>
      <c r="HVB7" s="484"/>
      <c r="HVC7" s="484"/>
      <c r="HVD7" s="484"/>
      <c r="HVE7" s="484"/>
      <c r="HVF7" s="484"/>
      <c r="HVG7" s="484"/>
      <c r="HVH7" s="484"/>
      <c r="HVI7" s="484"/>
      <c r="HVJ7" s="484"/>
      <c r="HVK7" s="484"/>
      <c r="HVL7" s="484"/>
      <c r="HVM7" s="484"/>
      <c r="HVN7" s="484"/>
      <c r="HVO7" s="484"/>
      <c r="HVP7" s="484"/>
      <c r="HVQ7" s="484"/>
      <c r="HVR7" s="484"/>
      <c r="HVS7" s="484"/>
      <c r="HVT7" s="484"/>
      <c r="HVU7" s="484"/>
      <c r="HVV7" s="484"/>
      <c r="HVW7" s="484"/>
      <c r="HVX7" s="484"/>
      <c r="HVY7" s="484"/>
      <c r="HVZ7" s="484"/>
      <c r="HWA7" s="484"/>
      <c r="HWB7" s="484"/>
      <c r="HWC7" s="484"/>
      <c r="HWD7" s="484"/>
      <c r="HWE7" s="484"/>
      <c r="HWF7" s="484"/>
      <c r="HWG7" s="484"/>
      <c r="HWH7" s="484"/>
      <c r="HWI7" s="484"/>
      <c r="HWJ7" s="484"/>
      <c r="HWK7" s="484"/>
      <c r="HWL7" s="484"/>
      <c r="HWM7" s="484"/>
      <c r="HWN7" s="484"/>
      <c r="HWO7" s="484"/>
      <c r="HWP7" s="484"/>
      <c r="HWQ7" s="484"/>
      <c r="HWR7" s="484"/>
      <c r="HWS7" s="484"/>
      <c r="HWT7" s="484"/>
      <c r="HWU7" s="484"/>
      <c r="HWV7" s="484"/>
      <c r="HWW7" s="484"/>
      <c r="HWX7" s="484"/>
      <c r="HWY7" s="484"/>
      <c r="HWZ7" s="484"/>
      <c r="HXA7" s="484"/>
      <c r="HXB7" s="484"/>
      <c r="HXC7" s="484"/>
      <c r="HXD7" s="484"/>
      <c r="HXE7" s="484"/>
      <c r="HXF7" s="484"/>
      <c r="HXG7" s="484"/>
      <c r="HXH7" s="484"/>
      <c r="HXI7" s="484"/>
      <c r="HXJ7" s="484"/>
      <c r="HXK7" s="484"/>
      <c r="HXL7" s="484"/>
      <c r="HXM7" s="484"/>
      <c r="HXN7" s="484"/>
      <c r="HXO7" s="484"/>
      <c r="HXP7" s="484"/>
      <c r="HXQ7" s="484"/>
      <c r="HXR7" s="484"/>
      <c r="HXS7" s="484"/>
      <c r="HXT7" s="484"/>
      <c r="HXU7" s="484"/>
      <c r="HXV7" s="484"/>
      <c r="HXW7" s="484"/>
      <c r="HXX7" s="484"/>
      <c r="HXY7" s="484"/>
      <c r="HXZ7" s="484"/>
      <c r="HYA7" s="484"/>
      <c r="HYB7" s="484"/>
      <c r="HYC7" s="484"/>
      <c r="HYD7" s="484"/>
      <c r="HYE7" s="484"/>
      <c r="HYF7" s="484"/>
      <c r="HYG7" s="484"/>
      <c r="HYH7" s="484"/>
      <c r="HYI7" s="484"/>
      <c r="HYJ7" s="484"/>
      <c r="HYK7" s="484"/>
      <c r="HYL7" s="484"/>
      <c r="HYM7" s="484"/>
      <c r="HYN7" s="484"/>
      <c r="HYO7" s="484"/>
      <c r="HYP7" s="484"/>
      <c r="HYQ7" s="484"/>
      <c r="HYR7" s="484"/>
      <c r="HYS7" s="484"/>
      <c r="HYT7" s="484"/>
      <c r="HYU7" s="484"/>
      <c r="HYV7" s="484"/>
      <c r="HYW7" s="484"/>
      <c r="HYX7" s="484"/>
      <c r="HYY7" s="484"/>
      <c r="HYZ7" s="484"/>
      <c r="HZA7" s="484"/>
      <c r="HZB7" s="484"/>
      <c r="HZC7" s="484"/>
      <c r="HZD7" s="484"/>
      <c r="HZE7" s="484"/>
      <c r="HZF7" s="484"/>
      <c r="HZG7" s="484"/>
      <c r="HZH7" s="484"/>
      <c r="HZI7" s="484"/>
      <c r="HZJ7" s="484"/>
      <c r="HZK7" s="484"/>
      <c r="HZL7" s="484"/>
      <c r="HZM7" s="484"/>
      <c r="HZN7" s="484"/>
      <c r="HZO7" s="484"/>
      <c r="HZP7" s="484"/>
      <c r="HZQ7" s="484"/>
      <c r="HZR7" s="484"/>
      <c r="HZS7" s="484"/>
      <c r="HZT7" s="484"/>
      <c r="HZU7" s="484"/>
      <c r="HZV7" s="484"/>
      <c r="HZW7" s="484"/>
      <c r="HZX7" s="484"/>
      <c r="HZY7" s="484"/>
      <c r="HZZ7" s="484"/>
      <c r="IAA7" s="484"/>
      <c r="IAB7" s="484"/>
      <c r="IAC7" s="484"/>
      <c r="IAD7" s="484"/>
      <c r="IAE7" s="484"/>
      <c r="IAF7" s="484"/>
      <c r="IAG7" s="484"/>
      <c r="IAH7" s="484"/>
      <c r="IAI7" s="484"/>
      <c r="IAJ7" s="484"/>
      <c r="IAK7" s="484"/>
      <c r="IAL7" s="484"/>
      <c r="IAM7" s="484"/>
      <c r="IAN7" s="484"/>
      <c r="IAO7" s="484"/>
      <c r="IAP7" s="484"/>
      <c r="IAQ7" s="484"/>
      <c r="IAR7" s="484"/>
      <c r="IAS7" s="484"/>
      <c r="IAT7" s="484"/>
      <c r="IAU7" s="484"/>
      <c r="IAV7" s="484"/>
      <c r="IAW7" s="484"/>
      <c r="IAX7" s="484"/>
      <c r="IAY7" s="484"/>
      <c r="IAZ7" s="484"/>
      <c r="IBA7" s="484"/>
      <c r="IBB7" s="484"/>
      <c r="IBC7" s="484"/>
      <c r="IBD7" s="484"/>
      <c r="IBE7" s="484"/>
      <c r="IBF7" s="484"/>
      <c r="IBG7" s="484"/>
      <c r="IBH7" s="484"/>
      <c r="IBI7" s="484"/>
      <c r="IBJ7" s="484"/>
      <c r="IBK7" s="484"/>
      <c r="IBL7" s="484"/>
      <c r="IBM7" s="484"/>
      <c r="IBN7" s="484"/>
      <c r="IBO7" s="484"/>
      <c r="IBP7" s="484"/>
      <c r="IBQ7" s="484"/>
      <c r="IBR7" s="484"/>
      <c r="IBS7" s="484"/>
      <c r="IBT7" s="484"/>
      <c r="IBU7" s="484"/>
      <c r="IBV7" s="484"/>
      <c r="IBW7" s="484"/>
      <c r="IBX7" s="484"/>
      <c r="IBY7" s="484"/>
      <c r="IBZ7" s="484"/>
      <c r="ICA7" s="484"/>
      <c r="ICB7" s="484"/>
      <c r="ICC7" s="484"/>
      <c r="ICD7" s="484"/>
      <c r="ICE7" s="484"/>
      <c r="ICF7" s="484"/>
      <c r="ICG7" s="484"/>
      <c r="ICH7" s="484"/>
      <c r="ICI7" s="484"/>
      <c r="ICJ7" s="484"/>
      <c r="ICK7" s="484"/>
      <c r="ICL7" s="484"/>
      <c r="ICM7" s="484"/>
      <c r="ICN7" s="484"/>
      <c r="ICO7" s="484"/>
      <c r="ICP7" s="484"/>
      <c r="ICQ7" s="484"/>
      <c r="ICR7" s="484"/>
      <c r="ICS7" s="484"/>
      <c r="ICT7" s="484"/>
      <c r="ICU7" s="484"/>
      <c r="ICV7" s="484"/>
      <c r="ICW7" s="484"/>
      <c r="ICX7" s="484"/>
      <c r="ICY7" s="484"/>
      <c r="ICZ7" s="484"/>
      <c r="IDA7" s="484"/>
      <c r="IDB7" s="484"/>
      <c r="IDC7" s="484"/>
      <c r="IDD7" s="484"/>
      <c r="IDE7" s="484"/>
      <c r="IDF7" s="484"/>
      <c r="IDG7" s="484"/>
      <c r="IDH7" s="484"/>
      <c r="IDI7" s="484"/>
      <c r="IDJ7" s="484"/>
      <c r="IDK7" s="484"/>
      <c r="IDL7" s="484"/>
      <c r="IDM7" s="484"/>
      <c r="IDN7" s="484"/>
      <c r="IDO7" s="484"/>
      <c r="IDP7" s="484"/>
      <c r="IDQ7" s="484"/>
      <c r="IDR7" s="484"/>
      <c r="IDS7" s="484"/>
      <c r="IDT7" s="484"/>
      <c r="IDU7" s="484"/>
      <c r="IDV7" s="484"/>
      <c r="IDW7" s="484"/>
      <c r="IDX7" s="484"/>
      <c r="IDY7" s="484"/>
      <c r="IDZ7" s="484"/>
      <c r="IEA7" s="484"/>
      <c r="IEB7" s="484"/>
      <c r="IEC7" s="484"/>
      <c r="IED7" s="484"/>
      <c r="IEE7" s="484"/>
      <c r="IEF7" s="484"/>
      <c r="IEG7" s="484"/>
      <c r="IEH7" s="484"/>
      <c r="IEI7" s="484"/>
      <c r="IEJ7" s="484"/>
      <c r="IEK7" s="484"/>
      <c r="IEL7" s="484"/>
      <c r="IEM7" s="484"/>
      <c r="IEN7" s="484"/>
      <c r="IEO7" s="484"/>
      <c r="IEP7" s="484"/>
      <c r="IEQ7" s="484"/>
      <c r="IER7" s="484"/>
      <c r="IES7" s="484"/>
      <c r="IET7" s="484"/>
      <c r="IEU7" s="484"/>
      <c r="IEV7" s="484"/>
      <c r="IEW7" s="484"/>
      <c r="IEX7" s="484"/>
      <c r="IEY7" s="484"/>
      <c r="IEZ7" s="484"/>
      <c r="IFA7" s="484"/>
      <c r="IFB7" s="484"/>
      <c r="IFC7" s="484"/>
      <c r="IFD7" s="484"/>
      <c r="IFE7" s="484"/>
      <c r="IFF7" s="484"/>
      <c r="IFG7" s="484"/>
      <c r="IFH7" s="484"/>
      <c r="IFI7" s="484"/>
      <c r="IFJ7" s="484"/>
      <c r="IFK7" s="484"/>
      <c r="IFL7" s="484"/>
      <c r="IFM7" s="484"/>
      <c r="IFN7" s="484"/>
      <c r="IFO7" s="484"/>
      <c r="IFP7" s="484"/>
      <c r="IFQ7" s="484"/>
      <c r="IFR7" s="484"/>
      <c r="IFS7" s="484"/>
      <c r="IFT7" s="484"/>
      <c r="IFU7" s="484"/>
      <c r="IFV7" s="484"/>
      <c r="IFW7" s="484"/>
      <c r="IFX7" s="484"/>
      <c r="IFY7" s="484"/>
      <c r="IFZ7" s="484"/>
      <c r="IGA7" s="484"/>
      <c r="IGB7" s="484"/>
      <c r="IGC7" s="484"/>
      <c r="IGD7" s="484"/>
      <c r="IGE7" s="484"/>
      <c r="IGF7" s="484"/>
      <c r="IGG7" s="484"/>
      <c r="IGH7" s="484"/>
      <c r="IGI7" s="484"/>
      <c r="IGJ7" s="484"/>
      <c r="IGK7" s="484"/>
      <c r="IGL7" s="484"/>
      <c r="IGM7" s="484"/>
      <c r="IGN7" s="484"/>
      <c r="IGO7" s="484"/>
      <c r="IGP7" s="484"/>
      <c r="IGQ7" s="484"/>
      <c r="IGR7" s="484"/>
      <c r="IGS7" s="484"/>
      <c r="IGT7" s="484"/>
      <c r="IGU7" s="484"/>
      <c r="IGV7" s="484"/>
      <c r="IGW7" s="484"/>
      <c r="IGX7" s="484"/>
      <c r="IGY7" s="484"/>
      <c r="IGZ7" s="484"/>
      <c r="IHA7" s="484"/>
      <c r="IHB7" s="484"/>
      <c r="IHC7" s="484"/>
      <c r="IHD7" s="484"/>
      <c r="IHE7" s="484"/>
      <c r="IHF7" s="484"/>
      <c r="IHG7" s="484"/>
      <c r="IHH7" s="484"/>
      <c r="IHI7" s="484"/>
      <c r="IHJ7" s="484"/>
      <c r="IHK7" s="484"/>
      <c r="IHL7" s="484"/>
      <c r="IHM7" s="484"/>
      <c r="IHN7" s="484"/>
      <c r="IHO7" s="484"/>
      <c r="IHP7" s="484"/>
      <c r="IHQ7" s="484"/>
      <c r="IHR7" s="484"/>
      <c r="IHS7" s="484"/>
      <c r="IHT7" s="484"/>
      <c r="IHU7" s="484"/>
      <c r="IHV7" s="484"/>
      <c r="IHW7" s="484"/>
      <c r="IHX7" s="484"/>
      <c r="IHY7" s="484"/>
      <c r="IHZ7" s="484"/>
      <c r="IIA7" s="484"/>
      <c r="IIB7" s="484"/>
      <c r="IIC7" s="484"/>
      <c r="IID7" s="484"/>
      <c r="IIE7" s="484"/>
      <c r="IIF7" s="484"/>
      <c r="IIG7" s="484"/>
      <c r="IIH7" s="484"/>
      <c r="III7" s="484"/>
      <c r="IIJ7" s="484"/>
      <c r="IIK7" s="484"/>
      <c r="IIL7" s="484"/>
      <c r="IIM7" s="484"/>
      <c r="IIN7" s="484"/>
      <c r="IIO7" s="484"/>
      <c r="IIP7" s="484"/>
      <c r="IIQ7" s="484"/>
      <c r="IIR7" s="484"/>
      <c r="IIS7" s="484"/>
      <c r="IIT7" s="484"/>
      <c r="IIU7" s="484"/>
      <c r="IIV7" s="484"/>
      <c r="IIW7" s="484"/>
      <c r="IIX7" s="484"/>
      <c r="IIY7" s="484"/>
      <c r="IIZ7" s="484"/>
      <c r="IJA7" s="484"/>
      <c r="IJB7" s="484"/>
      <c r="IJC7" s="484"/>
      <c r="IJD7" s="484"/>
      <c r="IJE7" s="484"/>
      <c r="IJF7" s="484"/>
      <c r="IJG7" s="484"/>
      <c r="IJH7" s="484"/>
      <c r="IJI7" s="484"/>
      <c r="IJJ7" s="484"/>
      <c r="IJK7" s="484"/>
      <c r="IJL7" s="484"/>
      <c r="IJM7" s="484"/>
      <c r="IJN7" s="484"/>
      <c r="IJO7" s="484"/>
      <c r="IJP7" s="484"/>
      <c r="IJQ7" s="484"/>
      <c r="IJR7" s="484"/>
      <c r="IJS7" s="484"/>
      <c r="IJT7" s="484"/>
      <c r="IJU7" s="484"/>
      <c r="IJV7" s="484"/>
      <c r="IJW7" s="484"/>
      <c r="IJX7" s="484"/>
      <c r="IJY7" s="484"/>
      <c r="IJZ7" s="484"/>
      <c r="IKA7" s="484"/>
      <c r="IKB7" s="484"/>
      <c r="IKC7" s="484"/>
      <c r="IKD7" s="484"/>
      <c r="IKE7" s="484"/>
      <c r="IKF7" s="484"/>
      <c r="IKG7" s="484"/>
      <c r="IKH7" s="484"/>
      <c r="IKI7" s="484"/>
      <c r="IKJ7" s="484"/>
      <c r="IKK7" s="484"/>
      <c r="IKL7" s="484"/>
      <c r="IKM7" s="484"/>
      <c r="IKN7" s="484"/>
      <c r="IKO7" s="484"/>
      <c r="IKP7" s="484"/>
      <c r="IKQ7" s="484"/>
      <c r="IKR7" s="484"/>
      <c r="IKS7" s="484"/>
      <c r="IKT7" s="484"/>
      <c r="IKU7" s="484"/>
      <c r="IKV7" s="484"/>
      <c r="IKW7" s="484"/>
      <c r="IKX7" s="484"/>
      <c r="IKY7" s="484"/>
      <c r="IKZ7" s="484"/>
      <c r="ILA7" s="484"/>
      <c r="ILB7" s="484"/>
      <c r="ILC7" s="484"/>
      <c r="ILD7" s="484"/>
      <c r="ILE7" s="484"/>
      <c r="ILF7" s="484"/>
      <c r="ILG7" s="484"/>
      <c r="ILH7" s="484"/>
      <c r="ILI7" s="484"/>
      <c r="ILJ7" s="484"/>
      <c r="ILK7" s="484"/>
      <c r="ILL7" s="484"/>
      <c r="ILM7" s="484"/>
      <c r="ILN7" s="484"/>
      <c r="ILO7" s="484"/>
      <c r="ILP7" s="484"/>
      <c r="ILQ7" s="484"/>
      <c r="ILR7" s="484"/>
      <c r="ILS7" s="484"/>
      <c r="ILT7" s="484"/>
      <c r="ILU7" s="484"/>
      <c r="ILV7" s="484"/>
      <c r="ILW7" s="484"/>
      <c r="ILX7" s="484"/>
      <c r="ILY7" s="484"/>
      <c r="ILZ7" s="484"/>
      <c r="IMA7" s="484"/>
      <c r="IMB7" s="484"/>
      <c r="IMC7" s="484"/>
      <c r="IMD7" s="484"/>
      <c r="IME7" s="484"/>
      <c r="IMF7" s="484"/>
      <c r="IMG7" s="484"/>
      <c r="IMH7" s="484"/>
      <c r="IMI7" s="484"/>
      <c r="IMJ7" s="484"/>
      <c r="IMK7" s="484"/>
      <c r="IML7" s="484"/>
      <c r="IMM7" s="484"/>
      <c r="IMN7" s="484"/>
      <c r="IMO7" s="484"/>
      <c r="IMP7" s="484"/>
      <c r="IMQ7" s="484"/>
      <c r="IMR7" s="484"/>
      <c r="IMS7" s="484"/>
      <c r="IMT7" s="484"/>
      <c r="IMU7" s="484"/>
      <c r="IMV7" s="484"/>
      <c r="IMW7" s="484"/>
      <c r="IMX7" s="484"/>
      <c r="IMY7" s="484"/>
      <c r="IMZ7" s="484"/>
      <c r="INA7" s="484"/>
      <c r="INB7" s="484"/>
      <c r="INC7" s="484"/>
      <c r="IND7" s="484"/>
      <c r="INE7" s="484"/>
      <c r="INF7" s="484"/>
      <c r="ING7" s="484"/>
      <c r="INH7" s="484"/>
      <c r="INI7" s="484"/>
      <c r="INJ7" s="484"/>
      <c r="INK7" s="484"/>
      <c r="INL7" s="484"/>
      <c r="INM7" s="484"/>
      <c r="INN7" s="484"/>
      <c r="INO7" s="484"/>
      <c r="INP7" s="484"/>
      <c r="INQ7" s="484"/>
      <c r="INR7" s="484"/>
      <c r="INS7" s="484"/>
      <c r="INT7" s="484"/>
      <c r="INU7" s="484"/>
      <c r="INV7" s="484"/>
      <c r="INW7" s="484"/>
      <c r="INX7" s="484"/>
      <c r="INY7" s="484"/>
      <c r="INZ7" s="484"/>
      <c r="IOA7" s="484"/>
      <c r="IOB7" s="484"/>
      <c r="IOC7" s="484"/>
      <c r="IOD7" s="484"/>
      <c r="IOE7" s="484"/>
      <c r="IOF7" s="484"/>
      <c r="IOG7" s="484"/>
      <c r="IOH7" s="484"/>
      <c r="IOI7" s="484"/>
      <c r="IOJ7" s="484"/>
      <c r="IOK7" s="484"/>
      <c r="IOL7" s="484"/>
      <c r="IOM7" s="484"/>
      <c r="ION7" s="484"/>
      <c r="IOO7" s="484"/>
      <c r="IOP7" s="484"/>
      <c r="IOQ7" s="484"/>
      <c r="IOR7" s="484"/>
      <c r="IOS7" s="484"/>
      <c r="IOT7" s="484"/>
      <c r="IOU7" s="484"/>
      <c r="IOV7" s="484"/>
      <c r="IOW7" s="484"/>
      <c r="IOX7" s="484"/>
      <c r="IOY7" s="484"/>
      <c r="IOZ7" s="484"/>
      <c r="IPA7" s="484"/>
      <c r="IPB7" s="484"/>
      <c r="IPC7" s="484"/>
      <c r="IPD7" s="484"/>
      <c r="IPE7" s="484"/>
      <c r="IPF7" s="484"/>
      <c r="IPG7" s="484"/>
      <c r="IPH7" s="484"/>
      <c r="IPI7" s="484"/>
      <c r="IPJ7" s="484"/>
      <c r="IPK7" s="484"/>
      <c r="IPL7" s="484"/>
      <c r="IPM7" s="484"/>
      <c r="IPN7" s="484"/>
      <c r="IPO7" s="484"/>
      <c r="IPP7" s="484"/>
      <c r="IPQ7" s="484"/>
      <c r="IPR7" s="484"/>
      <c r="IPS7" s="484"/>
      <c r="IPT7" s="484"/>
      <c r="IPU7" s="484"/>
      <c r="IPV7" s="484"/>
      <c r="IPW7" s="484"/>
      <c r="IPX7" s="484"/>
      <c r="IPY7" s="484"/>
      <c r="IPZ7" s="484"/>
      <c r="IQA7" s="484"/>
      <c r="IQB7" s="484"/>
      <c r="IQC7" s="484"/>
      <c r="IQD7" s="484"/>
      <c r="IQE7" s="484"/>
      <c r="IQF7" s="484"/>
      <c r="IQG7" s="484"/>
      <c r="IQH7" s="484"/>
      <c r="IQI7" s="484"/>
      <c r="IQJ7" s="484"/>
      <c r="IQK7" s="484"/>
      <c r="IQL7" s="484"/>
      <c r="IQM7" s="484"/>
      <c r="IQN7" s="484"/>
      <c r="IQO7" s="484"/>
      <c r="IQP7" s="484"/>
      <c r="IQQ7" s="484"/>
      <c r="IQR7" s="484"/>
      <c r="IQS7" s="484"/>
      <c r="IQT7" s="484"/>
      <c r="IQU7" s="484"/>
      <c r="IQV7" s="484"/>
      <c r="IQW7" s="484"/>
      <c r="IQX7" s="484"/>
      <c r="IQY7" s="484"/>
      <c r="IQZ7" s="484"/>
      <c r="IRA7" s="484"/>
      <c r="IRB7" s="484"/>
      <c r="IRC7" s="484"/>
      <c r="IRD7" s="484"/>
      <c r="IRE7" s="484"/>
      <c r="IRF7" s="484"/>
      <c r="IRG7" s="484"/>
      <c r="IRH7" s="484"/>
      <c r="IRI7" s="484"/>
      <c r="IRJ7" s="484"/>
      <c r="IRK7" s="484"/>
      <c r="IRL7" s="484"/>
      <c r="IRM7" s="484"/>
      <c r="IRN7" s="484"/>
      <c r="IRO7" s="484"/>
      <c r="IRP7" s="484"/>
      <c r="IRQ7" s="484"/>
      <c r="IRR7" s="484"/>
      <c r="IRS7" s="484"/>
      <c r="IRT7" s="484"/>
      <c r="IRU7" s="484"/>
      <c r="IRV7" s="484"/>
      <c r="IRW7" s="484"/>
      <c r="IRX7" s="484"/>
      <c r="IRY7" s="484"/>
      <c r="IRZ7" s="484"/>
      <c r="ISA7" s="484"/>
      <c r="ISB7" s="484"/>
      <c r="ISC7" s="484"/>
      <c r="ISD7" s="484"/>
      <c r="ISE7" s="484"/>
      <c r="ISF7" s="484"/>
      <c r="ISG7" s="484"/>
      <c r="ISH7" s="484"/>
      <c r="ISI7" s="484"/>
      <c r="ISJ7" s="484"/>
      <c r="ISK7" s="484"/>
      <c r="ISL7" s="484"/>
      <c r="ISM7" s="484"/>
      <c r="ISN7" s="484"/>
      <c r="ISO7" s="484"/>
      <c r="ISP7" s="484"/>
      <c r="ISQ7" s="484"/>
      <c r="ISR7" s="484"/>
      <c r="ISS7" s="484"/>
      <c r="IST7" s="484"/>
      <c r="ISU7" s="484"/>
      <c r="ISV7" s="484"/>
      <c r="ISW7" s="484"/>
      <c r="ISX7" s="484"/>
      <c r="ISY7" s="484"/>
      <c r="ISZ7" s="484"/>
      <c r="ITA7" s="484"/>
      <c r="ITB7" s="484"/>
      <c r="ITC7" s="484"/>
      <c r="ITD7" s="484"/>
      <c r="ITE7" s="484"/>
      <c r="ITF7" s="484"/>
      <c r="ITG7" s="484"/>
      <c r="ITH7" s="484"/>
      <c r="ITI7" s="484"/>
      <c r="ITJ7" s="484"/>
      <c r="ITK7" s="484"/>
      <c r="ITL7" s="484"/>
      <c r="ITM7" s="484"/>
      <c r="ITN7" s="484"/>
      <c r="ITO7" s="484"/>
      <c r="ITP7" s="484"/>
      <c r="ITQ7" s="484"/>
      <c r="ITR7" s="484"/>
      <c r="ITS7" s="484"/>
      <c r="ITT7" s="484"/>
      <c r="ITU7" s="484"/>
      <c r="ITV7" s="484"/>
      <c r="ITW7" s="484"/>
      <c r="ITX7" s="484"/>
      <c r="ITY7" s="484"/>
      <c r="ITZ7" s="484"/>
      <c r="IUA7" s="484"/>
      <c r="IUB7" s="484"/>
      <c r="IUC7" s="484"/>
      <c r="IUD7" s="484"/>
      <c r="IUE7" s="484"/>
      <c r="IUF7" s="484"/>
      <c r="IUG7" s="484"/>
      <c r="IUH7" s="484"/>
      <c r="IUI7" s="484"/>
      <c r="IUJ7" s="484"/>
      <c r="IUK7" s="484"/>
      <c r="IUL7" s="484"/>
      <c r="IUM7" s="484"/>
      <c r="IUN7" s="484"/>
      <c r="IUO7" s="484"/>
      <c r="IUP7" s="484"/>
      <c r="IUQ7" s="484"/>
      <c r="IUR7" s="484"/>
      <c r="IUS7" s="484"/>
      <c r="IUT7" s="484"/>
      <c r="IUU7" s="484"/>
      <c r="IUV7" s="484"/>
      <c r="IUW7" s="484"/>
      <c r="IUX7" s="484"/>
      <c r="IUY7" s="484"/>
      <c r="IUZ7" s="484"/>
      <c r="IVA7" s="484"/>
      <c r="IVB7" s="484"/>
      <c r="IVC7" s="484"/>
      <c r="IVD7" s="484"/>
      <c r="IVE7" s="484"/>
      <c r="IVF7" s="484"/>
      <c r="IVG7" s="484"/>
      <c r="IVH7" s="484"/>
      <c r="IVI7" s="484"/>
      <c r="IVJ7" s="484"/>
      <c r="IVK7" s="484"/>
      <c r="IVL7" s="484"/>
      <c r="IVM7" s="484"/>
      <c r="IVN7" s="484"/>
      <c r="IVO7" s="484"/>
      <c r="IVP7" s="484"/>
      <c r="IVQ7" s="484"/>
      <c r="IVR7" s="484"/>
      <c r="IVS7" s="484"/>
      <c r="IVT7" s="484"/>
      <c r="IVU7" s="484"/>
      <c r="IVV7" s="484"/>
      <c r="IVW7" s="484"/>
      <c r="IVX7" s="484"/>
      <c r="IVY7" s="484"/>
      <c r="IVZ7" s="484"/>
      <c r="IWA7" s="484"/>
      <c r="IWB7" s="484"/>
      <c r="IWC7" s="484"/>
      <c r="IWD7" s="484"/>
      <c r="IWE7" s="484"/>
      <c r="IWF7" s="484"/>
      <c r="IWG7" s="484"/>
      <c r="IWH7" s="484"/>
      <c r="IWI7" s="484"/>
      <c r="IWJ7" s="484"/>
      <c r="IWK7" s="484"/>
      <c r="IWL7" s="484"/>
      <c r="IWM7" s="484"/>
      <c r="IWN7" s="484"/>
      <c r="IWO7" s="484"/>
      <c r="IWP7" s="484"/>
      <c r="IWQ7" s="484"/>
      <c r="IWR7" s="484"/>
      <c r="IWS7" s="484"/>
      <c r="IWT7" s="484"/>
      <c r="IWU7" s="484"/>
      <c r="IWV7" s="484"/>
      <c r="IWW7" s="484"/>
      <c r="IWX7" s="484"/>
      <c r="IWY7" s="484"/>
      <c r="IWZ7" s="484"/>
      <c r="IXA7" s="484"/>
      <c r="IXB7" s="484"/>
      <c r="IXC7" s="484"/>
      <c r="IXD7" s="484"/>
      <c r="IXE7" s="484"/>
      <c r="IXF7" s="484"/>
      <c r="IXG7" s="484"/>
      <c r="IXH7" s="484"/>
      <c r="IXI7" s="484"/>
      <c r="IXJ7" s="484"/>
      <c r="IXK7" s="484"/>
      <c r="IXL7" s="484"/>
      <c r="IXM7" s="484"/>
      <c r="IXN7" s="484"/>
      <c r="IXO7" s="484"/>
      <c r="IXP7" s="484"/>
      <c r="IXQ7" s="484"/>
      <c r="IXR7" s="484"/>
      <c r="IXS7" s="484"/>
      <c r="IXT7" s="484"/>
      <c r="IXU7" s="484"/>
      <c r="IXV7" s="484"/>
      <c r="IXW7" s="484"/>
      <c r="IXX7" s="484"/>
      <c r="IXY7" s="484"/>
      <c r="IXZ7" s="484"/>
      <c r="IYA7" s="484"/>
      <c r="IYB7" s="484"/>
      <c r="IYC7" s="484"/>
      <c r="IYD7" s="484"/>
      <c r="IYE7" s="484"/>
      <c r="IYF7" s="484"/>
      <c r="IYG7" s="484"/>
      <c r="IYH7" s="484"/>
      <c r="IYI7" s="484"/>
      <c r="IYJ7" s="484"/>
      <c r="IYK7" s="484"/>
      <c r="IYL7" s="484"/>
      <c r="IYM7" s="484"/>
      <c r="IYN7" s="484"/>
      <c r="IYO7" s="484"/>
      <c r="IYP7" s="484"/>
      <c r="IYQ7" s="484"/>
      <c r="IYR7" s="484"/>
      <c r="IYS7" s="484"/>
      <c r="IYT7" s="484"/>
      <c r="IYU7" s="484"/>
      <c r="IYV7" s="484"/>
      <c r="IYW7" s="484"/>
      <c r="IYX7" s="484"/>
      <c r="IYY7" s="484"/>
      <c r="IYZ7" s="484"/>
      <c r="IZA7" s="484"/>
      <c r="IZB7" s="484"/>
      <c r="IZC7" s="484"/>
      <c r="IZD7" s="484"/>
      <c r="IZE7" s="484"/>
      <c r="IZF7" s="484"/>
      <c r="IZG7" s="484"/>
      <c r="IZH7" s="484"/>
      <c r="IZI7" s="484"/>
      <c r="IZJ7" s="484"/>
      <c r="IZK7" s="484"/>
      <c r="IZL7" s="484"/>
      <c r="IZM7" s="484"/>
      <c r="IZN7" s="484"/>
      <c r="IZO7" s="484"/>
      <c r="IZP7" s="484"/>
      <c r="IZQ7" s="484"/>
      <c r="IZR7" s="484"/>
      <c r="IZS7" s="484"/>
      <c r="IZT7" s="484"/>
      <c r="IZU7" s="484"/>
      <c r="IZV7" s="484"/>
      <c r="IZW7" s="484"/>
      <c r="IZX7" s="484"/>
      <c r="IZY7" s="484"/>
      <c r="IZZ7" s="484"/>
      <c r="JAA7" s="484"/>
      <c r="JAB7" s="484"/>
      <c r="JAC7" s="484"/>
      <c r="JAD7" s="484"/>
      <c r="JAE7" s="484"/>
      <c r="JAF7" s="484"/>
      <c r="JAG7" s="484"/>
      <c r="JAH7" s="484"/>
      <c r="JAI7" s="484"/>
      <c r="JAJ7" s="484"/>
      <c r="JAK7" s="484"/>
      <c r="JAL7" s="484"/>
      <c r="JAM7" s="484"/>
      <c r="JAN7" s="484"/>
      <c r="JAO7" s="484"/>
      <c r="JAP7" s="484"/>
      <c r="JAQ7" s="484"/>
      <c r="JAR7" s="484"/>
      <c r="JAS7" s="484"/>
      <c r="JAT7" s="484"/>
      <c r="JAU7" s="484"/>
      <c r="JAV7" s="484"/>
      <c r="JAW7" s="484"/>
      <c r="JAX7" s="484"/>
      <c r="JAY7" s="484"/>
      <c r="JAZ7" s="484"/>
      <c r="JBA7" s="484"/>
      <c r="JBB7" s="484"/>
      <c r="JBC7" s="484"/>
      <c r="JBD7" s="484"/>
      <c r="JBE7" s="484"/>
      <c r="JBF7" s="484"/>
      <c r="JBG7" s="484"/>
      <c r="JBH7" s="484"/>
      <c r="JBI7" s="484"/>
      <c r="JBJ7" s="484"/>
      <c r="JBK7" s="484"/>
      <c r="JBL7" s="484"/>
      <c r="JBM7" s="484"/>
      <c r="JBN7" s="484"/>
      <c r="JBO7" s="484"/>
      <c r="JBP7" s="484"/>
      <c r="JBQ7" s="484"/>
      <c r="JBR7" s="484"/>
      <c r="JBS7" s="484"/>
      <c r="JBT7" s="484"/>
      <c r="JBU7" s="484"/>
      <c r="JBV7" s="484"/>
      <c r="JBW7" s="484"/>
      <c r="JBX7" s="484"/>
      <c r="JBY7" s="484"/>
      <c r="JBZ7" s="484"/>
      <c r="JCA7" s="484"/>
      <c r="JCB7" s="484"/>
      <c r="JCC7" s="484"/>
      <c r="JCD7" s="484"/>
      <c r="JCE7" s="484"/>
      <c r="JCF7" s="484"/>
      <c r="JCG7" s="484"/>
      <c r="JCH7" s="484"/>
      <c r="JCI7" s="484"/>
      <c r="JCJ7" s="484"/>
      <c r="JCK7" s="484"/>
      <c r="JCL7" s="484"/>
      <c r="JCM7" s="484"/>
      <c r="JCN7" s="484"/>
      <c r="JCO7" s="484"/>
      <c r="JCP7" s="484"/>
      <c r="JCQ7" s="484"/>
      <c r="JCR7" s="484"/>
      <c r="JCS7" s="484"/>
      <c r="JCT7" s="484"/>
      <c r="JCU7" s="484"/>
      <c r="JCV7" s="484"/>
      <c r="JCW7" s="484"/>
      <c r="JCX7" s="484"/>
      <c r="JCY7" s="484"/>
      <c r="JCZ7" s="484"/>
      <c r="JDA7" s="484"/>
      <c r="JDB7" s="484"/>
      <c r="JDC7" s="484"/>
      <c r="JDD7" s="484"/>
      <c r="JDE7" s="484"/>
      <c r="JDF7" s="484"/>
      <c r="JDG7" s="484"/>
      <c r="JDH7" s="484"/>
      <c r="JDI7" s="484"/>
      <c r="JDJ7" s="484"/>
      <c r="JDK7" s="484"/>
      <c r="JDL7" s="484"/>
      <c r="JDM7" s="484"/>
      <c r="JDN7" s="484"/>
      <c r="JDO7" s="484"/>
      <c r="JDP7" s="484"/>
      <c r="JDQ7" s="484"/>
      <c r="JDR7" s="484"/>
      <c r="JDS7" s="484"/>
      <c r="JDT7" s="484"/>
      <c r="JDU7" s="484"/>
      <c r="JDV7" s="484"/>
      <c r="JDW7" s="484"/>
      <c r="JDX7" s="484"/>
      <c r="JDY7" s="484"/>
      <c r="JDZ7" s="484"/>
      <c r="JEA7" s="484"/>
      <c r="JEB7" s="484"/>
      <c r="JEC7" s="484"/>
      <c r="JED7" s="484"/>
      <c r="JEE7" s="484"/>
      <c r="JEF7" s="484"/>
      <c r="JEG7" s="484"/>
      <c r="JEH7" s="484"/>
      <c r="JEI7" s="484"/>
      <c r="JEJ7" s="484"/>
      <c r="JEK7" s="484"/>
      <c r="JEL7" s="484"/>
      <c r="JEM7" s="484"/>
      <c r="JEN7" s="484"/>
      <c r="JEO7" s="484"/>
      <c r="JEP7" s="484"/>
      <c r="JEQ7" s="484"/>
      <c r="JER7" s="484"/>
      <c r="JES7" s="484"/>
      <c r="JET7" s="484"/>
      <c r="JEU7" s="484"/>
      <c r="JEV7" s="484"/>
      <c r="JEW7" s="484"/>
      <c r="JEX7" s="484"/>
      <c r="JEY7" s="484"/>
      <c r="JEZ7" s="484"/>
      <c r="JFA7" s="484"/>
      <c r="JFB7" s="484"/>
      <c r="JFC7" s="484"/>
      <c r="JFD7" s="484"/>
      <c r="JFE7" s="484"/>
      <c r="JFF7" s="484"/>
      <c r="JFG7" s="484"/>
      <c r="JFH7" s="484"/>
      <c r="JFI7" s="484"/>
      <c r="JFJ7" s="484"/>
      <c r="JFK7" s="484"/>
      <c r="JFL7" s="484"/>
      <c r="JFM7" s="484"/>
      <c r="JFN7" s="484"/>
      <c r="JFO7" s="484"/>
      <c r="JFP7" s="484"/>
      <c r="JFQ7" s="484"/>
      <c r="JFR7" s="484"/>
      <c r="JFS7" s="484"/>
      <c r="JFT7" s="484"/>
      <c r="JFU7" s="484"/>
      <c r="JFV7" s="484"/>
      <c r="JFW7" s="484"/>
      <c r="JFX7" s="484"/>
      <c r="JFY7" s="484"/>
      <c r="JFZ7" s="484"/>
      <c r="JGA7" s="484"/>
      <c r="JGB7" s="484"/>
      <c r="JGC7" s="484"/>
      <c r="JGD7" s="484"/>
      <c r="JGE7" s="484"/>
      <c r="JGF7" s="484"/>
      <c r="JGG7" s="484"/>
      <c r="JGH7" s="484"/>
      <c r="JGI7" s="484"/>
      <c r="JGJ7" s="484"/>
      <c r="JGK7" s="484"/>
      <c r="JGL7" s="484"/>
      <c r="JGM7" s="484"/>
      <c r="JGN7" s="484"/>
      <c r="JGO7" s="484"/>
      <c r="JGP7" s="484"/>
      <c r="JGQ7" s="484"/>
      <c r="JGR7" s="484"/>
      <c r="JGS7" s="484"/>
      <c r="JGT7" s="484"/>
      <c r="JGU7" s="484"/>
      <c r="JGV7" s="484"/>
      <c r="JGW7" s="484"/>
      <c r="JGX7" s="484"/>
      <c r="JGY7" s="484"/>
      <c r="JGZ7" s="484"/>
      <c r="JHA7" s="484"/>
      <c r="JHB7" s="484"/>
      <c r="JHC7" s="484"/>
      <c r="JHD7" s="484"/>
      <c r="JHE7" s="484"/>
      <c r="JHF7" s="484"/>
      <c r="JHG7" s="484"/>
      <c r="JHH7" s="484"/>
      <c r="JHI7" s="484"/>
      <c r="JHJ7" s="484"/>
      <c r="JHK7" s="484"/>
      <c r="JHL7" s="484"/>
      <c r="JHM7" s="484"/>
      <c r="JHN7" s="484"/>
      <c r="JHO7" s="484"/>
      <c r="JHP7" s="484"/>
      <c r="JHQ7" s="484"/>
      <c r="JHR7" s="484"/>
      <c r="JHS7" s="484"/>
      <c r="JHT7" s="484"/>
      <c r="JHU7" s="484"/>
      <c r="JHV7" s="484"/>
      <c r="JHW7" s="484"/>
      <c r="JHX7" s="484"/>
      <c r="JHY7" s="484"/>
      <c r="JHZ7" s="484"/>
      <c r="JIA7" s="484"/>
      <c r="JIB7" s="484"/>
      <c r="JIC7" s="484"/>
      <c r="JID7" s="484"/>
      <c r="JIE7" s="484"/>
      <c r="JIF7" s="484"/>
      <c r="JIG7" s="484"/>
      <c r="JIH7" s="484"/>
      <c r="JII7" s="484"/>
      <c r="JIJ7" s="484"/>
      <c r="JIK7" s="484"/>
      <c r="JIL7" s="484"/>
      <c r="JIM7" s="484"/>
      <c r="JIN7" s="484"/>
      <c r="JIO7" s="484"/>
      <c r="JIP7" s="484"/>
      <c r="JIQ7" s="484"/>
      <c r="JIR7" s="484"/>
      <c r="JIS7" s="484"/>
      <c r="JIT7" s="484"/>
      <c r="JIU7" s="484"/>
      <c r="JIV7" s="484"/>
      <c r="JIW7" s="484"/>
      <c r="JIX7" s="484"/>
      <c r="JIY7" s="484"/>
      <c r="JIZ7" s="484"/>
      <c r="JJA7" s="484"/>
      <c r="JJB7" s="484"/>
      <c r="JJC7" s="484"/>
      <c r="JJD7" s="484"/>
      <c r="JJE7" s="484"/>
      <c r="JJF7" s="484"/>
      <c r="JJG7" s="484"/>
      <c r="JJH7" s="484"/>
      <c r="JJI7" s="484"/>
      <c r="JJJ7" s="484"/>
      <c r="JJK7" s="484"/>
      <c r="JJL7" s="484"/>
      <c r="JJM7" s="484"/>
      <c r="JJN7" s="484"/>
      <c r="JJO7" s="484"/>
      <c r="JJP7" s="484"/>
      <c r="JJQ7" s="484"/>
      <c r="JJR7" s="484"/>
      <c r="JJS7" s="484"/>
      <c r="JJT7" s="484"/>
      <c r="JJU7" s="484"/>
      <c r="JJV7" s="484"/>
      <c r="JJW7" s="484"/>
      <c r="JJX7" s="484"/>
      <c r="JJY7" s="484"/>
      <c r="JJZ7" s="484"/>
      <c r="JKA7" s="484"/>
      <c r="JKB7" s="484"/>
      <c r="JKC7" s="484"/>
      <c r="JKD7" s="484"/>
      <c r="JKE7" s="484"/>
      <c r="JKF7" s="484"/>
      <c r="JKG7" s="484"/>
      <c r="JKH7" s="484"/>
      <c r="JKI7" s="484"/>
      <c r="JKJ7" s="484"/>
      <c r="JKK7" s="484"/>
      <c r="JKL7" s="484"/>
      <c r="JKM7" s="484"/>
      <c r="JKN7" s="484"/>
      <c r="JKO7" s="484"/>
      <c r="JKP7" s="484"/>
      <c r="JKQ7" s="484"/>
      <c r="JKR7" s="484"/>
      <c r="JKS7" s="484"/>
      <c r="JKT7" s="484"/>
      <c r="JKU7" s="484"/>
      <c r="JKV7" s="484"/>
      <c r="JKW7" s="484"/>
      <c r="JKX7" s="484"/>
      <c r="JKY7" s="484"/>
      <c r="JKZ7" s="484"/>
      <c r="JLA7" s="484"/>
      <c r="JLB7" s="484"/>
      <c r="JLC7" s="484"/>
      <c r="JLD7" s="484"/>
      <c r="JLE7" s="484"/>
      <c r="JLF7" s="484"/>
      <c r="JLG7" s="484"/>
      <c r="JLH7" s="484"/>
      <c r="JLI7" s="484"/>
      <c r="JLJ7" s="484"/>
      <c r="JLK7" s="484"/>
      <c r="JLL7" s="484"/>
      <c r="JLM7" s="484"/>
      <c r="JLN7" s="484"/>
      <c r="JLO7" s="484"/>
      <c r="JLP7" s="484"/>
      <c r="JLQ7" s="484"/>
      <c r="JLR7" s="484"/>
      <c r="JLS7" s="484"/>
      <c r="JLT7" s="484"/>
      <c r="JLU7" s="484"/>
      <c r="JLV7" s="484"/>
      <c r="JLW7" s="484"/>
      <c r="JLX7" s="484"/>
      <c r="JLY7" s="484"/>
      <c r="JLZ7" s="484"/>
      <c r="JMA7" s="484"/>
      <c r="JMB7" s="484"/>
      <c r="JMC7" s="484"/>
      <c r="JMD7" s="484"/>
      <c r="JME7" s="484"/>
      <c r="JMF7" s="484"/>
      <c r="JMG7" s="484"/>
      <c r="JMH7" s="484"/>
      <c r="JMI7" s="484"/>
      <c r="JMJ7" s="484"/>
      <c r="JMK7" s="484"/>
      <c r="JML7" s="484"/>
      <c r="JMM7" s="484"/>
      <c r="JMN7" s="484"/>
      <c r="JMO7" s="484"/>
      <c r="JMP7" s="484"/>
      <c r="JMQ7" s="484"/>
      <c r="JMR7" s="484"/>
      <c r="JMS7" s="484"/>
      <c r="JMT7" s="484"/>
      <c r="JMU7" s="484"/>
      <c r="JMV7" s="484"/>
      <c r="JMW7" s="484"/>
      <c r="JMX7" s="484"/>
      <c r="JMY7" s="484"/>
      <c r="JMZ7" s="484"/>
      <c r="JNA7" s="484"/>
      <c r="JNB7" s="484"/>
      <c r="JNC7" s="484"/>
      <c r="JND7" s="484"/>
      <c r="JNE7" s="484"/>
      <c r="JNF7" s="484"/>
      <c r="JNG7" s="484"/>
      <c r="JNH7" s="484"/>
      <c r="JNI7" s="484"/>
      <c r="JNJ7" s="484"/>
      <c r="JNK7" s="484"/>
      <c r="JNL7" s="484"/>
      <c r="JNM7" s="484"/>
      <c r="JNN7" s="484"/>
      <c r="JNO7" s="484"/>
      <c r="JNP7" s="484"/>
      <c r="JNQ7" s="484"/>
      <c r="JNR7" s="484"/>
      <c r="JNS7" s="484"/>
      <c r="JNT7" s="484"/>
      <c r="JNU7" s="484"/>
      <c r="JNV7" s="484"/>
      <c r="JNW7" s="484"/>
      <c r="JNX7" s="484"/>
      <c r="JNY7" s="484"/>
      <c r="JNZ7" s="484"/>
      <c r="JOA7" s="484"/>
      <c r="JOB7" s="484"/>
      <c r="JOC7" s="484"/>
      <c r="JOD7" s="484"/>
      <c r="JOE7" s="484"/>
      <c r="JOF7" s="484"/>
      <c r="JOG7" s="484"/>
      <c r="JOH7" s="484"/>
      <c r="JOI7" s="484"/>
      <c r="JOJ7" s="484"/>
      <c r="JOK7" s="484"/>
      <c r="JOL7" s="484"/>
      <c r="JOM7" s="484"/>
      <c r="JON7" s="484"/>
      <c r="JOO7" s="484"/>
      <c r="JOP7" s="484"/>
      <c r="JOQ7" s="484"/>
      <c r="JOR7" s="484"/>
      <c r="JOS7" s="484"/>
      <c r="JOT7" s="484"/>
      <c r="JOU7" s="484"/>
      <c r="JOV7" s="484"/>
      <c r="JOW7" s="484"/>
      <c r="JOX7" s="484"/>
      <c r="JOY7" s="484"/>
      <c r="JOZ7" s="484"/>
      <c r="JPA7" s="484"/>
      <c r="JPB7" s="484"/>
      <c r="JPC7" s="484"/>
      <c r="JPD7" s="484"/>
      <c r="JPE7" s="484"/>
      <c r="JPF7" s="484"/>
      <c r="JPG7" s="484"/>
      <c r="JPH7" s="484"/>
      <c r="JPI7" s="484"/>
      <c r="JPJ7" s="484"/>
      <c r="JPK7" s="484"/>
      <c r="JPL7" s="484"/>
      <c r="JPM7" s="484"/>
      <c r="JPN7" s="484"/>
      <c r="JPO7" s="484"/>
      <c r="JPP7" s="484"/>
      <c r="JPQ7" s="484"/>
      <c r="JPR7" s="484"/>
      <c r="JPS7" s="484"/>
      <c r="JPT7" s="484"/>
      <c r="JPU7" s="484"/>
      <c r="JPV7" s="484"/>
      <c r="JPW7" s="484"/>
      <c r="JPX7" s="484"/>
      <c r="JPY7" s="484"/>
      <c r="JPZ7" s="484"/>
      <c r="JQA7" s="484"/>
      <c r="JQB7" s="484"/>
      <c r="JQC7" s="484"/>
      <c r="JQD7" s="484"/>
      <c r="JQE7" s="484"/>
      <c r="JQF7" s="484"/>
      <c r="JQG7" s="484"/>
      <c r="JQH7" s="484"/>
      <c r="JQI7" s="484"/>
      <c r="JQJ7" s="484"/>
      <c r="JQK7" s="484"/>
      <c r="JQL7" s="484"/>
      <c r="JQM7" s="484"/>
      <c r="JQN7" s="484"/>
      <c r="JQO7" s="484"/>
      <c r="JQP7" s="484"/>
      <c r="JQQ7" s="484"/>
      <c r="JQR7" s="484"/>
      <c r="JQS7" s="484"/>
      <c r="JQT7" s="484"/>
      <c r="JQU7" s="484"/>
      <c r="JQV7" s="484"/>
      <c r="JQW7" s="484"/>
      <c r="JQX7" s="484"/>
      <c r="JQY7" s="484"/>
      <c r="JQZ7" s="484"/>
      <c r="JRA7" s="484"/>
      <c r="JRB7" s="484"/>
      <c r="JRC7" s="484"/>
      <c r="JRD7" s="484"/>
      <c r="JRE7" s="484"/>
      <c r="JRF7" s="484"/>
      <c r="JRG7" s="484"/>
      <c r="JRH7" s="484"/>
      <c r="JRI7" s="484"/>
      <c r="JRJ7" s="484"/>
      <c r="JRK7" s="484"/>
      <c r="JRL7" s="484"/>
      <c r="JRM7" s="484"/>
      <c r="JRN7" s="484"/>
      <c r="JRO7" s="484"/>
      <c r="JRP7" s="484"/>
      <c r="JRQ7" s="484"/>
      <c r="JRR7" s="484"/>
      <c r="JRS7" s="484"/>
      <c r="JRT7" s="484"/>
      <c r="JRU7" s="484"/>
      <c r="JRV7" s="484"/>
      <c r="JRW7" s="484"/>
      <c r="JRX7" s="484"/>
      <c r="JRY7" s="484"/>
      <c r="JRZ7" s="484"/>
      <c r="JSA7" s="484"/>
      <c r="JSB7" s="484"/>
      <c r="JSC7" s="484"/>
      <c r="JSD7" s="484"/>
      <c r="JSE7" s="484"/>
      <c r="JSF7" s="484"/>
      <c r="JSG7" s="484"/>
      <c r="JSH7" s="484"/>
      <c r="JSI7" s="484"/>
      <c r="JSJ7" s="484"/>
      <c r="JSK7" s="484"/>
      <c r="JSL7" s="484"/>
      <c r="JSM7" s="484"/>
      <c r="JSN7" s="484"/>
      <c r="JSO7" s="484"/>
      <c r="JSP7" s="484"/>
      <c r="JSQ7" s="484"/>
      <c r="JSR7" s="484"/>
      <c r="JSS7" s="484"/>
      <c r="JST7" s="484"/>
      <c r="JSU7" s="484"/>
      <c r="JSV7" s="484"/>
      <c r="JSW7" s="484"/>
      <c r="JSX7" s="484"/>
      <c r="JSY7" s="484"/>
      <c r="JSZ7" s="484"/>
      <c r="JTA7" s="484"/>
      <c r="JTB7" s="484"/>
      <c r="JTC7" s="484"/>
      <c r="JTD7" s="484"/>
      <c r="JTE7" s="484"/>
      <c r="JTF7" s="484"/>
      <c r="JTG7" s="484"/>
      <c r="JTH7" s="484"/>
      <c r="JTI7" s="484"/>
      <c r="JTJ7" s="484"/>
      <c r="JTK7" s="484"/>
      <c r="JTL7" s="484"/>
      <c r="JTM7" s="484"/>
      <c r="JTN7" s="484"/>
      <c r="JTO7" s="484"/>
      <c r="JTP7" s="484"/>
      <c r="JTQ7" s="484"/>
      <c r="JTR7" s="484"/>
      <c r="JTS7" s="484"/>
      <c r="JTT7" s="484"/>
      <c r="JTU7" s="484"/>
      <c r="JTV7" s="484"/>
      <c r="JTW7" s="484"/>
      <c r="JTX7" s="484"/>
      <c r="JTY7" s="484"/>
      <c r="JTZ7" s="484"/>
      <c r="JUA7" s="484"/>
      <c r="JUB7" s="484"/>
      <c r="JUC7" s="484"/>
      <c r="JUD7" s="484"/>
      <c r="JUE7" s="484"/>
      <c r="JUF7" s="484"/>
      <c r="JUG7" s="484"/>
      <c r="JUH7" s="484"/>
      <c r="JUI7" s="484"/>
      <c r="JUJ7" s="484"/>
      <c r="JUK7" s="484"/>
      <c r="JUL7" s="484"/>
      <c r="JUM7" s="484"/>
      <c r="JUN7" s="484"/>
      <c r="JUO7" s="484"/>
      <c r="JUP7" s="484"/>
      <c r="JUQ7" s="484"/>
      <c r="JUR7" s="484"/>
      <c r="JUS7" s="484"/>
      <c r="JUT7" s="484"/>
      <c r="JUU7" s="484"/>
      <c r="JUV7" s="484"/>
      <c r="JUW7" s="484"/>
      <c r="JUX7" s="484"/>
      <c r="JUY7" s="484"/>
      <c r="JUZ7" s="484"/>
      <c r="JVA7" s="484"/>
      <c r="JVB7" s="484"/>
      <c r="JVC7" s="484"/>
      <c r="JVD7" s="484"/>
      <c r="JVE7" s="484"/>
      <c r="JVF7" s="484"/>
      <c r="JVG7" s="484"/>
      <c r="JVH7" s="484"/>
      <c r="JVI7" s="484"/>
      <c r="JVJ7" s="484"/>
      <c r="JVK7" s="484"/>
      <c r="JVL7" s="484"/>
      <c r="JVM7" s="484"/>
      <c r="JVN7" s="484"/>
      <c r="JVO7" s="484"/>
      <c r="JVP7" s="484"/>
      <c r="JVQ7" s="484"/>
      <c r="JVR7" s="484"/>
      <c r="JVS7" s="484"/>
      <c r="JVT7" s="484"/>
      <c r="JVU7" s="484"/>
      <c r="JVV7" s="484"/>
      <c r="JVW7" s="484"/>
      <c r="JVX7" s="484"/>
      <c r="JVY7" s="484"/>
      <c r="JVZ7" s="484"/>
      <c r="JWA7" s="484"/>
      <c r="JWB7" s="484"/>
      <c r="JWC7" s="484"/>
      <c r="JWD7" s="484"/>
      <c r="JWE7" s="484"/>
      <c r="JWF7" s="484"/>
      <c r="JWG7" s="484"/>
      <c r="JWH7" s="484"/>
      <c r="JWI7" s="484"/>
      <c r="JWJ7" s="484"/>
      <c r="JWK7" s="484"/>
      <c r="JWL7" s="484"/>
      <c r="JWM7" s="484"/>
      <c r="JWN7" s="484"/>
      <c r="JWO7" s="484"/>
      <c r="JWP7" s="484"/>
      <c r="JWQ7" s="484"/>
      <c r="JWR7" s="484"/>
      <c r="JWS7" s="484"/>
      <c r="JWT7" s="484"/>
      <c r="JWU7" s="484"/>
      <c r="JWV7" s="484"/>
      <c r="JWW7" s="484"/>
      <c r="JWX7" s="484"/>
      <c r="JWY7" s="484"/>
      <c r="JWZ7" s="484"/>
      <c r="JXA7" s="484"/>
      <c r="JXB7" s="484"/>
      <c r="JXC7" s="484"/>
      <c r="JXD7" s="484"/>
      <c r="JXE7" s="484"/>
      <c r="JXF7" s="484"/>
      <c r="JXG7" s="484"/>
      <c r="JXH7" s="484"/>
      <c r="JXI7" s="484"/>
      <c r="JXJ7" s="484"/>
      <c r="JXK7" s="484"/>
      <c r="JXL7" s="484"/>
      <c r="JXM7" s="484"/>
      <c r="JXN7" s="484"/>
      <c r="JXO7" s="484"/>
      <c r="JXP7" s="484"/>
      <c r="JXQ7" s="484"/>
      <c r="JXR7" s="484"/>
      <c r="JXS7" s="484"/>
      <c r="JXT7" s="484"/>
      <c r="JXU7" s="484"/>
      <c r="JXV7" s="484"/>
      <c r="JXW7" s="484"/>
      <c r="JXX7" s="484"/>
      <c r="JXY7" s="484"/>
      <c r="JXZ7" s="484"/>
      <c r="JYA7" s="484"/>
      <c r="JYB7" s="484"/>
      <c r="JYC7" s="484"/>
      <c r="JYD7" s="484"/>
      <c r="JYE7" s="484"/>
      <c r="JYF7" s="484"/>
      <c r="JYG7" s="484"/>
      <c r="JYH7" s="484"/>
      <c r="JYI7" s="484"/>
      <c r="JYJ7" s="484"/>
      <c r="JYK7" s="484"/>
      <c r="JYL7" s="484"/>
      <c r="JYM7" s="484"/>
      <c r="JYN7" s="484"/>
      <c r="JYO7" s="484"/>
      <c r="JYP7" s="484"/>
      <c r="JYQ7" s="484"/>
      <c r="JYR7" s="484"/>
      <c r="JYS7" s="484"/>
      <c r="JYT7" s="484"/>
      <c r="JYU7" s="484"/>
      <c r="JYV7" s="484"/>
      <c r="JYW7" s="484"/>
      <c r="JYX7" s="484"/>
      <c r="JYY7" s="484"/>
      <c r="JYZ7" s="484"/>
      <c r="JZA7" s="484"/>
      <c r="JZB7" s="484"/>
      <c r="JZC7" s="484"/>
      <c r="JZD7" s="484"/>
      <c r="JZE7" s="484"/>
      <c r="JZF7" s="484"/>
      <c r="JZG7" s="484"/>
      <c r="JZH7" s="484"/>
      <c r="JZI7" s="484"/>
      <c r="JZJ7" s="484"/>
      <c r="JZK7" s="484"/>
      <c r="JZL7" s="484"/>
      <c r="JZM7" s="484"/>
      <c r="JZN7" s="484"/>
      <c r="JZO7" s="484"/>
      <c r="JZP7" s="484"/>
      <c r="JZQ7" s="484"/>
      <c r="JZR7" s="484"/>
      <c r="JZS7" s="484"/>
      <c r="JZT7" s="484"/>
      <c r="JZU7" s="484"/>
      <c r="JZV7" s="484"/>
      <c r="JZW7" s="484"/>
      <c r="JZX7" s="484"/>
      <c r="JZY7" s="484"/>
      <c r="JZZ7" s="484"/>
      <c r="KAA7" s="484"/>
      <c r="KAB7" s="484"/>
      <c r="KAC7" s="484"/>
      <c r="KAD7" s="484"/>
      <c r="KAE7" s="484"/>
      <c r="KAF7" s="484"/>
      <c r="KAG7" s="484"/>
      <c r="KAH7" s="484"/>
      <c r="KAI7" s="484"/>
      <c r="KAJ7" s="484"/>
      <c r="KAK7" s="484"/>
      <c r="KAL7" s="484"/>
      <c r="KAM7" s="484"/>
      <c r="KAN7" s="484"/>
      <c r="KAO7" s="484"/>
      <c r="KAP7" s="484"/>
      <c r="KAQ7" s="484"/>
      <c r="KAR7" s="484"/>
      <c r="KAS7" s="484"/>
      <c r="KAT7" s="484"/>
      <c r="KAU7" s="484"/>
      <c r="KAV7" s="484"/>
      <c r="KAW7" s="484"/>
      <c r="KAX7" s="484"/>
      <c r="KAY7" s="484"/>
      <c r="KAZ7" s="484"/>
      <c r="KBA7" s="484"/>
      <c r="KBB7" s="484"/>
      <c r="KBC7" s="484"/>
      <c r="KBD7" s="484"/>
      <c r="KBE7" s="484"/>
      <c r="KBF7" s="484"/>
      <c r="KBG7" s="484"/>
      <c r="KBH7" s="484"/>
      <c r="KBI7" s="484"/>
      <c r="KBJ7" s="484"/>
      <c r="KBK7" s="484"/>
      <c r="KBL7" s="484"/>
      <c r="KBM7" s="484"/>
      <c r="KBN7" s="484"/>
      <c r="KBO7" s="484"/>
      <c r="KBP7" s="484"/>
      <c r="KBQ7" s="484"/>
      <c r="KBR7" s="484"/>
      <c r="KBS7" s="484"/>
      <c r="KBT7" s="484"/>
      <c r="KBU7" s="484"/>
      <c r="KBV7" s="484"/>
      <c r="KBW7" s="484"/>
      <c r="KBX7" s="484"/>
      <c r="KBY7" s="484"/>
      <c r="KBZ7" s="484"/>
      <c r="KCA7" s="484"/>
      <c r="KCB7" s="484"/>
      <c r="KCC7" s="484"/>
      <c r="KCD7" s="484"/>
      <c r="KCE7" s="484"/>
      <c r="KCF7" s="484"/>
      <c r="KCG7" s="484"/>
      <c r="KCH7" s="484"/>
      <c r="KCI7" s="484"/>
      <c r="KCJ7" s="484"/>
      <c r="KCK7" s="484"/>
      <c r="KCL7" s="484"/>
      <c r="KCM7" s="484"/>
      <c r="KCN7" s="484"/>
      <c r="KCO7" s="484"/>
      <c r="KCP7" s="484"/>
      <c r="KCQ7" s="484"/>
      <c r="KCR7" s="484"/>
      <c r="KCS7" s="484"/>
      <c r="KCT7" s="484"/>
      <c r="KCU7" s="484"/>
      <c r="KCV7" s="484"/>
      <c r="KCW7" s="484"/>
      <c r="KCX7" s="484"/>
      <c r="KCY7" s="484"/>
      <c r="KCZ7" s="484"/>
      <c r="KDA7" s="484"/>
      <c r="KDB7" s="484"/>
      <c r="KDC7" s="484"/>
      <c r="KDD7" s="484"/>
      <c r="KDE7" s="484"/>
      <c r="KDF7" s="484"/>
      <c r="KDG7" s="484"/>
      <c r="KDH7" s="484"/>
      <c r="KDI7" s="484"/>
      <c r="KDJ7" s="484"/>
      <c r="KDK7" s="484"/>
      <c r="KDL7" s="484"/>
      <c r="KDM7" s="484"/>
      <c r="KDN7" s="484"/>
      <c r="KDO7" s="484"/>
      <c r="KDP7" s="484"/>
      <c r="KDQ7" s="484"/>
      <c r="KDR7" s="484"/>
      <c r="KDS7" s="484"/>
      <c r="KDT7" s="484"/>
      <c r="KDU7" s="484"/>
      <c r="KDV7" s="484"/>
      <c r="KDW7" s="484"/>
      <c r="KDX7" s="484"/>
      <c r="KDY7" s="484"/>
      <c r="KDZ7" s="484"/>
      <c r="KEA7" s="484"/>
      <c r="KEB7" s="484"/>
      <c r="KEC7" s="484"/>
      <c r="KED7" s="484"/>
      <c r="KEE7" s="484"/>
      <c r="KEF7" s="484"/>
      <c r="KEG7" s="484"/>
      <c r="KEH7" s="484"/>
      <c r="KEI7" s="484"/>
      <c r="KEJ7" s="484"/>
      <c r="KEK7" s="484"/>
      <c r="KEL7" s="484"/>
      <c r="KEM7" s="484"/>
      <c r="KEN7" s="484"/>
      <c r="KEO7" s="484"/>
      <c r="KEP7" s="484"/>
      <c r="KEQ7" s="484"/>
      <c r="KER7" s="484"/>
      <c r="KES7" s="484"/>
      <c r="KET7" s="484"/>
      <c r="KEU7" s="484"/>
      <c r="KEV7" s="484"/>
      <c r="KEW7" s="484"/>
      <c r="KEX7" s="484"/>
      <c r="KEY7" s="484"/>
      <c r="KEZ7" s="484"/>
      <c r="KFA7" s="484"/>
      <c r="KFB7" s="484"/>
      <c r="KFC7" s="484"/>
      <c r="KFD7" s="484"/>
      <c r="KFE7" s="484"/>
      <c r="KFF7" s="484"/>
      <c r="KFG7" s="484"/>
      <c r="KFH7" s="484"/>
      <c r="KFI7" s="484"/>
      <c r="KFJ7" s="484"/>
      <c r="KFK7" s="484"/>
      <c r="KFL7" s="484"/>
      <c r="KFM7" s="484"/>
      <c r="KFN7" s="484"/>
      <c r="KFO7" s="484"/>
      <c r="KFP7" s="484"/>
      <c r="KFQ7" s="484"/>
      <c r="KFR7" s="484"/>
      <c r="KFS7" s="484"/>
      <c r="KFT7" s="484"/>
      <c r="KFU7" s="484"/>
      <c r="KFV7" s="484"/>
      <c r="KFW7" s="484"/>
      <c r="KFX7" s="484"/>
      <c r="KFY7" s="484"/>
      <c r="KFZ7" s="484"/>
      <c r="KGA7" s="484"/>
      <c r="KGB7" s="484"/>
      <c r="KGC7" s="484"/>
      <c r="KGD7" s="484"/>
      <c r="KGE7" s="484"/>
      <c r="KGF7" s="484"/>
      <c r="KGG7" s="484"/>
      <c r="KGH7" s="484"/>
      <c r="KGI7" s="484"/>
      <c r="KGJ7" s="484"/>
      <c r="KGK7" s="484"/>
      <c r="KGL7" s="484"/>
      <c r="KGM7" s="484"/>
      <c r="KGN7" s="484"/>
      <c r="KGO7" s="484"/>
      <c r="KGP7" s="484"/>
      <c r="KGQ7" s="484"/>
      <c r="KGR7" s="484"/>
      <c r="KGS7" s="484"/>
      <c r="KGT7" s="484"/>
      <c r="KGU7" s="484"/>
      <c r="KGV7" s="484"/>
      <c r="KGW7" s="484"/>
      <c r="KGX7" s="484"/>
      <c r="KGY7" s="484"/>
      <c r="KGZ7" s="484"/>
      <c r="KHA7" s="484"/>
      <c r="KHB7" s="484"/>
      <c r="KHC7" s="484"/>
      <c r="KHD7" s="484"/>
      <c r="KHE7" s="484"/>
      <c r="KHF7" s="484"/>
      <c r="KHG7" s="484"/>
      <c r="KHH7" s="484"/>
      <c r="KHI7" s="484"/>
      <c r="KHJ7" s="484"/>
      <c r="KHK7" s="484"/>
      <c r="KHL7" s="484"/>
      <c r="KHM7" s="484"/>
      <c r="KHN7" s="484"/>
      <c r="KHO7" s="484"/>
      <c r="KHP7" s="484"/>
      <c r="KHQ7" s="484"/>
      <c r="KHR7" s="484"/>
      <c r="KHS7" s="484"/>
      <c r="KHT7" s="484"/>
      <c r="KHU7" s="484"/>
      <c r="KHV7" s="484"/>
      <c r="KHW7" s="484"/>
      <c r="KHX7" s="484"/>
      <c r="KHY7" s="484"/>
      <c r="KHZ7" s="484"/>
      <c r="KIA7" s="484"/>
      <c r="KIB7" s="484"/>
      <c r="KIC7" s="484"/>
      <c r="KID7" s="484"/>
      <c r="KIE7" s="484"/>
      <c r="KIF7" s="484"/>
      <c r="KIG7" s="484"/>
      <c r="KIH7" s="484"/>
      <c r="KII7" s="484"/>
      <c r="KIJ7" s="484"/>
      <c r="KIK7" s="484"/>
      <c r="KIL7" s="484"/>
      <c r="KIM7" s="484"/>
      <c r="KIN7" s="484"/>
      <c r="KIO7" s="484"/>
      <c r="KIP7" s="484"/>
      <c r="KIQ7" s="484"/>
      <c r="KIR7" s="484"/>
      <c r="KIS7" s="484"/>
      <c r="KIT7" s="484"/>
      <c r="KIU7" s="484"/>
      <c r="KIV7" s="484"/>
      <c r="KIW7" s="484"/>
      <c r="KIX7" s="484"/>
      <c r="KIY7" s="484"/>
      <c r="KIZ7" s="484"/>
      <c r="KJA7" s="484"/>
      <c r="KJB7" s="484"/>
      <c r="KJC7" s="484"/>
      <c r="KJD7" s="484"/>
      <c r="KJE7" s="484"/>
      <c r="KJF7" s="484"/>
      <c r="KJG7" s="484"/>
      <c r="KJH7" s="484"/>
      <c r="KJI7" s="484"/>
      <c r="KJJ7" s="484"/>
      <c r="KJK7" s="484"/>
      <c r="KJL7" s="484"/>
      <c r="KJM7" s="484"/>
      <c r="KJN7" s="484"/>
      <c r="KJO7" s="484"/>
      <c r="KJP7" s="484"/>
      <c r="KJQ7" s="484"/>
      <c r="KJR7" s="484"/>
      <c r="KJS7" s="484"/>
      <c r="KJT7" s="484"/>
      <c r="KJU7" s="484"/>
      <c r="KJV7" s="484"/>
      <c r="KJW7" s="484"/>
      <c r="KJX7" s="484"/>
      <c r="KJY7" s="484"/>
      <c r="KJZ7" s="484"/>
      <c r="KKA7" s="484"/>
      <c r="KKB7" s="484"/>
      <c r="KKC7" s="484"/>
      <c r="KKD7" s="484"/>
      <c r="KKE7" s="484"/>
      <c r="KKF7" s="484"/>
      <c r="KKG7" s="484"/>
      <c r="KKH7" s="484"/>
      <c r="KKI7" s="484"/>
      <c r="KKJ7" s="484"/>
      <c r="KKK7" s="484"/>
      <c r="KKL7" s="484"/>
      <c r="KKM7" s="484"/>
      <c r="KKN7" s="484"/>
      <c r="KKO7" s="484"/>
      <c r="KKP7" s="484"/>
      <c r="KKQ7" s="484"/>
      <c r="KKR7" s="484"/>
      <c r="KKS7" s="484"/>
      <c r="KKT7" s="484"/>
      <c r="KKU7" s="484"/>
      <c r="KKV7" s="484"/>
      <c r="KKW7" s="484"/>
      <c r="KKX7" s="484"/>
      <c r="KKY7" s="484"/>
      <c r="KKZ7" s="484"/>
      <c r="KLA7" s="484"/>
      <c r="KLB7" s="484"/>
      <c r="KLC7" s="484"/>
      <c r="KLD7" s="484"/>
      <c r="KLE7" s="484"/>
      <c r="KLF7" s="484"/>
      <c r="KLG7" s="484"/>
      <c r="KLH7" s="484"/>
      <c r="KLI7" s="484"/>
      <c r="KLJ7" s="484"/>
      <c r="KLK7" s="484"/>
      <c r="KLL7" s="484"/>
      <c r="KLM7" s="484"/>
      <c r="KLN7" s="484"/>
      <c r="KLO7" s="484"/>
      <c r="KLP7" s="484"/>
      <c r="KLQ7" s="484"/>
      <c r="KLR7" s="484"/>
      <c r="KLS7" s="484"/>
      <c r="KLT7" s="484"/>
      <c r="KLU7" s="484"/>
      <c r="KLV7" s="484"/>
      <c r="KLW7" s="484"/>
      <c r="KLX7" s="484"/>
      <c r="KLY7" s="484"/>
      <c r="KLZ7" s="484"/>
      <c r="KMA7" s="484"/>
      <c r="KMB7" s="484"/>
      <c r="KMC7" s="484"/>
      <c r="KMD7" s="484"/>
      <c r="KME7" s="484"/>
      <c r="KMF7" s="484"/>
      <c r="KMG7" s="484"/>
      <c r="KMH7" s="484"/>
      <c r="KMI7" s="484"/>
      <c r="KMJ7" s="484"/>
      <c r="KMK7" s="484"/>
      <c r="KML7" s="484"/>
      <c r="KMM7" s="484"/>
      <c r="KMN7" s="484"/>
      <c r="KMO7" s="484"/>
      <c r="KMP7" s="484"/>
      <c r="KMQ7" s="484"/>
      <c r="KMR7" s="484"/>
      <c r="KMS7" s="484"/>
      <c r="KMT7" s="484"/>
      <c r="KMU7" s="484"/>
      <c r="KMV7" s="484"/>
      <c r="KMW7" s="484"/>
      <c r="KMX7" s="484"/>
      <c r="KMY7" s="484"/>
      <c r="KMZ7" s="484"/>
      <c r="KNA7" s="484"/>
      <c r="KNB7" s="484"/>
      <c r="KNC7" s="484"/>
      <c r="KND7" s="484"/>
      <c r="KNE7" s="484"/>
      <c r="KNF7" s="484"/>
      <c r="KNG7" s="484"/>
      <c r="KNH7" s="484"/>
      <c r="KNI7" s="484"/>
      <c r="KNJ7" s="484"/>
      <c r="KNK7" s="484"/>
      <c r="KNL7" s="484"/>
      <c r="KNM7" s="484"/>
      <c r="KNN7" s="484"/>
      <c r="KNO7" s="484"/>
      <c r="KNP7" s="484"/>
      <c r="KNQ7" s="484"/>
      <c r="KNR7" s="484"/>
      <c r="KNS7" s="484"/>
      <c r="KNT7" s="484"/>
      <c r="KNU7" s="484"/>
      <c r="KNV7" s="484"/>
      <c r="KNW7" s="484"/>
      <c r="KNX7" s="484"/>
      <c r="KNY7" s="484"/>
      <c r="KNZ7" s="484"/>
      <c r="KOA7" s="484"/>
      <c r="KOB7" s="484"/>
      <c r="KOC7" s="484"/>
      <c r="KOD7" s="484"/>
      <c r="KOE7" s="484"/>
      <c r="KOF7" s="484"/>
      <c r="KOG7" s="484"/>
      <c r="KOH7" s="484"/>
      <c r="KOI7" s="484"/>
      <c r="KOJ7" s="484"/>
      <c r="KOK7" s="484"/>
      <c r="KOL7" s="484"/>
      <c r="KOM7" s="484"/>
      <c r="KON7" s="484"/>
      <c r="KOO7" s="484"/>
      <c r="KOP7" s="484"/>
      <c r="KOQ7" s="484"/>
      <c r="KOR7" s="484"/>
      <c r="KOS7" s="484"/>
      <c r="KOT7" s="484"/>
      <c r="KOU7" s="484"/>
      <c r="KOV7" s="484"/>
      <c r="KOW7" s="484"/>
      <c r="KOX7" s="484"/>
      <c r="KOY7" s="484"/>
      <c r="KOZ7" s="484"/>
      <c r="KPA7" s="484"/>
      <c r="KPB7" s="484"/>
      <c r="KPC7" s="484"/>
      <c r="KPD7" s="484"/>
      <c r="KPE7" s="484"/>
      <c r="KPF7" s="484"/>
      <c r="KPG7" s="484"/>
      <c r="KPH7" s="484"/>
      <c r="KPI7" s="484"/>
      <c r="KPJ7" s="484"/>
      <c r="KPK7" s="484"/>
      <c r="KPL7" s="484"/>
      <c r="KPM7" s="484"/>
      <c r="KPN7" s="484"/>
      <c r="KPO7" s="484"/>
      <c r="KPP7" s="484"/>
      <c r="KPQ7" s="484"/>
      <c r="KPR7" s="484"/>
      <c r="KPS7" s="484"/>
      <c r="KPT7" s="484"/>
      <c r="KPU7" s="484"/>
      <c r="KPV7" s="484"/>
      <c r="KPW7" s="484"/>
      <c r="KPX7" s="484"/>
      <c r="KPY7" s="484"/>
      <c r="KPZ7" s="484"/>
      <c r="KQA7" s="484"/>
      <c r="KQB7" s="484"/>
      <c r="KQC7" s="484"/>
      <c r="KQD7" s="484"/>
      <c r="KQE7" s="484"/>
      <c r="KQF7" s="484"/>
      <c r="KQG7" s="484"/>
      <c r="KQH7" s="484"/>
      <c r="KQI7" s="484"/>
      <c r="KQJ7" s="484"/>
      <c r="KQK7" s="484"/>
      <c r="KQL7" s="484"/>
      <c r="KQM7" s="484"/>
      <c r="KQN7" s="484"/>
      <c r="KQO7" s="484"/>
      <c r="KQP7" s="484"/>
      <c r="KQQ7" s="484"/>
      <c r="KQR7" s="484"/>
      <c r="KQS7" s="484"/>
      <c r="KQT7" s="484"/>
      <c r="KQU7" s="484"/>
      <c r="KQV7" s="484"/>
      <c r="KQW7" s="484"/>
      <c r="KQX7" s="484"/>
      <c r="KQY7" s="484"/>
      <c r="KQZ7" s="484"/>
      <c r="KRA7" s="484"/>
      <c r="KRB7" s="484"/>
      <c r="KRC7" s="484"/>
      <c r="KRD7" s="484"/>
      <c r="KRE7" s="484"/>
      <c r="KRF7" s="484"/>
      <c r="KRG7" s="484"/>
      <c r="KRH7" s="484"/>
      <c r="KRI7" s="484"/>
      <c r="KRJ7" s="484"/>
      <c r="KRK7" s="484"/>
      <c r="KRL7" s="484"/>
      <c r="KRM7" s="484"/>
      <c r="KRN7" s="484"/>
      <c r="KRO7" s="484"/>
      <c r="KRP7" s="484"/>
      <c r="KRQ7" s="484"/>
      <c r="KRR7" s="484"/>
      <c r="KRS7" s="484"/>
      <c r="KRT7" s="484"/>
      <c r="KRU7" s="484"/>
      <c r="KRV7" s="484"/>
      <c r="KRW7" s="484"/>
      <c r="KRX7" s="484"/>
      <c r="KRY7" s="484"/>
      <c r="KRZ7" s="484"/>
      <c r="KSA7" s="484"/>
      <c r="KSB7" s="484"/>
      <c r="KSC7" s="484"/>
      <c r="KSD7" s="484"/>
      <c r="KSE7" s="484"/>
      <c r="KSF7" s="484"/>
      <c r="KSG7" s="484"/>
      <c r="KSH7" s="484"/>
      <c r="KSI7" s="484"/>
      <c r="KSJ7" s="484"/>
      <c r="KSK7" s="484"/>
      <c r="KSL7" s="484"/>
      <c r="KSM7" s="484"/>
      <c r="KSN7" s="484"/>
      <c r="KSO7" s="484"/>
      <c r="KSP7" s="484"/>
      <c r="KSQ7" s="484"/>
      <c r="KSR7" s="484"/>
      <c r="KSS7" s="484"/>
      <c r="KST7" s="484"/>
      <c r="KSU7" s="484"/>
      <c r="KSV7" s="484"/>
      <c r="KSW7" s="484"/>
      <c r="KSX7" s="484"/>
      <c r="KSY7" s="484"/>
      <c r="KSZ7" s="484"/>
      <c r="KTA7" s="484"/>
      <c r="KTB7" s="484"/>
      <c r="KTC7" s="484"/>
      <c r="KTD7" s="484"/>
      <c r="KTE7" s="484"/>
      <c r="KTF7" s="484"/>
      <c r="KTG7" s="484"/>
      <c r="KTH7" s="484"/>
      <c r="KTI7" s="484"/>
      <c r="KTJ7" s="484"/>
      <c r="KTK7" s="484"/>
      <c r="KTL7" s="484"/>
      <c r="KTM7" s="484"/>
      <c r="KTN7" s="484"/>
      <c r="KTO7" s="484"/>
      <c r="KTP7" s="484"/>
      <c r="KTQ7" s="484"/>
      <c r="KTR7" s="484"/>
      <c r="KTS7" s="484"/>
      <c r="KTT7" s="484"/>
      <c r="KTU7" s="484"/>
      <c r="KTV7" s="484"/>
      <c r="KTW7" s="484"/>
      <c r="KTX7" s="484"/>
      <c r="KTY7" s="484"/>
      <c r="KTZ7" s="484"/>
      <c r="KUA7" s="484"/>
      <c r="KUB7" s="484"/>
      <c r="KUC7" s="484"/>
      <c r="KUD7" s="484"/>
      <c r="KUE7" s="484"/>
      <c r="KUF7" s="484"/>
      <c r="KUG7" s="484"/>
      <c r="KUH7" s="484"/>
      <c r="KUI7" s="484"/>
      <c r="KUJ7" s="484"/>
      <c r="KUK7" s="484"/>
      <c r="KUL7" s="484"/>
      <c r="KUM7" s="484"/>
      <c r="KUN7" s="484"/>
      <c r="KUO7" s="484"/>
      <c r="KUP7" s="484"/>
      <c r="KUQ7" s="484"/>
      <c r="KUR7" s="484"/>
      <c r="KUS7" s="484"/>
      <c r="KUT7" s="484"/>
      <c r="KUU7" s="484"/>
      <c r="KUV7" s="484"/>
      <c r="KUW7" s="484"/>
      <c r="KUX7" s="484"/>
      <c r="KUY7" s="484"/>
      <c r="KUZ7" s="484"/>
      <c r="KVA7" s="484"/>
      <c r="KVB7" s="484"/>
      <c r="KVC7" s="484"/>
      <c r="KVD7" s="484"/>
      <c r="KVE7" s="484"/>
      <c r="KVF7" s="484"/>
      <c r="KVG7" s="484"/>
      <c r="KVH7" s="484"/>
      <c r="KVI7" s="484"/>
      <c r="KVJ7" s="484"/>
      <c r="KVK7" s="484"/>
      <c r="KVL7" s="484"/>
      <c r="KVM7" s="484"/>
      <c r="KVN7" s="484"/>
      <c r="KVO7" s="484"/>
      <c r="KVP7" s="484"/>
      <c r="KVQ7" s="484"/>
      <c r="KVR7" s="484"/>
      <c r="KVS7" s="484"/>
      <c r="KVT7" s="484"/>
      <c r="KVU7" s="484"/>
      <c r="KVV7" s="484"/>
      <c r="KVW7" s="484"/>
      <c r="KVX7" s="484"/>
      <c r="KVY7" s="484"/>
      <c r="KVZ7" s="484"/>
      <c r="KWA7" s="484"/>
      <c r="KWB7" s="484"/>
      <c r="KWC7" s="484"/>
      <c r="KWD7" s="484"/>
      <c r="KWE7" s="484"/>
      <c r="KWF7" s="484"/>
      <c r="KWG7" s="484"/>
      <c r="KWH7" s="484"/>
      <c r="KWI7" s="484"/>
      <c r="KWJ7" s="484"/>
      <c r="KWK7" s="484"/>
      <c r="KWL7" s="484"/>
      <c r="KWM7" s="484"/>
      <c r="KWN7" s="484"/>
      <c r="KWO7" s="484"/>
      <c r="KWP7" s="484"/>
      <c r="KWQ7" s="484"/>
      <c r="KWR7" s="484"/>
      <c r="KWS7" s="484"/>
      <c r="KWT7" s="484"/>
      <c r="KWU7" s="484"/>
      <c r="KWV7" s="484"/>
      <c r="KWW7" s="484"/>
      <c r="KWX7" s="484"/>
      <c r="KWY7" s="484"/>
      <c r="KWZ7" s="484"/>
      <c r="KXA7" s="484"/>
      <c r="KXB7" s="484"/>
      <c r="KXC7" s="484"/>
      <c r="KXD7" s="484"/>
      <c r="KXE7" s="484"/>
      <c r="KXF7" s="484"/>
      <c r="KXG7" s="484"/>
      <c r="KXH7" s="484"/>
      <c r="KXI7" s="484"/>
      <c r="KXJ7" s="484"/>
      <c r="KXK7" s="484"/>
      <c r="KXL7" s="484"/>
      <c r="KXM7" s="484"/>
      <c r="KXN7" s="484"/>
      <c r="KXO7" s="484"/>
      <c r="KXP7" s="484"/>
      <c r="KXQ7" s="484"/>
      <c r="KXR7" s="484"/>
      <c r="KXS7" s="484"/>
      <c r="KXT7" s="484"/>
      <c r="KXU7" s="484"/>
      <c r="KXV7" s="484"/>
      <c r="KXW7" s="484"/>
      <c r="KXX7" s="484"/>
      <c r="KXY7" s="484"/>
      <c r="KXZ7" s="484"/>
      <c r="KYA7" s="484"/>
      <c r="KYB7" s="484"/>
      <c r="KYC7" s="484"/>
      <c r="KYD7" s="484"/>
      <c r="KYE7" s="484"/>
      <c r="KYF7" s="484"/>
      <c r="KYG7" s="484"/>
      <c r="KYH7" s="484"/>
      <c r="KYI7" s="484"/>
      <c r="KYJ7" s="484"/>
      <c r="KYK7" s="484"/>
      <c r="KYL7" s="484"/>
      <c r="KYM7" s="484"/>
      <c r="KYN7" s="484"/>
      <c r="KYO7" s="484"/>
      <c r="KYP7" s="484"/>
      <c r="KYQ7" s="484"/>
      <c r="KYR7" s="484"/>
      <c r="KYS7" s="484"/>
      <c r="KYT7" s="484"/>
      <c r="KYU7" s="484"/>
      <c r="KYV7" s="484"/>
      <c r="KYW7" s="484"/>
      <c r="KYX7" s="484"/>
      <c r="KYY7" s="484"/>
      <c r="KYZ7" s="484"/>
      <c r="KZA7" s="484"/>
      <c r="KZB7" s="484"/>
      <c r="KZC7" s="484"/>
      <c r="KZD7" s="484"/>
      <c r="KZE7" s="484"/>
      <c r="KZF7" s="484"/>
      <c r="KZG7" s="484"/>
      <c r="KZH7" s="484"/>
      <c r="KZI7" s="484"/>
      <c r="KZJ7" s="484"/>
      <c r="KZK7" s="484"/>
      <c r="KZL7" s="484"/>
      <c r="KZM7" s="484"/>
      <c r="KZN7" s="484"/>
      <c r="KZO7" s="484"/>
      <c r="KZP7" s="484"/>
      <c r="KZQ7" s="484"/>
      <c r="KZR7" s="484"/>
      <c r="KZS7" s="484"/>
      <c r="KZT7" s="484"/>
      <c r="KZU7" s="484"/>
      <c r="KZV7" s="484"/>
      <c r="KZW7" s="484"/>
      <c r="KZX7" s="484"/>
      <c r="KZY7" s="484"/>
      <c r="KZZ7" s="484"/>
      <c r="LAA7" s="484"/>
      <c r="LAB7" s="484"/>
      <c r="LAC7" s="484"/>
      <c r="LAD7" s="484"/>
      <c r="LAE7" s="484"/>
      <c r="LAF7" s="484"/>
      <c r="LAG7" s="484"/>
      <c r="LAH7" s="484"/>
      <c r="LAI7" s="484"/>
      <c r="LAJ7" s="484"/>
      <c r="LAK7" s="484"/>
      <c r="LAL7" s="484"/>
      <c r="LAM7" s="484"/>
      <c r="LAN7" s="484"/>
      <c r="LAO7" s="484"/>
      <c r="LAP7" s="484"/>
      <c r="LAQ7" s="484"/>
      <c r="LAR7" s="484"/>
      <c r="LAS7" s="484"/>
      <c r="LAT7" s="484"/>
      <c r="LAU7" s="484"/>
      <c r="LAV7" s="484"/>
      <c r="LAW7" s="484"/>
      <c r="LAX7" s="484"/>
      <c r="LAY7" s="484"/>
      <c r="LAZ7" s="484"/>
      <c r="LBA7" s="484"/>
      <c r="LBB7" s="484"/>
      <c r="LBC7" s="484"/>
      <c r="LBD7" s="484"/>
      <c r="LBE7" s="484"/>
      <c r="LBF7" s="484"/>
      <c r="LBG7" s="484"/>
      <c r="LBH7" s="484"/>
      <c r="LBI7" s="484"/>
      <c r="LBJ7" s="484"/>
      <c r="LBK7" s="484"/>
      <c r="LBL7" s="484"/>
      <c r="LBM7" s="484"/>
      <c r="LBN7" s="484"/>
      <c r="LBO7" s="484"/>
      <c r="LBP7" s="484"/>
      <c r="LBQ7" s="484"/>
      <c r="LBR7" s="484"/>
      <c r="LBS7" s="484"/>
      <c r="LBT7" s="484"/>
      <c r="LBU7" s="484"/>
      <c r="LBV7" s="484"/>
      <c r="LBW7" s="484"/>
      <c r="LBX7" s="484"/>
      <c r="LBY7" s="484"/>
      <c r="LBZ7" s="484"/>
      <c r="LCA7" s="484"/>
      <c r="LCB7" s="484"/>
      <c r="LCC7" s="484"/>
      <c r="LCD7" s="484"/>
      <c r="LCE7" s="484"/>
      <c r="LCF7" s="484"/>
      <c r="LCG7" s="484"/>
      <c r="LCH7" s="484"/>
      <c r="LCI7" s="484"/>
      <c r="LCJ7" s="484"/>
      <c r="LCK7" s="484"/>
      <c r="LCL7" s="484"/>
      <c r="LCM7" s="484"/>
      <c r="LCN7" s="484"/>
      <c r="LCO7" s="484"/>
      <c r="LCP7" s="484"/>
      <c r="LCQ7" s="484"/>
      <c r="LCR7" s="484"/>
      <c r="LCS7" s="484"/>
      <c r="LCT7" s="484"/>
      <c r="LCU7" s="484"/>
      <c r="LCV7" s="484"/>
      <c r="LCW7" s="484"/>
      <c r="LCX7" s="484"/>
      <c r="LCY7" s="484"/>
      <c r="LCZ7" s="484"/>
      <c r="LDA7" s="484"/>
      <c r="LDB7" s="484"/>
      <c r="LDC7" s="484"/>
      <c r="LDD7" s="484"/>
      <c r="LDE7" s="484"/>
      <c r="LDF7" s="484"/>
      <c r="LDG7" s="484"/>
      <c r="LDH7" s="484"/>
      <c r="LDI7" s="484"/>
      <c r="LDJ7" s="484"/>
      <c r="LDK7" s="484"/>
      <c r="LDL7" s="484"/>
      <c r="LDM7" s="484"/>
      <c r="LDN7" s="484"/>
      <c r="LDO7" s="484"/>
      <c r="LDP7" s="484"/>
      <c r="LDQ7" s="484"/>
      <c r="LDR7" s="484"/>
      <c r="LDS7" s="484"/>
      <c r="LDT7" s="484"/>
      <c r="LDU7" s="484"/>
      <c r="LDV7" s="484"/>
      <c r="LDW7" s="484"/>
      <c r="LDX7" s="484"/>
      <c r="LDY7" s="484"/>
      <c r="LDZ7" s="484"/>
      <c r="LEA7" s="484"/>
      <c r="LEB7" s="484"/>
      <c r="LEC7" s="484"/>
      <c r="LED7" s="484"/>
      <c r="LEE7" s="484"/>
      <c r="LEF7" s="484"/>
      <c r="LEG7" s="484"/>
      <c r="LEH7" s="484"/>
      <c r="LEI7" s="484"/>
      <c r="LEJ7" s="484"/>
      <c r="LEK7" s="484"/>
      <c r="LEL7" s="484"/>
      <c r="LEM7" s="484"/>
      <c r="LEN7" s="484"/>
      <c r="LEO7" s="484"/>
      <c r="LEP7" s="484"/>
      <c r="LEQ7" s="484"/>
      <c r="LER7" s="484"/>
      <c r="LES7" s="484"/>
      <c r="LET7" s="484"/>
      <c r="LEU7" s="484"/>
      <c r="LEV7" s="484"/>
      <c r="LEW7" s="484"/>
      <c r="LEX7" s="484"/>
      <c r="LEY7" s="484"/>
      <c r="LEZ7" s="484"/>
      <c r="LFA7" s="484"/>
      <c r="LFB7" s="484"/>
      <c r="LFC7" s="484"/>
      <c r="LFD7" s="484"/>
      <c r="LFE7" s="484"/>
      <c r="LFF7" s="484"/>
      <c r="LFG7" s="484"/>
      <c r="LFH7" s="484"/>
      <c r="LFI7" s="484"/>
      <c r="LFJ7" s="484"/>
      <c r="LFK7" s="484"/>
      <c r="LFL7" s="484"/>
      <c r="LFM7" s="484"/>
      <c r="LFN7" s="484"/>
      <c r="LFO7" s="484"/>
      <c r="LFP7" s="484"/>
      <c r="LFQ7" s="484"/>
      <c r="LFR7" s="484"/>
      <c r="LFS7" s="484"/>
      <c r="LFT7" s="484"/>
      <c r="LFU7" s="484"/>
      <c r="LFV7" s="484"/>
      <c r="LFW7" s="484"/>
      <c r="LFX7" s="484"/>
      <c r="LFY7" s="484"/>
      <c r="LFZ7" s="484"/>
      <c r="LGA7" s="484"/>
      <c r="LGB7" s="484"/>
      <c r="LGC7" s="484"/>
      <c r="LGD7" s="484"/>
      <c r="LGE7" s="484"/>
      <c r="LGF7" s="484"/>
      <c r="LGG7" s="484"/>
      <c r="LGH7" s="484"/>
      <c r="LGI7" s="484"/>
      <c r="LGJ7" s="484"/>
      <c r="LGK7" s="484"/>
      <c r="LGL7" s="484"/>
      <c r="LGM7" s="484"/>
      <c r="LGN7" s="484"/>
      <c r="LGO7" s="484"/>
      <c r="LGP7" s="484"/>
      <c r="LGQ7" s="484"/>
      <c r="LGR7" s="484"/>
      <c r="LGS7" s="484"/>
      <c r="LGT7" s="484"/>
      <c r="LGU7" s="484"/>
      <c r="LGV7" s="484"/>
      <c r="LGW7" s="484"/>
      <c r="LGX7" s="484"/>
      <c r="LGY7" s="484"/>
      <c r="LGZ7" s="484"/>
      <c r="LHA7" s="484"/>
      <c r="LHB7" s="484"/>
      <c r="LHC7" s="484"/>
      <c r="LHD7" s="484"/>
      <c r="LHE7" s="484"/>
      <c r="LHF7" s="484"/>
      <c r="LHG7" s="484"/>
      <c r="LHH7" s="484"/>
      <c r="LHI7" s="484"/>
      <c r="LHJ7" s="484"/>
      <c r="LHK7" s="484"/>
      <c r="LHL7" s="484"/>
      <c r="LHM7" s="484"/>
      <c r="LHN7" s="484"/>
      <c r="LHO7" s="484"/>
      <c r="LHP7" s="484"/>
      <c r="LHQ7" s="484"/>
      <c r="LHR7" s="484"/>
      <c r="LHS7" s="484"/>
      <c r="LHT7" s="484"/>
      <c r="LHU7" s="484"/>
      <c r="LHV7" s="484"/>
      <c r="LHW7" s="484"/>
      <c r="LHX7" s="484"/>
      <c r="LHY7" s="484"/>
      <c r="LHZ7" s="484"/>
      <c r="LIA7" s="484"/>
      <c r="LIB7" s="484"/>
      <c r="LIC7" s="484"/>
      <c r="LID7" s="484"/>
      <c r="LIE7" s="484"/>
      <c r="LIF7" s="484"/>
      <c r="LIG7" s="484"/>
      <c r="LIH7" s="484"/>
      <c r="LII7" s="484"/>
      <c r="LIJ7" s="484"/>
      <c r="LIK7" s="484"/>
      <c r="LIL7" s="484"/>
      <c r="LIM7" s="484"/>
      <c r="LIN7" s="484"/>
      <c r="LIO7" s="484"/>
      <c r="LIP7" s="484"/>
      <c r="LIQ7" s="484"/>
      <c r="LIR7" s="484"/>
      <c r="LIS7" s="484"/>
      <c r="LIT7" s="484"/>
      <c r="LIU7" s="484"/>
      <c r="LIV7" s="484"/>
      <c r="LIW7" s="484"/>
      <c r="LIX7" s="484"/>
      <c r="LIY7" s="484"/>
      <c r="LIZ7" s="484"/>
      <c r="LJA7" s="484"/>
      <c r="LJB7" s="484"/>
      <c r="LJC7" s="484"/>
      <c r="LJD7" s="484"/>
      <c r="LJE7" s="484"/>
      <c r="LJF7" s="484"/>
      <c r="LJG7" s="484"/>
      <c r="LJH7" s="484"/>
      <c r="LJI7" s="484"/>
      <c r="LJJ7" s="484"/>
      <c r="LJK7" s="484"/>
      <c r="LJL7" s="484"/>
      <c r="LJM7" s="484"/>
      <c r="LJN7" s="484"/>
      <c r="LJO7" s="484"/>
      <c r="LJP7" s="484"/>
      <c r="LJQ7" s="484"/>
      <c r="LJR7" s="484"/>
      <c r="LJS7" s="484"/>
      <c r="LJT7" s="484"/>
      <c r="LJU7" s="484"/>
      <c r="LJV7" s="484"/>
      <c r="LJW7" s="484"/>
      <c r="LJX7" s="484"/>
      <c r="LJY7" s="484"/>
      <c r="LJZ7" s="484"/>
      <c r="LKA7" s="484"/>
      <c r="LKB7" s="484"/>
      <c r="LKC7" s="484"/>
      <c r="LKD7" s="484"/>
      <c r="LKE7" s="484"/>
      <c r="LKF7" s="484"/>
      <c r="LKG7" s="484"/>
      <c r="LKH7" s="484"/>
      <c r="LKI7" s="484"/>
      <c r="LKJ7" s="484"/>
      <c r="LKK7" s="484"/>
      <c r="LKL7" s="484"/>
      <c r="LKM7" s="484"/>
      <c r="LKN7" s="484"/>
      <c r="LKO7" s="484"/>
      <c r="LKP7" s="484"/>
      <c r="LKQ7" s="484"/>
      <c r="LKR7" s="484"/>
      <c r="LKS7" s="484"/>
      <c r="LKT7" s="484"/>
      <c r="LKU7" s="484"/>
      <c r="LKV7" s="484"/>
      <c r="LKW7" s="484"/>
      <c r="LKX7" s="484"/>
      <c r="LKY7" s="484"/>
      <c r="LKZ7" s="484"/>
      <c r="LLA7" s="484"/>
      <c r="LLB7" s="484"/>
      <c r="LLC7" s="484"/>
      <c r="LLD7" s="484"/>
      <c r="LLE7" s="484"/>
      <c r="LLF7" s="484"/>
      <c r="LLG7" s="484"/>
      <c r="LLH7" s="484"/>
      <c r="LLI7" s="484"/>
      <c r="LLJ7" s="484"/>
      <c r="LLK7" s="484"/>
      <c r="LLL7" s="484"/>
      <c r="LLM7" s="484"/>
      <c r="LLN7" s="484"/>
      <c r="LLO7" s="484"/>
      <c r="LLP7" s="484"/>
      <c r="LLQ7" s="484"/>
      <c r="LLR7" s="484"/>
      <c r="LLS7" s="484"/>
      <c r="LLT7" s="484"/>
      <c r="LLU7" s="484"/>
      <c r="LLV7" s="484"/>
      <c r="LLW7" s="484"/>
      <c r="LLX7" s="484"/>
      <c r="LLY7" s="484"/>
      <c r="LLZ7" s="484"/>
      <c r="LMA7" s="484"/>
      <c r="LMB7" s="484"/>
      <c r="LMC7" s="484"/>
      <c r="LMD7" s="484"/>
      <c r="LME7" s="484"/>
      <c r="LMF7" s="484"/>
      <c r="LMG7" s="484"/>
      <c r="LMH7" s="484"/>
      <c r="LMI7" s="484"/>
      <c r="LMJ7" s="484"/>
      <c r="LMK7" s="484"/>
      <c r="LML7" s="484"/>
      <c r="LMM7" s="484"/>
      <c r="LMN7" s="484"/>
      <c r="LMO7" s="484"/>
      <c r="LMP7" s="484"/>
      <c r="LMQ7" s="484"/>
      <c r="LMR7" s="484"/>
      <c r="LMS7" s="484"/>
      <c r="LMT7" s="484"/>
      <c r="LMU7" s="484"/>
      <c r="LMV7" s="484"/>
      <c r="LMW7" s="484"/>
      <c r="LMX7" s="484"/>
      <c r="LMY7" s="484"/>
      <c r="LMZ7" s="484"/>
      <c r="LNA7" s="484"/>
      <c r="LNB7" s="484"/>
      <c r="LNC7" s="484"/>
      <c r="LND7" s="484"/>
      <c r="LNE7" s="484"/>
      <c r="LNF7" s="484"/>
      <c r="LNG7" s="484"/>
      <c r="LNH7" s="484"/>
      <c r="LNI7" s="484"/>
      <c r="LNJ7" s="484"/>
      <c r="LNK7" s="484"/>
      <c r="LNL7" s="484"/>
      <c r="LNM7" s="484"/>
      <c r="LNN7" s="484"/>
      <c r="LNO7" s="484"/>
      <c r="LNP7" s="484"/>
      <c r="LNQ7" s="484"/>
      <c r="LNR7" s="484"/>
      <c r="LNS7" s="484"/>
      <c r="LNT7" s="484"/>
      <c r="LNU7" s="484"/>
      <c r="LNV7" s="484"/>
      <c r="LNW7" s="484"/>
      <c r="LNX7" s="484"/>
      <c r="LNY7" s="484"/>
      <c r="LNZ7" s="484"/>
      <c r="LOA7" s="484"/>
      <c r="LOB7" s="484"/>
      <c r="LOC7" s="484"/>
      <c r="LOD7" s="484"/>
      <c r="LOE7" s="484"/>
      <c r="LOF7" s="484"/>
      <c r="LOG7" s="484"/>
      <c r="LOH7" s="484"/>
      <c r="LOI7" s="484"/>
      <c r="LOJ7" s="484"/>
      <c r="LOK7" s="484"/>
      <c r="LOL7" s="484"/>
      <c r="LOM7" s="484"/>
      <c r="LON7" s="484"/>
      <c r="LOO7" s="484"/>
      <c r="LOP7" s="484"/>
      <c r="LOQ7" s="484"/>
      <c r="LOR7" s="484"/>
      <c r="LOS7" s="484"/>
      <c r="LOT7" s="484"/>
      <c r="LOU7" s="484"/>
      <c r="LOV7" s="484"/>
      <c r="LOW7" s="484"/>
      <c r="LOX7" s="484"/>
      <c r="LOY7" s="484"/>
      <c r="LOZ7" s="484"/>
      <c r="LPA7" s="484"/>
      <c r="LPB7" s="484"/>
      <c r="LPC7" s="484"/>
      <c r="LPD7" s="484"/>
      <c r="LPE7" s="484"/>
      <c r="LPF7" s="484"/>
      <c r="LPG7" s="484"/>
      <c r="LPH7" s="484"/>
      <c r="LPI7" s="484"/>
      <c r="LPJ7" s="484"/>
      <c r="LPK7" s="484"/>
      <c r="LPL7" s="484"/>
      <c r="LPM7" s="484"/>
      <c r="LPN7" s="484"/>
      <c r="LPO7" s="484"/>
      <c r="LPP7" s="484"/>
      <c r="LPQ7" s="484"/>
      <c r="LPR7" s="484"/>
      <c r="LPS7" s="484"/>
      <c r="LPT7" s="484"/>
      <c r="LPU7" s="484"/>
      <c r="LPV7" s="484"/>
      <c r="LPW7" s="484"/>
      <c r="LPX7" s="484"/>
      <c r="LPY7" s="484"/>
      <c r="LPZ7" s="484"/>
      <c r="LQA7" s="484"/>
      <c r="LQB7" s="484"/>
      <c r="LQC7" s="484"/>
      <c r="LQD7" s="484"/>
      <c r="LQE7" s="484"/>
      <c r="LQF7" s="484"/>
      <c r="LQG7" s="484"/>
      <c r="LQH7" s="484"/>
      <c r="LQI7" s="484"/>
      <c r="LQJ7" s="484"/>
      <c r="LQK7" s="484"/>
      <c r="LQL7" s="484"/>
      <c r="LQM7" s="484"/>
      <c r="LQN7" s="484"/>
      <c r="LQO7" s="484"/>
      <c r="LQP7" s="484"/>
      <c r="LQQ7" s="484"/>
      <c r="LQR7" s="484"/>
      <c r="LQS7" s="484"/>
      <c r="LQT7" s="484"/>
      <c r="LQU7" s="484"/>
      <c r="LQV7" s="484"/>
      <c r="LQW7" s="484"/>
      <c r="LQX7" s="484"/>
      <c r="LQY7" s="484"/>
      <c r="LQZ7" s="484"/>
      <c r="LRA7" s="484"/>
      <c r="LRB7" s="484"/>
      <c r="LRC7" s="484"/>
      <c r="LRD7" s="484"/>
      <c r="LRE7" s="484"/>
      <c r="LRF7" s="484"/>
      <c r="LRG7" s="484"/>
      <c r="LRH7" s="484"/>
      <c r="LRI7" s="484"/>
      <c r="LRJ7" s="484"/>
      <c r="LRK7" s="484"/>
      <c r="LRL7" s="484"/>
      <c r="LRM7" s="484"/>
      <c r="LRN7" s="484"/>
      <c r="LRO7" s="484"/>
      <c r="LRP7" s="484"/>
      <c r="LRQ7" s="484"/>
      <c r="LRR7" s="484"/>
      <c r="LRS7" s="484"/>
      <c r="LRT7" s="484"/>
      <c r="LRU7" s="484"/>
      <c r="LRV7" s="484"/>
      <c r="LRW7" s="484"/>
      <c r="LRX7" s="484"/>
      <c r="LRY7" s="484"/>
      <c r="LRZ7" s="484"/>
      <c r="LSA7" s="484"/>
      <c r="LSB7" s="484"/>
      <c r="LSC7" s="484"/>
      <c r="LSD7" s="484"/>
      <c r="LSE7" s="484"/>
      <c r="LSF7" s="484"/>
      <c r="LSG7" s="484"/>
      <c r="LSH7" s="484"/>
      <c r="LSI7" s="484"/>
      <c r="LSJ7" s="484"/>
      <c r="LSK7" s="484"/>
      <c r="LSL7" s="484"/>
      <c r="LSM7" s="484"/>
      <c r="LSN7" s="484"/>
      <c r="LSO7" s="484"/>
      <c r="LSP7" s="484"/>
      <c r="LSQ7" s="484"/>
      <c r="LSR7" s="484"/>
      <c r="LSS7" s="484"/>
      <c r="LST7" s="484"/>
      <c r="LSU7" s="484"/>
      <c r="LSV7" s="484"/>
      <c r="LSW7" s="484"/>
      <c r="LSX7" s="484"/>
      <c r="LSY7" s="484"/>
      <c r="LSZ7" s="484"/>
      <c r="LTA7" s="484"/>
      <c r="LTB7" s="484"/>
      <c r="LTC7" s="484"/>
      <c r="LTD7" s="484"/>
      <c r="LTE7" s="484"/>
      <c r="LTF7" s="484"/>
      <c r="LTG7" s="484"/>
      <c r="LTH7" s="484"/>
      <c r="LTI7" s="484"/>
      <c r="LTJ7" s="484"/>
      <c r="LTK7" s="484"/>
      <c r="LTL7" s="484"/>
      <c r="LTM7" s="484"/>
      <c r="LTN7" s="484"/>
      <c r="LTO7" s="484"/>
      <c r="LTP7" s="484"/>
      <c r="LTQ7" s="484"/>
      <c r="LTR7" s="484"/>
      <c r="LTS7" s="484"/>
      <c r="LTT7" s="484"/>
      <c r="LTU7" s="484"/>
      <c r="LTV7" s="484"/>
      <c r="LTW7" s="484"/>
      <c r="LTX7" s="484"/>
      <c r="LTY7" s="484"/>
      <c r="LTZ7" s="484"/>
      <c r="LUA7" s="484"/>
      <c r="LUB7" s="484"/>
      <c r="LUC7" s="484"/>
      <c r="LUD7" s="484"/>
      <c r="LUE7" s="484"/>
      <c r="LUF7" s="484"/>
      <c r="LUG7" s="484"/>
      <c r="LUH7" s="484"/>
      <c r="LUI7" s="484"/>
      <c r="LUJ7" s="484"/>
      <c r="LUK7" s="484"/>
      <c r="LUL7" s="484"/>
      <c r="LUM7" s="484"/>
      <c r="LUN7" s="484"/>
      <c r="LUO7" s="484"/>
      <c r="LUP7" s="484"/>
      <c r="LUQ7" s="484"/>
      <c r="LUR7" s="484"/>
      <c r="LUS7" s="484"/>
      <c r="LUT7" s="484"/>
      <c r="LUU7" s="484"/>
      <c r="LUV7" s="484"/>
      <c r="LUW7" s="484"/>
      <c r="LUX7" s="484"/>
      <c r="LUY7" s="484"/>
      <c r="LUZ7" s="484"/>
      <c r="LVA7" s="484"/>
      <c r="LVB7" s="484"/>
      <c r="LVC7" s="484"/>
      <c r="LVD7" s="484"/>
      <c r="LVE7" s="484"/>
      <c r="LVF7" s="484"/>
      <c r="LVG7" s="484"/>
      <c r="LVH7" s="484"/>
      <c r="LVI7" s="484"/>
      <c r="LVJ7" s="484"/>
      <c r="LVK7" s="484"/>
      <c r="LVL7" s="484"/>
      <c r="LVM7" s="484"/>
      <c r="LVN7" s="484"/>
      <c r="LVO7" s="484"/>
      <c r="LVP7" s="484"/>
      <c r="LVQ7" s="484"/>
      <c r="LVR7" s="484"/>
      <c r="LVS7" s="484"/>
      <c r="LVT7" s="484"/>
      <c r="LVU7" s="484"/>
      <c r="LVV7" s="484"/>
      <c r="LVW7" s="484"/>
      <c r="LVX7" s="484"/>
      <c r="LVY7" s="484"/>
      <c r="LVZ7" s="484"/>
      <c r="LWA7" s="484"/>
      <c r="LWB7" s="484"/>
      <c r="LWC7" s="484"/>
      <c r="LWD7" s="484"/>
      <c r="LWE7" s="484"/>
      <c r="LWF7" s="484"/>
      <c r="LWG7" s="484"/>
      <c r="LWH7" s="484"/>
      <c r="LWI7" s="484"/>
      <c r="LWJ7" s="484"/>
      <c r="LWK7" s="484"/>
      <c r="LWL7" s="484"/>
      <c r="LWM7" s="484"/>
      <c r="LWN7" s="484"/>
      <c r="LWO7" s="484"/>
      <c r="LWP7" s="484"/>
      <c r="LWQ7" s="484"/>
      <c r="LWR7" s="484"/>
      <c r="LWS7" s="484"/>
      <c r="LWT7" s="484"/>
      <c r="LWU7" s="484"/>
      <c r="LWV7" s="484"/>
      <c r="LWW7" s="484"/>
      <c r="LWX7" s="484"/>
      <c r="LWY7" s="484"/>
      <c r="LWZ7" s="484"/>
      <c r="LXA7" s="484"/>
      <c r="LXB7" s="484"/>
      <c r="LXC7" s="484"/>
      <c r="LXD7" s="484"/>
      <c r="LXE7" s="484"/>
      <c r="LXF7" s="484"/>
      <c r="LXG7" s="484"/>
      <c r="LXH7" s="484"/>
      <c r="LXI7" s="484"/>
      <c r="LXJ7" s="484"/>
      <c r="LXK7" s="484"/>
      <c r="LXL7" s="484"/>
      <c r="LXM7" s="484"/>
      <c r="LXN7" s="484"/>
      <c r="LXO7" s="484"/>
      <c r="LXP7" s="484"/>
      <c r="LXQ7" s="484"/>
      <c r="LXR7" s="484"/>
      <c r="LXS7" s="484"/>
      <c r="LXT7" s="484"/>
      <c r="LXU7" s="484"/>
      <c r="LXV7" s="484"/>
      <c r="LXW7" s="484"/>
      <c r="LXX7" s="484"/>
      <c r="LXY7" s="484"/>
      <c r="LXZ7" s="484"/>
      <c r="LYA7" s="484"/>
      <c r="LYB7" s="484"/>
      <c r="LYC7" s="484"/>
      <c r="LYD7" s="484"/>
      <c r="LYE7" s="484"/>
      <c r="LYF7" s="484"/>
      <c r="LYG7" s="484"/>
      <c r="LYH7" s="484"/>
      <c r="LYI7" s="484"/>
      <c r="LYJ7" s="484"/>
      <c r="LYK7" s="484"/>
      <c r="LYL7" s="484"/>
      <c r="LYM7" s="484"/>
      <c r="LYN7" s="484"/>
      <c r="LYO7" s="484"/>
      <c r="LYP7" s="484"/>
      <c r="LYQ7" s="484"/>
      <c r="LYR7" s="484"/>
      <c r="LYS7" s="484"/>
      <c r="LYT7" s="484"/>
      <c r="LYU7" s="484"/>
      <c r="LYV7" s="484"/>
      <c r="LYW7" s="484"/>
      <c r="LYX7" s="484"/>
      <c r="LYY7" s="484"/>
      <c r="LYZ7" s="484"/>
      <c r="LZA7" s="484"/>
      <c r="LZB7" s="484"/>
      <c r="LZC7" s="484"/>
      <c r="LZD7" s="484"/>
      <c r="LZE7" s="484"/>
      <c r="LZF7" s="484"/>
      <c r="LZG7" s="484"/>
      <c r="LZH7" s="484"/>
      <c r="LZI7" s="484"/>
      <c r="LZJ7" s="484"/>
      <c r="LZK7" s="484"/>
      <c r="LZL7" s="484"/>
      <c r="LZM7" s="484"/>
      <c r="LZN7" s="484"/>
      <c r="LZO7" s="484"/>
      <c r="LZP7" s="484"/>
      <c r="LZQ7" s="484"/>
      <c r="LZR7" s="484"/>
      <c r="LZS7" s="484"/>
      <c r="LZT7" s="484"/>
      <c r="LZU7" s="484"/>
      <c r="LZV7" s="484"/>
      <c r="LZW7" s="484"/>
      <c r="LZX7" s="484"/>
      <c r="LZY7" s="484"/>
      <c r="LZZ7" s="484"/>
      <c r="MAA7" s="484"/>
      <c r="MAB7" s="484"/>
      <c r="MAC7" s="484"/>
      <c r="MAD7" s="484"/>
      <c r="MAE7" s="484"/>
      <c r="MAF7" s="484"/>
      <c r="MAG7" s="484"/>
      <c r="MAH7" s="484"/>
      <c r="MAI7" s="484"/>
      <c r="MAJ7" s="484"/>
      <c r="MAK7" s="484"/>
      <c r="MAL7" s="484"/>
      <c r="MAM7" s="484"/>
      <c r="MAN7" s="484"/>
      <c r="MAO7" s="484"/>
      <c r="MAP7" s="484"/>
      <c r="MAQ7" s="484"/>
      <c r="MAR7" s="484"/>
      <c r="MAS7" s="484"/>
      <c r="MAT7" s="484"/>
      <c r="MAU7" s="484"/>
      <c r="MAV7" s="484"/>
      <c r="MAW7" s="484"/>
      <c r="MAX7" s="484"/>
      <c r="MAY7" s="484"/>
      <c r="MAZ7" s="484"/>
      <c r="MBA7" s="484"/>
      <c r="MBB7" s="484"/>
      <c r="MBC7" s="484"/>
      <c r="MBD7" s="484"/>
      <c r="MBE7" s="484"/>
      <c r="MBF7" s="484"/>
      <c r="MBG7" s="484"/>
      <c r="MBH7" s="484"/>
      <c r="MBI7" s="484"/>
      <c r="MBJ7" s="484"/>
      <c r="MBK7" s="484"/>
      <c r="MBL7" s="484"/>
      <c r="MBM7" s="484"/>
      <c r="MBN7" s="484"/>
      <c r="MBO7" s="484"/>
      <c r="MBP7" s="484"/>
      <c r="MBQ7" s="484"/>
      <c r="MBR7" s="484"/>
      <c r="MBS7" s="484"/>
      <c r="MBT7" s="484"/>
      <c r="MBU7" s="484"/>
      <c r="MBV7" s="484"/>
      <c r="MBW7" s="484"/>
      <c r="MBX7" s="484"/>
      <c r="MBY7" s="484"/>
      <c r="MBZ7" s="484"/>
      <c r="MCA7" s="484"/>
      <c r="MCB7" s="484"/>
      <c r="MCC7" s="484"/>
      <c r="MCD7" s="484"/>
      <c r="MCE7" s="484"/>
      <c r="MCF7" s="484"/>
      <c r="MCG7" s="484"/>
      <c r="MCH7" s="484"/>
      <c r="MCI7" s="484"/>
      <c r="MCJ7" s="484"/>
      <c r="MCK7" s="484"/>
      <c r="MCL7" s="484"/>
      <c r="MCM7" s="484"/>
      <c r="MCN7" s="484"/>
      <c r="MCO7" s="484"/>
      <c r="MCP7" s="484"/>
      <c r="MCQ7" s="484"/>
      <c r="MCR7" s="484"/>
      <c r="MCS7" s="484"/>
      <c r="MCT7" s="484"/>
      <c r="MCU7" s="484"/>
      <c r="MCV7" s="484"/>
      <c r="MCW7" s="484"/>
      <c r="MCX7" s="484"/>
      <c r="MCY7" s="484"/>
      <c r="MCZ7" s="484"/>
      <c r="MDA7" s="484"/>
      <c r="MDB7" s="484"/>
      <c r="MDC7" s="484"/>
      <c r="MDD7" s="484"/>
      <c r="MDE7" s="484"/>
      <c r="MDF7" s="484"/>
      <c r="MDG7" s="484"/>
      <c r="MDH7" s="484"/>
      <c r="MDI7" s="484"/>
      <c r="MDJ7" s="484"/>
      <c r="MDK7" s="484"/>
      <c r="MDL7" s="484"/>
      <c r="MDM7" s="484"/>
      <c r="MDN7" s="484"/>
      <c r="MDO7" s="484"/>
      <c r="MDP7" s="484"/>
      <c r="MDQ7" s="484"/>
      <c r="MDR7" s="484"/>
      <c r="MDS7" s="484"/>
      <c r="MDT7" s="484"/>
      <c r="MDU7" s="484"/>
      <c r="MDV7" s="484"/>
      <c r="MDW7" s="484"/>
      <c r="MDX7" s="484"/>
      <c r="MDY7" s="484"/>
      <c r="MDZ7" s="484"/>
      <c r="MEA7" s="484"/>
      <c r="MEB7" s="484"/>
      <c r="MEC7" s="484"/>
      <c r="MED7" s="484"/>
      <c r="MEE7" s="484"/>
      <c r="MEF7" s="484"/>
      <c r="MEG7" s="484"/>
      <c r="MEH7" s="484"/>
      <c r="MEI7" s="484"/>
      <c r="MEJ7" s="484"/>
      <c r="MEK7" s="484"/>
      <c r="MEL7" s="484"/>
      <c r="MEM7" s="484"/>
      <c r="MEN7" s="484"/>
      <c r="MEO7" s="484"/>
      <c r="MEP7" s="484"/>
      <c r="MEQ7" s="484"/>
      <c r="MER7" s="484"/>
      <c r="MES7" s="484"/>
      <c r="MET7" s="484"/>
      <c r="MEU7" s="484"/>
      <c r="MEV7" s="484"/>
      <c r="MEW7" s="484"/>
      <c r="MEX7" s="484"/>
      <c r="MEY7" s="484"/>
      <c r="MEZ7" s="484"/>
      <c r="MFA7" s="484"/>
      <c r="MFB7" s="484"/>
      <c r="MFC7" s="484"/>
      <c r="MFD7" s="484"/>
      <c r="MFE7" s="484"/>
      <c r="MFF7" s="484"/>
      <c r="MFG7" s="484"/>
      <c r="MFH7" s="484"/>
      <c r="MFI7" s="484"/>
      <c r="MFJ7" s="484"/>
      <c r="MFK7" s="484"/>
      <c r="MFL7" s="484"/>
      <c r="MFM7" s="484"/>
      <c r="MFN7" s="484"/>
      <c r="MFO7" s="484"/>
      <c r="MFP7" s="484"/>
      <c r="MFQ7" s="484"/>
      <c r="MFR7" s="484"/>
      <c r="MFS7" s="484"/>
      <c r="MFT7" s="484"/>
      <c r="MFU7" s="484"/>
      <c r="MFV7" s="484"/>
      <c r="MFW7" s="484"/>
      <c r="MFX7" s="484"/>
      <c r="MFY7" s="484"/>
      <c r="MFZ7" s="484"/>
      <c r="MGA7" s="484"/>
      <c r="MGB7" s="484"/>
      <c r="MGC7" s="484"/>
      <c r="MGD7" s="484"/>
      <c r="MGE7" s="484"/>
      <c r="MGF7" s="484"/>
      <c r="MGG7" s="484"/>
      <c r="MGH7" s="484"/>
      <c r="MGI7" s="484"/>
      <c r="MGJ7" s="484"/>
      <c r="MGK7" s="484"/>
      <c r="MGL7" s="484"/>
      <c r="MGM7" s="484"/>
      <c r="MGN7" s="484"/>
      <c r="MGO7" s="484"/>
      <c r="MGP7" s="484"/>
      <c r="MGQ7" s="484"/>
      <c r="MGR7" s="484"/>
      <c r="MGS7" s="484"/>
      <c r="MGT7" s="484"/>
      <c r="MGU7" s="484"/>
      <c r="MGV7" s="484"/>
      <c r="MGW7" s="484"/>
      <c r="MGX7" s="484"/>
      <c r="MGY7" s="484"/>
      <c r="MGZ7" s="484"/>
      <c r="MHA7" s="484"/>
      <c r="MHB7" s="484"/>
      <c r="MHC7" s="484"/>
      <c r="MHD7" s="484"/>
      <c r="MHE7" s="484"/>
      <c r="MHF7" s="484"/>
      <c r="MHG7" s="484"/>
      <c r="MHH7" s="484"/>
      <c r="MHI7" s="484"/>
      <c r="MHJ7" s="484"/>
      <c r="MHK7" s="484"/>
      <c r="MHL7" s="484"/>
      <c r="MHM7" s="484"/>
      <c r="MHN7" s="484"/>
      <c r="MHO7" s="484"/>
      <c r="MHP7" s="484"/>
      <c r="MHQ7" s="484"/>
      <c r="MHR7" s="484"/>
      <c r="MHS7" s="484"/>
      <c r="MHT7" s="484"/>
      <c r="MHU7" s="484"/>
      <c r="MHV7" s="484"/>
      <c r="MHW7" s="484"/>
      <c r="MHX7" s="484"/>
      <c r="MHY7" s="484"/>
      <c r="MHZ7" s="484"/>
      <c r="MIA7" s="484"/>
      <c r="MIB7" s="484"/>
      <c r="MIC7" s="484"/>
      <c r="MID7" s="484"/>
      <c r="MIE7" s="484"/>
      <c r="MIF7" s="484"/>
      <c r="MIG7" s="484"/>
      <c r="MIH7" s="484"/>
      <c r="MII7" s="484"/>
      <c r="MIJ7" s="484"/>
      <c r="MIK7" s="484"/>
      <c r="MIL7" s="484"/>
      <c r="MIM7" s="484"/>
      <c r="MIN7" s="484"/>
      <c r="MIO7" s="484"/>
      <c r="MIP7" s="484"/>
      <c r="MIQ7" s="484"/>
      <c r="MIR7" s="484"/>
      <c r="MIS7" s="484"/>
      <c r="MIT7" s="484"/>
      <c r="MIU7" s="484"/>
      <c r="MIV7" s="484"/>
      <c r="MIW7" s="484"/>
      <c r="MIX7" s="484"/>
      <c r="MIY7" s="484"/>
      <c r="MIZ7" s="484"/>
      <c r="MJA7" s="484"/>
      <c r="MJB7" s="484"/>
      <c r="MJC7" s="484"/>
      <c r="MJD7" s="484"/>
      <c r="MJE7" s="484"/>
      <c r="MJF7" s="484"/>
      <c r="MJG7" s="484"/>
      <c r="MJH7" s="484"/>
      <c r="MJI7" s="484"/>
      <c r="MJJ7" s="484"/>
      <c r="MJK7" s="484"/>
      <c r="MJL7" s="484"/>
      <c r="MJM7" s="484"/>
      <c r="MJN7" s="484"/>
      <c r="MJO7" s="484"/>
      <c r="MJP7" s="484"/>
      <c r="MJQ7" s="484"/>
      <c r="MJR7" s="484"/>
      <c r="MJS7" s="484"/>
      <c r="MJT7" s="484"/>
      <c r="MJU7" s="484"/>
      <c r="MJV7" s="484"/>
      <c r="MJW7" s="484"/>
      <c r="MJX7" s="484"/>
      <c r="MJY7" s="484"/>
      <c r="MJZ7" s="484"/>
      <c r="MKA7" s="484"/>
      <c r="MKB7" s="484"/>
      <c r="MKC7" s="484"/>
      <c r="MKD7" s="484"/>
      <c r="MKE7" s="484"/>
      <c r="MKF7" s="484"/>
      <c r="MKG7" s="484"/>
      <c r="MKH7" s="484"/>
      <c r="MKI7" s="484"/>
      <c r="MKJ7" s="484"/>
      <c r="MKK7" s="484"/>
      <c r="MKL7" s="484"/>
      <c r="MKM7" s="484"/>
      <c r="MKN7" s="484"/>
      <c r="MKO7" s="484"/>
      <c r="MKP7" s="484"/>
      <c r="MKQ7" s="484"/>
      <c r="MKR7" s="484"/>
      <c r="MKS7" s="484"/>
      <c r="MKT7" s="484"/>
      <c r="MKU7" s="484"/>
      <c r="MKV7" s="484"/>
      <c r="MKW7" s="484"/>
      <c r="MKX7" s="484"/>
      <c r="MKY7" s="484"/>
      <c r="MKZ7" s="484"/>
      <c r="MLA7" s="484"/>
      <c r="MLB7" s="484"/>
      <c r="MLC7" s="484"/>
      <c r="MLD7" s="484"/>
      <c r="MLE7" s="484"/>
      <c r="MLF7" s="484"/>
      <c r="MLG7" s="484"/>
      <c r="MLH7" s="484"/>
      <c r="MLI7" s="484"/>
      <c r="MLJ7" s="484"/>
      <c r="MLK7" s="484"/>
      <c r="MLL7" s="484"/>
      <c r="MLM7" s="484"/>
      <c r="MLN7" s="484"/>
      <c r="MLO7" s="484"/>
      <c r="MLP7" s="484"/>
      <c r="MLQ7" s="484"/>
      <c r="MLR7" s="484"/>
      <c r="MLS7" s="484"/>
      <c r="MLT7" s="484"/>
      <c r="MLU7" s="484"/>
      <c r="MLV7" s="484"/>
      <c r="MLW7" s="484"/>
      <c r="MLX7" s="484"/>
      <c r="MLY7" s="484"/>
      <c r="MLZ7" s="484"/>
      <c r="MMA7" s="484"/>
      <c r="MMB7" s="484"/>
      <c r="MMC7" s="484"/>
      <c r="MMD7" s="484"/>
      <c r="MME7" s="484"/>
      <c r="MMF7" s="484"/>
      <c r="MMG7" s="484"/>
      <c r="MMH7" s="484"/>
      <c r="MMI7" s="484"/>
      <c r="MMJ7" s="484"/>
      <c r="MMK7" s="484"/>
      <c r="MML7" s="484"/>
      <c r="MMM7" s="484"/>
      <c r="MMN7" s="484"/>
      <c r="MMO7" s="484"/>
      <c r="MMP7" s="484"/>
      <c r="MMQ7" s="484"/>
      <c r="MMR7" s="484"/>
      <c r="MMS7" s="484"/>
      <c r="MMT7" s="484"/>
      <c r="MMU7" s="484"/>
      <c r="MMV7" s="484"/>
      <c r="MMW7" s="484"/>
      <c r="MMX7" s="484"/>
      <c r="MMY7" s="484"/>
      <c r="MMZ7" s="484"/>
      <c r="MNA7" s="484"/>
      <c r="MNB7" s="484"/>
      <c r="MNC7" s="484"/>
      <c r="MND7" s="484"/>
      <c r="MNE7" s="484"/>
      <c r="MNF7" s="484"/>
      <c r="MNG7" s="484"/>
      <c r="MNH7" s="484"/>
      <c r="MNI7" s="484"/>
      <c r="MNJ7" s="484"/>
      <c r="MNK7" s="484"/>
      <c r="MNL7" s="484"/>
      <c r="MNM7" s="484"/>
      <c r="MNN7" s="484"/>
      <c r="MNO7" s="484"/>
      <c r="MNP7" s="484"/>
      <c r="MNQ7" s="484"/>
      <c r="MNR7" s="484"/>
      <c r="MNS7" s="484"/>
      <c r="MNT7" s="484"/>
      <c r="MNU7" s="484"/>
      <c r="MNV7" s="484"/>
      <c r="MNW7" s="484"/>
      <c r="MNX7" s="484"/>
      <c r="MNY7" s="484"/>
      <c r="MNZ7" s="484"/>
      <c r="MOA7" s="484"/>
      <c r="MOB7" s="484"/>
      <c r="MOC7" s="484"/>
      <c r="MOD7" s="484"/>
      <c r="MOE7" s="484"/>
      <c r="MOF7" s="484"/>
      <c r="MOG7" s="484"/>
      <c r="MOH7" s="484"/>
      <c r="MOI7" s="484"/>
      <c r="MOJ7" s="484"/>
      <c r="MOK7" s="484"/>
      <c r="MOL7" s="484"/>
      <c r="MOM7" s="484"/>
      <c r="MON7" s="484"/>
      <c r="MOO7" s="484"/>
      <c r="MOP7" s="484"/>
      <c r="MOQ7" s="484"/>
      <c r="MOR7" s="484"/>
      <c r="MOS7" s="484"/>
      <c r="MOT7" s="484"/>
      <c r="MOU7" s="484"/>
      <c r="MOV7" s="484"/>
      <c r="MOW7" s="484"/>
      <c r="MOX7" s="484"/>
      <c r="MOY7" s="484"/>
      <c r="MOZ7" s="484"/>
      <c r="MPA7" s="484"/>
      <c r="MPB7" s="484"/>
      <c r="MPC7" s="484"/>
      <c r="MPD7" s="484"/>
      <c r="MPE7" s="484"/>
      <c r="MPF7" s="484"/>
      <c r="MPG7" s="484"/>
      <c r="MPH7" s="484"/>
      <c r="MPI7" s="484"/>
      <c r="MPJ7" s="484"/>
      <c r="MPK7" s="484"/>
      <c r="MPL7" s="484"/>
      <c r="MPM7" s="484"/>
      <c r="MPN7" s="484"/>
      <c r="MPO7" s="484"/>
      <c r="MPP7" s="484"/>
      <c r="MPQ7" s="484"/>
      <c r="MPR7" s="484"/>
      <c r="MPS7" s="484"/>
      <c r="MPT7" s="484"/>
      <c r="MPU7" s="484"/>
      <c r="MPV7" s="484"/>
      <c r="MPW7" s="484"/>
      <c r="MPX7" s="484"/>
      <c r="MPY7" s="484"/>
      <c r="MPZ7" s="484"/>
      <c r="MQA7" s="484"/>
      <c r="MQB7" s="484"/>
      <c r="MQC7" s="484"/>
      <c r="MQD7" s="484"/>
      <c r="MQE7" s="484"/>
      <c r="MQF7" s="484"/>
      <c r="MQG7" s="484"/>
      <c r="MQH7" s="484"/>
      <c r="MQI7" s="484"/>
      <c r="MQJ7" s="484"/>
      <c r="MQK7" s="484"/>
      <c r="MQL7" s="484"/>
      <c r="MQM7" s="484"/>
      <c r="MQN7" s="484"/>
      <c r="MQO7" s="484"/>
      <c r="MQP7" s="484"/>
      <c r="MQQ7" s="484"/>
      <c r="MQR7" s="484"/>
      <c r="MQS7" s="484"/>
      <c r="MQT7" s="484"/>
      <c r="MQU7" s="484"/>
      <c r="MQV7" s="484"/>
      <c r="MQW7" s="484"/>
      <c r="MQX7" s="484"/>
      <c r="MQY7" s="484"/>
      <c r="MQZ7" s="484"/>
      <c r="MRA7" s="484"/>
      <c r="MRB7" s="484"/>
      <c r="MRC7" s="484"/>
      <c r="MRD7" s="484"/>
      <c r="MRE7" s="484"/>
      <c r="MRF7" s="484"/>
      <c r="MRG7" s="484"/>
      <c r="MRH7" s="484"/>
      <c r="MRI7" s="484"/>
      <c r="MRJ7" s="484"/>
      <c r="MRK7" s="484"/>
      <c r="MRL7" s="484"/>
      <c r="MRM7" s="484"/>
      <c r="MRN7" s="484"/>
      <c r="MRO7" s="484"/>
      <c r="MRP7" s="484"/>
      <c r="MRQ7" s="484"/>
      <c r="MRR7" s="484"/>
      <c r="MRS7" s="484"/>
      <c r="MRT7" s="484"/>
      <c r="MRU7" s="484"/>
      <c r="MRV7" s="484"/>
      <c r="MRW7" s="484"/>
      <c r="MRX7" s="484"/>
      <c r="MRY7" s="484"/>
      <c r="MRZ7" s="484"/>
      <c r="MSA7" s="484"/>
      <c r="MSB7" s="484"/>
      <c r="MSC7" s="484"/>
      <c r="MSD7" s="484"/>
      <c r="MSE7" s="484"/>
      <c r="MSF7" s="484"/>
      <c r="MSG7" s="484"/>
      <c r="MSH7" s="484"/>
      <c r="MSI7" s="484"/>
      <c r="MSJ7" s="484"/>
      <c r="MSK7" s="484"/>
      <c r="MSL7" s="484"/>
      <c r="MSM7" s="484"/>
      <c r="MSN7" s="484"/>
      <c r="MSO7" s="484"/>
      <c r="MSP7" s="484"/>
      <c r="MSQ7" s="484"/>
      <c r="MSR7" s="484"/>
      <c r="MSS7" s="484"/>
      <c r="MST7" s="484"/>
      <c r="MSU7" s="484"/>
      <c r="MSV7" s="484"/>
      <c r="MSW7" s="484"/>
      <c r="MSX7" s="484"/>
      <c r="MSY7" s="484"/>
      <c r="MSZ7" s="484"/>
      <c r="MTA7" s="484"/>
      <c r="MTB7" s="484"/>
      <c r="MTC7" s="484"/>
      <c r="MTD7" s="484"/>
      <c r="MTE7" s="484"/>
      <c r="MTF7" s="484"/>
      <c r="MTG7" s="484"/>
      <c r="MTH7" s="484"/>
      <c r="MTI7" s="484"/>
      <c r="MTJ7" s="484"/>
      <c r="MTK7" s="484"/>
      <c r="MTL7" s="484"/>
      <c r="MTM7" s="484"/>
      <c r="MTN7" s="484"/>
      <c r="MTO7" s="484"/>
      <c r="MTP7" s="484"/>
      <c r="MTQ7" s="484"/>
      <c r="MTR7" s="484"/>
      <c r="MTS7" s="484"/>
      <c r="MTT7" s="484"/>
      <c r="MTU7" s="484"/>
      <c r="MTV7" s="484"/>
      <c r="MTW7" s="484"/>
      <c r="MTX7" s="484"/>
      <c r="MTY7" s="484"/>
      <c r="MTZ7" s="484"/>
      <c r="MUA7" s="484"/>
      <c r="MUB7" s="484"/>
      <c r="MUC7" s="484"/>
      <c r="MUD7" s="484"/>
      <c r="MUE7" s="484"/>
      <c r="MUF7" s="484"/>
      <c r="MUG7" s="484"/>
      <c r="MUH7" s="484"/>
      <c r="MUI7" s="484"/>
      <c r="MUJ7" s="484"/>
      <c r="MUK7" s="484"/>
      <c r="MUL7" s="484"/>
      <c r="MUM7" s="484"/>
      <c r="MUN7" s="484"/>
      <c r="MUO7" s="484"/>
      <c r="MUP7" s="484"/>
      <c r="MUQ7" s="484"/>
      <c r="MUR7" s="484"/>
      <c r="MUS7" s="484"/>
      <c r="MUT7" s="484"/>
      <c r="MUU7" s="484"/>
      <c r="MUV7" s="484"/>
      <c r="MUW7" s="484"/>
      <c r="MUX7" s="484"/>
      <c r="MUY7" s="484"/>
      <c r="MUZ7" s="484"/>
      <c r="MVA7" s="484"/>
      <c r="MVB7" s="484"/>
      <c r="MVC7" s="484"/>
      <c r="MVD7" s="484"/>
      <c r="MVE7" s="484"/>
      <c r="MVF7" s="484"/>
      <c r="MVG7" s="484"/>
      <c r="MVH7" s="484"/>
      <c r="MVI7" s="484"/>
      <c r="MVJ7" s="484"/>
      <c r="MVK7" s="484"/>
      <c r="MVL7" s="484"/>
      <c r="MVM7" s="484"/>
      <c r="MVN7" s="484"/>
      <c r="MVO7" s="484"/>
      <c r="MVP7" s="484"/>
      <c r="MVQ7" s="484"/>
      <c r="MVR7" s="484"/>
      <c r="MVS7" s="484"/>
      <c r="MVT7" s="484"/>
      <c r="MVU7" s="484"/>
      <c r="MVV7" s="484"/>
      <c r="MVW7" s="484"/>
      <c r="MVX7" s="484"/>
      <c r="MVY7" s="484"/>
      <c r="MVZ7" s="484"/>
      <c r="MWA7" s="484"/>
      <c r="MWB7" s="484"/>
      <c r="MWC7" s="484"/>
      <c r="MWD7" s="484"/>
      <c r="MWE7" s="484"/>
      <c r="MWF7" s="484"/>
      <c r="MWG7" s="484"/>
      <c r="MWH7" s="484"/>
      <c r="MWI7" s="484"/>
      <c r="MWJ7" s="484"/>
      <c r="MWK7" s="484"/>
      <c r="MWL7" s="484"/>
      <c r="MWM7" s="484"/>
      <c r="MWN7" s="484"/>
      <c r="MWO7" s="484"/>
      <c r="MWP7" s="484"/>
      <c r="MWQ7" s="484"/>
      <c r="MWR7" s="484"/>
      <c r="MWS7" s="484"/>
      <c r="MWT7" s="484"/>
      <c r="MWU7" s="484"/>
      <c r="MWV7" s="484"/>
      <c r="MWW7" s="484"/>
      <c r="MWX7" s="484"/>
      <c r="MWY7" s="484"/>
      <c r="MWZ7" s="484"/>
      <c r="MXA7" s="484"/>
      <c r="MXB7" s="484"/>
      <c r="MXC7" s="484"/>
      <c r="MXD7" s="484"/>
      <c r="MXE7" s="484"/>
      <c r="MXF7" s="484"/>
      <c r="MXG7" s="484"/>
      <c r="MXH7" s="484"/>
      <c r="MXI7" s="484"/>
      <c r="MXJ7" s="484"/>
      <c r="MXK7" s="484"/>
      <c r="MXL7" s="484"/>
      <c r="MXM7" s="484"/>
      <c r="MXN7" s="484"/>
      <c r="MXO7" s="484"/>
      <c r="MXP7" s="484"/>
      <c r="MXQ7" s="484"/>
      <c r="MXR7" s="484"/>
      <c r="MXS7" s="484"/>
      <c r="MXT7" s="484"/>
      <c r="MXU7" s="484"/>
      <c r="MXV7" s="484"/>
      <c r="MXW7" s="484"/>
      <c r="MXX7" s="484"/>
      <c r="MXY7" s="484"/>
      <c r="MXZ7" s="484"/>
      <c r="MYA7" s="484"/>
      <c r="MYB7" s="484"/>
      <c r="MYC7" s="484"/>
      <c r="MYD7" s="484"/>
      <c r="MYE7" s="484"/>
      <c r="MYF7" s="484"/>
      <c r="MYG7" s="484"/>
      <c r="MYH7" s="484"/>
      <c r="MYI7" s="484"/>
      <c r="MYJ7" s="484"/>
      <c r="MYK7" s="484"/>
      <c r="MYL7" s="484"/>
      <c r="MYM7" s="484"/>
      <c r="MYN7" s="484"/>
      <c r="MYO7" s="484"/>
      <c r="MYP7" s="484"/>
      <c r="MYQ7" s="484"/>
      <c r="MYR7" s="484"/>
      <c r="MYS7" s="484"/>
      <c r="MYT7" s="484"/>
      <c r="MYU7" s="484"/>
      <c r="MYV7" s="484"/>
      <c r="MYW7" s="484"/>
      <c r="MYX7" s="484"/>
      <c r="MYY7" s="484"/>
      <c r="MYZ7" s="484"/>
      <c r="MZA7" s="484"/>
      <c r="MZB7" s="484"/>
      <c r="MZC7" s="484"/>
      <c r="MZD7" s="484"/>
      <c r="MZE7" s="484"/>
      <c r="MZF7" s="484"/>
      <c r="MZG7" s="484"/>
      <c r="MZH7" s="484"/>
      <c r="MZI7" s="484"/>
      <c r="MZJ7" s="484"/>
      <c r="MZK7" s="484"/>
      <c r="MZL7" s="484"/>
      <c r="MZM7" s="484"/>
      <c r="MZN7" s="484"/>
      <c r="MZO7" s="484"/>
      <c r="MZP7" s="484"/>
      <c r="MZQ7" s="484"/>
      <c r="MZR7" s="484"/>
      <c r="MZS7" s="484"/>
      <c r="MZT7" s="484"/>
      <c r="MZU7" s="484"/>
      <c r="MZV7" s="484"/>
      <c r="MZW7" s="484"/>
      <c r="MZX7" s="484"/>
      <c r="MZY7" s="484"/>
      <c r="MZZ7" s="484"/>
      <c r="NAA7" s="484"/>
      <c r="NAB7" s="484"/>
      <c r="NAC7" s="484"/>
      <c r="NAD7" s="484"/>
      <c r="NAE7" s="484"/>
      <c r="NAF7" s="484"/>
      <c r="NAG7" s="484"/>
      <c r="NAH7" s="484"/>
      <c r="NAI7" s="484"/>
      <c r="NAJ7" s="484"/>
      <c r="NAK7" s="484"/>
      <c r="NAL7" s="484"/>
      <c r="NAM7" s="484"/>
      <c r="NAN7" s="484"/>
      <c r="NAO7" s="484"/>
      <c r="NAP7" s="484"/>
      <c r="NAQ7" s="484"/>
      <c r="NAR7" s="484"/>
      <c r="NAS7" s="484"/>
      <c r="NAT7" s="484"/>
      <c r="NAU7" s="484"/>
      <c r="NAV7" s="484"/>
      <c r="NAW7" s="484"/>
      <c r="NAX7" s="484"/>
      <c r="NAY7" s="484"/>
      <c r="NAZ7" s="484"/>
      <c r="NBA7" s="484"/>
      <c r="NBB7" s="484"/>
      <c r="NBC7" s="484"/>
      <c r="NBD7" s="484"/>
      <c r="NBE7" s="484"/>
      <c r="NBF7" s="484"/>
      <c r="NBG7" s="484"/>
      <c r="NBH7" s="484"/>
      <c r="NBI7" s="484"/>
      <c r="NBJ7" s="484"/>
      <c r="NBK7" s="484"/>
      <c r="NBL7" s="484"/>
      <c r="NBM7" s="484"/>
      <c r="NBN7" s="484"/>
      <c r="NBO7" s="484"/>
      <c r="NBP7" s="484"/>
      <c r="NBQ7" s="484"/>
      <c r="NBR7" s="484"/>
      <c r="NBS7" s="484"/>
      <c r="NBT7" s="484"/>
      <c r="NBU7" s="484"/>
      <c r="NBV7" s="484"/>
      <c r="NBW7" s="484"/>
      <c r="NBX7" s="484"/>
      <c r="NBY7" s="484"/>
      <c r="NBZ7" s="484"/>
      <c r="NCA7" s="484"/>
      <c r="NCB7" s="484"/>
      <c r="NCC7" s="484"/>
      <c r="NCD7" s="484"/>
      <c r="NCE7" s="484"/>
      <c r="NCF7" s="484"/>
      <c r="NCG7" s="484"/>
      <c r="NCH7" s="484"/>
      <c r="NCI7" s="484"/>
      <c r="NCJ7" s="484"/>
      <c r="NCK7" s="484"/>
      <c r="NCL7" s="484"/>
      <c r="NCM7" s="484"/>
      <c r="NCN7" s="484"/>
      <c r="NCO7" s="484"/>
      <c r="NCP7" s="484"/>
      <c r="NCQ7" s="484"/>
      <c r="NCR7" s="484"/>
      <c r="NCS7" s="484"/>
      <c r="NCT7" s="484"/>
      <c r="NCU7" s="484"/>
      <c r="NCV7" s="484"/>
      <c r="NCW7" s="484"/>
      <c r="NCX7" s="484"/>
      <c r="NCY7" s="484"/>
      <c r="NCZ7" s="484"/>
      <c r="NDA7" s="484"/>
      <c r="NDB7" s="484"/>
      <c r="NDC7" s="484"/>
      <c r="NDD7" s="484"/>
      <c r="NDE7" s="484"/>
      <c r="NDF7" s="484"/>
      <c r="NDG7" s="484"/>
      <c r="NDH7" s="484"/>
      <c r="NDI7" s="484"/>
      <c r="NDJ7" s="484"/>
      <c r="NDK7" s="484"/>
      <c r="NDL7" s="484"/>
      <c r="NDM7" s="484"/>
      <c r="NDN7" s="484"/>
      <c r="NDO7" s="484"/>
      <c r="NDP7" s="484"/>
      <c r="NDQ7" s="484"/>
      <c r="NDR7" s="484"/>
      <c r="NDS7" s="484"/>
      <c r="NDT7" s="484"/>
      <c r="NDU7" s="484"/>
      <c r="NDV7" s="484"/>
      <c r="NDW7" s="484"/>
      <c r="NDX7" s="484"/>
      <c r="NDY7" s="484"/>
      <c r="NDZ7" s="484"/>
      <c r="NEA7" s="484"/>
      <c r="NEB7" s="484"/>
      <c r="NEC7" s="484"/>
      <c r="NED7" s="484"/>
      <c r="NEE7" s="484"/>
      <c r="NEF7" s="484"/>
      <c r="NEG7" s="484"/>
      <c r="NEH7" s="484"/>
      <c r="NEI7" s="484"/>
      <c r="NEJ7" s="484"/>
      <c r="NEK7" s="484"/>
      <c r="NEL7" s="484"/>
      <c r="NEM7" s="484"/>
      <c r="NEN7" s="484"/>
      <c r="NEO7" s="484"/>
      <c r="NEP7" s="484"/>
      <c r="NEQ7" s="484"/>
      <c r="NER7" s="484"/>
      <c r="NES7" s="484"/>
      <c r="NET7" s="484"/>
      <c r="NEU7" s="484"/>
      <c r="NEV7" s="484"/>
      <c r="NEW7" s="484"/>
      <c r="NEX7" s="484"/>
      <c r="NEY7" s="484"/>
      <c r="NEZ7" s="484"/>
      <c r="NFA7" s="484"/>
      <c r="NFB7" s="484"/>
      <c r="NFC7" s="484"/>
      <c r="NFD7" s="484"/>
      <c r="NFE7" s="484"/>
      <c r="NFF7" s="484"/>
      <c r="NFG7" s="484"/>
      <c r="NFH7" s="484"/>
      <c r="NFI7" s="484"/>
      <c r="NFJ7" s="484"/>
      <c r="NFK7" s="484"/>
      <c r="NFL7" s="484"/>
      <c r="NFM7" s="484"/>
      <c r="NFN7" s="484"/>
      <c r="NFO7" s="484"/>
      <c r="NFP7" s="484"/>
      <c r="NFQ7" s="484"/>
      <c r="NFR7" s="484"/>
      <c r="NFS7" s="484"/>
      <c r="NFT7" s="484"/>
      <c r="NFU7" s="484"/>
      <c r="NFV7" s="484"/>
      <c r="NFW7" s="484"/>
      <c r="NFX7" s="484"/>
      <c r="NFY7" s="484"/>
      <c r="NFZ7" s="484"/>
      <c r="NGA7" s="484"/>
      <c r="NGB7" s="484"/>
      <c r="NGC7" s="484"/>
      <c r="NGD7" s="484"/>
      <c r="NGE7" s="484"/>
      <c r="NGF7" s="484"/>
      <c r="NGG7" s="484"/>
      <c r="NGH7" s="484"/>
      <c r="NGI7" s="484"/>
      <c r="NGJ7" s="484"/>
      <c r="NGK7" s="484"/>
      <c r="NGL7" s="484"/>
      <c r="NGM7" s="484"/>
      <c r="NGN7" s="484"/>
      <c r="NGO7" s="484"/>
      <c r="NGP7" s="484"/>
      <c r="NGQ7" s="484"/>
      <c r="NGR7" s="484"/>
      <c r="NGS7" s="484"/>
      <c r="NGT7" s="484"/>
      <c r="NGU7" s="484"/>
      <c r="NGV7" s="484"/>
      <c r="NGW7" s="484"/>
      <c r="NGX7" s="484"/>
      <c r="NGY7" s="484"/>
      <c r="NGZ7" s="484"/>
      <c r="NHA7" s="484"/>
      <c r="NHB7" s="484"/>
      <c r="NHC7" s="484"/>
      <c r="NHD7" s="484"/>
      <c r="NHE7" s="484"/>
      <c r="NHF7" s="484"/>
      <c r="NHG7" s="484"/>
      <c r="NHH7" s="484"/>
      <c r="NHI7" s="484"/>
      <c r="NHJ7" s="484"/>
      <c r="NHK7" s="484"/>
      <c r="NHL7" s="484"/>
      <c r="NHM7" s="484"/>
      <c r="NHN7" s="484"/>
      <c r="NHO7" s="484"/>
      <c r="NHP7" s="484"/>
      <c r="NHQ7" s="484"/>
      <c r="NHR7" s="484"/>
      <c r="NHS7" s="484"/>
      <c r="NHT7" s="484"/>
      <c r="NHU7" s="484"/>
      <c r="NHV7" s="484"/>
      <c r="NHW7" s="484"/>
      <c r="NHX7" s="484"/>
      <c r="NHY7" s="484"/>
      <c r="NHZ7" s="484"/>
      <c r="NIA7" s="484"/>
      <c r="NIB7" s="484"/>
      <c r="NIC7" s="484"/>
      <c r="NID7" s="484"/>
      <c r="NIE7" s="484"/>
      <c r="NIF7" s="484"/>
      <c r="NIG7" s="484"/>
      <c r="NIH7" s="484"/>
      <c r="NII7" s="484"/>
      <c r="NIJ7" s="484"/>
      <c r="NIK7" s="484"/>
      <c r="NIL7" s="484"/>
      <c r="NIM7" s="484"/>
      <c r="NIN7" s="484"/>
      <c r="NIO7" s="484"/>
      <c r="NIP7" s="484"/>
      <c r="NIQ7" s="484"/>
      <c r="NIR7" s="484"/>
      <c r="NIS7" s="484"/>
      <c r="NIT7" s="484"/>
      <c r="NIU7" s="484"/>
      <c r="NIV7" s="484"/>
      <c r="NIW7" s="484"/>
      <c r="NIX7" s="484"/>
      <c r="NIY7" s="484"/>
      <c r="NIZ7" s="484"/>
      <c r="NJA7" s="484"/>
      <c r="NJB7" s="484"/>
      <c r="NJC7" s="484"/>
      <c r="NJD7" s="484"/>
      <c r="NJE7" s="484"/>
      <c r="NJF7" s="484"/>
      <c r="NJG7" s="484"/>
      <c r="NJH7" s="484"/>
      <c r="NJI7" s="484"/>
      <c r="NJJ7" s="484"/>
      <c r="NJK7" s="484"/>
      <c r="NJL7" s="484"/>
      <c r="NJM7" s="484"/>
      <c r="NJN7" s="484"/>
      <c r="NJO7" s="484"/>
      <c r="NJP7" s="484"/>
      <c r="NJQ7" s="484"/>
      <c r="NJR7" s="484"/>
      <c r="NJS7" s="484"/>
      <c r="NJT7" s="484"/>
      <c r="NJU7" s="484"/>
      <c r="NJV7" s="484"/>
      <c r="NJW7" s="484"/>
      <c r="NJX7" s="484"/>
      <c r="NJY7" s="484"/>
      <c r="NJZ7" s="484"/>
      <c r="NKA7" s="484"/>
      <c r="NKB7" s="484"/>
      <c r="NKC7" s="484"/>
      <c r="NKD7" s="484"/>
      <c r="NKE7" s="484"/>
      <c r="NKF7" s="484"/>
      <c r="NKG7" s="484"/>
      <c r="NKH7" s="484"/>
      <c r="NKI7" s="484"/>
      <c r="NKJ7" s="484"/>
      <c r="NKK7" s="484"/>
      <c r="NKL7" s="484"/>
      <c r="NKM7" s="484"/>
      <c r="NKN7" s="484"/>
      <c r="NKO7" s="484"/>
      <c r="NKP7" s="484"/>
      <c r="NKQ7" s="484"/>
      <c r="NKR7" s="484"/>
      <c r="NKS7" s="484"/>
      <c r="NKT7" s="484"/>
      <c r="NKU7" s="484"/>
      <c r="NKV7" s="484"/>
      <c r="NKW7" s="484"/>
      <c r="NKX7" s="484"/>
      <c r="NKY7" s="484"/>
      <c r="NKZ7" s="484"/>
      <c r="NLA7" s="484"/>
      <c r="NLB7" s="484"/>
      <c r="NLC7" s="484"/>
      <c r="NLD7" s="484"/>
      <c r="NLE7" s="484"/>
      <c r="NLF7" s="484"/>
      <c r="NLG7" s="484"/>
      <c r="NLH7" s="484"/>
      <c r="NLI7" s="484"/>
      <c r="NLJ7" s="484"/>
      <c r="NLK7" s="484"/>
      <c r="NLL7" s="484"/>
      <c r="NLM7" s="484"/>
      <c r="NLN7" s="484"/>
      <c r="NLO7" s="484"/>
      <c r="NLP7" s="484"/>
      <c r="NLQ7" s="484"/>
      <c r="NLR7" s="484"/>
      <c r="NLS7" s="484"/>
      <c r="NLT7" s="484"/>
      <c r="NLU7" s="484"/>
      <c r="NLV7" s="484"/>
      <c r="NLW7" s="484"/>
      <c r="NLX7" s="484"/>
      <c r="NLY7" s="484"/>
      <c r="NLZ7" s="484"/>
      <c r="NMA7" s="484"/>
      <c r="NMB7" s="484"/>
      <c r="NMC7" s="484"/>
      <c r="NMD7" s="484"/>
      <c r="NME7" s="484"/>
      <c r="NMF7" s="484"/>
      <c r="NMG7" s="484"/>
      <c r="NMH7" s="484"/>
      <c r="NMI7" s="484"/>
      <c r="NMJ7" s="484"/>
      <c r="NMK7" s="484"/>
      <c r="NML7" s="484"/>
      <c r="NMM7" s="484"/>
      <c r="NMN7" s="484"/>
      <c r="NMO7" s="484"/>
      <c r="NMP7" s="484"/>
      <c r="NMQ7" s="484"/>
      <c r="NMR7" s="484"/>
      <c r="NMS7" s="484"/>
      <c r="NMT7" s="484"/>
      <c r="NMU7" s="484"/>
      <c r="NMV7" s="484"/>
      <c r="NMW7" s="484"/>
      <c r="NMX7" s="484"/>
      <c r="NMY7" s="484"/>
      <c r="NMZ7" s="484"/>
      <c r="NNA7" s="484"/>
      <c r="NNB7" s="484"/>
      <c r="NNC7" s="484"/>
      <c r="NND7" s="484"/>
      <c r="NNE7" s="484"/>
      <c r="NNF7" s="484"/>
      <c r="NNG7" s="484"/>
      <c r="NNH7" s="484"/>
      <c r="NNI7" s="484"/>
      <c r="NNJ7" s="484"/>
      <c r="NNK7" s="484"/>
      <c r="NNL7" s="484"/>
      <c r="NNM7" s="484"/>
      <c r="NNN7" s="484"/>
      <c r="NNO7" s="484"/>
      <c r="NNP7" s="484"/>
      <c r="NNQ7" s="484"/>
      <c r="NNR7" s="484"/>
      <c r="NNS7" s="484"/>
      <c r="NNT7" s="484"/>
      <c r="NNU7" s="484"/>
      <c r="NNV7" s="484"/>
      <c r="NNW7" s="484"/>
      <c r="NNX7" s="484"/>
      <c r="NNY7" s="484"/>
      <c r="NNZ7" s="484"/>
      <c r="NOA7" s="484"/>
      <c r="NOB7" s="484"/>
      <c r="NOC7" s="484"/>
      <c r="NOD7" s="484"/>
      <c r="NOE7" s="484"/>
      <c r="NOF7" s="484"/>
      <c r="NOG7" s="484"/>
      <c r="NOH7" s="484"/>
      <c r="NOI7" s="484"/>
      <c r="NOJ7" s="484"/>
      <c r="NOK7" s="484"/>
      <c r="NOL7" s="484"/>
      <c r="NOM7" s="484"/>
      <c r="NON7" s="484"/>
      <c r="NOO7" s="484"/>
      <c r="NOP7" s="484"/>
      <c r="NOQ7" s="484"/>
      <c r="NOR7" s="484"/>
      <c r="NOS7" s="484"/>
      <c r="NOT7" s="484"/>
      <c r="NOU7" s="484"/>
      <c r="NOV7" s="484"/>
      <c r="NOW7" s="484"/>
      <c r="NOX7" s="484"/>
      <c r="NOY7" s="484"/>
      <c r="NOZ7" s="484"/>
      <c r="NPA7" s="484"/>
      <c r="NPB7" s="484"/>
      <c r="NPC7" s="484"/>
      <c r="NPD7" s="484"/>
      <c r="NPE7" s="484"/>
      <c r="NPF7" s="484"/>
      <c r="NPG7" s="484"/>
      <c r="NPH7" s="484"/>
      <c r="NPI7" s="484"/>
      <c r="NPJ7" s="484"/>
      <c r="NPK7" s="484"/>
      <c r="NPL7" s="484"/>
      <c r="NPM7" s="484"/>
      <c r="NPN7" s="484"/>
      <c r="NPO7" s="484"/>
      <c r="NPP7" s="484"/>
      <c r="NPQ7" s="484"/>
      <c r="NPR7" s="484"/>
      <c r="NPS7" s="484"/>
      <c r="NPT7" s="484"/>
      <c r="NPU7" s="484"/>
      <c r="NPV7" s="484"/>
      <c r="NPW7" s="484"/>
      <c r="NPX7" s="484"/>
      <c r="NPY7" s="484"/>
      <c r="NPZ7" s="484"/>
      <c r="NQA7" s="484"/>
      <c r="NQB7" s="484"/>
      <c r="NQC7" s="484"/>
      <c r="NQD7" s="484"/>
      <c r="NQE7" s="484"/>
      <c r="NQF7" s="484"/>
      <c r="NQG7" s="484"/>
      <c r="NQH7" s="484"/>
      <c r="NQI7" s="484"/>
      <c r="NQJ7" s="484"/>
      <c r="NQK7" s="484"/>
      <c r="NQL7" s="484"/>
      <c r="NQM7" s="484"/>
      <c r="NQN7" s="484"/>
      <c r="NQO7" s="484"/>
      <c r="NQP7" s="484"/>
      <c r="NQQ7" s="484"/>
      <c r="NQR7" s="484"/>
      <c r="NQS7" s="484"/>
      <c r="NQT7" s="484"/>
      <c r="NQU7" s="484"/>
      <c r="NQV7" s="484"/>
      <c r="NQW7" s="484"/>
      <c r="NQX7" s="484"/>
      <c r="NQY7" s="484"/>
      <c r="NQZ7" s="484"/>
      <c r="NRA7" s="484"/>
      <c r="NRB7" s="484"/>
      <c r="NRC7" s="484"/>
      <c r="NRD7" s="484"/>
      <c r="NRE7" s="484"/>
      <c r="NRF7" s="484"/>
      <c r="NRG7" s="484"/>
      <c r="NRH7" s="484"/>
      <c r="NRI7" s="484"/>
      <c r="NRJ7" s="484"/>
      <c r="NRK7" s="484"/>
      <c r="NRL7" s="484"/>
      <c r="NRM7" s="484"/>
      <c r="NRN7" s="484"/>
      <c r="NRO7" s="484"/>
      <c r="NRP7" s="484"/>
      <c r="NRQ7" s="484"/>
      <c r="NRR7" s="484"/>
      <c r="NRS7" s="484"/>
      <c r="NRT7" s="484"/>
      <c r="NRU7" s="484"/>
      <c r="NRV7" s="484"/>
      <c r="NRW7" s="484"/>
      <c r="NRX7" s="484"/>
      <c r="NRY7" s="484"/>
      <c r="NRZ7" s="484"/>
      <c r="NSA7" s="484"/>
      <c r="NSB7" s="484"/>
      <c r="NSC7" s="484"/>
      <c r="NSD7" s="484"/>
      <c r="NSE7" s="484"/>
      <c r="NSF7" s="484"/>
      <c r="NSG7" s="484"/>
      <c r="NSH7" s="484"/>
      <c r="NSI7" s="484"/>
      <c r="NSJ7" s="484"/>
      <c r="NSK7" s="484"/>
      <c r="NSL7" s="484"/>
      <c r="NSM7" s="484"/>
      <c r="NSN7" s="484"/>
      <c r="NSO7" s="484"/>
      <c r="NSP7" s="484"/>
      <c r="NSQ7" s="484"/>
      <c r="NSR7" s="484"/>
      <c r="NSS7" s="484"/>
      <c r="NST7" s="484"/>
      <c r="NSU7" s="484"/>
      <c r="NSV7" s="484"/>
      <c r="NSW7" s="484"/>
      <c r="NSX7" s="484"/>
      <c r="NSY7" s="484"/>
      <c r="NSZ7" s="484"/>
      <c r="NTA7" s="484"/>
      <c r="NTB7" s="484"/>
      <c r="NTC7" s="484"/>
      <c r="NTD7" s="484"/>
      <c r="NTE7" s="484"/>
      <c r="NTF7" s="484"/>
      <c r="NTG7" s="484"/>
      <c r="NTH7" s="484"/>
      <c r="NTI7" s="484"/>
      <c r="NTJ7" s="484"/>
      <c r="NTK7" s="484"/>
      <c r="NTL7" s="484"/>
      <c r="NTM7" s="484"/>
      <c r="NTN7" s="484"/>
      <c r="NTO7" s="484"/>
      <c r="NTP7" s="484"/>
      <c r="NTQ7" s="484"/>
      <c r="NTR7" s="484"/>
      <c r="NTS7" s="484"/>
      <c r="NTT7" s="484"/>
      <c r="NTU7" s="484"/>
      <c r="NTV7" s="484"/>
      <c r="NTW7" s="484"/>
      <c r="NTX7" s="484"/>
      <c r="NTY7" s="484"/>
      <c r="NTZ7" s="484"/>
      <c r="NUA7" s="484"/>
      <c r="NUB7" s="484"/>
      <c r="NUC7" s="484"/>
      <c r="NUD7" s="484"/>
      <c r="NUE7" s="484"/>
      <c r="NUF7" s="484"/>
      <c r="NUG7" s="484"/>
      <c r="NUH7" s="484"/>
      <c r="NUI7" s="484"/>
      <c r="NUJ7" s="484"/>
      <c r="NUK7" s="484"/>
      <c r="NUL7" s="484"/>
      <c r="NUM7" s="484"/>
      <c r="NUN7" s="484"/>
      <c r="NUO7" s="484"/>
      <c r="NUP7" s="484"/>
      <c r="NUQ7" s="484"/>
      <c r="NUR7" s="484"/>
      <c r="NUS7" s="484"/>
      <c r="NUT7" s="484"/>
      <c r="NUU7" s="484"/>
      <c r="NUV7" s="484"/>
      <c r="NUW7" s="484"/>
      <c r="NUX7" s="484"/>
      <c r="NUY7" s="484"/>
      <c r="NUZ7" s="484"/>
      <c r="NVA7" s="484"/>
      <c r="NVB7" s="484"/>
      <c r="NVC7" s="484"/>
      <c r="NVD7" s="484"/>
      <c r="NVE7" s="484"/>
      <c r="NVF7" s="484"/>
      <c r="NVG7" s="484"/>
      <c r="NVH7" s="484"/>
      <c r="NVI7" s="484"/>
      <c r="NVJ7" s="484"/>
      <c r="NVK7" s="484"/>
      <c r="NVL7" s="484"/>
      <c r="NVM7" s="484"/>
      <c r="NVN7" s="484"/>
      <c r="NVO7" s="484"/>
      <c r="NVP7" s="484"/>
      <c r="NVQ7" s="484"/>
      <c r="NVR7" s="484"/>
      <c r="NVS7" s="484"/>
      <c r="NVT7" s="484"/>
      <c r="NVU7" s="484"/>
      <c r="NVV7" s="484"/>
      <c r="NVW7" s="484"/>
      <c r="NVX7" s="484"/>
      <c r="NVY7" s="484"/>
      <c r="NVZ7" s="484"/>
      <c r="NWA7" s="484"/>
      <c r="NWB7" s="484"/>
      <c r="NWC7" s="484"/>
      <c r="NWD7" s="484"/>
      <c r="NWE7" s="484"/>
      <c r="NWF7" s="484"/>
      <c r="NWG7" s="484"/>
      <c r="NWH7" s="484"/>
      <c r="NWI7" s="484"/>
      <c r="NWJ7" s="484"/>
      <c r="NWK7" s="484"/>
      <c r="NWL7" s="484"/>
      <c r="NWM7" s="484"/>
      <c r="NWN7" s="484"/>
      <c r="NWO7" s="484"/>
      <c r="NWP7" s="484"/>
      <c r="NWQ7" s="484"/>
      <c r="NWR7" s="484"/>
      <c r="NWS7" s="484"/>
      <c r="NWT7" s="484"/>
      <c r="NWU7" s="484"/>
      <c r="NWV7" s="484"/>
      <c r="NWW7" s="484"/>
      <c r="NWX7" s="484"/>
      <c r="NWY7" s="484"/>
      <c r="NWZ7" s="484"/>
      <c r="NXA7" s="484"/>
      <c r="NXB7" s="484"/>
      <c r="NXC7" s="484"/>
      <c r="NXD7" s="484"/>
      <c r="NXE7" s="484"/>
      <c r="NXF7" s="484"/>
      <c r="NXG7" s="484"/>
      <c r="NXH7" s="484"/>
      <c r="NXI7" s="484"/>
      <c r="NXJ7" s="484"/>
      <c r="NXK7" s="484"/>
      <c r="NXL7" s="484"/>
      <c r="NXM7" s="484"/>
      <c r="NXN7" s="484"/>
      <c r="NXO7" s="484"/>
      <c r="NXP7" s="484"/>
      <c r="NXQ7" s="484"/>
      <c r="NXR7" s="484"/>
      <c r="NXS7" s="484"/>
      <c r="NXT7" s="484"/>
      <c r="NXU7" s="484"/>
      <c r="NXV7" s="484"/>
      <c r="NXW7" s="484"/>
      <c r="NXX7" s="484"/>
      <c r="NXY7" s="484"/>
      <c r="NXZ7" s="484"/>
      <c r="NYA7" s="484"/>
      <c r="NYB7" s="484"/>
      <c r="NYC7" s="484"/>
      <c r="NYD7" s="484"/>
      <c r="NYE7" s="484"/>
      <c r="NYF7" s="484"/>
      <c r="NYG7" s="484"/>
      <c r="NYH7" s="484"/>
      <c r="NYI7" s="484"/>
      <c r="NYJ7" s="484"/>
      <c r="NYK7" s="484"/>
      <c r="NYL7" s="484"/>
      <c r="NYM7" s="484"/>
      <c r="NYN7" s="484"/>
      <c r="NYO7" s="484"/>
      <c r="NYP7" s="484"/>
      <c r="NYQ7" s="484"/>
      <c r="NYR7" s="484"/>
      <c r="NYS7" s="484"/>
      <c r="NYT7" s="484"/>
      <c r="NYU7" s="484"/>
      <c r="NYV7" s="484"/>
      <c r="NYW7" s="484"/>
      <c r="NYX7" s="484"/>
      <c r="NYY7" s="484"/>
      <c r="NYZ7" s="484"/>
      <c r="NZA7" s="484"/>
      <c r="NZB7" s="484"/>
      <c r="NZC7" s="484"/>
      <c r="NZD7" s="484"/>
      <c r="NZE7" s="484"/>
      <c r="NZF7" s="484"/>
      <c r="NZG7" s="484"/>
      <c r="NZH7" s="484"/>
      <c r="NZI7" s="484"/>
      <c r="NZJ7" s="484"/>
      <c r="NZK7" s="484"/>
      <c r="NZL7" s="484"/>
      <c r="NZM7" s="484"/>
      <c r="NZN7" s="484"/>
      <c r="NZO7" s="484"/>
      <c r="NZP7" s="484"/>
      <c r="NZQ7" s="484"/>
      <c r="NZR7" s="484"/>
      <c r="NZS7" s="484"/>
      <c r="NZT7" s="484"/>
      <c r="NZU7" s="484"/>
      <c r="NZV7" s="484"/>
      <c r="NZW7" s="484"/>
      <c r="NZX7" s="484"/>
      <c r="NZY7" s="484"/>
      <c r="NZZ7" s="484"/>
      <c r="OAA7" s="484"/>
      <c r="OAB7" s="484"/>
      <c r="OAC7" s="484"/>
      <c r="OAD7" s="484"/>
      <c r="OAE7" s="484"/>
      <c r="OAF7" s="484"/>
      <c r="OAG7" s="484"/>
      <c r="OAH7" s="484"/>
      <c r="OAI7" s="484"/>
      <c r="OAJ7" s="484"/>
      <c r="OAK7" s="484"/>
      <c r="OAL7" s="484"/>
      <c r="OAM7" s="484"/>
      <c r="OAN7" s="484"/>
      <c r="OAO7" s="484"/>
      <c r="OAP7" s="484"/>
      <c r="OAQ7" s="484"/>
      <c r="OAR7" s="484"/>
      <c r="OAS7" s="484"/>
      <c r="OAT7" s="484"/>
      <c r="OAU7" s="484"/>
      <c r="OAV7" s="484"/>
      <c r="OAW7" s="484"/>
      <c r="OAX7" s="484"/>
      <c r="OAY7" s="484"/>
      <c r="OAZ7" s="484"/>
      <c r="OBA7" s="484"/>
      <c r="OBB7" s="484"/>
      <c r="OBC7" s="484"/>
      <c r="OBD7" s="484"/>
      <c r="OBE7" s="484"/>
      <c r="OBF7" s="484"/>
      <c r="OBG7" s="484"/>
      <c r="OBH7" s="484"/>
      <c r="OBI7" s="484"/>
      <c r="OBJ7" s="484"/>
      <c r="OBK7" s="484"/>
      <c r="OBL7" s="484"/>
      <c r="OBM7" s="484"/>
      <c r="OBN7" s="484"/>
      <c r="OBO7" s="484"/>
      <c r="OBP7" s="484"/>
      <c r="OBQ7" s="484"/>
      <c r="OBR7" s="484"/>
      <c r="OBS7" s="484"/>
      <c r="OBT7" s="484"/>
      <c r="OBU7" s="484"/>
      <c r="OBV7" s="484"/>
      <c r="OBW7" s="484"/>
      <c r="OBX7" s="484"/>
      <c r="OBY7" s="484"/>
      <c r="OBZ7" s="484"/>
      <c r="OCA7" s="484"/>
      <c r="OCB7" s="484"/>
      <c r="OCC7" s="484"/>
      <c r="OCD7" s="484"/>
      <c r="OCE7" s="484"/>
      <c r="OCF7" s="484"/>
      <c r="OCG7" s="484"/>
      <c r="OCH7" s="484"/>
      <c r="OCI7" s="484"/>
      <c r="OCJ7" s="484"/>
      <c r="OCK7" s="484"/>
      <c r="OCL7" s="484"/>
      <c r="OCM7" s="484"/>
      <c r="OCN7" s="484"/>
      <c r="OCO7" s="484"/>
      <c r="OCP7" s="484"/>
      <c r="OCQ7" s="484"/>
      <c r="OCR7" s="484"/>
      <c r="OCS7" s="484"/>
      <c r="OCT7" s="484"/>
      <c r="OCU7" s="484"/>
      <c r="OCV7" s="484"/>
      <c r="OCW7" s="484"/>
      <c r="OCX7" s="484"/>
      <c r="OCY7" s="484"/>
      <c r="OCZ7" s="484"/>
      <c r="ODA7" s="484"/>
      <c r="ODB7" s="484"/>
      <c r="ODC7" s="484"/>
      <c r="ODD7" s="484"/>
      <c r="ODE7" s="484"/>
      <c r="ODF7" s="484"/>
      <c r="ODG7" s="484"/>
      <c r="ODH7" s="484"/>
      <c r="ODI7" s="484"/>
      <c r="ODJ7" s="484"/>
      <c r="ODK7" s="484"/>
      <c r="ODL7" s="484"/>
      <c r="ODM7" s="484"/>
      <c r="ODN7" s="484"/>
      <c r="ODO7" s="484"/>
      <c r="ODP7" s="484"/>
      <c r="ODQ7" s="484"/>
      <c r="ODR7" s="484"/>
      <c r="ODS7" s="484"/>
      <c r="ODT7" s="484"/>
      <c r="ODU7" s="484"/>
      <c r="ODV7" s="484"/>
      <c r="ODW7" s="484"/>
      <c r="ODX7" s="484"/>
      <c r="ODY7" s="484"/>
      <c r="ODZ7" s="484"/>
      <c r="OEA7" s="484"/>
      <c r="OEB7" s="484"/>
      <c r="OEC7" s="484"/>
      <c r="OED7" s="484"/>
      <c r="OEE7" s="484"/>
      <c r="OEF7" s="484"/>
      <c r="OEG7" s="484"/>
      <c r="OEH7" s="484"/>
      <c r="OEI7" s="484"/>
      <c r="OEJ7" s="484"/>
      <c r="OEK7" s="484"/>
      <c r="OEL7" s="484"/>
      <c r="OEM7" s="484"/>
      <c r="OEN7" s="484"/>
      <c r="OEO7" s="484"/>
      <c r="OEP7" s="484"/>
      <c r="OEQ7" s="484"/>
      <c r="OER7" s="484"/>
      <c r="OES7" s="484"/>
      <c r="OET7" s="484"/>
      <c r="OEU7" s="484"/>
      <c r="OEV7" s="484"/>
      <c r="OEW7" s="484"/>
      <c r="OEX7" s="484"/>
      <c r="OEY7" s="484"/>
      <c r="OEZ7" s="484"/>
      <c r="OFA7" s="484"/>
      <c r="OFB7" s="484"/>
      <c r="OFC7" s="484"/>
      <c r="OFD7" s="484"/>
      <c r="OFE7" s="484"/>
      <c r="OFF7" s="484"/>
      <c r="OFG7" s="484"/>
      <c r="OFH7" s="484"/>
      <c r="OFI7" s="484"/>
      <c r="OFJ7" s="484"/>
      <c r="OFK7" s="484"/>
      <c r="OFL7" s="484"/>
      <c r="OFM7" s="484"/>
      <c r="OFN7" s="484"/>
      <c r="OFO7" s="484"/>
      <c r="OFP7" s="484"/>
      <c r="OFQ7" s="484"/>
      <c r="OFR7" s="484"/>
      <c r="OFS7" s="484"/>
      <c r="OFT7" s="484"/>
      <c r="OFU7" s="484"/>
      <c r="OFV7" s="484"/>
      <c r="OFW7" s="484"/>
      <c r="OFX7" s="484"/>
      <c r="OFY7" s="484"/>
      <c r="OFZ7" s="484"/>
      <c r="OGA7" s="484"/>
      <c r="OGB7" s="484"/>
      <c r="OGC7" s="484"/>
      <c r="OGD7" s="484"/>
      <c r="OGE7" s="484"/>
      <c r="OGF7" s="484"/>
      <c r="OGG7" s="484"/>
      <c r="OGH7" s="484"/>
      <c r="OGI7" s="484"/>
      <c r="OGJ7" s="484"/>
      <c r="OGK7" s="484"/>
      <c r="OGL7" s="484"/>
      <c r="OGM7" s="484"/>
      <c r="OGN7" s="484"/>
      <c r="OGO7" s="484"/>
      <c r="OGP7" s="484"/>
      <c r="OGQ7" s="484"/>
      <c r="OGR7" s="484"/>
      <c r="OGS7" s="484"/>
      <c r="OGT7" s="484"/>
      <c r="OGU7" s="484"/>
      <c r="OGV7" s="484"/>
      <c r="OGW7" s="484"/>
      <c r="OGX7" s="484"/>
      <c r="OGY7" s="484"/>
      <c r="OGZ7" s="484"/>
      <c r="OHA7" s="484"/>
      <c r="OHB7" s="484"/>
      <c r="OHC7" s="484"/>
      <c r="OHD7" s="484"/>
      <c r="OHE7" s="484"/>
      <c r="OHF7" s="484"/>
      <c r="OHG7" s="484"/>
      <c r="OHH7" s="484"/>
      <c r="OHI7" s="484"/>
      <c r="OHJ7" s="484"/>
      <c r="OHK7" s="484"/>
      <c r="OHL7" s="484"/>
      <c r="OHM7" s="484"/>
      <c r="OHN7" s="484"/>
      <c r="OHO7" s="484"/>
      <c r="OHP7" s="484"/>
      <c r="OHQ7" s="484"/>
      <c r="OHR7" s="484"/>
      <c r="OHS7" s="484"/>
      <c r="OHT7" s="484"/>
      <c r="OHU7" s="484"/>
      <c r="OHV7" s="484"/>
      <c r="OHW7" s="484"/>
      <c r="OHX7" s="484"/>
      <c r="OHY7" s="484"/>
      <c r="OHZ7" s="484"/>
      <c r="OIA7" s="484"/>
      <c r="OIB7" s="484"/>
      <c r="OIC7" s="484"/>
      <c r="OID7" s="484"/>
      <c r="OIE7" s="484"/>
      <c r="OIF7" s="484"/>
      <c r="OIG7" s="484"/>
      <c r="OIH7" s="484"/>
      <c r="OII7" s="484"/>
      <c r="OIJ7" s="484"/>
      <c r="OIK7" s="484"/>
      <c r="OIL7" s="484"/>
      <c r="OIM7" s="484"/>
      <c r="OIN7" s="484"/>
      <c r="OIO7" s="484"/>
      <c r="OIP7" s="484"/>
      <c r="OIQ7" s="484"/>
      <c r="OIR7" s="484"/>
      <c r="OIS7" s="484"/>
      <c r="OIT7" s="484"/>
      <c r="OIU7" s="484"/>
      <c r="OIV7" s="484"/>
      <c r="OIW7" s="484"/>
      <c r="OIX7" s="484"/>
      <c r="OIY7" s="484"/>
      <c r="OIZ7" s="484"/>
      <c r="OJA7" s="484"/>
      <c r="OJB7" s="484"/>
      <c r="OJC7" s="484"/>
      <c r="OJD7" s="484"/>
      <c r="OJE7" s="484"/>
      <c r="OJF7" s="484"/>
      <c r="OJG7" s="484"/>
      <c r="OJH7" s="484"/>
      <c r="OJI7" s="484"/>
      <c r="OJJ7" s="484"/>
      <c r="OJK7" s="484"/>
      <c r="OJL7" s="484"/>
      <c r="OJM7" s="484"/>
      <c r="OJN7" s="484"/>
      <c r="OJO7" s="484"/>
      <c r="OJP7" s="484"/>
      <c r="OJQ7" s="484"/>
      <c r="OJR7" s="484"/>
      <c r="OJS7" s="484"/>
      <c r="OJT7" s="484"/>
      <c r="OJU7" s="484"/>
      <c r="OJV7" s="484"/>
      <c r="OJW7" s="484"/>
      <c r="OJX7" s="484"/>
      <c r="OJY7" s="484"/>
      <c r="OJZ7" s="484"/>
      <c r="OKA7" s="484"/>
      <c r="OKB7" s="484"/>
      <c r="OKC7" s="484"/>
      <c r="OKD7" s="484"/>
      <c r="OKE7" s="484"/>
      <c r="OKF7" s="484"/>
      <c r="OKG7" s="484"/>
      <c r="OKH7" s="484"/>
      <c r="OKI7" s="484"/>
      <c r="OKJ7" s="484"/>
      <c r="OKK7" s="484"/>
      <c r="OKL7" s="484"/>
      <c r="OKM7" s="484"/>
      <c r="OKN7" s="484"/>
      <c r="OKO7" s="484"/>
      <c r="OKP7" s="484"/>
      <c r="OKQ7" s="484"/>
      <c r="OKR7" s="484"/>
      <c r="OKS7" s="484"/>
      <c r="OKT7" s="484"/>
      <c r="OKU7" s="484"/>
      <c r="OKV7" s="484"/>
      <c r="OKW7" s="484"/>
      <c r="OKX7" s="484"/>
      <c r="OKY7" s="484"/>
      <c r="OKZ7" s="484"/>
      <c r="OLA7" s="484"/>
      <c r="OLB7" s="484"/>
      <c r="OLC7" s="484"/>
      <c r="OLD7" s="484"/>
      <c r="OLE7" s="484"/>
      <c r="OLF7" s="484"/>
      <c r="OLG7" s="484"/>
      <c r="OLH7" s="484"/>
      <c r="OLI7" s="484"/>
      <c r="OLJ7" s="484"/>
      <c r="OLK7" s="484"/>
      <c r="OLL7" s="484"/>
      <c r="OLM7" s="484"/>
      <c r="OLN7" s="484"/>
      <c r="OLO7" s="484"/>
      <c r="OLP7" s="484"/>
      <c r="OLQ7" s="484"/>
      <c r="OLR7" s="484"/>
      <c r="OLS7" s="484"/>
      <c r="OLT7" s="484"/>
      <c r="OLU7" s="484"/>
      <c r="OLV7" s="484"/>
      <c r="OLW7" s="484"/>
      <c r="OLX7" s="484"/>
      <c r="OLY7" s="484"/>
      <c r="OLZ7" s="484"/>
      <c r="OMA7" s="484"/>
      <c r="OMB7" s="484"/>
      <c r="OMC7" s="484"/>
      <c r="OMD7" s="484"/>
      <c r="OME7" s="484"/>
      <c r="OMF7" s="484"/>
      <c r="OMG7" s="484"/>
      <c r="OMH7" s="484"/>
      <c r="OMI7" s="484"/>
      <c r="OMJ7" s="484"/>
      <c r="OMK7" s="484"/>
      <c r="OML7" s="484"/>
      <c r="OMM7" s="484"/>
      <c r="OMN7" s="484"/>
      <c r="OMO7" s="484"/>
      <c r="OMP7" s="484"/>
      <c r="OMQ7" s="484"/>
      <c r="OMR7" s="484"/>
      <c r="OMS7" s="484"/>
      <c r="OMT7" s="484"/>
      <c r="OMU7" s="484"/>
      <c r="OMV7" s="484"/>
      <c r="OMW7" s="484"/>
      <c r="OMX7" s="484"/>
      <c r="OMY7" s="484"/>
      <c r="OMZ7" s="484"/>
      <c r="ONA7" s="484"/>
      <c r="ONB7" s="484"/>
      <c r="ONC7" s="484"/>
      <c r="OND7" s="484"/>
      <c r="ONE7" s="484"/>
      <c r="ONF7" s="484"/>
      <c r="ONG7" s="484"/>
      <c r="ONH7" s="484"/>
      <c r="ONI7" s="484"/>
      <c r="ONJ7" s="484"/>
      <c r="ONK7" s="484"/>
      <c r="ONL7" s="484"/>
      <c r="ONM7" s="484"/>
      <c r="ONN7" s="484"/>
      <c r="ONO7" s="484"/>
      <c r="ONP7" s="484"/>
      <c r="ONQ7" s="484"/>
      <c r="ONR7" s="484"/>
      <c r="ONS7" s="484"/>
      <c r="ONT7" s="484"/>
      <c r="ONU7" s="484"/>
      <c r="ONV7" s="484"/>
      <c r="ONW7" s="484"/>
      <c r="ONX7" s="484"/>
      <c r="ONY7" s="484"/>
      <c r="ONZ7" s="484"/>
      <c r="OOA7" s="484"/>
      <c r="OOB7" s="484"/>
      <c r="OOC7" s="484"/>
      <c r="OOD7" s="484"/>
      <c r="OOE7" s="484"/>
      <c r="OOF7" s="484"/>
      <c r="OOG7" s="484"/>
      <c r="OOH7" s="484"/>
      <c r="OOI7" s="484"/>
      <c r="OOJ7" s="484"/>
      <c r="OOK7" s="484"/>
      <c r="OOL7" s="484"/>
      <c r="OOM7" s="484"/>
      <c r="OON7" s="484"/>
      <c r="OOO7" s="484"/>
      <c r="OOP7" s="484"/>
      <c r="OOQ7" s="484"/>
      <c r="OOR7" s="484"/>
      <c r="OOS7" s="484"/>
      <c r="OOT7" s="484"/>
      <c r="OOU7" s="484"/>
      <c r="OOV7" s="484"/>
      <c r="OOW7" s="484"/>
      <c r="OOX7" s="484"/>
      <c r="OOY7" s="484"/>
      <c r="OOZ7" s="484"/>
      <c r="OPA7" s="484"/>
      <c r="OPB7" s="484"/>
      <c r="OPC7" s="484"/>
      <c r="OPD7" s="484"/>
      <c r="OPE7" s="484"/>
      <c r="OPF7" s="484"/>
      <c r="OPG7" s="484"/>
      <c r="OPH7" s="484"/>
      <c r="OPI7" s="484"/>
      <c r="OPJ7" s="484"/>
      <c r="OPK7" s="484"/>
      <c r="OPL7" s="484"/>
      <c r="OPM7" s="484"/>
      <c r="OPN7" s="484"/>
      <c r="OPO7" s="484"/>
      <c r="OPP7" s="484"/>
      <c r="OPQ7" s="484"/>
      <c r="OPR7" s="484"/>
      <c r="OPS7" s="484"/>
      <c r="OPT7" s="484"/>
      <c r="OPU7" s="484"/>
      <c r="OPV7" s="484"/>
      <c r="OPW7" s="484"/>
      <c r="OPX7" s="484"/>
      <c r="OPY7" s="484"/>
      <c r="OPZ7" s="484"/>
      <c r="OQA7" s="484"/>
      <c r="OQB7" s="484"/>
      <c r="OQC7" s="484"/>
      <c r="OQD7" s="484"/>
      <c r="OQE7" s="484"/>
      <c r="OQF7" s="484"/>
      <c r="OQG7" s="484"/>
      <c r="OQH7" s="484"/>
      <c r="OQI7" s="484"/>
      <c r="OQJ7" s="484"/>
      <c r="OQK7" s="484"/>
      <c r="OQL7" s="484"/>
      <c r="OQM7" s="484"/>
      <c r="OQN7" s="484"/>
      <c r="OQO7" s="484"/>
      <c r="OQP7" s="484"/>
      <c r="OQQ7" s="484"/>
      <c r="OQR7" s="484"/>
      <c r="OQS7" s="484"/>
      <c r="OQT7" s="484"/>
      <c r="OQU7" s="484"/>
      <c r="OQV7" s="484"/>
      <c r="OQW7" s="484"/>
      <c r="OQX7" s="484"/>
      <c r="OQY7" s="484"/>
      <c r="OQZ7" s="484"/>
      <c r="ORA7" s="484"/>
      <c r="ORB7" s="484"/>
      <c r="ORC7" s="484"/>
      <c r="ORD7" s="484"/>
      <c r="ORE7" s="484"/>
      <c r="ORF7" s="484"/>
      <c r="ORG7" s="484"/>
      <c r="ORH7" s="484"/>
      <c r="ORI7" s="484"/>
      <c r="ORJ7" s="484"/>
      <c r="ORK7" s="484"/>
      <c r="ORL7" s="484"/>
      <c r="ORM7" s="484"/>
      <c r="ORN7" s="484"/>
      <c r="ORO7" s="484"/>
      <c r="ORP7" s="484"/>
      <c r="ORQ7" s="484"/>
      <c r="ORR7" s="484"/>
      <c r="ORS7" s="484"/>
      <c r="ORT7" s="484"/>
      <c r="ORU7" s="484"/>
      <c r="ORV7" s="484"/>
      <c r="ORW7" s="484"/>
      <c r="ORX7" s="484"/>
      <c r="ORY7" s="484"/>
      <c r="ORZ7" s="484"/>
      <c r="OSA7" s="484"/>
      <c r="OSB7" s="484"/>
      <c r="OSC7" s="484"/>
      <c r="OSD7" s="484"/>
      <c r="OSE7" s="484"/>
      <c r="OSF7" s="484"/>
      <c r="OSG7" s="484"/>
      <c r="OSH7" s="484"/>
      <c r="OSI7" s="484"/>
      <c r="OSJ7" s="484"/>
      <c r="OSK7" s="484"/>
      <c r="OSL7" s="484"/>
      <c r="OSM7" s="484"/>
      <c r="OSN7" s="484"/>
      <c r="OSO7" s="484"/>
      <c r="OSP7" s="484"/>
      <c r="OSQ7" s="484"/>
      <c r="OSR7" s="484"/>
      <c r="OSS7" s="484"/>
      <c r="OST7" s="484"/>
      <c r="OSU7" s="484"/>
      <c r="OSV7" s="484"/>
      <c r="OSW7" s="484"/>
      <c r="OSX7" s="484"/>
      <c r="OSY7" s="484"/>
      <c r="OSZ7" s="484"/>
      <c r="OTA7" s="484"/>
      <c r="OTB7" s="484"/>
      <c r="OTC7" s="484"/>
      <c r="OTD7" s="484"/>
      <c r="OTE7" s="484"/>
      <c r="OTF7" s="484"/>
      <c r="OTG7" s="484"/>
      <c r="OTH7" s="484"/>
      <c r="OTI7" s="484"/>
      <c r="OTJ7" s="484"/>
      <c r="OTK7" s="484"/>
      <c r="OTL7" s="484"/>
      <c r="OTM7" s="484"/>
      <c r="OTN7" s="484"/>
      <c r="OTO7" s="484"/>
      <c r="OTP7" s="484"/>
      <c r="OTQ7" s="484"/>
      <c r="OTR7" s="484"/>
      <c r="OTS7" s="484"/>
      <c r="OTT7" s="484"/>
      <c r="OTU7" s="484"/>
      <c r="OTV7" s="484"/>
      <c r="OTW7" s="484"/>
      <c r="OTX7" s="484"/>
      <c r="OTY7" s="484"/>
      <c r="OTZ7" s="484"/>
      <c r="OUA7" s="484"/>
      <c r="OUB7" s="484"/>
      <c r="OUC7" s="484"/>
      <c r="OUD7" s="484"/>
      <c r="OUE7" s="484"/>
      <c r="OUF7" s="484"/>
      <c r="OUG7" s="484"/>
      <c r="OUH7" s="484"/>
      <c r="OUI7" s="484"/>
      <c r="OUJ7" s="484"/>
      <c r="OUK7" s="484"/>
      <c r="OUL7" s="484"/>
      <c r="OUM7" s="484"/>
      <c r="OUN7" s="484"/>
      <c r="OUO7" s="484"/>
      <c r="OUP7" s="484"/>
      <c r="OUQ7" s="484"/>
      <c r="OUR7" s="484"/>
      <c r="OUS7" s="484"/>
      <c r="OUT7" s="484"/>
      <c r="OUU7" s="484"/>
      <c r="OUV7" s="484"/>
      <c r="OUW7" s="484"/>
      <c r="OUX7" s="484"/>
      <c r="OUY7" s="484"/>
      <c r="OUZ7" s="484"/>
      <c r="OVA7" s="484"/>
      <c r="OVB7" s="484"/>
      <c r="OVC7" s="484"/>
      <c r="OVD7" s="484"/>
      <c r="OVE7" s="484"/>
      <c r="OVF7" s="484"/>
      <c r="OVG7" s="484"/>
      <c r="OVH7" s="484"/>
      <c r="OVI7" s="484"/>
      <c r="OVJ7" s="484"/>
      <c r="OVK7" s="484"/>
      <c r="OVL7" s="484"/>
      <c r="OVM7" s="484"/>
      <c r="OVN7" s="484"/>
      <c r="OVO7" s="484"/>
      <c r="OVP7" s="484"/>
      <c r="OVQ7" s="484"/>
      <c r="OVR7" s="484"/>
      <c r="OVS7" s="484"/>
      <c r="OVT7" s="484"/>
      <c r="OVU7" s="484"/>
      <c r="OVV7" s="484"/>
      <c r="OVW7" s="484"/>
      <c r="OVX7" s="484"/>
      <c r="OVY7" s="484"/>
      <c r="OVZ7" s="484"/>
      <c r="OWA7" s="484"/>
      <c r="OWB7" s="484"/>
      <c r="OWC7" s="484"/>
      <c r="OWD7" s="484"/>
      <c r="OWE7" s="484"/>
      <c r="OWF7" s="484"/>
      <c r="OWG7" s="484"/>
      <c r="OWH7" s="484"/>
      <c r="OWI7" s="484"/>
      <c r="OWJ7" s="484"/>
      <c r="OWK7" s="484"/>
      <c r="OWL7" s="484"/>
      <c r="OWM7" s="484"/>
      <c r="OWN7" s="484"/>
      <c r="OWO7" s="484"/>
      <c r="OWP7" s="484"/>
      <c r="OWQ7" s="484"/>
      <c r="OWR7" s="484"/>
      <c r="OWS7" s="484"/>
      <c r="OWT7" s="484"/>
      <c r="OWU7" s="484"/>
      <c r="OWV7" s="484"/>
      <c r="OWW7" s="484"/>
      <c r="OWX7" s="484"/>
      <c r="OWY7" s="484"/>
      <c r="OWZ7" s="484"/>
      <c r="OXA7" s="484"/>
      <c r="OXB7" s="484"/>
      <c r="OXC7" s="484"/>
      <c r="OXD7" s="484"/>
      <c r="OXE7" s="484"/>
      <c r="OXF7" s="484"/>
      <c r="OXG7" s="484"/>
      <c r="OXH7" s="484"/>
      <c r="OXI7" s="484"/>
      <c r="OXJ7" s="484"/>
      <c r="OXK7" s="484"/>
      <c r="OXL7" s="484"/>
      <c r="OXM7" s="484"/>
      <c r="OXN7" s="484"/>
      <c r="OXO7" s="484"/>
      <c r="OXP7" s="484"/>
      <c r="OXQ7" s="484"/>
      <c r="OXR7" s="484"/>
      <c r="OXS7" s="484"/>
      <c r="OXT7" s="484"/>
      <c r="OXU7" s="484"/>
      <c r="OXV7" s="484"/>
      <c r="OXW7" s="484"/>
      <c r="OXX7" s="484"/>
      <c r="OXY7" s="484"/>
      <c r="OXZ7" s="484"/>
      <c r="OYA7" s="484"/>
      <c r="OYB7" s="484"/>
      <c r="OYC7" s="484"/>
      <c r="OYD7" s="484"/>
      <c r="OYE7" s="484"/>
      <c r="OYF7" s="484"/>
      <c r="OYG7" s="484"/>
      <c r="OYH7" s="484"/>
      <c r="OYI7" s="484"/>
      <c r="OYJ7" s="484"/>
      <c r="OYK7" s="484"/>
      <c r="OYL7" s="484"/>
      <c r="OYM7" s="484"/>
      <c r="OYN7" s="484"/>
      <c r="OYO7" s="484"/>
      <c r="OYP7" s="484"/>
      <c r="OYQ7" s="484"/>
      <c r="OYR7" s="484"/>
      <c r="OYS7" s="484"/>
      <c r="OYT7" s="484"/>
      <c r="OYU7" s="484"/>
      <c r="OYV7" s="484"/>
      <c r="OYW7" s="484"/>
      <c r="OYX7" s="484"/>
      <c r="OYY7" s="484"/>
      <c r="OYZ7" s="484"/>
      <c r="OZA7" s="484"/>
      <c r="OZB7" s="484"/>
      <c r="OZC7" s="484"/>
      <c r="OZD7" s="484"/>
      <c r="OZE7" s="484"/>
      <c r="OZF7" s="484"/>
      <c r="OZG7" s="484"/>
      <c r="OZH7" s="484"/>
      <c r="OZI7" s="484"/>
      <c r="OZJ7" s="484"/>
      <c r="OZK7" s="484"/>
      <c r="OZL7" s="484"/>
      <c r="OZM7" s="484"/>
      <c r="OZN7" s="484"/>
      <c r="OZO7" s="484"/>
      <c r="OZP7" s="484"/>
      <c r="OZQ7" s="484"/>
      <c r="OZR7" s="484"/>
      <c r="OZS7" s="484"/>
      <c r="OZT7" s="484"/>
      <c r="OZU7" s="484"/>
      <c r="OZV7" s="484"/>
      <c r="OZW7" s="484"/>
      <c r="OZX7" s="484"/>
      <c r="OZY7" s="484"/>
      <c r="OZZ7" s="484"/>
      <c r="PAA7" s="484"/>
      <c r="PAB7" s="484"/>
      <c r="PAC7" s="484"/>
      <c r="PAD7" s="484"/>
      <c r="PAE7" s="484"/>
      <c r="PAF7" s="484"/>
      <c r="PAG7" s="484"/>
      <c r="PAH7" s="484"/>
      <c r="PAI7" s="484"/>
      <c r="PAJ7" s="484"/>
      <c r="PAK7" s="484"/>
      <c r="PAL7" s="484"/>
      <c r="PAM7" s="484"/>
      <c r="PAN7" s="484"/>
      <c r="PAO7" s="484"/>
      <c r="PAP7" s="484"/>
      <c r="PAQ7" s="484"/>
      <c r="PAR7" s="484"/>
      <c r="PAS7" s="484"/>
      <c r="PAT7" s="484"/>
      <c r="PAU7" s="484"/>
      <c r="PAV7" s="484"/>
      <c r="PAW7" s="484"/>
      <c r="PAX7" s="484"/>
      <c r="PAY7" s="484"/>
      <c r="PAZ7" s="484"/>
      <c r="PBA7" s="484"/>
      <c r="PBB7" s="484"/>
      <c r="PBC7" s="484"/>
      <c r="PBD7" s="484"/>
      <c r="PBE7" s="484"/>
      <c r="PBF7" s="484"/>
      <c r="PBG7" s="484"/>
      <c r="PBH7" s="484"/>
      <c r="PBI7" s="484"/>
      <c r="PBJ7" s="484"/>
      <c r="PBK7" s="484"/>
      <c r="PBL7" s="484"/>
      <c r="PBM7" s="484"/>
      <c r="PBN7" s="484"/>
      <c r="PBO7" s="484"/>
      <c r="PBP7" s="484"/>
      <c r="PBQ7" s="484"/>
      <c r="PBR7" s="484"/>
      <c r="PBS7" s="484"/>
      <c r="PBT7" s="484"/>
      <c r="PBU7" s="484"/>
      <c r="PBV7" s="484"/>
      <c r="PBW7" s="484"/>
      <c r="PBX7" s="484"/>
      <c r="PBY7" s="484"/>
      <c r="PBZ7" s="484"/>
      <c r="PCA7" s="484"/>
      <c r="PCB7" s="484"/>
      <c r="PCC7" s="484"/>
      <c r="PCD7" s="484"/>
      <c r="PCE7" s="484"/>
      <c r="PCF7" s="484"/>
      <c r="PCG7" s="484"/>
      <c r="PCH7" s="484"/>
      <c r="PCI7" s="484"/>
      <c r="PCJ7" s="484"/>
      <c r="PCK7" s="484"/>
      <c r="PCL7" s="484"/>
      <c r="PCM7" s="484"/>
      <c r="PCN7" s="484"/>
      <c r="PCO7" s="484"/>
      <c r="PCP7" s="484"/>
      <c r="PCQ7" s="484"/>
      <c r="PCR7" s="484"/>
      <c r="PCS7" s="484"/>
      <c r="PCT7" s="484"/>
      <c r="PCU7" s="484"/>
      <c r="PCV7" s="484"/>
      <c r="PCW7" s="484"/>
      <c r="PCX7" s="484"/>
      <c r="PCY7" s="484"/>
      <c r="PCZ7" s="484"/>
      <c r="PDA7" s="484"/>
      <c r="PDB7" s="484"/>
      <c r="PDC7" s="484"/>
      <c r="PDD7" s="484"/>
      <c r="PDE7" s="484"/>
      <c r="PDF7" s="484"/>
      <c r="PDG7" s="484"/>
      <c r="PDH7" s="484"/>
      <c r="PDI7" s="484"/>
      <c r="PDJ7" s="484"/>
      <c r="PDK7" s="484"/>
      <c r="PDL7" s="484"/>
      <c r="PDM7" s="484"/>
      <c r="PDN7" s="484"/>
      <c r="PDO7" s="484"/>
      <c r="PDP7" s="484"/>
      <c r="PDQ7" s="484"/>
      <c r="PDR7" s="484"/>
      <c r="PDS7" s="484"/>
      <c r="PDT7" s="484"/>
      <c r="PDU7" s="484"/>
      <c r="PDV7" s="484"/>
      <c r="PDW7" s="484"/>
      <c r="PDX7" s="484"/>
      <c r="PDY7" s="484"/>
      <c r="PDZ7" s="484"/>
      <c r="PEA7" s="484"/>
      <c r="PEB7" s="484"/>
      <c r="PEC7" s="484"/>
      <c r="PED7" s="484"/>
      <c r="PEE7" s="484"/>
      <c r="PEF7" s="484"/>
      <c r="PEG7" s="484"/>
      <c r="PEH7" s="484"/>
      <c r="PEI7" s="484"/>
      <c r="PEJ7" s="484"/>
      <c r="PEK7" s="484"/>
      <c r="PEL7" s="484"/>
      <c r="PEM7" s="484"/>
      <c r="PEN7" s="484"/>
      <c r="PEO7" s="484"/>
      <c r="PEP7" s="484"/>
      <c r="PEQ7" s="484"/>
      <c r="PER7" s="484"/>
      <c r="PES7" s="484"/>
      <c r="PET7" s="484"/>
      <c r="PEU7" s="484"/>
      <c r="PEV7" s="484"/>
      <c r="PEW7" s="484"/>
      <c r="PEX7" s="484"/>
      <c r="PEY7" s="484"/>
      <c r="PEZ7" s="484"/>
      <c r="PFA7" s="484"/>
      <c r="PFB7" s="484"/>
      <c r="PFC7" s="484"/>
      <c r="PFD7" s="484"/>
      <c r="PFE7" s="484"/>
      <c r="PFF7" s="484"/>
      <c r="PFG7" s="484"/>
      <c r="PFH7" s="484"/>
      <c r="PFI7" s="484"/>
      <c r="PFJ7" s="484"/>
      <c r="PFK7" s="484"/>
      <c r="PFL7" s="484"/>
      <c r="PFM7" s="484"/>
      <c r="PFN7" s="484"/>
      <c r="PFO7" s="484"/>
      <c r="PFP7" s="484"/>
      <c r="PFQ7" s="484"/>
      <c r="PFR7" s="484"/>
      <c r="PFS7" s="484"/>
      <c r="PFT7" s="484"/>
      <c r="PFU7" s="484"/>
      <c r="PFV7" s="484"/>
      <c r="PFW7" s="484"/>
      <c r="PFX7" s="484"/>
      <c r="PFY7" s="484"/>
      <c r="PFZ7" s="484"/>
      <c r="PGA7" s="484"/>
      <c r="PGB7" s="484"/>
      <c r="PGC7" s="484"/>
      <c r="PGD7" s="484"/>
      <c r="PGE7" s="484"/>
      <c r="PGF7" s="484"/>
      <c r="PGG7" s="484"/>
      <c r="PGH7" s="484"/>
      <c r="PGI7" s="484"/>
      <c r="PGJ7" s="484"/>
      <c r="PGK7" s="484"/>
      <c r="PGL7" s="484"/>
      <c r="PGM7" s="484"/>
      <c r="PGN7" s="484"/>
      <c r="PGO7" s="484"/>
      <c r="PGP7" s="484"/>
      <c r="PGQ7" s="484"/>
      <c r="PGR7" s="484"/>
      <c r="PGS7" s="484"/>
      <c r="PGT7" s="484"/>
      <c r="PGU7" s="484"/>
      <c r="PGV7" s="484"/>
      <c r="PGW7" s="484"/>
      <c r="PGX7" s="484"/>
      <c r="PGY7" s="484"/>
      <c r="PGZ7" s="484"/>
      <c r="PHA7" s="484"/>
      <c r="PHB7" s="484"/>
      <c r="PHC7" s="484"/>
      <c r="PHD7" s="484"/>
      <c r="PHE7" s="484"/>
      <c r="PHF7" s="484"/>
      <c r="PHG7" s="484"/>
      <c r="PHH7" s="484"/>
      <c r="PHI7" s="484"/>
      <c r="PHJ7" s="484"/>
      <c r="PHK7" s="484"/>
      <c r="PHL7" s="484"/>
      <c r="PHM7" s="484"/>
      <c r="PHN7" s="484"/>
      <c r="PHO7" s="484"/>
      <c r="PHP7" s="484"/>
      <c r="PHQ7" s="484"/>
      <c r="PHR7" s="484"/>
      <c r="PHS7" s="484"/>
      <c r="PHT7" s="484"/>
      <c r="PHU7" s="484"/>
      <c r="PHV7" s="484"/>
      <c r="PHW7" s="484"/>
      <c r="PHX7" s="484"/>
      <c r="PHY7" s="484"/>
      <c r="PHZ7" s="484"/>
      <c r="PIA7" s="484"/>
      <c r="PIB7" s="484"/>
      <c r="PIC7" s="484"/>
      <c r="PID7" s="484"/>
      <c r="PIE7" s="484"/>
      <c r="PIF7" s="484"/>
      <c r="PIG7" s="484"/>
      <c r="PIH7" s="484"/>
      <c r="PII7" s="484"/>
      <c r="PIJ7" s="484"/>
      <c r="PIK7" s="484"/>
      <c r="PIL7" s="484"/>
      <c r="PIM7" s="484"/>
      <c r="PIN7" s="484"/>
      <c r="PIO7" s="484"/>
      <c r="PIP7" s="484"/>
      <c r="PIQ7" s="484"/>
      <c r="PIR7" s="484"/>
      <c r="PIS7" s="484"/>
      <c r="PIT7" s="484"/>
      <c r="PIU7" s="484"/>
      <c r="PIV7" s="484"/>
      <c r="PIW7" s="484"/>
      <c r="PIX7" s="484"/>
      <c r="PIY7" s="484"/>
      <c r="PIZ7" s="484"/>
      <c r="PJA7" s="484"/>
      <c r="PJB7" s="484"/>
      <c r="PJC7" s="484"/>
      <c r="PJD7" s="484"/>
      <c r="PJE7" s="484"/>
      <c r="PJF7" s="484"/>
      <c r="PJG7" s="484"/>
      <c r="PJH7" s="484"/>
      <c r="PJI7" s="484"/>
      <c r="PJJ7" s="484"/>
      <c r="PJK7" s="484"/>
      <c r="PJL7" s="484"/>
      <c r="PJM7" s="484"/>
      <c r="PJN7" s="484"/>
      <c r="PJO7" s="484"/>
      <c r="PJP7" s="484"/>
      <c r="PJQ7" s="484"/>
      <c r="PJR7" s="484"/>
      <c r="PJS7" s="484"/>
      <c r="PJT7" s="484"/>
      <c r="PJU7" s="484"/>
      <c r="PJV7" s="484"/>
      <c r="PJW7" s="484"/>
      <c r="PJX7" s="484"/>
      <c r="PJY7" s="484"/>
      <c r="PJZ7" s="484"/>
      <c r="PKA7" s="484"/>
      <c r="PKB7" s="484"/>
      <c r="PKC7" s="484"/>
      <c r="PKD7" s="484"/>
      <c r="PKE7" s="484"/>
      <c r="PKF7" s="484"/>
      <c r="PKG7" s="484"/>
      <c r="PKH7" s="484"/>
      <c r="PKI7" s="484"/>
      <c r="PKJ7" s="484"/>
      <c r="PKK7" s="484"/>
      <c r="PKL7" s="484"/>
      <c r="PKM7" s="484"/>
      <c r="PKN7" s="484"/>
      <c r="PKO7" s="484"/>
      <c r="PKP7" s="484"/>
      <c r="PKQ7" s="484"/>
      <c r="PKR7" s="484"/>
      <c r="PKS7" s="484"/>
      <c r="PKT7" s="484"/>
      <c r="PKU7" s="484"/>
      <c r="PKV7" s="484"/>
      <c r="PKW7" s="484"/>
      <c r="PKX7" s="484"/>
      <c r="PKY7" s="484"/>
      <c r="PKZ7" s="484"/>
      <c r="PLA7" s="484"/>
      <c r="PLB7" s="484"/>
      <c r="PLC7" s="484"/>
      <c r="PLD7" s="484"/>
      <c r="PLE7" s="484"/>
      <c r="PLF7" s="484"/>
      <c r="PLG7" s="484"/>
      <c r="PLH7" s="484"/>
      <c r="PLI7" s="484"/>
      <c r="PLJ7" s="484"/>
      <c r="PLK7" s="484"/>
      <c r="PLL7" s="484"/>
      <c r="PLM7" s="484"/>
      <c r="PLN7" s="484"/>
      <c r="PLO7" s="484"/>
      <c r="PLP7" s="484"/>
      <c r="PLQ7" s="484"/>
      <c r="PLR7" s="484"/>
      <c r="PLS7" s="484"/>
      <c r="PLT7" s="484"/>
      <c r="PLU7" s="484"/>
      <c r="PLV7" s="484"/>
      <c r="PLW7" s="484"/>
      <c r="PLX7" s="484"/>
      <c r="PLY7" s="484"/>
      <c r="PLZ7" s="484"/>
      <c r="PMA7" s="484"/>
      <c r="PMB7" s="484"/>
      <c r="PMC7" s="484"/>
      <c r="PMD7" s="484"/>
      <c r="PME7" s="484"/>
      <c r="PMF7" s="484"/>
      <c r="PMG7" s="484"/>
      <c r="PMH7" s="484"/>
      <c r="PMI7" s="484"/>
      <c r="PMJ7" s="484"/>
      <c r="PMK7" s="484"/>
      <c r="PML7" s="484"/>
      <c r="PMM7" s="484"/>
      <c r="PMN7" s="484"/>
      <c r="PMO7" s="484"/>
      <c r="PMP7" s="484"/>
      <c r="PMQ7" s="484"/>
      <c r="PMR7" s="484"/>
      <c r="PMS7" s="484"/>
      <c r="PMT7" s="484"/>
      <c r="PMU7" s="484"/>
      <c r="PMV7" s="484"/>
      <c r="PMW7" s="484"/>
      <c r="PMX7" s="484"/>
      <c r="PMY7" s="484"/>
      <c r="PMZ7" s="484"/>
      <c r="PNA7" s="484"/>
      <c r="PNB7" s="484"/>
      <c r="PNC7" s="484"/>
      <c r="PND7" s="484"/>
      <c r="PNE7" s="484"/>
      <c r="PNF7" s="484"/>
      <c r="PNG7" s="484"/>
      <c r="PNH7" s="484"/>
      <c r="PNI7" s="484"/>
      <c r="PNJ7" s="484"/>
      <c r="PNK7" s="484"/>
      <c r="PNL7" s="484"/>
      <c r="PNM7" s="484"/>
      <c r="PNN7" s="484"/>
      <c r="PNO7" s="484"/>
      <c r="PNP7" s="484"/>
      <c r="PNQ7" s="484"/>
      <c r="PNR7" s="484"/>
      <c r="PNS7" s="484"/>
      <c r="PNT7" s="484"/>
      <c r="PNU7" s="484"/>
      <c r="PNV7" s="484"/>
      <c r="PNW7" s="484"/>
      <c r="PNX7" s="484"/>
      <c r="PNY7" s="484"/>
      <c r="PNZ7" s="484"/>
      <c r="POA7" s="484"/>
      <c r="POB7" s="484"/>
      <c r="POC7" s="484"/>
      <c r="POD7" s="484"/>
      <c r="POE7" s="484"/>
      <c r="POF7" s="484"/>
      <c r="POG7" s="484"/>
      <c r="POH7" s="484"/>
      <c r="POI7" s="484"/>
      <c r="POJ7" s="484"/>
      <c r="POK7" s="484"/>
      <c r="POL7" s="484"/>
      <c r="POM7" s="484"/>
      <c r="PON7" s="484"/>
      <c r="POO7" s="484"/>
      <c r="POP7" s="484"/>
      <c r="POQ7" s="484"/>
      <c r="POR7" s="484"/>
      <c r="POS7" s="484"/>
      <c r="POT7" s="484"/>
      <c r="POU7" s="484"/>
      <c r="POV7" s="484"/>
      <c r="POW7" s="484"/>
      <c r="POX7" s="484"/>
      <c r="POY7" s="484"/>
      <c r="POZ7" s="484"/>
      <c r="PPA7" s="484"/>
      <c r="PPB7" s="484"/>
      <c r="PPC7" s="484"/>
      <c r="PPD7" s="484"/>
      <c r="PPE7" s="484"/>
      <c r="PPF7" s="484"/>
      <c r="PPG7" s="484"/>
      <c r="PPH7" s="484"/>
      <c r="PPI7" s="484"/>
      <c r="PPJ7" s="484"/>
      <c r="PPK7" s="484"/>
      <c r="PPL7" s="484"/>
      <c r="PPM7" s="484"/>
      <c r="PPN7" s="484"/>
      <c r="PPO7" s="484"/>
      <c r="PPP7" s="484"/>
      <c r="PPQ7" s="484"/>
      <c r="PPR7" s="484"/>
      <c r="PPS7" s="484"/>
      <c r="PPT7" s="484"/>
      <c r="PPU7" s="484"/>
      <c r="PPV7" s="484"/>
      <c r="PPW7" s="484"/>
      <c r="PPX7" s="484"/>
      <c r="PPY7" s="484"/>
      <c r="PPZ7" s="484"/>
      <c r="PQA7" s="484"/>
      <c r="PQB7" s="484"/>
      <c r="PQC7" s="484"/>
      <c r="PQD7" s="484"/>
      <c r="PQE7" s="484"/>
      <c r="PQF7" s="484"/>
      <c r="PQG7" s="484"/>
      <c r="PQH7" s="484"/>
      <c r="PQI7" s="484"/>
      <c r="PQJ7" s="484"/>
      <c r="PQK7" s="484"/>
      <c r="PQL7" s="484"/>
      <c r="PQM7" s="484"/>
      <c r="PQN7" s="484"/>
      <c r="PQO7" s="484"/>
      <c r="PQP7" s="484"/>
      <c r="PQQ7" s="484"/>
      <c r="PQR7" s="484"/>
      <c r="PQS7" s="484"/>
      <c r="PQT7" s="484"/>
      <c r="PQU7" s="484"/>
      <c r="PQV7" s="484"/>
      <c r="PQW7" s="484"/>
      <c r="PQX7" s="484"/>
      <c r="PQY7" s="484"/>
      <c r="PQZ7" s="484"/>
      <c r="PRA7" s="484"/>
      <c r="PRB7" s="484"/>
      <c r="PRC7" s="484"/>
      <c r="PRD7" s="484"/>
      <c r="PRE7" s="484"/>
      <c r="PRF7" s="484"/>
      <c r="PRG7" s="484"/>
      <c r="PRH7" s="484"/>
      <c r="PRI7" s="484"/>
      <c r="PRJ7" s="484"/>
      <c r="PRK7" s="484"/>
      <c r="PRL7" s="484"/>
      <c r="PRM7" s="484"/>
      <c r="PRN7" s="484"/>
      <c r="PRO7" s="484"/>
      <c r="PRP7" s="484"/>
      <c r="PRQ7" s="484"/>
      <c r="PRR7" s="484"/>
      <c r="PRS7" s="484"/>
      <c r="PRT7" s="484"/>
      <c r="PRU7" s="484"/>
      <c r="PRV7" s="484"/>
      <c r="PRW7" s="484"/>
      <c r="PRX7" s="484"/>
      <c r="PRY7" s="484"/>
      <c r="PRZ7" s="484"/>
      <c r="PSA7" s="484"/>
      <c r="PSB7" s="484"/>
      <c r="PSC7" s="484"/>
      <c r="PSD7" s="484"/>
      <c r="PSE7" s="484"/>
      <c r="PSF7" s="484"/>
      <c r="PSG7" s="484"/>
      <c r="PSH7" s="484"/>
      <c r="PSI7" s="484"/>
      <c r="PSJ7" s="484"/>
      <c r="PSK7" s="484"/>
      <c r="PSL7" s="484"/>
      <c r="PSM7" s="484"/>
      <c r="PSN7" s="484"/>
      <c r="PSO7" s="484"/>
      <c r="PSP7" s="484"/>
      <c r="PSQ7" s="484"/>
      <c r="PSR7" s="484"/>
      <c r="PSS7" s="484"/>
      <c r="PST7" s="484"/>
      <c r="PSU7" s="484"/>
      <c r="PSV7" s="484"/>
      <c r="PSW7" s="484"/>
      <c r="PSX7" s="484"/>
      <c r="PSY7" s="484"/>
      <c r="PSZ7" s="484"/>
      <c r="PTA7" s="484"/>
      <c r="PTB7" s="484"/>
      <c r="PTC7" s="484"/>
      <c r="PTD7" s="484"/>
      <c r="PTE7" s="484"/>
      <c r="PTF7" s="484"/>
      <c r="PTG7" s="484"/>
      <c r="PTH7" s="484"/>
      <c r="PTI7" s="484"/>
      <c r="PTJ7" s="484"/>
      <c r="PTK7" s="484"/>
      <c r="PTL7" s="484"/>
      <c r="PTM7" s="484"/>
      <c r="PTN7" s="484"/>
      <c r="PTO7" s="484"/>
      <c r="PTP7" s="484"/>
      <c r="PTQ7" s="484"/>
      <c r="PTR7" s="484"/>
      <c r="PTS7" s="484"/>
      <c r="PTT7" s="484"/>
      <c r="PTU7" s="484"/>
      <c r="PTV7" s="484"/>
      <c r="PTW7" s="484"/>
      <c r="PTX7" s="484"/>
      <c r="PTY7" s="484"/>
      <c r="PTZ7" s="484"/>
      <c r="PUA7" s="484"/>
      <c r="PUB7" s="484"/>
      <c r="PUC7" s="484"/>
      <c r="PUD7" s="484"/>
      <c r="PUE7" s="484"/>
      <c r="PUF7" s="484"/>
      <c r="PUG7" s="484"/>
      <c r="PUH7" s="484"/>
      <c r="PUI7" s="484"/>
      <c r="PUJ7" s="484"/>
      <c r="PUK7" s="484"/>
      <c r="PUL7" s="484"/>
      <c r="PUM7" s="484"/>
      <c r="PUN7" s="484"/>
      <c r="PUO7" s="484"/>
      <c r="PUP7" s="484"/>
      <c r="PUQ7" s="484"/>
      <c r="PUR7" s="484"/>
      <c r="PUS7" s="484"/>
      <c r="PUT7" s="484"/>
      <c r="PUU7" s="484"/>
      <c r="PUV7" s="484"/>
      <c r="PUW7" s="484"/>
      <c r="PUX7" s="484"/>
      <c r="PUY7" s="484"/>
      <c r="PUZ7" s="484"/>
      <c r="PVA7" s="484"/>
      <c r="PVB7" s="484"/>
      <c r="PVC7" s="484"/>
      <c r="PVD7" s="484"/>
      <c r="PVE7" s="484"/>
      <c r="PVF7" s="484"/>
      <c r="PVG7" s="484"/>
      <c r="PVH7" s="484"/>
      <c r="PVI7" s="484"/>
      <c r="PVJ7" s="484"/>
      <c r="PVK7" s="484"/>
      <c r="PVL7" s="484"/>
      <c r="PVM7" s="484"/>
      <c r="PVN7" s="484"/>
      <c r="PVO7" s="484"/>
      <c r="PVP7" s="484"/>
      <c r="PVQ7" s="484"/>
      <c r="PVR7" s="484"/>
      <c r="PVS7" s="484"/>
      <c r="PVT7" s="484"/>
      <c r="PVU7" s="484"/>
      <c r="PVV7" s="484"/>
      <c r="PVW7" s="484"/>
      <c r="PVX7" s="484"/>
      <c r="PVY7" s="484"/>
      <c r="PVZ7" s="484"/>
      <c r="PWA7" s="484"/>
      <c r="PWB7" s="484"/>
      <c r="PWC7" s="484"/>
      <c r="PWD7" s="484"/>
      <c r="PWE7" s="484"/>
      <c r="PWF7" s="484"/>
      <c r="PWG7" s="484"/>
      <c r="PWH7" s="484"/>
      <c r="PWI7" s="484"/>
      <c r="PWJ7" s="484"/>
      <c r="PWK7" s="484"/>
      <c r="PWL7" s="484"/>
      <c r="PWM7" s="484"/>
      <c r="PWN7" s="484"/>
      <c r="PWO7" s="484"/>
      <c r="PWP7" s="484"/>
      <c r="PWQ7" s="484"/>
      <c r="PWR7" s="484"/>
      <c r="PWS7" s="484"/>
      <c r="PWT7" s="484"/>
      <c r="PWU7" s="484"/>
      <c r="PWV7" s="484"/>
      <c r="PWW7" s="484"/>
      <c r="PWX7" s="484"/>
      <c r="PWY7" s="484"/>
      <c r="PWZ7" s="484"/>
      <c r="PXA7" s="484"/>
      <c r="PXB7" s="484"/>
      <c r="PXC7" s="484"/>
      <c r="PXD7" s="484"/>
      <c r="PXE7" s="484"/>
      <c r="PXF7" s="484"/>
      <c r="PXG7" s="484"/>
      <c r="PXH7" s="484"/>
      <c r="PXI7" s="484"/>
      <c r="PXJ7" s="484"/>
      <c r="PXK7" s="484"/>
      <c r="PXL7" s="484"/>
      <c r="PXM7" s="484"/>
      <c r="PXN7" s="484"/>
      <c r="PXO7" s="484"/>
      <c r="PXP7" s="484"/>
      <c r="PXQ7" s="484"/>
      <c r="PXR7" s="484"/>
      <c r="PXS7" s="484"/>
      <c r="PXT7" s="484"/>
      <c r="PXU7" s="484"/>
      <c r="PXV7" s="484"/>
      <c r="PXW7" s="484"/>
      <c r="PXX7" s="484"/>
      <c r="PXY7" s="484"/>
      <c r="PXZ7" s="484"/>
      <c r="PYA7" s="484"/>
      <c r="PYB7" s="484"/>
      <c r="PYC7" s="484"/>
      <c r="PYD7" s="484"/>
      <c r="PYE7" s="484"/>
      <c r="PYF7" s="484"/>
      <c r="PYG7" s="484"/>
      <c r="PYH7" s="484"/>
      <c r="PYI7" s="484"/>
      <c r="PYJ7" s="484"/>
      <c r="PYK7" s="484"/>
      <c r="PYL7" s="484"/>
      <c r="PYM7" s="484"/>
      <c r="PYN7" s="484"/>
      <c r="PYO7" s="484"/>
      <c r="PYP7" s="484"/>
      <c r="PYQ7" s="484"/>
      <c r="PYR7" s="484"/>
      <c r="PYS7" s="484"/>
      <c r="PYT7" s="484"/>
      <c r="PYU7" s="484"/>
      <c r="PYV7" s="484"/>
      <c r="PYW7" s="484"/>
      <c r="PYX7" s="484"/>
      <c r="PYY7" s="484"/>
      <c r="PYZ7" s="484"/>
      <c r="PZA7" s="484"/>
      <c r="PZB7" s="484"/>
      <c r="PZC7" s="484"/>
      <c r="PZD7" s="484"/>
      <c r="PZE7" s="484"/>
      <c r="PZF7" s="484"/>
      <c r="PZG7" s="484"/>
      <c r="PZH7" s="484"/>
      <c r="PZI7" s="484"/>
      <c r="PZJ7" s="484"/>
      <c r="PZK7" s="484"/>
      <c r="PZL7" s="484"/>
      <c r="PZM7" s="484"/>
      <c r="PZN7" s="484"/>
      <c r="PZO7" s="484"/>
      <c r="PZP7" s="484"/>
      <c r="PZQ7" s="484"/>
      <c r="PZR7" s="484"/>
      <c r="PZS7" s="484"/>
      <c r="PZT7" s="484"/>
      <c r="PZU7" s="484"/>
      <c r="PZV7" s="484"/>
      <c r="PZW7" s="484"/>
      <c r="PZX7" s="484"/>
      <c r="PZY7" s="484"/>
      <c r="PZZ7" s="484"/>
      <c r="QAA7" s="484"/>
      <c r="QAB7" s="484"/>
      <c r="QAC7" s="484"/>
      <c r="QAD7" s="484"/>
      <c r="QAE7" s="484"/>
      <c r="QAF7" s="484"/>
      <c r="QAG7" s="484"/>
      <c r="QAH7" s="484"/>
      <c r="QAI7" s="484"/>
      <c r="QAJ7" s="484"/>
      <c r="QAK7" s="484"/>
      <c r="QAL7" s="484"/>
      <c r="QAM7" s="484"/>
      <c r="QAN7" s="484"/>
      <c r="QAO7" s="484"/>
      <c r="QAP7" s="484"/>
      <c r="QAQ7" s="484"/>
      <c r="QAR7" s="484"/>
      <c r="QAS7" s="484"/>
      <c r="QAT7" s="484"/>
      <c r="QAU7" s="484"/>
      <c r="QAV7" s="484"/>
      <c r="QAW7" s="484"/>
      <c r="QAX7" s="484"/>
      <c r="QAY7" s="484"/>
      <c r="QAZ7" s="484"/>
      <c r="QBA7" s="484"/>
      <c r="QBB7" s="484"/>
      <c r="QBC7" s="484"/>
      <c r="QBD7" s="484"/>
      <c r="QBE7" s="484"/>
      <c r="QBF7" s="484"/>
      <c r="QBG7" s="484"/>
      <c r="QBH7" s="484"/>
      <c r="QBI7" s="484"/>
      <c r="QBJ7" s="484"/>
      <c r="QBK7" s="484"/>
      <c r="QBL7" s="484"/>
      <c r="QBM7" s="484"/>
      <c r="QBN7" s="484"/>
      <c r="QBO7" s="484"/>
      <c r="QBP7" s="484"/>
      <c r="QBQ7" s="484"/>
      <c r="QBR7" s="484"/>
      <c r="QBS7" s="484"/>
      <c r="QBT7" s="484"/>
      <c r="QBU7" s="484"/>
      <c r="QBV7" s="484"/>
      <c r="QBW7" s="484"/>
      <c r="QBX7" s="484"/>
      <c r="QBY7" s="484"/>
      <c r="QBZ7" s="484"/>
      <c r="QCA7" s="484"/>
      <c r="QCB7" s="484"/>
      <c r="QCC7" s="484"/>
      <c r="QCD7" s="484"/>
      <c r="QCE7" s="484"/>
      <c r="QCF7" s="484"/>
      <c r="QCG7" s="484"/>
      <c r="QCH7" s="484"/>
      <c r="QCI7" s="484"/>
      <c r="QCJ7" s="484"/>
      <c r="QCK7" s="484"/>
      <c r="QCL7" s="484"/>
      <c r="QCM7" s="484"/>
      <c r="QCN7" s="484"/>
      <c r="QCO7" s="484"/>
      <c r="QCP7" s="484"/>
      <c r="QCQ7" s="484"/>
      <c r="QCR7" s="484"/>
      <c r="QCS7" s="484"/>
      <c r="QCT7" s="484"/>
      <c r="QCU7" s="484"/>
      <c r="QCV7" s="484"/>
      <c r="QCW7" s="484"/>
      <c r="QCX7" s="484"/>
      <c r="QCY7" s="484"/>
      <c r="QCZ7" s="484"/>
      <c r="QDA7" s="484"/>
      <c r="QDB7" s="484"/>
      <c r="QDC7" s="484"/>
      <c r="QDD7" s="484"/>
      <c r="QDE7" s="484"/>
      <c r="QDF7" s="484"/>
      <c r="QDG7" s="484"/>
      <c r="QDH7" s="484"/>
      <c r="QDI7" s="484"/>
      <c r="QDJ7" s="484"/>
      <c r="QDK7" s="484"/>
      <c r="QDL7" s="484"/>
      <c r="QDM7" s="484"/>
      <c r="QDN7" s="484"/>
      <c r="QDO7" s="484"/>
      <c r="QDP7" s="484"/>
      <c r="QDQ7" s="484"/>
      <c r="QDR7" s="484"/>
      <c r="QDS7" s="484"/>
      <c r="QDT7" s="484"/>
      <c r="QDU7" s="484"/>
      <c r="QDV7" s="484"/>
      <c r="QDW7" s="484"/>
      <c r="QDX7" s="484"/>
      <c r="QDY7" s="484"/>
      <c r="QDZ7" s="484"/>
      <c r="QEA7" s="484"/>
      <c r="QEB7" s="484"/>
      <c r="QEC7" s="484"/>
      <c r="QED7" s="484"/>
      <c r="QEE7" s="484"/>
      <c r="QEF7" s="484"/>
      <c r="QEG7" s="484"/>
      <c r="QEH7" s="484"/>
      <c r="QEI7" s="484"/>
      <c r="QEJ7" s="484"/>
      <c r="QEK7" s="484"/>
      <c r="QEL7" s="484"/>
      <c r="QEM7" s="484"/>
      <c r="QEN7" s="484"/>
      <c r="QEO7" s="484"/>
      <c r="QEP7" s="484"/>
      <c r="QEQ7" s="484"/>
      <c r="QER7" s="484"/>
      <c r="QES7" s="484"/>
      <c r="QET7" s="484"/>
      <c r="QEU7" s="484"/>
      <c r="QEV7" s="484"/>
      <c r="QEW7" s="484"/>
      <c r="QEX7" s="484"/>
      <c r="QEY7" s="484"/>
      <c r="QEZ7" s="484"/>
      <c r="QFA7" s="484"/>
      <c r="QFB7" s="484"/>
      <c r="QFC7" s="484"/>
      <c r="QFD7" s="484"/>
      <c r="QFE7" s="484"/>
      <c r="QFF7" s="484"/>
      <c r="QFG7" s="484"/>
      <c r="QFH7" s="484"/>
      <c r="QFI7" s="484"/>
      <c r="QFJ7" s="484"/>
      <c r="QFK7" s="484"/>
      <c r="QFL7" s="484"/>
      <c r="QFM7" s="484"/>
      <c r="QFN7" s="484"/>
      <c r="QFO7" s="484"/>
      <c r="QFP7" s="484"/>
      <c r="QFQ7" s="484"/>
      <c r="QFR7" s="484"/>
      <c r="QFS7" s="484"/>
      <c r="QFT7" s="484"/>
      <c r="QFU7" s="484"/>
      <c r="QFV7" s="484"/>
      <c r="QFW7" s="484"/>
      <c r="QFX7" s="484"/>
      <c r="QFY7" s="484"/>
      <c r="QFZ7" s="484"/>
      <c r="QGA7" s="484"/>
      <c r="QGB7" s="484"/>
      <c r="QGC7" s="484"/>
      <c r="QGD7" s="484"/>
      <c r="QGE7" s="484"/>
      <c r="QGF7" s="484"/>
      <c r="QGG7" s="484"/>
      <c r="QGH7" s="484"/>
      <c r="QGI7" s="484"/>
      <c r="QGJ7" s="484"/>
      <c r="QGK7" s="484"/>
      <c r="QGL7" s="484"/>
      <c r="QGM7" s="484"/>
      <c r="QGN7" s="484"/>
      <c r="QGO7" s="484"/>
      <c r="QGP7" s="484"/>
      <c r="QGQ7" s="484"/>
      <c r="QGR7" s="484"/>
      <c r="QGS7" s="484"/>
      <c r="QGT7" s="484"/>
      <c r="QGU7" s="484"/>
      <c r="QGV7" s="484"/>
      <c r="QGW7" s="484"/>
      <c r="QGX7" s="484"/>
      <c r="QGY7" s="484"/>
      <c r="QGZ7" s="484"/>
      <c r="QHA7" s="484"/>
      <c r="QHB7" s="484"/>
      <c r="QHC7" s="484"/>
      <c r="QHD7" s="484"/>
      <c r="QHE7" s="484"/>
      <c r="QHF7" s="484"/>
      <c r="QHG7" s="484"/>
      <c r="QHH7" s="484"/>
      <c r="QHI7" s="484"/>
      <c r="QHJ7" s="484"/>
      <c r="QHK7" s="484"/>
      <c r="QHL7" s="484"/>
      <c r="QHM7" s="484"/>
      <c r="QHN7" s="484"/>
      <c r="QHO7" s="484"/>
      <c r="QHP7" s="484"/>
      <c r="QHQ7" s="484"/>
      <c r="QHR7" s="484"/>
      <c r="QHS7" s="484"/>
      <c r="QHT7" s="484"/>
      <c r="QHU7" s="484"/>
      <c r="QHV7" s="484"/>
      <c r="QHW7" s="484"/>
      <c r="QHX7" s="484"/>
      <c r="QHY7" s="484"/>
      <c r="QHZ7" s="484"/>
      <c r="QIA7" s="484"/>
      <c r="QIB7" s="484"/>
      <c r="QIC7" s="484"/>
      <c r="QID7" s="484"/>
      <c r="QIE7" s="484"/>
      <c r="QIF7" s="484"/>
      <c r="QIG7" s="484"/>
      <c r="QIH7" s="484"/>
      <c r="QII7" s="484"/>
      <c r="QIJ7" s="484"/>
      <c r="QIK7" s="484"/>
      <c r="QIL7" s="484"/>
      <c r="QIM7" s="484"/>
      <c r="QIN7" s="484"/>
      <c r="QIO7" s="484"/>
      <c r="QIP7" s="484"/>
      <c r="QIQ7" s="484"/>
      <c r="QIR7" s="484"/>
      <c r="QIS7" s="484"/>
      <c r="QIT7" s="484"/>
      <c r="QIU7" s="484"/>
      <c r="QIV7" s="484"/>
      <c r="QIW7" s="484"/>
      <c r="QIX7" s="484"/>
      <c r="QIY7" s="484"/>
      <c r="QIZ7" s="484"/>
      <c r="QJA7" s="484"/>
      <c r="QJB7" s="484"/>
      <c r="QJC7" s="484"/>
      <c r="QJD7" s="484"/>
      <c r="QJE7" s="484"/>
      <c r="QJF7" s="484"/>
      <c r="QJG7" s="484"/>
      <c r="QJH7" s="484"/>
      <c r="QJI7" s="484"/>
      <c r="QJJ7" s="484"/>
      <c r="QJK7" s="484"/>
      <c r="QJL7" s="484"/>
      <c r="QJM7" s="484"/>
      <c r="QJN7" s="484"/>
      <c r="QJO7" s="484"/>
      <c r="QJP7" s="484"/>
      <c r="QJQ7" s="484"/>
      <c r="QJR7" s="484"/>
      <c r="QJS7" s="484"/>
      <c r="QJT7" s="484"/>
      <c r="QJU7" s="484"/>
      <c r="QJV7" s="484"/>
      <c r="QJW7" s="484"/>
      <c r="QJX7" s="484"/>
      <c r="QJY7" s="484"/>
      <c r="QJZ7" s="484"/>
      <c r="QKA7" s="484"/>
      <c r="QKB7" s="484"/>
      <c r="QKC7" s="484"/>
      <c r="QKD7" s="484"/>
      <c r="QKE7" s="484"/>
      <c r="QKF7" s="484"/>
      <c r="QKG7" s="484"/>
      <c r="QKH7" s="484"/>
      <c r="QKI7" s="484"/>
      <c r="QKJ7" s="484"/>
      <c r="QKK7" s="484"/>
      <c r="QKL7" s="484"/>
      <c r="QKM7" s="484"/>
      <c r="QKN7" s="484"/>
      <c r="QKO7" s="484"/>
      <c r="QKP7" s="484"/>
      <c r="QKQ7" s="484"/>
      <c r="QKR7" s="484"/>
      <c r="QKS7" s="484"/>
      <c r="QKT7" s="484"/>
      <c r="QKU7" s="484"/>
      <c r="QKV7" s="484"/>
      <c r="QKW7" s="484"/>
      <c r="QKX7" s="484"/>
      <c r="QKY7" s="484"/>
      <c r="QKZ7" s="484"/>
      <c r="QLA7" s="484"/>
      <c r="QLB7" s="484"/>
      <c r="QLC7" s="484"/>
      <c r="QLD7" s="484"/>
      <c r="QLE7" s="484"/>
      <c r="QLF7" s="484"/>
      <c r="QLG7" s="484"/>
      <c r="QLH7" s="484"/>
      <c r="QLI7" s="484"/>
      <c r="QLJ7" s="484"/>
      <c r="QLK7" s="484"/>
      <c r="QLL7" s="484"/>
      <c r="QLM7" s="484"/>
      <c r="QLN7" s="484"/>
      <c r="QLO7" s="484"/>
      <c r="QLP7" s="484"/>
      <c r="QLQ7" s="484"/>
      <c r="QLR7" s="484"/>
      <c r="QLS7" s="484"/>
      <c r="QLT7" s="484"/>
      <c r="QLU7" s="484"/>
      <c r="QLV7" s="484"/>
      <c r="QLW7" s="484"/>
      <c r="QLX7" s="484"/>
      <c r="QLY7" s="484"/>
      <c r="QLZ7" s="484"/>
      <c r="QMA7" s="484"/>
      <c r="QMB7" s="484"/>
      <c r="QMC7" s="484"/>
      <c r="QMD7" s="484"/>
      <c r="QME7" s="484"/>
      <c r="QMF7" s="484"/>
      <c r="QMG7" s="484"/>
      <c r="QMH7" s="484"/>
      <c r="QMI7" s="484"/>
      <c r="QMJ7" s="484"/>
      <c r="QMK7" s="484"/>
      <c r="QML7" s="484"/>
      <c r="QMM7" s="484"/>
      <c r="QMN7" s="484"/>
      <c r="QMO7" s="484"/>
      <c r="QMP7" s="484"/>
      <c r="QMQ7" s="484"/>
      <c r="QMR7" s="484"/>
      <c r="QMS7" s="484"/>
      <c r="QMT7" s="484"/>
      <c r="QMU7" s="484"/>
      <c r="QMV7" s="484"/>
      <c r="QMW7" s="484"/>
      <c r="QMX7" s="484"/>
      <c r="QMY7" s="484"/>
      <c r="QMZ7" s="484"/>
      <c r="QNA7" s="484"/>
      <c r="QNB7" s="484"/>
      <c r="QNC7" s="484"/>
      <c r="QND7" s="484"/>
      <c r="QNE7" s="484"/>
      <c r="QNF7" s="484"/>
      <c r="QNG7" s="484"/>
      <c r="QNH7" s="484"/>
      <c r="QNI7" s="484"/>
      <c r="QNJ7" s="484"/>
      <c r="QNK7" s="484"/>
      <c r="QNL7" s="484"/>
      <c r="QNM7" s="484"/>
      <c r="QNN7" s="484"/>
      <c r="QNO7" s="484"/>
      <c r="QNP7" s="484"/>
      <c r="QNQ7" s="484"/>
      <c r="QNR7" s="484"/>
      <c r="QNS7" s="484"/>
      <c r="QNT7" s="484"/>
      <c r="QNU7" s="484"/>
      <c r="QNV7" s="484"/>
      <c r="QNW7" s="484"/>
      <c r="QNX7" s="484"/>
      <c r="QNY7" s="484"/>
      <c r="QNZ7" s="484"/>
      <c r="QOA7" s="484"/>
      <c r="QOB7" s="484"/>
      <c r="QOC7" s="484"/>
      <c r="QOD7" s="484"/>
      <c r="QOE7" s="484"/>
      <c r="QOF7" s="484"/>
      <c r="QOG7" s="484"/>
      <c r="QOH7" s="484"/>
      <c r="QOI7" s="484"/>
      <c r="QOJ7" s="484"/>
      <c r="QOK7" s="484"/>
      <c r="QOL7" s="484"/>
      <c r="QOM7" s="484"/>
      <c r="QON7" s="484"/>
      <c r="QOO7" s="484"/>
      <c r="QOP7" s="484"/>
      <c r="QOQ7" s="484"/>
      <c r="QOR7" s="484"/>
      <c r="QOS7" s="484"/>
      <c r="QOT7" s="484"/>
      <c r="QOU7" s="484"/>
      <c r="QOV7" s="484"/>
      <c r="QOW7" s="484"/>
      <c r="QOX7" s="484"/>
      <c r="QOY7" s="484"/>
      <c r="QOZ7" s="484"/>
      <c r="QPA7" s="484"/>
      <c r="QPB7" s="484"/>
      <c r="QPC7" s="484"/>
      <c r="QPD7" s="484"/>
      <c r="QPE7" s="484"/>
      <c r="QPF7" s="484"/>
      <c r="QPG7" s="484"/>
      <c r="QPH7" s="484"/>
      <c r="QPI7" s="484"/>
      <c r="QPJ7" s="484"/>
      <c r="QPK7" s="484"/>
      <c r="QPL7" s="484"/>
      <c r="QPM7" s="484"/>
      <c r="QPN7" s="484"/>
      <c r="QPO7" s="484"/>
      <c r="QPP7" s="484"/>
      <c r="QPQ7" s="484"/>
      <c r="QPR7" s="484"/>
      <c r="QPS7" s="484"/>
      <c r="QPT7" s="484"/>
      <c r="QPU7" s="484"/>
      <c r="QPV7" s="484"/>
      <c r="QPW7" s="484"/>
      <c r="QPX7" s="484"/>
      <c r="QPY7" s="484"/>
      <c r="QPZ7" s="484"/>
      <c r="QQA7" s="484"/>
      <c r="QQB7" s="484"/>
      <c r="QQC7" s="484"/>
      <c r="QQD7" s="484"/>
      <c r="QQE7" s="484"/>
      <c r="QQF7" s="484"/>
      <c r="QQG7" s="484"/>
      <c r="QQH7" s="484"/>
      <c r="QQI7" s="484"/>
      <c r="QQJ7" s="484"/>
      <c r="QQK7" s="484"/>
      <c r="QQL7" s="484"/>
      <c r="QQM7" s="484"/>
      <c r="QQN7" s="484"/>
      <c r="QQO7" s="484"/>
      <c r="QQP7" s="484"/>
      <c r="QQQ7" s="484"/>
      <c r="QQR7" s="484"/>
      <c r="QQS7" s="484"/>
      <c r="QQT7" s="484"/>
      <c r="QQU7" s="484"/>
      <c r="QQV7" s="484"/>
      <c r="QQW7" s="484"/>
      <c r="QQX7" s="484"/>
      <c r="QQY7" s="484"/>
      <c r="QQZ7" s="484"/>
      <c r="QRA7" s="484"/>
      <c r="QRB7" s="484"/>
      <c r="QRC7" s="484"/>
      <c r="QRD7" s="484"/>
      <c r="QRE7" s="484"/>
      <c r="QRF7" s="484"/>
      <c r="QRG7" s="484"/>
      <c r="QRH7" s="484"/>
      <c r="QRI7" s="484"/>
      <c r="QRJ7" s="484"/>
      <c r="QRK7" s="484"/>
      <c r="QRL7" s="484"/>
      <c r="QRM7" s="484"/>
      <c r="QRN7" s="484"/>
      <c r="QRO7" s="484"/>
      <c r="QRP7" s="484"/>
      <c r="QRQ7" s="484"/>
      <c r="QRR7" s="484"/>
      <c r="QRS7" s="484"/>
      <c r="QRT7" s="484"/>
      <c r="QRU7" s="484"/>
      <c r="QRV7" s="484"/>
      <c r="QRW7" s="484"/>
      <c r="QRX7" s="484"/>
      <c r="QRY7" s="484"/>
      <c r="QRZ7" s="484"/>
      <c r="QSA7" s="484"/>
      <c r="QSB7" s="484"/>
      <c r="QSC7" s="484"/>
      <c r="QSD7" s="484"/>
      <c r="QSE7" s="484"/>
      <c r="QSF7" s="484"/>
      <c r="QSG7" s="484"/>
      <c r="QSH7" s="484"/>
      <c r="QSI7" s="484"/>
      <c r="QSJ7" s="484"/>
      <c r="QSK7" s="484"/>
      <c r="QSL7" s="484"/>
      <c r="QSM7" s="484"/>
      <c r="QSN7" s="484"/>
      <c r="QSO7" s="484"/>
      <c r="QSP7" s="484"/>
      <c r="QSQ7" s="484"/>
      <c r="QSR7" s="484"/>
      <c r="QSS7" s="484"/>
      <c r="QST7" s="484"/>
      <c r="QSU7" s="484"/>
      <c r="QSV7" s="484"/>
      <c r="QSW7" s="484"/>
      <c r="QSX7" s="484"/>
      <c r="QSY7" s="484"/>
      <c r="QSZ7" s="484"/>
      <c r="QTA7" s="484"/>
      <c r="QTB7" s="484"/>
      <c r="QTC7" s="484"/>
      <c r="QTD7" s="484"/>
      <c r="QTE7" s="484"/>
      <c r="QTF7" s="484"/>
      <c r="QTG7" s="484"/>
      <c r="QTH7" s="484"/>
      <c r="QTI7" s="484"/>
      <c r="QTJ7" s="484"/>
      <c r="QTK7" s="484"/>
      <c r="QTL7" s="484"/>
      <c r="QTM7" s="484"/>
      <c r="QTN7" s="484"/>
      <c r="QTO7" s="484"/>
      <c r="QTP7" s="484"/>
      <c r="QTQ7" s="484"/>
      <c r="QTR7" s="484"/>
      <c r="QTS7" s="484"/>
      <c r="QTT7" s="484"/>
      <c r="QTU7" s="484"/>
      <c r="QTV7" s="484"/>
      <c r="QTW7" s="484"/>
      <c r="QTX7" s="484"/>
      <c r="QTY7" s="484"/>
      <c r="QTZ7" s="484"/>
      <c r="QUA7" s="484"/>
      <c r="QUB7" s="484"/>
      <c r="QUC7" s="484"/>
      <c r="QUD7" s="484"/>
      <c r="QUE7" s="484"/>
      <c r="QUF7" s="484"/>
      <c r="QUG7" s="484"/>
      <c r="QUH7" s="484"/>
      <c r="QUI7" s="484"/>
      <c r="QUJ7" s="484"/>
      <c r="QUK7" s="484"/>
      <c r="QUL7" s="484"/>
      <c r="QUM7" s="484"/>
      <c r="QUN7" s="484"/>
      <c r="QUO7" s="484"/>
      <c r="QUP7" s="484"/>
      <c r="QUQ7" s="484"/>
      <c r="QUR7" s="484"/>
      <c r="QUS7" s="484"/>
      <c r="QUT7" s="484"/>
      <c r="QUU7" s="484"/>
      <c r="QUV7" s="484"/>
      <c r="QUW7" s="484"/>
      <c r="QUX7" s="484"/>
      <c r="QUY7" s="484"/>
      <c r="QUZ7" s="484"/>
      <c r="QVA7" s="484"/>
      <c r="QVB7" s="484"/>
      <c r="QVC7" s="484"/>
      <c r="QVD7" s="484"/>
      <c r="QVE7" s="484"/>
      <c r="QVF7" s="484"/>
      <c r="QVG7" s="484"/>
      <c r="QVH7" s="484"/>
      <c r="QVI7" s="484"/>
      <c r="QVJ7" s="484"/>
      <c r="QVK7" s="484"/>
      <c r="QVL7" s="484"/>
      <c r="QVM7" s="484"/>
      <c r="QVN7" s="484"/>
      <c r="QVO7" s="484"/>
      <c r="QVP7" s="484"/>
      <c r="QVQ7" s="484"/>
      <c r="QVR7" s="484"/>
      <c r="QVS7" s="484"/>
      <c r="QVT7" s="484"/>
      <c r="QVU7" s="484"/>
      <c r="QVV7" s="484"/>
      <c r="QVW7" s="484"/>
      <c r="QVX7" s="484"/>
      <c r="QVY7" s="484"/>
      <c r="QVZ7" s="484"/>
      <c r="QWA7" s="484"/>
      <c r="QWB7" s="484"/>
      <c r="QWC7" s="484"/>
      <c r="QWD7" s="484"/>
      <c r="QWE7" s="484"/>
      <c r="QWF7" s="484"/>
      <c r="QWG7" s="484"/>
      <c r="QWH7" s="484"/>
      <c r="QWI7" s="484"/>
      <c r="QWJ7" s="484"/>
      <c r="QWK7" s="484"/>
      <c r="QWL7" s="484"/>
      <c r="QWM7" s="484"/>
      <c r="QWN7" s="484"/>
      <c r="QWO7" s="484"/>
      <c r="QWP7" s="484"/>
      <c r="QWQ7" s="484"/>
      <c r="QWR7" s="484"/>
      <c r="QWS7" s="484"/>
      <c r="QWT7" s="484"/>
      <c r="QWU7" s="484"/>
      <c r="QWV7" s="484"/>
      <c r="QWW7" s="484"/>
      <c r="QWX7" s="484"/>
      <c r="QWY7" s="484"/>
      <c r="QWZ7" s="484"/>
      <c r="QXA7" s="484"/>
      <c r="QXB7" s="484"/>
      <c r="QXC7" s="484"/>
      <c r="QXD7" s="484"/>
      <c r="QXE7" s="484"/>
      <c r="QXF7" s="484"/>
      <c r="QXG7" s="484"/>
      <c r="QXH7" s="484"/>
      <c r="QXI7" s="484"/>
      <c r="QXJ7" s="484"/>
      <c r="QXK7" s="484"/>
      <c r="QXL7" s="484"/>
      <c r="QXM7" s="484"/>
      <c r="QXN7" s="484"/>
      <c r="QXO7" s="484"/>
      <c r="QXP7" s="484"/>
      <c r="QXQ7" s="484"/>
      <c r="QXR7" s="484"/>
      <c r="QXS7" s="484"/>
      <c r="QXT7" s="484"/>
      <c r="QXU7" s="484"/>
      <c r="QXV7" s="484"/>
      <c r="QXW7" s="484"/>
      <c r="QXX7" s="484"/>
      <c r="QXY7" s="484"/>
      <c r="QXZ7" s="484"/>
      <c r="QYA7" s="484"/>
      <c r="QYB7" s="484"/>
      <c r="QYC7" s="484"/>
      <c r="QYD7" s="484"/>
      <c r="QYE7" s="484"/>
      <c r="QYF7" s="484"/>
      <c r="QYG7" s="484"/>
      <c r="QYH7" s="484"/>
      <c r="QYI7" s="484"/>
      <c r="QYJ7" s="484"/>
      <c r="QYK7" s="484"/>
      <c r="QYL7" s="484"/>
      <c r="QYM7" s="484"/>
      <c r="QYN7" s="484"/>
      <c r="QYO7" s="484"/>
      <c r="QYP7" s="484"/>
      <c r="QYQ7" s="484"/>
      <c r="QYR7" s="484"/>
      <c r="QYS7" s="484"/>
      <c r="QYT7" s="484"/>
      <c r="QYU7" s="484"/>
      <c r="QYV7" s="484"/>
      <c r="QYW7" s="484"/>
      <c r="QYX7" s="484"/>
      <c r="QYY7" s="484"/>
      <c r="QYZ7" s="484"/>
      <c r="QZA7" s="484"/>
      <c r="QZB7" s="484"/>
      <c r="QZC7" s="484"/>
      <c r="QZD7" s="484"/>
      <c r="QZE7" s="484"/>
      <c r="QZF7" s="484"/>
      <c r="QZG7" s="484"/>
      <c r="QZH7" s="484"/>
      <c r="QZI7" s="484"/>
      <c r="QZJ7" s="484"/>
      <c r="QZK7" s="484"/>
      <c r="QZL7" s="484"/>
      <c r="QZM7" s="484"/>
      <c r="QZN7" s="484"/>
      <c r="QZO7" s="484"/>
      <c r="QZP7" s="484"/>
      <c r="QZQ7" s="484"/>
      <c r="QZR7" s="484"/>
      <c r="QZS7" s="484"/>
      <c r="QZT7" s="484"/>
      <c r="QZU7" s="484"/>
      <c r="QZV7" s="484"/>
      <c r="QZW7" s="484"/>
      <c r="QZX7" s="484"/>
      <c r="QZY7" s="484"/>
      <c r="QZZ7" s="484"/>
      <c r="RAA7" s="484"/>
      <c r="RAB7" s="484"/>
      <c r="RAC7" s="484"/>
      <c r="RAD7" s="484"/>
      <c r="RAE7" s="484"/>
      <c r="RAF7" s="484"/>
      <c r="RAG7" s="484"/>
      <c r="RAH7" s="484"/>
      <c r="RAI7" s="484"/>
      <c r="RAJ7" s="484"/>
      <c r="RAK7" s="484"/>
      <c r="RAL7" s="484"/>
      <c r="RAM7" s="484"/>
      <c r="RAN7" s="484"/>
      <c r="RAO7" s="484"/>
      <c r="RAP7" s="484"/>
      <c r="RAQ7" s="484"/>
      <c r="RAR7" s="484"/>
      <c r="RAS7" s="484"/>
      <c r="RAT7" s="484"/>
      <c r="RAU7" s="484"/>
      <c r="RAV7" s="484"/>
      <c r="RAW7" s="484"/>
      <c r="RAX7" s="484"/>
      <c r="RAY7" s="484"/>
      <c r="RAZ7" s="484"/>
      <c r="RBA7" s="484"/>
      <c r="RBB7" s="484"/>
      <c r="RBC7" s="484"/>
      <c r="RBD7" s="484"/>
      <c r="RBE7" s="484"/>
      <c r="RBF7" s="484"/>
      <c r="RBG7" s="484"/>
      <c r="RBH7" s="484"/>
      <c r="RBI7" s="484"/>
      <c r="RBJ7" s="484"/>
      <c r="RBK7" s="484"/>
      <c r="RBL7" s="484"/>
      <c r="RBM7" s="484"/>
      <c r="RBN7" s="484"/>
      <c r="RBO7" s="484"/>
      <c r="RBP7" s="484"/>
      <c r="RBQ7" s="484"/>
      <c r="RBR7" s="484"/>
      <c r="RBS7" s="484"/>
      <c r="RBT7" s="484"/>
      <c r="RBU7" s="484"/>
      <c r="RBV7" s="484"/>
      <c r="RBW7" s="484"/>
      <c r="RBX7" s="484"/>
      <c r="RBY7" s="484"/>
      <c r="RBZ7" s="484"/>
      <c r="RCA7" s="484"/>
      <c r="RCB7" s="484"/>
      <c r="RCC7" s="484"/>
      <c r="RCD7" s="484"/>
      <c r="RCE7" s="484"/>
      <c r="RCF7" s="484"/>
      <c r="RCG7" s="484"/>
      <c r="RCH7" s="484"/>
      <c r="RCI7" s="484"/>
      <c r="RCJ7" s="484"/>
      <c r="RCK7" s="484"/>
      <c r="RCL7" s="484"/>
      <c r="RCM7" s="484"/>
      <c r="RCN7" s="484"/>
      <c r="RCO7" s="484"/>
      <c r="RCP7" s="484"/>
      <c r="RCQ7" s="484"/>
      <c r="RCR7" s="484"/>
      <c r="RCS7" s="484"/>
      <c r="RCT7" s="484"/>
      <c r="RCU7" s="484"/>
      <c r="RCV7" s="484"/>
      <c r="RCW7" s="484"/>
      <c r="RCX7" s="484"/>
      <c r="RCY7" s="484"/>
      <c r="RCZ7" s="484"/>
      <c r="RDA7" s="484"/>
      <c r="RDB7" s="484"/>
      <c r="RDC7" s="484"/>
      <c r="RDD7" s="484"/>
      <c r="RDE7" s="484"/>
      <c r="RDF7" s="484"/>
      <c r="RDG7" s="484"/>
      <c r="RDH7" s="484"/>
      <c r="RDI7" s="484"/>
      <c r="RDJ7" s="484"/>
      <c r="RDK7" s="484"/>
      <c r="RDL7" s="484"/>
      <c r="RDM7" s="484"/>
      <c r="RDN7" s="484"/>
      <c r="RDO7" s="484"/>
      <c r="RDP7" s="484"/>
      <c r="RDQ7" s="484"/>
      <c r="RDR7" s="484"/>
      <c r="RDS7" s="484"/>
      <c r="RDT7" s="484"/>
      <c r="RDU7" s="484"/>
      <c r="RDV7" s="484"/>
      <c r="RDW7" s="484"/>
      <c r="RDX7" s="484"/>
      <c r="RDY7" s="484"/>
      <c r="RDZ7" s="484"/>
      <c r="REA7" s="484"/>
      <c r="REB7" s="484"/>
      <c r="REC7" s="484"/>
      <c r="RED7" s="484"/>
      <c r="REE7" s="484"/>
      <c r="REF7" s="484"/>
      <c r="REG7" s="484"/>
      <c r="REH7" s="484"/>
      <c r="REI7" s="484"/>
      <c r="REJ7" s="484"/>
      <c r="REK7" s="484"/>
      <c r="REL7" s="484"/>
      <c r="REM7" s="484"/>
      <c r="REN7" s="484"/>
      <c r="REO7" s="484"/>
      <c r="REP7" s="484"/>
      <c r="REQ7" s="484"/>
      <c r="RER7" s="484"/>
      <c r="RES7" s="484"/>
      <c r="RET7" s="484"/>
      <c r="REU7" s="484"/>
      <c r="REV7" s="484"/>
      <c r="REW7" s="484"/>
      <c r="REX7" s="484"/>
      <c r="REY7" s="484"/>
      <c r="REZ7" s="484"/>
      <c r="RFA7" s="484"/>
      <c r="RFB7" s="484"/>
      <c r="RFC7" s="484"/>
      <c r="RFD7" s="484"/>
      <c r="RFE7" s="484"/>
      <c r="RFF7" s="484"/>
      <c r="RFG7" s="484"/>
      <c r="RFH7" s="484"/>
      <c r="RFI7" s="484"/>
      <c r="RFJ7" s="484"/>
      <c r="RFK7" s="484"/>
      <c r="RFL7" s="484"/>
      <c r="RFM7" s="484"/>
      <c r="RFN7" s="484"/>
      <c r="RFO7" s="484"/>
      <c r="RFP7" s="484"/>
      <c r="RFQ7" s="484"/>
      <c r="RFR7" s="484"/>
      <c r="RFS7" s="484"/>
      <c r="RFT7" s="484"/>
      <c r="RFU7" s="484"/>
      <c r="RFV7" s="484"/>
      <c r="RFW7" s="484"/>
      <c r="RFX7" s="484"/>
      <c r="RFY7" s="484"/>
      <c r="RFZ7" s="484"/>
      <c r="RGA7" s="484"/>
      <c r="RGB7" s="484"/>
      <c r="RGC7" s="484"/>
      <c r="RGD7" s="484"/>
      <c r="RGE7" s="484"/>
      <c r="RGF7" s="484"/>
      <c r="RGG7" s="484"/>
      <c r="RGH7" s="484"/>
      <c r="RGI7" s="484"/>
      <c r="RGJ7" s="484"/>
      <c r="RGK7" s="484"/>
      <c r="RGL7" s="484"/>
      <c r="RGM7" s="484"/>
      <c r="RGN7" s="484"/>
      <c r="RGO7" s="484"/>
      <c r="RGP7" s="484"/>
      <c r="RGQ7" s="484"/>
      <c r="RGR7" s="484"/>
      <c r="RGS7" s="484"/>
      <c r="RGT7" s="484"/>
      <c r="RGU7" s="484"/>
      <c r="RGV7" s="484"/>
      <c r="RGW7" s="484"/>
      <c r="RGX7" s="484"/>
      <c r="RGY7" s="484"/>
      <c r="RGZ7" s="484"/>
      <c r="RHA7" s="484"/>
      <c r="RHB7" s="484"/>
      <c r="RHC7" s="484"/>
      <c r="RHD7" s="484"/>
      <c r="RHE7" s="484"/>
      <c r="RHF7" s="484"/>
      <c r="RHG7" s="484"/>
      <c r="RHH7" s="484"/>
      <c r="RHI7" s="484"/>
      <c r="RHJ7" s="484"/>
      <c r="RHK7" s="484"/>
      <c r="RHL7" s="484"/>
      <c r="RHM7" s="484"/>
      <c r="RHN7" s="484"/>
      <c r="RHO7" s="484"/>
      <c r="RHP7" s="484"/>
      <c r="RHQ7" s="484"/>
      <c r="RHR7" s="484"/>
      <c r="RHS7" s="484"/>
      <c r="RHT7" s="484"/>
      <c r="RHU7" s="484"/>
      <c r="RHV7" s="484"/>
      <c r="RHW7" s="484"/>
      <c r="RHX7" s="484"/>
      <c r="RHY7" s="484"/>
      <c r="RHZ7" s="484"/>
      <c r="RIA7" s="484"/>
      <c r="RIB7" s="484"/>
      <c r="RIC7" s="484"/>
      <c r="RID7" s="484"/>
      <c r="RIE7" s="484"/>
      <c r="RIF7" s="484"/>
      <c r="RIG7" s="484"/>
      <c r="RIH7" s="484"/>
      <c r="RII7" s="484"/>
      <c r="RIJ7" s="484"/>
      <c r="RIK7" s="484"/>
      <c r="RIL7" s="484"/>
      <c r="RIM7" s="484"/>
      <c r="RIN7" s="484"/>
      <c r="RIO7" s="484"/>
      <c r="RIP7" s="484"/>
      <c r="RIQ7" s="484"/>
      <c r="RIR7" s="484"/>
      <c r="RIS7" s="484"/>
      <c r="RIT7" s="484"/>
      <c r="RIU7" s="484"/>
      <c r="RIV7" s="484"/>
      <c r="RIW7" s="484"/>
      <c r="RIX7" s="484"/>
      <c r="RIY7" s="484"/>
      <c r="RIZ7" s="484"/>
      <c r="RJA7" s="484"/>
      <c r="RJB7" s="484"/>
      <c r="RJC7" s="484"/>
      <c r="RJD7" s="484"/>
      <c r="RJE7" s="484"/>
      <c r="RJF7" s="484"/>
      <c r="RJG7" s="484"/>
      <c r="RJH7" s="484"/>
      <c r="RJI7" s="484"/>
      <c r="RJJ7" s="484"/>
      <c r="RJK7" s="484"/>
      <c r="RJL7" s="484"/>
      <c r="RJM7" s="484"/>
      <c r="RJN7" s="484"/>
      <c r="RJO7" s="484"/>
      <c r="RJP7" s="484"/>
      <c r="RJQ7" s="484"/>
      <c r="RJR7" s="484"/>
      <c r="RJS7" s="484"/>
      <c r="RJT7" s="484"/>
      <c r="RJU7" s="484"/>
      <c r="RJV7" s="484"/>
      <c r="RJW7" s="484"/>
      <c r="RJX7" s="484"/>
      <c r="RJY7" s="484"/>
      <c r="RJZ7" s="484"/>
      <c r="RKA7" s="484"/>
      <c r="RKB7" s="484"/>
      <c r="RKC7" s="484"/>
      <c r="RKD7" s="484"/>
      <c r="RKE7" s="484"/>
      <c r="RKF7" s="484"/>
      <c r="RKG7" s="484"/>
      <c r="RKH7" s="484"/>
      <c r="RKI7" s="484"/>
      <c r="RKJ7" s="484"/>
      <c r="RKK7" s="484"/>
      <c r="RKL7" s="484"/>
      <c r="RKM7" s="484"/>
      <c r="RKN7" s="484"/>
      <c r="RKO7" s="484"/>
      <c r="RKP7" s="484"/>
      <c r="RKQ7" s="484"/>
      <c r="RKR7" s="484"/>
      <c r="RKS7" s="484"/>
      <c r="RKT7" s="484"/>
      <c r="RKU7" s="484"/>
      <c r="RKV7" s="484"/>
      <c r="RKW7" s="484"/>
      <c r="RKX7" s="484"/>
      <c r="RKY7" s="484"/>
      <c r="RKZ7" s="484"/>
      <c r="RLA7" s="484"/>
      <c r="RLB7" s="484"/>
      <c r="RLC7" s="484"/>
      <c r="RLD7" s="484"/>
      <c r="RLE7" s="484"/>
      <c r="RLF7" s="484"/>
      <c r="RLG7" s="484"/>
      <c r="RLH7" s="484"/>
      <c r="RLI7" s="484"/>
      <c r="RLJ7" s="484"/>
      <c r="RLK7" s="484"/>
      <c r="RLL7" s="484"/>
      <c r="RLM7" s="484"/>
      <c r="RLN7" s="484"/>
      <c r="RLO7" s="484"/>
      <c r="RLP7" s="484"/>
      <c r="RLQ7" s="484"/>
      <c r="RLR7" s="484"/>
      <c r="RLS7" s="484"/>
      <c r="RLT7" s="484"/>
      <c r="RLU7" s="484"/>
      <c r="RLV7" s="484"/>
      <c r="RLW7" s="484"/>
      <c r="RLX7" s="484"/>
      <c r="RLY7" s="484"/>
      <c r="RLZ7" s="484"/>
      <c r="RMA7" s="484"/>
      <c r="RMB7" s="484"/>
      <c r="RMC7" s="484"/>
      <c r="RMD7" s="484"/>
      <c r="RME7" s="484"/>
      <c r="RMF7" s="484"/>
      <c r="RMG7" s="484"/>
      <c r="RMH7" s="484"/>
      <c r="RMI7" s="484"/>
      <c r="RMJ7" s="484"/>
      <c r="RMK7" s="484"/>
      <c r="RML7" s="484"/>
      <c r="RMM7" s="484"/>
      <c r="RMN7" s="484"/>
      <c r="RMO7" s="484"/>
      <c r="RMP7" s="484"/>
      <c r="RMQ7" s="484"/>
      <c r="RMR7" s="484"/>
      <c r="RMS7" s="484"/>
      <c r="RMT7" s="484"/>
      <c r="RMU7" s="484"/>
      <c r="RMV7" s="484"/>
      <c r="RMW7" s="484"/>
      <c r="RMX7" s="484"/>
      <c r="RMY7" s="484"/>
      <c r="RMZ7" s="484"/>
      <c r="RNA7" s="484"/>
      <c r="RNB7" s="484"/>
      <c r="RNC7" s="484"/>
      <c r="RND7" s="484"/>
      <c r="RNE7" s="484"/>
      <c r="RNF7" s="484"/>
      <c r="RNG7" s="484"/>
      <c r="RNH7" s="484"/>
      <c r="RNI7" s="484"/>
      <c r="RNJ7" s="484"/>
      <c r="RNK7" s="484"/>
      <c r="RNL7" s="484"/>
      <c r="RNM7" s="484"/>
      <c r="RNN7" s="484"/>
      <c r="RNO7" s="484"/>
      <c r="RNP7" s="484"/>
      <c r="RNQ7" s="484"/>
      <c r="RNR7" s="484"/>
      <c r="RNS7" s="484"/>
      <c r="RNT7" s="484"/>
      <c r="RNU7" s="484"/>
      <c r="RNV7" s="484"/>
      <c r="RNW7" s="484"/>
      <c r="RNX7" s="484"/>
      <c r="RNY7" s="484"/>
      <c r="RNZ7" s="484"/>
      <c r="ROA7" s="484"/>
      <c r="ROB7" s="484"/>
      <c r="ROC7" s="484"/>
      <c r="ROD7" s="484"/>
      <c r="ROE7" s="484"/>
      <c r="ROF7" s="484"/>
      <c r="ROG7" s="484"/>
      <c r="ROH7" s="484"/>
      <c r="ROI7" s="484"/>
      <c r="ROJ7" s="484"/>
      <c r="ROK7" s="484"/>
      <c r="ROL7" s="484"/>
      <c r="ROM7" s="484"/>
      <c r="RON7" s="484"/>
      <c r="ROO7" s="484"/>
      <c r="ROP7" s="484"/>
      <c r="ROQ7" s="484"/>
      <c r="ROR7" s="484"/>
      <c r="ROS7" s="484"/>
      <c r="ROT7" s="484"/>
      <c r="ROU7" s="484"/>
      <c r="ROV7" s="484"/>
      <c r="ROW7" s="484"/>
      <c r="ROX7" s="484"/>
      <c r="ROY7" s="484"/>
      <c r="ROZ7" s="484"/>
      <c r="RPA7" s="484"/>
      <c r="RPB7" s="484"/>
      <c r="RPC7" s="484"/>
      <c r="RPD7" s="484"/>
      <c r="RPE7" s="484"/>
      <c r="RPF7" s="484"/>
      <c r="RPG7" s="484"/>
      <c r="RPH7" s="484"/>
      <c r="RPI7" s="484"/>
      <c r="RPJ7" s="484"/>
      <c r="RPK7" s="484"/>
      <c r="RPL7" s="484"/>
      <c r="RPM7" s="484"/>
      <c r="RPN7" s="484"/>
      <c r="RPO7" s="484"/>
      <c r="RPP7" s="484"/>
      <c r="RPQ7" s="484"/>
      <c r="RPR7" s="484"/>
      <c r="RPS7" s="484"/>
      <c r="RPT7" s="484"/>
      <c r="RPU7" s="484"/>
      <c r="RPV7" s="484"/>
      <c r="RPW7" s="484"/>
      <c r="RPX7" s="484"/>
      <c r="RPY7" s="484"/>
      <c r="RPZ7" s="484"/>
      <c r="RQA7" s="484"/>
      <c r="RQB7" s="484"/>
      <c r="RQC7" s="484"/>
      <c r="RQD7" s="484"/>
      <c r="RQE7" s="484"/>
      <c r="RQF7" s="484"/>
      <c r="RQG7" s="484"/>
      <c r="RQH7" s="484"/>
      <c r="RQI7" s="484"/>
      <c r="RQJ7" s="484"/>
      <c r="RQK7" s="484"/>
      <c r="RQL7" s="484"/>
      <c r="RQM7" s="484"/>
      <c r="RQN7" s="484"/>
      <c r="RQO7" s="484"/>
      <c r="RQP7" s="484"/>
      <c r="RQQ7" s="484"/>
      <c r="RQR7" s="484"/>
      <c r="RQS7" s="484"/>
      <c r="RQT7" s="484"/>
      <c r="RQU7" s="484"/>
      <c r="RQV7" s="484"/>
      <c r="RQW7" s="484"/>
      <c r="RQX7" s="484"/>
      <c r="RQY7" s="484"/>
      <c r="RQZ7" s="484"/>
      <c r="RRA7" s="484"/>
      <c r="RRB7" s="484"/>
      <c r="RRC7" s="484"/>
      <c r="RRD7" s="484"/>
      <c r="RRE7" s="484"/>
      <c r="RRF7" s="484"/>
      <c r="RRG7" s="484"/>
      <c r="RRH7" s="484"/>
      <c r="RRI7" s="484"/>
      <c r="RRJ7" s="484"/>
      <c r="RRK7" s="484"/>
      <c r="RRL7" s="484"/>
      <c r="RRM7" s="484"/>
      <c r="RRN7" s="484"/>
      <c r="RRO7" s="484"/>
      <c r="RRP7" s="484"/>
      <c r="RRQ7" s="484"/>
      <c r="RRR7" s="484"/>
      <c r="RRS7" s="484"/>
      <c r="RRT7" s="484"/>
      <c r="RRU7" s="484"/>
      <c r="RRV7" s="484"/>
      <c r="RRW7" s="484"/>
      <c r="RRX7" s="484"/>
      <c r="RRY7" s="484"/>
      <c r="RRZ7" s="484"/>
      <c r="RSA7" s="484"/>
      <c r="RSB7" s="484"/>
      <c r="RSC7" s="484"/>
      <c r="RSD7" s="484"/>
      <c r="RSE7" s="484"/>
      <c r="RSF7" s="484"/>
      <c r="RSG7" s="484"/>
      <c r="RSH7" s="484"/>
      <c r="RSI7" s="484"/>
      <c r="RSJ7" s="484"/>
      <c r="RSK7" s="484"/>
      <c r="RSL7" s="484"/>
      <c r="RSM7" s="484"/>
      <c r="RSN7" s="484"/>
      <c r="RSO7" s="484"/>
      <c r="RSP7" s="484"/>
      <c r="RSQ7" s="484"/>
      <c r="RSR7" s="484"/>
      <c r="RSS7" s="484"/>
      <c r="RST7" s="484"/>
      <c r="RSU7" s="484"/>
      <c r="RSV7" s="484"/>
      <c r="RSW7" s="484"/>
      <c r="RSX7" s="484"/>
      <c r="RSY7" s="484"/>
      <c r="RSZ7" s="484"/>
      <c r="RTA7" s="484"/>
      <c r="RTB7" s="484"/>
      <c r="RTC7" s="484"/>
      <c r="RTD7" s="484"/>
      <c r="RTE7" s="484"/>
      <c r="RTF7" s="484"/>
      <c r="RTG7" s="484"/>
      <c r="RTH7" s="484"/>
      <c r="RTI7" s="484"/>
      <c r="RTJ7" s="484"/>
      <c r="RTK7" s="484"/>
      <c r="RTL7" s="484"/>
      <c r="RTM7" s="484"/>
      <c r="RTN7" s="484"/>
      <c r="RTO7" s="484"/>
      <c r="RTP7" s="484"/>
      <c r="RTQ7" s="484"/>
      <c r="RTR7" s="484"/>
      <c r="RTS7" s="484"/>
      <c r="RTT7" s="484"/>
      <c r="RTU7" s="484"/>
      <c r="RTV7" s="484"/>
      <c r="RTW7" s="484"/>
      <c r="RTX7" s="484"/>
      <c r="RTY7" s="484"/>
      <c r="RTZ7" s="484"/>
      <c r="RUA7" s="484"/>
      <c r="RUB7" s="484"/>
      <c r="RUC7" s="484"/>
      <c r="RUD7" s="484"/>
      <c r="RUE7" s="484"/>
      <c r="RUF7" s="484"/>
      <c r="RUG7" s="484"/>
      <c r="RUH7" s="484"/>
      <c r="RUI7" s="484"/>
      <c r="RUJ7" s="484"/>
      <c r="RUK7" s="484"/>
      <c r="RUL7" s="484"/>
      <c r="RUM7" s="484"/>
      <c r="RUN7" s="484"/>
      <c r="RUO7" s="484"/>
      <c r="RUP7" s="484"/>
      <c r="RUQ7" s="484"/>
      <c r="RUR7" s="484"/>
      <c r="RUS7" s="484"/>
      <c r="RUT7" s="484"/>
      <c r="RUU7" s="484"/>
      <c r="RUV7" s="484"/>
      <c r="RUW7" s="484"/>
      <c r="RUX7" s="484"/>
      <c r="RUY7" s="484"/>
      <c r="RUZ7" s="484"/>
      <c r="RVA7" s="484"/>
      <c r="RVB7" s="484"/>
      <c r="RVC7" s="484"/>
      <c r="RVD7" s="484"/>
      <c r="RVE7" s="484"/>
      <c r="RVF7" s="484"/>
      <c r="RVG7" s="484"/>
      <c r="RVH7" s="484"/>
      <c r="RVI7" s="484"/>
      <c r="RVJ7" s="484"/>
      <c r="RVK7" s="484"/>
      <c r="RVL7" s="484"/>
      <c r="RVM7" s="484"/>
      <c r="RVN7" s="484"/>
      <c r="RVO7" s="484"/>
      <c r="RVP7" s="484"/>
      <c r="RVQ7" s="484"/>
      <c r="RVR7" s="484"/>
      <c r="RVS7" s="484"/>
      <c r="RVT7" s="484"/>
      <c r="RVU7" s="484"/>
      <c r="RVV7" s="484"/>
      <c r="RVW7" s="484"/>
      <c r="RVX7" s="484"/>
      <c r="RVY7" s="484"/>
      <c r="RVZ7" s="484"/>
      <c r="RWA7" s="484"/>
      <c r="RWB7" s="484"/>
      <c r="RWC7" s="484"/>
      <c r="RWD7" s="484"/>
      <c r="RWE7" s="484"/>
      <c r="RWF7" s="484"/>
      <c r="RWG7" s="484"/>
      <c r="RWH7" s="484"/>
      <c r="RWI7" s="484"/>
      <c r="RWJ7" s="484"/>
      <c r="RWK7" s="484"/>
      <c r="RWL7" s="484"/>
      <c r="RWM7" s="484"/>
      <c r="RWN7" s="484"/>
      <c r="RWO7" s="484"/>
      <c r="RWP7" s="484"/>
      <c r="RWQ7" s="484"/>
      <c r="RWR7" s="484"/>
      <c r="RWS7" s="484"/>
      <c r="RWT7" s="484"/>
      <c r="RWU7" s="484"/>
      <c r="RWV7" s="484"/>
      <c r="RWW7" s="484"/>
      <c r="RWX7" s="484"/>
      <c r="RWY7" s="484"/>
      <c r="RWZ7" s="484"/>
      <c r="RXA7" s="484"/>
      <c r="RXB7" s="484"/>
      <c r="RXC7" s="484"/>
      <c r="RXD7" s="484"/>
      <c r="RXE7" s="484"/>
      <c r="RXF7" s="484"/>
      <c r="RXG7" s="484"/>
      <c r="RXH7" s="484"/>
      <c r="RXI7" s="484"/>
      <c r="RXJ7" s="484"/>
      <c r="RXK7" s="484"/>
      <c r="RXL7" s="484"/>
      <c r="RXM7" s="484"/>
      <c r="RXN7" s="484"/>
      <c r="RXO7" s="484"/>
      <c r="RXP7" s="484"/>
      <c r="RXQ7" s="484"/>
      <c r="RXR7" s="484"/>
      <c r="RXS7" s="484"/>
      <c r="RXT7" s="484"/>
      <c r="RXU7" s="484"/>
      <c r="RXV7" s="484"/>
      <c r="RXW7" s="484"/>
      <c r="RXX7" s="484"/>
      <c r="RXY7" s="484"/>
      <c r="RXZ7" s="484"/>
      <c r="RYA7" s="484"/>
      <c r="RYB7" s="484"/>
      <c r="RYC7" s="484"/>
      <c r="RYD7" s="484"/>
      <c r="RYE7" s="484"/>
      <c r="RYF7" s="484"/>
      <c r="RYG7" s="484"/>
      <c r="RYH7" s="484"/>
      <c r="RYI7" s="484"/>
      <c r="RYJ7" s="484"/>
      <c r="RYK7" s="484"/>
      <c r="RYL7" s="484"/>
      <c r="RYM7" s="484"/>
      <c r="RYN7" s="484"/>
      <c r="RYO7" s="484"/>
      <c r="RYP7" s="484"/>
      <c r="RYQ7" s="484"/>
      <c r="RYR7" s="484"/>
      <c r="RYS7" s="484"/>
      <c r="RYT7" s="484"/>
      <c r="RYU7" s="484"/>
      <c r="RYV7" s="484"/>
      <c r="RYW7" s="484"/>
      <c r="RYX7" s="484"/>
      <c r="RYY7" s="484"/>
      <c r="RYZ7" s="484"/>
      <c r="RZA7" s="484"/>
      <c r="RZB7" s="484"/>
      <c r="RZC7" s="484"/>
      <c r="RZD7" s="484"/>
      <c r="RZE7" s="484"/>
      <c r="RZF7" s="484"/>
      <c r="RZG7" s="484"/>
      <c r="RZH7" s="484"/>
      <c r="RZI7" s="484"/>
      <c r="RZJ7" s="484"/>
      <c r="RZK7" s="484"/>
      <c r="RZL7" s="484"/>
      <c r="RZM7" s="484"/>
      <c r="RZN7" s="484"/>
      <c r="RZO7" s="484"/>
      <c r="RZP7" s="484"/>
      <c r="RZQ7" s="484"/>
      <c r="RZR7" s="484"/>
      <c r="RZS7" s="484"/>
      <c r="RZT7" s="484"/>
      <c r="RZU7" s="484"/>
      <c r="RZV7" s="484"/>
      <c r="RZW7" s="484"/>
      <c r="RZX7" s="484"/>
      <c r="RZY7" s="484"/>
      <c r="RZZ7" s="484"/>
      <c r="SAA7" s="484"/>
      <c r="SAB7" s="484"/>
      <c r="SAC7" s="484"/>
      <c r="SAD7" s="484"/>
      <c r="SAE7" s="484"/>
      <c r="SAF7" s="484"/>
      <c r="SAG7" s="484"/>
      <c r="SAH7" s="484"/>
      <c r="SAI7" s="484"/>
      <c r="SAJ7" s="484"/>
      <c r="SAK7" s="484"/>
      <c r="SAL7" s="484"/>
      <c r="SAM7" s="484"/>
      <c r="SAN7" s="484"/>
      <c r="SAO7" s="484"/>
      <c r="SAP7" s="484"/>
      <c r="SAQ7" s="484"/>
      <c r="SAR7" s="484"/>
      <c r="SAS7" s="484"/>
      <c r="SAT7" s="484"/>
      <c r="SAU7" s="484"/>
      <c r="SAV7" s="484"/>
      <c r="SAW7" s="484"/>
      <c r="SAX7" s="484"/>
      <c r="SAY7" s="484"/>
      <c r="SAZ7" s="484"/>
      <c r="SBA7" s="484"/>
      <c r="SBB7" s="484"/>
      <c r="SBC7" s="484"/>
      <c r="SBD7" s="484"/>
      <c r="SBE7" s="484"/>
      <c r="SBF7" s="484"/>
      <c r="SBG7" s="484"/>
      <c r="SBH7" s="484"/>
      <c r="SBI7" s="484"/>
      <c r="SBJ7" s="484"/>
      <c r="SBK7" s="484"/>
      <c r="SBL7" s="484"/>
      <c r="SBM7" s="484"/>
      <c r="SBN7" s="484"/>
      <c r="SBO7" s="484"/>
      <c r="SBP7" s="484"/>
      <c r="SBQ7" s="484"/>
      <c r="SBR7" s="484"/>
      <c r="SBS7" s="484"/>
      <c r="SBT7" s="484"/>
      <c r="SBU7" s="484"/>
      <c r="SBV7" s="484"/>
      <c r="SBW7" s="484"/>
      <c r="SBX7" s="484"/>
      <c r="SBY7" s="484"/>
      <c r="SBZ7" s="484"/>
      <c r="SCA7" s="484"/>
      <c r="SCB7" s="484"/>
      <c r="SCC7" s="484"/>
      <c r="SCD7" s="484"/>
      <c r="SCE7" s="484"/>
      <c r="SCF7" s="484"/>
      <c r="SCG7" s="484"/>
      <c r="SCH7" s="484"/>
      <c r="SCI7" s="484"/>
      <c r="SCJ7" s="484"/>
      <c r="SCK7" s="484"/>
      <c r="SCL7" s="484"/>
      <c r="SCM7" s="484"/>
      <c r="SCN7" s="484"/>
      <c r="SCO7" s="484"/>
      <c r="SCP7" s="484"/>
      <c r="SCQ7" s="484"/>
      <c r="SCR7" s="484"/>
      <c r="SCS7" s="484"/>
      <c r="SCT7" s="484"/>
      <c r="SCU7" s="484"/>
      <c r="SCV7" s="484"/>
      <c r="SCW7" s="484"/>
      <c r="SCX7" s="484"/>
      <c r="SCY7" s="484"/>
      <c r="SCZ7" s="484"/>
      <c r="SDA7" s="484"/>
      <c r="SDB7" s="484"/>
      <c r="SDC7" s="484"/>
      <c r="SDD7" s="484"/>
      <c r="SDE7" s="484"/>
      <c r="SDF7" s="484"/>
      <c r="SDG7" s="484"/>
      <c r="SDH7" s="484"/>
      <c r="SDI7" s="484"/>
      <c r="SDJ7" s="484"/>
      <c r="SDK7" s="484"/>
      <c r="SDL7" s="484"/>
      <c r="SDM7" s="484"/>
      <c r="SDN7" s="484"/>
      <c r="SDO7" s="484"/>
      <c r="SDP7" s="484"/>
      <c r="SDQ7" s="484"/>
      <c r="SDR7" s="484"/>
      <c r="SDS7" s="484"/>
      <c r="SDT7" s="484"/>
      <c r="SDU7" s="484"/>
      <c r="SDV7" s="484"/>
      <c r="SDW7" s="484"/>
      <c r="SDX7" s="484"/>
      <c r="SDY7" s="484"/>
      <c r="SDZ7" s="484"/>
      <c r="SEA7" s="484"/>
      <c r="SEB7" s="484"/>
      <c r="SEC7" s="484"/>
      <c r="SED7" s="484"/>
      <c r="SEE7" s="484"/>
      <c r="SEF7" s="484"/>
      <c r="SEG7" s="484"/>
      <c r="SEH7" s="484"/>
      <c r="SEI7" s="484"/>
      <c r="SEJ7" s="484"/>
      <c r="SEK7" s="484"/>
      <c r="SEL7" s="484"/>
      <c r="SEM7" s="484"/>
      <c r="SEN7" s="484"/>
      <c r="SEO7" s="484"/>
      <c r="SEP7" s="484"/>
      <c r="SEQ7" s="484"/>
      <c r="SER7" s="484"/>
      <c r="SES7" s="484"/>
      <c r="SET7" s="484"/>
      <c r="SEU7" s="484"/>
      <c r="SEV7" s="484"/>
      <c r="SEW7" s="484"/>
      <c r="SEX7" s="484"/>
      <c r="SEY7" s="484"/>
      <c r="SEZ7" s="484"/>
      <c r="SFA7" s="484"/>
      <c r="SFB7" s="484"/>
      <c r="SFC7" s="484"/>
      <c r="SFD7" s="484"/>
      <c r="SFE7" s="484"/>
      <c r="SFF7" s="484"/>
      <c r="SFG7" s="484"/>
      <c r="SFH7" s="484"/>
      <c r="SFI7" s="484"/>
      <c r="SFJ7" s="484"/>
      <c r="SFK7" s="484"/>
      <c r="SFL7" s="484"/>
      <c r="SFM7" s="484"/>
      <c r="SFN7" s="484"/>
      <c r="SFO7" s="484"/>
      <c r="SFP7" s="484"/>
      <c r="SFQ7" s="484"/>
      <c r="SFR7" s="484"/>
      <c r="SFS7" s="484"/>
      <c r="SFT7" s="484"/>
      <c r="SFU7" s="484"/>
      <c r="SFV7" s="484"/>
      <c r="SFW7" s="484"/>
      <c r="SFX7" s="484"/>
      <c r="SFY7" s="484"/>
      <c r="SFZ7" s="484"/>
      <c r="SGA7" s="484"/>
      <c r="SGB7" s="484"/>
      <c r="SGC7" s="484"/>
      <c r="SGD7" s="484"/>
      <c r="SGE7" s="484"/>
      <c r="SGF7" s="484"/>
      <c r="SGG7" s="484"/>
      <c r="SGH7" s="484"/>
      <c r="SGI7" s="484"/>
      <c r="SGJ7" s="484"/>
      <c r="SGK7" s="484"/>
      <c r="SGL7" s="484"/>
      <c r="SGM7" s="484"/>
      <c r="SGN7" s="484"/>
      <c r="SGO7" s="484"/>
      <c r="SGP7" s="484"/>
      <c r="SGQ7" s="484"/>
      <c r="SGR7" s="484"/>
      <c r="SGS7" s="484"/>
      <c r="SGT7" s="484"/>
      <c r="SGU7" s="484"/>
      <c r="SGV7" s="484"/>
      <c r="SGW7" s="484"/>
      <c r="SGX7" s="484"/>
      <c r="SGY7" s="484"/>
      <c r="SGZ7" s="484"/>
      <c r="SHA7" s="484"/>
      <c r="SHB7" s="484"/>
      <c r="SHC7" s="484"/>
      <c r="SHD7" s="484"/>
      <c r="SHE7" s="484"/>
      <c r="SHF7" s="484"/>
      <c r="SHG7" s="484"/>
      <c r="SHH7" s="484"/>
      <c r="SHI7" s="484"/>
      <c r="SHJ7" s="484"/>
      <c r="SHK7" s="484"/>
      <c r="SHL7" s="484"/>
      <c r="SHM7" s="484"/>
      <c r="SHN7" s="484"/>
      <c r="SHO7" s="484"/>
      <c r="SHP7" s="484"/>
      <c r="SHQ7" s="484"/>
      <c r="SHR7" s="484"/>
      <c r="SHS7" s="484"/>
      <c r="SHT7" s="484"/>
      <c r="SHU7" s="484"/>
      <c r="SHV7" s="484"/>
      <c r="SHW7" s="484"/>
      <c r="SHX7" s="484"/>
      <c r="SHY7" s="484"/>
      <c r="SHZ7" s="484"/>
      <c r="SIA7" s="484"/>
      <c r="SIB7" s="484"/>
      <c r="SIC7" s="484"/>
      <c r="SID7" s="484"/>
      <c r="SIE7" s="484"/>
      <c r="SIF7" s="484"/>
      <c r="SIG7" s="484"/>
      <c r="SIH7" s="484"/>
      <c r="SII7" s="484"/>
      <c r="SIJ7" s="484"/>
      <c r="SIK7" s="484"/>
      <c r="SIL7" s="484"/>
      <c r="SIM7" s="484"/>
      <c r="SIN7" s="484"/>
      <c r="SIO7" s="484"/>
      <c r="SIP7" s="484"/>
      <c r="SIQ7" s="484"/>
      <c r="SIR7" s="484"/>
      <c r="SIS7" s="484"/>
      <c r="SIT7" s="484"/>
      <c r="SIU7" s="484"/>
      <c r="SIV7" s="484"/>
      <c r="SIW7" s="484"/>
      <c r="SIX7" s="484"/>
      <c r="SIY7" s="484"/>
      <c r="SIZ7" s="484"/>
      <c r="SJA7" s="484"/>
      <c r="SJB7" s="484"/>
      <c r="SJC7" s="484"/>
      <c r="SJD7" s="484"/>
      <c r="SJE7" s="484"/>
      <c r="SJF7" s="484"/>
      <c r="SJG7" s="484"/>
      <c r="SJH7" s="484"/>
      <c r="SJI7" s="484"/>
      <c r="SJJ7" s="484"/>
      <c r="SJK7" s="484"/>
      <c r="SJL7" s="484"/>
      <c r="SJM7" s="484"/>
      <c r="SJN7" s="484"/>
      <c r="SJO7" s="484"/>
      <c r="SJP7" s="484"/>
      <c r="SJQ7" s="484"/>
      <c r="SJR7" s="484"/>
      <c r="SJS7" s="484"/>
      <c r="SJT7" s="484"/>
      <c r="SJU7" s="484"/>
      <c r="SJV7" s="484"/>
      <c r="SJW7" s="484"/>
      <c r="SJX7" s="484"/>
      <c r="SJY7" s="484"/>
      <c r="SJZ7" s="484"/>
      <c r="SKA7" s="484"/>
      <c r="SKB7" s="484"/>
      <c r="SKC7" s="484"/>
      <c r="SKD7" s="484"/>
      <c r="SKE7" s="484"/>
      <c r="SKF7" s="484"/>
      <c r="SKG7" s="484"/>
      <c r="SKH7" s="484"/>
      <c r="SKI7" s="484"/>
      <c r="SKJ7" s="484"/>
      <c r="SKK7" s="484"/>
      <c r="SKL7" s="484"/>
      <c r="SKM7" s="484"/>
      <c r="SKN7" s="484"/>
      <c r="SKO7" s="484"/>
      <c r="SKP7" s="484"/>
      <c r="SKQ7" s="484"/>
      <c r="SKR7" s="484"/>
      <c r="SKS7" s="484"/>
      <c r="SKT7" s="484"/>
      <c r="SKU7" s="484"/>
      <c r="SKV7" s="484"/>
      <c r="SKW7" s="484"/>
      <c r="SKX7" s="484"/>
      <c r="SKY7" s="484"/>
      <c r="SKZ7" s="484"/>
      <c r="SLA7" s="484"/>
      <c r="SLB7" s="484"/>
      <c r="SLC7" s="484"/>
      <c r="SLD7" s="484"/>
      <c r="SLE7" s="484"/>
      <c r="SLF7" s="484"/>
      <c r="SLG7" s="484"/>
      <c r="SLH7" s="484"/>
      <c r="SLI7" s="484"/>
      <c r="SLJ7" s="484"/>
      <c r="SLK7" s="484"/>
      <c r="SLL7" s="484"/>
      <c r="SLM7" s="484"/>
      <c r="SLN7" s="484"/>
      <c r="SLO7" s="484"/>
      <c r="SLP7" s="484"/>
      <c r="SLQ7" s="484"/>
      <c r="SLR7" s="484"/>
      <c r="SLS7" s="484"/>
      <c r="SLT7" s="484"/>
      <c r="SLU7" s="484"/>
      <c r="SLV7" s="484"/>
      <c r="SLW7" s="484"/>
      <c r="SLX7" s="484"/>
      <c r="SLY7" s="484"/>
      <c r="SLZ7" s="484"/>
      <c r="SMA7" s="484"/>
      <c r="SMB7" s="484"/>
      <c r="SMC7" s="484"/>
      <c r="SMD7" s="484"/>
      <c r="SME7" s="484"/>
      <c r="SMF7" s="484"/>
      <c r="SMG7" s="484"/>
      <c r="SMH7" s="484"/>
      <c r="SMI7" s="484"/>
      <c r="SMJ7" s="484"/>
      <c r="SMK7" s="484"/>
      <c r="SML7" s="484"/>
      <c r="SMM7" s="484"/>
      <c r="SMN7" s="484"/>
      <c r="SMO7" s="484"/>
      <c r="SMP7" s="484"/>
      <c r="SMQ7" s="484"/>
      <c r="SMR7" s="484"/>
      <c r="SMS7" s="484"/>
      <c r="SMT7" s="484"/>
      <c r="SMU7" s="484"/>
      <c r="SMV7" s="484"/>
      <c r="SMW7" s="484"/>
      <c r="SMX7" s="484"/>
      <c r="SMY7" s="484"/>
      <c r="SMZ7" s="484"/>
      <c r="SNA7" s="484"/>
      <c r="SNB7" s="484"/>
      <c r="SNC7" s="484"/>
      <c r="SND7" s="484"/>
      <c r="SNE7" s="484"/>
      <c r="SNF7" s="484"/>
      <c r="SNG7" s="484"/>
      <c r="SNH7" s="484"/>
      <c r="SNI7" s="484"/>
      <c r="SNJ7" s="484"/>
      <c r="SNK7" s="484"/>
      <c r="SNL7" s="484"/>
      <c r="SNM7" s="484"/>
      <c r="SNN7" s="484"/>
      <c r="SNO7" s="484"/>
      <c r="SNP7" s="484"/>
      <c r="SNQ7" s="484"/>
      <c r="SNR7" s="484"/>
      <c r="SNS7" s="484"/>
      <c r="SNT7" s="484"/>
      <c r="SNU7" s="484"/>
      <c r="SNV7" s="484"/>
      <c r="SNW7" s="484"/>
      <c r="SNX7" s="484"/>
      <c r="SNY7" s="484"/>
      <c r="SNZ7" s="484"/>
      <c r="SOA7" s="484"/>
      <c r="SOB7" s="484"/>
      <c r="SOC7" s="484"/>
      <c r="SOD7" s="484"/>
      <c r="SOE7" s="484"/>
      <c r="SOF7" s="484"/>
      <c r="SOG7" s="484"/>
      <c r="SOH7" s="484"/>
      <c r="SOI7" s="484"/>
      <c r="SOJ7" s="484"/>
      <c r="SOK7" s="484"/>
      <c r="SOL7" s="484"/>
      <c r="SOM7" s="484"/>
      <c r="SON7" s="484"/>
      <c r="SOO7" s="484"/>
      <c r="SOP7" s="484"/>
      <c r="SOQ7" s="484"/>
      <c r="SOR7" s="484"/>
      <c r="SOS7" s="484"/>
      <c r="SOT7" s="484"/>
      <c r="SOU7" s="484"/>
      <c r="SOV7" s="484"/>
      <c r="SOW7" s="484"/>
      <c r="SOX7" s="484"/>
      <c r="SOY7" s="484"/>
      <c r="SOZ7" s="484"/>
      <c r="SPA7" s="484"/>
      <c r="SPB7" s="484"/>
      <c r="SPC7" s="484"/>
      <c r="SPD7" s="484"/>
      <c r="SPE7" s="484"/>
      <c r="SPF7" s="484"/>
      <c r="SPG7" s="484"/>
      <c r="SPH7" s="484"/>
      <c r="SPI7" s="484"/>
      <c r="SPJ7" s="484"/>
      <c r="SPK7" s="484"/>
      <c r="SPL7" s="484"/>
      <c r="SPM7" s="484"/>
      <c r="SPN7" s="484"/>
      <c r="SPO7" s="484"/>
      <c r="SPP7" s="484"/>
      <c r="SPQ7" s="484"/>
      <c r="SPR7" s="484"/>
      <c r="SPS7" s="484"/>
      <c r="SPT7" s="484"/>
      <c r="SPU7" s="484"/>
      <c r="SPV7" s="484"/>
      <c r="SPW7" s="484"/>
      <c r="SPX7" s="484"/>
      <c r="SPY7" s="484"/>
      <c r="SPZ7" s="484"/>
      <c r="SQA7" s="484"/>
      <c r="SQB7" s="484"/>
      <c r="SQC7" s="484"/>
      <c r="SQD7" s="484"/>
      <c r="SQE7" s="484"/>
      <c r="SQF7" s="484"/>
      <c r="SQG7" s="484"/>
      <c r="SQH7" s="484"/>
      <c r="SQI7" s="484"/>
      <c r="SQJ7" s="484"/>
      <c r="SQK7" s="484"/>
      <c r="SQL7" s="484"/>
      <c r="SQM7" s="484"/>
      <c r="SQN7" s="484"/>
      <c r="SQO7" s="484"/>
      <c r="SQP7" s="484"/>
      <c r="SQQ7" s="484"/>
      <c r="SQR7" s="484"/>
      <c r="SQS7" s="484"/>
      <c r="SQT7" s="484"/>
      <c r="SQU7" s="484"/>
      <c r="SQV7" s="484"/>
      <c r="SQW7" s="484"/>
      <c r="SQX7" s="484"/>
      <c r="SQY7" s="484"/>
      <c r="SQZ7" s="484"/>
      <c r="SRA7" s="484"/>
      <c r="SRB7" s="484"/>
      <c r="SRC7" s="484"/>
      <c r="SRD7" s="484"/>
      <c r="SRE7" s="484"/>
      <c r="SRF7" s="484"/>
      <c r="SRG7" s="484"/>
      <c r="SRH7" s="484"/>
      <c r="SRI7" s="484"/>
      <c r="SRJ7" s="484"/>
      <c r="SRK7" s="484"/>
      <c r="SRL7" s="484"/>
      <c r="SRM7" s="484"/>
      <c r="SRN7" s="484"/>
      <c r="SRO7" s="484"/>
      <c r="SRP7" s="484"/>
      <c r="SRQ7" s="484"/>
      <c r="SRR7" s="484"/>
      <c r="SRS7" s="484"/>
      <c r="SRT7" s="484"/>
      <c r="SRU7" s="484"/>
      <c r="SRV7" s="484"/>
      <c r="SRW7" s="484"/>
      <c r="SRX7" s="484"/>
      <c r="SRY7" s="484"/>
      <c r="SRZ7" s="484"/>
      <c r="SSA7" s="484"/>
      <c r="SSB7" s="484"/>
      <c r="SSC7" s="484"/>
      <c r="SSD7" s="484"/>
      <c r="SSE7" s="484"/>
      <c r="SSF7" s="484"/>
      <c r="SSG7" s="484"/>
      <c r="SSH7" s="484"/>
      <c r="SSI7" s="484"/>
      <c r="SSJ7" s="484"/>
      <c r="SSK7" s="484"/>
      <c r="SSL7" s="484"/>
      <c r="SSM7" s="484"/>
      <c r="SSN7" s="484"/>
      <c r="SSO7" s="484"/>
      <c r="SSP7" s="484"/>
      <c r="SSQ7" s="484"/>
      <c r="SSR7" s="484"/>
      <c r="SSS7" s="484"/>
      <c r="SST7" s="484"/>
      <c r="SSU7" s="484"/>
      <c r="SSV7" s="484"/>
      <c r="SSW7" s="484"/>
      <c r="SSX7" s="484"/>
      <c r="SSY7" s="484"/>
      <c r="SSZ7" s="484"/>
      <c r="STA7" s="484"/>
      <c r="STB7" s="484"/>
      <c r="STC7" s="484"/>
      <c r="STD7" s="484"/>
      <c r="STE7" s="484"/>
      <c r="STF7" s="484"/>
      <c r="STG7" s="484"/>
      <c r="STH7" s="484"/>
      <c r="STI7" s="484"/>
      <c r="STJ7" s="484"/>
      <c r="STK7" s="484"/>
      <c r="STL7" s="484"/>
      <c r="STM7" s="484"/>
      <c r="STN7" s="484"/>
      <c r="STO7" s="484"/>
      <c r="STP7" s="484"/>
      <c r="STQ7" s="484"/>
      <c r="STR7" s="484"/>
      <c r="STS7" s="484"/>
      <c r="STT7" s="484"/>
      <c r="STU7" s="484"/>
      <c r="STV7" s="484"/>
      <c r="STW7" s="484"/>
      <c r="STX7" s="484"/>
      <c r="STY7" s="484"/>
      <c r="STZ7" s="484"/>
      <c r="SUA7" s="484"/>
      <c r="SUB7" s="484"/>
      <c r="SUC7" s="484"/>
      <c r="SUD7" s="484"/>
      <c r="SUE7" s="484"/>
      <c r="SUF7" s="484"/>
      <c r="SUG7" s="484"/>
      <c r="SUH7" s="484"/>
      <c r="SUI7" s="484"/>
      <c r="SUJ7" s="484"/>
      <c r="SUK7" s="484"/>
      <c r="SUL7" s="484"/>
      <c r="SUM7" s="484"/>
      <c r="SUN7" s="484"/>
      <c r="SUO7" s="484"/>
      <c r="SUP7" s="484"/>
      <c r="SUQ7" s="484"/>
      <c r="SUR7" s="484"/>
      <c r="SUS7" s="484"/>
      <c r="SUT7" s="484"/>
      <c r="SUU7" s="484"/>
      <c r="SUV7" s="484"/>
      <c r="SUW7" s="484"/>
      <c r="SUX7" s="484"/>
      <c r="SUY7" s="484"/>
      <c r="SUZ7" s="484"/>
      <c r="SVA7" s="484"/>
      <c r="SVB7" s="484"/>
      <c r="SVC7" s="484"/>
      <c r="SVD7" s="484"/>
      <c r="SVE7" s="484"/>
      <c r="SVF7" s="484"/>
      <c r="SVG7" s="484"/>
      <c r="SVH7" s="484"/>
      <c r="SVI7" s="484"/>
      <c r="SVJ7" s="484"/>
      <c r="SVK7" s="484"/>
      <c r="SVL7" s="484"/>
      <c r="SVM7" s="484"/>
      <c r="SVN7" s="484"/>
      <c r="SVO7" s="484"/>
      <c r="SVP7" s="484"/>
      <c r="SVQ7" s="484"/>
      <c r="SVR7" s="484"/>
      <c r="SVS7" s="484"/>
      <c r="SVT7" s="484"/>
      <c r="SVU7" s="484"/>
      <c r="SVV7" s="484"/>
      <c r="SVW7" s="484"/>
      <c r="SVX7" s="484"/>
      <c r="SVY7" s="484"/>
      <c r="SVZ7" s="484"/>
      <c r="SWA7" s="484"/>
      <c r="SWB7" s="484"/>
      <c r="SWC7" s="484"/>
      <c r="SWD7" s="484"/>
      <c r="SWE7" s="484"/>
      <c r="SWF7" s="484"/>
      <c r="SWG7" s="484"/>
      <c r="SWH7" s="484"/>
      <c r="SWI7" s="484"/>
      <c r="SWJ7" s="484"/>
      <c r="SWK7" s="484"/>
      <c r="SWL7" s="484"/>
      <c r="SWM7" s="484"/>
      <c r="SWN7" s="484"/>
      <c r="SWO7" s="484"/>
      <c r="SWP7" s="484"/>
      <c r="SWQ7" s="484"/>
      <c r="SWR7" s="484"/>
      <c r="SWS7" s="484"/>
      <c r="SWT7" s="484"/>
      <c r="SWU7" s="484"/>
      <c r="SWV7" s="484"/>
      <c r="SWW7" s="484"/>
      <c r="SWX7" s="484"/>
      <c r="SWY7" s="484"/>
      <c r="SWZ7" s="484"/>
      <c r="SXA7" s="484"/>
      <c r="SXB7" s="484"/>
      <c r="SXC7" s="484"/>
      <c r="SXD7" s="484"/>
      <c r="SXE7" s="484"/>
      <c r="SXF7" s="484"/>
      <c r="SXG7" s="484"/>
      <c r="SXH7" s="484"/>
      <c r="SXI7" s="484"/>
      <c r="SXJ7" s="484"/>
      <c r="SXK7" s="484"/>
      <c r="SXL7" s="484"/>
      <c r="SXM7" s="484"/>
      <c r="SXN7" s="484"/>
      <c r="SXO7" s="484"/>
      <c r="SXP7" s="484"/>
      <c r="SXQ7" s="484"/>
      <c r="SXR7" s="484"/>
      <c r="SXS7" s="484"/>
      <c r="SXT7" s="484"/>
      <c r="SXU7" s="484"/>
      <c r="SXV7" s="484"/>
      <c r="SXW7" s="484"/>
      <c r="SXX7" s="484"/>
      <c r="SXY7" s="484"/>
      <c r="SXZ7" s="484"/>
      <c r="SYA7" s="484"/>
      <c r="SYB7" s="484"/>
      <c r="SYC7" s="484"/>
      <c r="SYD7" s="484"/>
      <c r="SYE7" s="484"/>
      <c r="SYF7" s="484"/>
      <c r="SYG7" s="484"/>
      <c r="SYH7" s="484"/>
      <c r="SYI7" s="484"/>
      <c r="SYJ7" s="484"/>
      <c r="SYK7" s="484"/>
      <c r="SYL7" s="484"/>
      <c r="SYM7" s="484"/>
      <c r="SYN7" s="484"/>
      <c r="SYO7" s="484"/>
      <c r="SYP7" s="484"/>
      <c r="SYQ7" s="484"/>
      <c r="SYR7" s="484"/>
      <c r="SYS7" s="484"/>
      <c r="SYT7" s="484"/>
      <c r="SYU7" s="484"/>
      <c r="SYV7" s="484"/>
      <c r="SYW7" s="484"/>
      <c r="SYX7" s="484"/>
      <c r="SYY7" s="484"/>
      <c r="SYZ7" s="484"/>
      <c r="SZA7" s="484"/>
      <c r="SZB7" s="484"/>
      <c r="SZC7" s="484"/>
      <c r="SZD7" s="484"/>
      <c r="SZE7" s="484"/>
      <c r="SZF7" s="484"/>
      <c r="SZG7" s="484"/>
      <c r="SZH7" s="484"/>
      <c r="SZI7" s="484"/>
      <c r="SZJ7" s="484"/>
      <c r="SZK7" s="484"/>
      <c r="SZL7" s="484"/>
      <c r="SZM7" s="484"/>
      <c r="SZN7" s="484"/>
      <c r="SZO7" s="484"/>
      <c r="SZP7" s="484"/>
      <c r="SZQ7" s="484"/>
      <c r="SZR7" s="484"/>
      <c r="SZS7" s="484"/>
      <c r="SZT7" s="484"/>
      <c r="SZU7" s="484"/>
      <c r="SZV7" s="484"/>
      <c r="SZW7" s="484"/>
      <c r="SZX7" s="484"/>
      <c r="SZY7" s="484"/>
      <c r="SZZ7" s="484"/>
      <c r="TAA7" s="484"/>
      <c r="TAB7" s="484"/>
      <c r="TAC7" s="484"/>
      <c r="TAD7" s="484"/>
      <c r="TAE7" s="484"/>
      <c r="TAF7" s="484"/>
      <c r="TAG7" s="484"/>
      <c r="TAH7" s="484"/>
      <c r="TAI7" s="484"/>
      <c r="TAJ7" s="484"/>
      <c r="TAK7" s="484"/>
      <c r="TAL7" s="484"/>
      <c r="TAM7" s="484"/>
      <c r="TAN7" s="484"/>
      <c r="TAO7" s="484"/>
      <c r="TAP7" s="484"/>
      <c r="TAQ7" s="484"/>
      <c r="TAR7" s="484"/>
      <c r="TAS7" s="484"/>
      <c r="TAT7" s="484"/>
      <c r="TAU7" s="484"/>
      <c r="TAV7" s="484"/>
      <c r="TAW7" s="484"/>
      <c r="TAX7" s="484"/>
      <c r="TAY7" s="484"/>
      <c r="TAZ7" s="484"/>
      <c r="TBA7" s="484"/>
      <c r="TBB7" s="484"/>
      <c r="TBC7" s="484"/>
      <c r="TBD7" s="484"/>
      <c r="TBE7" s="484"/>
      <c r="TBF7" s="484"/>
      <c r="TBG7" s="484"/>
      <c r="TBH7" s="484"/>
      <c r="TBI7" s="484"/>
      <c r="TBJ7" s="484"/>
      <c r="TBK7" s="484"/>
      <c r="TBL7" s="484"/>
      <c r="TBM7" s="484"/>
      <c r="TBN7" s="484"/>
      <c r="TBO7" s="484"/>
      <c r="TBP7" s="484"/>
      <c r="TBQ7" s="484"/>
      <c r="TBR7" s="484"/>
      <c r="TBS7" s="484"/>
      <c r="TBT7" s="484"/>
      <c r="TBU7" s="484"/>
      <c r="TBV7" s="484"/>
      <c r="TBW7" s="484"/>
      <c r="TBX7" s="484"/>
      <c r="TBY7" s="484"/>
      <c r="TBZ7" s="484"/>
      <c r="TCA7" s="484"/>
      <c r="TCB7" s="484"/>
      <c r="TCC7" s="484"/>
      <c r="TCD7" s="484"/>
      <c r="TCE7" s="484"/>
      <c r="TCF7" s="484"/>
      <c r="TCG7" s="484"/>
      <c r="TCH7" s="484"/>
      <c r="TCI7" s="484"/>
      <c r="TCJ7" s="484"/>
      <c r="TCK7" s="484"/>
      <c r="TCL7" s="484"/>
      <c r="TCM7" s="484"/>
      <c r="TCN7" s="484"/>
      <c r="TCO7" s="484"/>
      <c r="TCP7" s="484"/>
      <c r="TCQ7" s="484"/>
      <c r="TCR7" s="484"/>
      <c r="TCS7" s="484"/>
      <c r="TCT7" s="484"/>
      <c r="TCU7" s="484"/>
      <c r="TCV7" s="484"/>
      <c r="TCW7" s="484"/>
      <c r="TCX7" s="484"/>
      <c r="TCY7" s="484"/>
      <c r="TCZ7" s="484"/>
      <c r="TDA7" s="484"/>
      <c r="TDB7" s="484"/>
      <c r="TDC7" s="484"/>
      <c r="TDD7" s="484"/>
      <c r="TDE7" s="484"/>
      <c r="TDF7" s="484"/>
      <c r="TDG7" s="484"/>
      <c r="TDH7" s="484"/>
      <c r="TDI7" s="484"/>
      <c r="TDJ7" s="484"/>
      <c r="TDK7" s="484"/>
      <c r="TDL7" s="484"/>
      <c r="TDM7" s="484"/>
      <c r="TDN7" s="484"/>
      <c r="TDO7" s="484"/>
      <c r="TDP7" s="484"/>
      <c r="TDQ7" s="484"/>
      <c r="TDR7" s="484"/>
      <c r="TDS7" s="484"/>
      <c r="TDT7" s="484"/>
      <c r="TDU7" s="484"/>
      <c r="TDV7" s="484"/>
      <c r="TDW7" s="484"/>
      <c r="TDX7" s="484"/>
      <c r="TDY7" s="484"/>
      <c r="TDZ7" s="484"/>
      <c r="TEA7" s="484"/>
      <c r="TEB7" s="484"/>
      <c r="TEC7" s="484"/>
      <c r="TED7" s="484"/>
      <c r="TEE7" s="484"/>
      <c r="TEF7" s="484"/>
      <c r="TEG7" s="484"/>
      <c r="TEH7" s="484"/>
      <c r="TEI7" s="484"/>
      <c r="TEJ7" s="484"/>
      <c r="TEK7" s="484"/>
      <c r="TEL7" s="484"/>
      <c r="TEM7" s="484"/>
      <c r="TEN7" s="484"/>
      <c r="TEO7" s="484"/>
      <c r="TEP7" s="484"/>
      <c r="TEQ7" s="484"/>
      <c r="TER7" s="484"/>
      <c r="TES7" s="484"/>
      <c r="TET7" s="484"/>
      <c r="TEU7" s="484"/>
      <c r="TEV7" s="484"/>
      <c r="TEW7" s="484"/>
      <c r="TEX7" s="484"/>
      <c r="TEY7" s="484"/>
      <c r="TEZ7" s="484"/>
      <c r="TFA7" s="484"/>
      <c r="TFB7" s="484"/>
      <c r="TFC7" s="484"/>
      <c r="TFD7" s="484"/>
      <c r="TFE7" s="484"/>
      <c r="TFF7" s="484"/>
      <c r="TFG7" s="484"/>
      <c r="TFH7" s="484"/>
      <c r="TFI7" s="484"/>
      <c r="TFJ7" s="484"/>
      <c r="TFK7" s="484"/>
      <c r="TFL7" s="484"/>
      <c r="TFM7" s="484"/>
      <c r="TFN7" s="484"/>
      <c r="TFO7" s="484"/>
      <c r="TFP7" s="484"/>
      <c r="TFQ7" s="484"/>
      <c r="TFR7" s="484"/>
      <c r="TFS7" s="484"/>
      <c r="TFT7" s="484"/>
      <c r="TFU7" s="484"/>
      <c r="TFV7" s="484"/>
      <c r="TFW7" s="484"/>
      <c r="TFX7" s="484"/>
      <c r="TFY7" s="484"/>
      <c r="TFZ7" s="484"/>
      <c r="TGA7" s="484"/>
      <c r="TGB7" s="484"/>
      <c r="TGC7" s="484"/>
      <c r="TGD7" s="484"/>
      <c r="TGE7" s="484"/>
      <c r="TGF7" s="484"/>
      <c r="TGG7" s="484"/>
      <c r="TGH7" s="484"/>
      <c r="TGI7" s="484"/>
      <c r="TGJ7" s="484"/>
      <c r="TGK7" s="484"/>
      <c r="TGL7" s="484"/>
      <c r="TGM7" s="484"/>
      <c r="TGN7" s="484"/>
      <c r="TGO7" s="484"/>
      <c r="TGP7" s="484"/>
      <c r="TGQ7" s="484"/>
      <c r="TGR7" s="484"/>
      <c r="TGS7" s="484"/>
      <c r="TGT7" s="484"/>
      <c r="TGU7" s="484"/>
      <c r="TGV7" s="484"/>
      <c r="TGW7" s="484"/>
      <c r="TGX7" s="484"/>
      <c r="TGY7" s="484"/>
      <c r="TGZ7" s="484"/>
      <c r="THA7" s="484"/>
      <c r="THB7" s="484"/>
      <c r="THC7" s="484"/>
      <c r="THD7" s="484"/>
      <c r="THE7" s="484"/>
      <c r="THF7" s="484"/>
      <c r="THG7" s="484"/>
      <c r="THH7" s="484"/>
      <c r="THI7" s="484"/>
      <c r="THJ7" s="484"/>
      <c r="THK7" s="484"/>
      <c r="THL7" s="484"/>
      <c r="THM7" s="484"/>
      <c r="THN7" s="484"/>
      <c r="THO7" s="484"/>
      <c r="THP7" s="484"/>
      <c r="THQ7" s="484"/>
      <c r="THR7" s="484"/>
      <c r="THS7" s="484"/>
      <c r="THT7" s="484"/>
      <c r="THU7" s="484"/>
      <c r="THV7" s="484"/>
      <c r="THW7" s="484"/>
      <c r="THX7" s="484"/>
      <c r="THY7" s="484"/>
      <c r="THZ7" s="484"/>
      <c r="TIA7" s="484"/>
      <c r="TIB7" s="484"/>
      <c r="TIC7" s="484"/>
      <c r="TID7" s="484"/>
      <c r="TIE7" s="484"/>
      <c r="TIF7" s="484"/>
      <c r="TIG7" s="484"/>
      <c r="TIH7" s="484"/>
      <c r="TII7" s="484"/>
      <c r="TIJ7" s="484"/>
      <c r="TIK7" s="484"/>
      <c r="TIL7" s="484"/>
      <c r="TIM7" s="484"/>
      <c r="TIN7" s="484"/>
      <c r="TIO7" s="484"/>
      <c r="TIP7" s="484"/>
      <c r="TIQ7" s="484"/>
      <c r="TIR7" s="484"/>
      <c r="TIS7" s="484"/>
      <c r="TIT7" s="484"/>
      <c r="TIU7" s="484"/>
      <c r="TIV7" s="484"/>
      <c r="TIW7" s="484"/>
      <c r="TIX7" s="484"/>
      <c r="TIY7" s="484"/>
      <c r="TIZ7" s="484"/>
      <c r="TJA7" s="484"/>
      <c r="TJB7" s="484"/>
      <c r="TJC7" s="484"/>
      <c r="TJD7" s="484"/>
      <c r="TJE7" s="484"/>
      <c r="TJF7" s="484"/>
      <c r="TJG7" s="484"/>
      <c r="TJH7" s="484"/>
      <c r="TJI7" s="484"/>
      <c r="TJJ7" s="484"/>
      <c r="TJK7" s="484"/>
      <c r="TJL7" s="484"/>
      <c r="TJM7" s="484"/>
      <c r="TJN7" s="484"/>
      <c r="TJO7" s="484"/>
      <c r="TJP7" s="484"/>
      <c r="TJQ7" s="484"/>
      <c r="TJR7" s="484"/>
      <c r="TJS7" s="484"/>
      <c r="TJT7" s="484"/>
      <c r="TJU7" s="484"/>
      <c r="TJV7" s="484"/>
      <c r="TJW7" s="484"/>
      <c r="TJX7" s="484"/>
      <c r="TJY7" s="484"/>
      <c r="TJZ7" s="484"/>
      <c r="TKA7" s="484"/>
      <c r="TKB7" s="484"/>
      <c r="TKC7" s="484"/>
      <c r="TKD7" s="484"/>
      <c r="TKE7" s="484"/>
      <c r="TKF7" s="484"/>
      <c r="TKG7" s="484"/>
      <c r="TKH7" s="484"/>
      <c r="TKI7" s="484"/>
      <c r="TKJ7" s="484"/>
      <c r="TKK7" s="484"/>
      <c r="TKL7" s="484"/>
      <c r="TKM7" s="484"/>
      <c r="TKN7" s="484"/>
      <c r="TKO7" s="484"/>
      <c r="TKP7" s="484"/>
      <c r="TKQ7" s="484"/>
      <c r="TKR7" s="484"/>
      <c r="TKS7" s="484"/>
      <c r="TKT7" s="484"/>
      <c r="TKU7" s="484"/>
      <c r="TKV7" s="484"/>
      <c r="TKW7" s="484"/>
      <c r="TKX7" s="484"/>
      <c r="TKY7" s="484"/>
      <c r="TKZ7" s="484"/>
      <c r="TLA7" s="484"/>
      <c r="TLB7" s="484"/>
      <c r="TLC7" s="484"/>
      <c r="TLD7" s="484"/>
      <c r="TLE7" s="484"/>
      <c r="TLF7" s="484"/>
      <c r="TLG7" s="484"/>
      <c r="TLH7" s="484"/>
      <c r="TLI7" s="484"/>
      <c r="TLJ7" s="484"/>
      <c r="TLK7" s="484"/>
      <c r="TLL7" s="484"/>
      <c r="TLM7" s="484"/>
      <c r="TLN7" s="484"/>
      <c r="TLO7" s="484"/>
      <c r="TLP7" s="484"/>
      <c r="TLQ7" s="484"/>
      <c r="TLR7" s="484"/>
      <c r="TLS7" s="484"/>
      <c r="TLT7" s="484"/>
      <c r="TLU7" s="484"/>
      <c r="TLV7" s="484"/>
      <c r="TLW7" s="484"/>
      <c r="TLX7" s="484"/>
      <c r="TLY7" s="484"/>
      <c r="TLZ7" s="484"/>
      <c r="TMA7" s="484"/>
      <c r="TMB7" s="484"/>
      <c r="TMC7" s="484"/>
      <c r="TMD7" s="484"/>
      <c r="TME7" s="484"/>
      <c r="TMF7" s="484"/>
      <c r="TMG7" s="484"/>
      <c r="TMH7" s="484"/>
      <c r="TMI7" s="484"/>
      <c r="TMJ7" s="484"/>
      <c r="TMK7" s="484"/>
      <c r="TML7" s="484"/>
      <c r="TMM7" s="484"/>
      <c r="TMN7" s="484"/>
      <c r="TMO7" s="484"/>
      <c r="TMP7" s="484"/>
      <c r="TMQ7" s="484"/>
      <c r="TMR7" s="484"/>
      <c r="TMS7" s="484"/>
      <c r="TMT7" s="484"/>
      <c r="TMU7" s="484"/>
      <c r="TMV7" s="484"/>
      <c r="TMW7" s="484"/>
      <c r="TMX7" s="484"/>
      <c r="TMY7" s="484"/>
      <c r="TMZ7" s="484"/>
      <c r="TNA7" s="484"/>
      <c r="TNB7" s="484"/>
      <c r="TNC7" s="484"/>
      <c r="TND7" s="484"/>
      <c r="TNE7" s="484"/>
      <c r="TNF7" s="484"/>
      <c r="TNG7" s="484"/>
      <c r="TNH7" s="484"/>
      <c r="TNI7" s="484"/>
      <c r="TNJ7" s="484"/>
      <c r="TNK7" s="484"/>
      <c r="TNL7" s="484"/>
      <c r="TNM7" s="484"/>
      <c r="TNN7" s="484"/>
      <c r="TNO7" s="484"/>
      <c r="TNP7" s="484"/>
      <c r="TNQ7" s="484"/>
      <c r="TNR7" s="484"/>
      <c r="TNS7" s="484"/>
      <c r="TNT7" s="484"/>
      <c r="TNU7" s="484"/>
      <c r="TNV7" s="484"/>
      <c r="TNW7" s="484"/>
      <c r="TNX7" s="484"/>
      <c r="TNY7" s="484"/>
      <c r="TNZ7" s="484"/>
      <c r="TOA7" s="484"/>
      <c r="TOB7" s="484"/>
      <c r="TOC7" s="484"/>
      <c r="TOD7" s="484"/>
      <c r="TOE7" s="484"/>
      <c r="TOF7" s="484"/>
      <c r="TOG7" s="484"/>
      <c r="TOH7" s="484"/>
      <c r="TOI7" s="484"/>
      <c r="TOJ7" s="484"/>
      <c r="TOK7" s="484"/>
      <c r="TOL7" s="484"/>
      <c r="TOM7" s="484"/>
      <c r="TON7" s="484"/>
      <c r="TOO7" s="484"/>
      <c r="TOP7" s="484"/>
      <c r="TOQ7" s="484"/>
      <c r="TOR7" s="484"/>
      <c r="TOS7" s="484"/>
      <c r="TOT7" s="484"/>
      <c r="TOU7" s="484"/>
      <c r="TOV7" s="484"/>
      <c r="TOW7" s="484"/>
      <c r="TOX7" s="484"/>
      <c r="TOY7" s="484"/>
      <c r="TOZ7" s="484"/>
      <c r="TPA7" s="484"/>
      <c r="TPB7" s="484"/>
      <c r="TPC7" s="484"/>
      <c r="TPD7" s="484"/>
      <c r="TPE7" s="484"/>
      <c r="TPF7" s="484"/>
      <c r="TPG7" s="484"/>
      <c r="TPH7" s="484"/>
      <c r="TPI7" s="484"/>
      <c r="TPJ7" s="484"/>
      <c r="TPK7" s="484"/>
      <c r="TPL7" s="484"/>
      <c r="TPM7" s="484"/>
      <c r="TPN7" s="484"/>
      <c r="TPO7" s="484"/>
      <c r="TPP7" s="484"/>
      <c r="TPQ7" s="484"/>
      <c r="TPR7" s="484"/>
      <c r="TPS7" s="484"/>
      <c r="TPT7" s="484"/>
      <c r="TPU7" s="484"/>
      <c r="TPV7" s="484"/>
      <c r="TPW7" s="484"/>
      <c r="TPX7" s="484"/>
      <c r="TPY7" s="484"/>
      <c r="TPZ7" s="484"/>
      <c r="TQA7" s="484"/>
      <c r="TQB7" s="484"/>
      <c r="TQC7" s="484"/>
      <c r="TQD7" s="484"/>
      <c r="TQE7" s="484"/>
      <c r="TQF7" s="484"/>
      <c r="TQG7" s="484"/>
      <c r="TQH7" s="484"/>
      <c r="TQI7" s="484"/>
      <c r="TQJ7" s="484"/>
      <c r="TQK7" s="484"/>
      <c r="TQL7" s="484"/>
      <c r="TQM7" s="484"/>
      <c r="TQN7" s="484"/>
      <c r="TQO7" s="484"/>
      <c r="TQP7" s="484"/>
      <c r="TQQ7" s="484"/>
      <c r="TQR7" s="484"/>
      <c r="TQS7" s="484"/>
      <c r="TQT7" s="484"/>
      <c r="TQU7" s="484"/>
      <c r="TQV7" s="484"/>
      <c r="TQW7" s="484"/>
      <c r="TQX7" s="484"/>
      <c r="TQY7" s="484"/>
      <c r="TQZ7" s="484"/>
      <c r="TRA7" s="484"/>
      <c r="TRB7" s="484"/>
      <c r="TRC7" s="484"/>
      <c r="TRD7" s="484"/>
      <c r="TRE7" s="484"/>
      <c r="TRF7" s="484"/>
      <c r="TRG7" s="484"/>
      <c r="TRH7" s="484"/>
      <c r="TRI7" s="484"/>
      <c r="TRJ7" s="484"/>
      <c r="TRK7" s="484"/>
      <c r="TRL7" s="484"/>
      <c r="TRM7" s="484"/>
      <c r="TRN7" s="484"/>
      <c r="TRO7" s="484"/>
      <c r="TRP7" s="484"/>
      <c r="TRQ7" s="484"/>
      <c r="TRR7" s="484"/>
      <c r="TRS7" s="484"/>
      <c r="TRT7" s="484"/>
      <c r="TRU7" s="484"/>
      <c r="TRV7" s="484"/>
      <c r="TRW7" s="484"/>
      <c r="TRX7" s="484"/>
      <c r="TRY7" s="484"/>
      <c r="TRZ7" s="484"/>
      <c r="TSA7" s="484"/>
      <c r="TSB7" s="484"/>
      <c r="TSC7" s="484"/>
      <c r="TSD7" s="484"/>
      <c r="TSE7" s="484"/>
      <c r="TSF7" s="484"/>
      <c r="TSG7" s="484"/>
      <c r="TSH7" s="484"/>
      <c r="TSI7" s="484"/>
      <c r="TSJ7" s="484"/>
      <c r="TSK7" s="484"/>
      <c r="TSL7" s="484"/>
      <c r="TSM7" s="484"/>
      <c r="TSN7" s="484"/>
      <c r="TSO7" s="484"/>
      <c r="TSP7" s="484"/>
      <c r="TSQ7" s="484"/>
      <c r="TSR7" s="484"/>
      <c r="TSS7" s="484"/>
      <c r="TST7" s="484"/>
      <c r="TSU7" s="484"/>
      <c r="TSV7" s="484"/>
      <c r="TSW7" s="484"/>
      <c r="TSX7" s="484"/>
      <c r="TSY7" s="484"/>
      <c r="TSZ7" s="484"/>
      <c r="TTA7" s="484"/>
      <c r="TTB7" s="484"/>
      <c r="TTC7" s="484"/>
      <c r="TTD7" s="484"/>
      <c r="TTE7" s="484"/>
      <c r="TTF7" s="484"/>
      <c r="TTG7" s="484"/>
      <c r="TTH7" s="484"/>
      <c r="TTI7" s="484"/>
      <c r="TTJ7" s="484"/>
      <c r="TTK7" s="484"/>
      <c r="TTL7" s="484"/>
      <c r="TTM7" s="484"/>
      <c r="TTN7" s="484"/>
      <c r="TTO7" s="484"/>
      <c r="TTP7" s="484"/>
      <c r="TTQ7" s="484"/>
      <c r="TTR7" s="484"/>
      <c r="TTS7" s="484"/>
      <c r="TTT7" s="484"/>
      <c r="TTU7" s="484"/>
      <c r="TTV7" s="484"/>
      <c r="TTW7" s="484"/>
      <c r="TTX7" s="484"/>
      <c r="TTY7" s="484"/>
      <c r="TTZ7" s="484"/>
      <c r="TUA7" s="484"/>
      <c r="TUB7" s="484"/>
      <c r="TUC7" s="484"/>
      <c r="TUD7" s="484"/>
      <c r="TUE7" s="484"/>
      <c r="TUF7" s="484"/>
      <c r="TUG7" s="484"/>
      <c r="TUH7" s="484"/>
      <c r="TUI7" s="484"/>
      <c r="TUJ7" s="484"/>
      <c r="TUK7" s="484"/>
      <c r="TUL7" s="484"/>
      <c r="TUM7" s="484"/>
      <c r="TUN7" s="484"/>
      <c r="TUO7" s="484"/>
      <c r="TUP7" s="484"/>
      <c r="TUQ7" s="484"/>
      <c r="TUR7" s="484"/>
      <c r="TUS7" s="484"/>
      <c r="TUT7" s="484"/>
      <c r="TUU7" s="484"/>
      <c r="TUV7" s="484"/>
      <c r="TUW7" s="484"/>
      <c r="TUX7" s="484"/>
      <c r="TUY7" s="484"/>
      <c r="TUZ7" s="484"/>
      <c r="TVA7" s="484"/>
      <c r="TVB7" s="484"/>
      <c r="TVC7" s="484"/>
      <c r="TVD7" s="484"/>
      <c r="TVE7" s="484"/>
      <c r="TVF7" s="484"/>
      <c r="TVG7" s="484"/>
      <c r="TVH7" s="484"/>
      <c r="TVI7" s="484"/>
      <c r="TVJ7" s="484"/>
      <c r="TVK7" s="484"/>
      <c r="TVL7" s="484"/>
      <c r="TVM7" s="484"/>
      <c r="TVN7" s="484"/>
      <c r="TVO7" s="484"/>
      <c r="TVP7" s="484"/>
      <c r="TVQ7" s="484"/>
      <c r="TVR7" s="484"/>
      <c r="TVS7" s="484"/>
      <c r="TVT7" s="484"/>
      <c r="TVU7" s="484"/>
      <c r="TVV7" s="484"/>
      <c r="TVW7" s="484"/>
      <c r="TVX7" s="484"/>
      <c r="TVY7" s="484"/>
      <c r="TVZ7" s="484"/>
      <c r="TWA7" s="484"/>
      <c r="TWB7" s="484"/>
      <c r="TWC7" s="484"/>
      <c r="TWD7" s="484"/>
      <c r="TWE7" s="484"/>
      <c r="TWF7" s="484"/>
      <c r="TWG7" s="484"/>
      <c r="TWH7" s="484"/>
      <c r="TWI7" s="484"/>
      <c r="TWJ7" s="484"/>
      <c r="TWK7" s="484"/>
      <c r="TWL7" s="484"/>
      <c r="TWM7" s="484"/>
      <c r="TWN7" s="484"/>
      <c r="TWO7" s="484"/>
      <c r="TWP7" s="484"/>
      <c r="TWQ7" s="484"/>
      <c r="TWR7" s="484"/>
      <c r="TWS7" s="484"/>
      <c r="TWT7" s="484"/>
      <c r="TWU7" s="484"/>
      <c r="TWV7" s="484"/>
      <c r="TWW7" s="484"/>
      <c r="TWX7" s="484"/>
      <c r="TWY7" s="484"/>
      <c r="TWZ7" s="484"/>
      <c r="TXA7" s="484"/>
      <c r="TXB7" s="484"/>
      <c r="TXC7" s="484"/>
      <c r="TXD7" s="484"/>
      <c r="TXE7" s="484"/>
      <c r="TXF7" s="484"/>
      <c r="TXG7" s="484"/>
      <c r="TXH7" s="484"/>
      <c r="TXI7" s="484"/>
      <c r="TXJ7" s="484"/>
      <c r="TXK7" s="484"/>
      <c r="TXL7" s="484"/>
      <c r="TXM7" s="484"/>
      <c r="TXN7" s="484"/>
      <c r="TXO7" s="484"/>
      <c r="TXP7" s="484"/>
      <c r="TXQ7" s="484"/>
      <c r="TXR7" s="484"/>
      <c r="TXS7" s="484"/>
      <c r="TXT7" s="484"/>
      <c r="TXU7" s="484"/>
      <c r="TXV7" s="484"/>
      <c r="TXW7" s="484"/>
      <c r="TXX7" s="484"/>
      <c r="TXY7" s="484"/>
      <c r="TXZ7" s="484"/>
      <c r="TYA7" s="484"/>
      <c r="TYB7" s="484"/>
      <c r="TYC7" s="484"/>
      <c r="TYD7" s="484"/>
      <c r="TYE7" s="484"/>
      <c r="TYF7" s="484"/>
      <c r="TYG7" s="484"/>
      <c r="TYH7" s="484"/>
      <c r="TYI7" s="484"/>
      <c r="TYJ7" s="484"/>
      <c r="TYK7" s="484"/>
      <c r="TYL7" s="484"/>
      <c r="TYM7" s="484"/>
      <c r="TYN7" s="484"/>
      <c r="TYO7" s="484"/>
      <c r="TYP7" s="484"/>
      <c r="TYQ7" s="484"/>
      <c r="TYR7" s="484"/>
      <c r="TYS7" s="484"/>
      <c r="TYT7" s="484"/>
      <c r="TYU7" s="484"/>
      <c r="TYV7" s="484"/>
      <c r="TYW7" s="484"/>
      <c r="TYX7" s="484"/>
      <c r="TYY7" s="484"/>
      <c r="TYZ7" s="484"/>
      <c r="TZA7" s="484"/>
      <c r="TZB7" s="484"/>
      <c r="TZC7" s="484"/>
      <c r="TZD7" s="484"/>
      <c r="TZE7" s="484"/>
      <c r="TZF7" s="484"/>
      <c r="TZG7" s="484"/>
      <c r="TZH7" s="484"/>
      <c r="TZI7" s="484"/>
      <c r="TZJ7" s="484"/>
      <c r="TZK7" s="484"/>
      <c r="TZL7" s="484"/>
      <c r="TZM7" s="484"/>
      <c r="TZN7" s="484"/>
      <c r="TZO7" s="484"/>
      <c r="TZP7" s="484"/>
      <c r="TZQ7" s="484"/>
      <c r="TZR7" s="484"/>
      <c r="TZS7" s="484"/>
      <c r="TZT7" s="484"/>
      <c r="TZU7" s="484"/>
      <c r="TZV7" s="484"/>
      <c r="TZW7" s="484"/>
      <c r="TZX7" s="484"/>
      <c r="TZY7" s="484"/>
      <c r="TZZ7" s="484"/>
      <c r="UAA7" s="484"/>
      <c r="UAB7" s="484"/>
      <c r="UAC7" s="484"/>
      <c r="UAD7" s="484"/>
      <c r="UAE7" s="484"/>
      <c r="UAF7" s="484"/>
      <c r="UAG7" s="484"/>
      <c r="UAH7" s="484"/>
      <c r="UAI7" s="484"/>
      <c r="UAJ7" s="484"/>
      <c r="UAK7" s="484"/>
      <c r="UAL7" s="484"/>
      <c r="UAM7" s="484"/>
      <c r="UAN7" s="484"/>
      <c r="UAO7" s="484"/>
      <c r="UAP7" s="484"/>
      <c r="UAQ7" s="484"/>
      <c r="UAR7" s="484"/>
      <c r="UAS7" s="484"/>
      <c r="UAT7" s="484"/>
      <c r="UAU7" s="484"/>
      <c r="UAV7" s="484"/>
      <c r="UAW7" s="484"/>
      <c r="UAX7" s="484"/>
      <c r="UAY7" s="484"/>
      <c r="UAZ7" s="484"/>
      <c r="UBA7" s="484"/>
      <c r="UBB7" s="484"/>
      <c r="UBC7" s="484"/>
      <c r="UBD7" s="484"/>
      <c r="UBE7" s="484"/>
      <c r="UBF7" s="484"/>
      <c r="UBG7" s="484"/>
      <c r="UBH7" s="484"/>
      <c r="UBI7" s="484"/>
      <c r="UBJ7" s="484"/>
      <c r="UBK7" s="484"/>
      <c r="UBL7" s="484"/>
      <c r="UBM7" s="484"/>
      <c r="UBN7" s="484"/>
      <c r="UBO7" s="484"/>
      <c r="UBP7" s="484"/>
      <c r="UBQ7" s="484"/>
      <c r="UBR7" s="484"/>
      <c r="UBS7" s="484"/>
      <c r="UBT7" s="484"/>
      <c r="UBU7" s="484"/>
      <c r="UBV7" s="484"/>
      <c r="UBW7" s="484"/>
      <c r="UBX7" s="484"/>
      <c r="UBY7" s="484"/>
      <c r="UBZ7" s="484"/>
      <c r="UCA7" s="484"/>
      <c r="UCB7" s="484"/>
      <c r="UCC7" s="484"/>
      <c r="UCD7" s="484"/>
      <c r="UCE7" s="484"/>
      <c r="UCF7" s="484"/>
      <c r="UCG7" s="484"/>
      <c r="UCH7" s="484"/>
      <c r="UCI7" s="484"/>
      <c r="UCJ7" s="484"/>
      <c r="UCK7" s="484"/>
      <c r="UCL7" s="484"/>
      <c r="UCM7" s="484"/>
      <c r="UCN7" s="484"/>
      <c r="UCO7" s="484"/>
      <c r="UCP7" s="484"/>
      <c r="UCQ7" s="484"/>
      <c r="UCR7" s="484"/>
      <c r="UCS7" s="484"/>
      <c r="UCT7" s="484"/>
      <c r="UCU7" s="484"/>
      <c r="UCV7" s="484"/>
      <c r="UCW7" s="484"/>
      <c r="UCX7" s="484"/>
      <c r="UCY7" s="484"/>
      <c r="UCZ7" s="484"/>
      <c r="UDA7" s="484"/>
      <c r="UDB7" s="484"/>
      <c r="UDC7" s="484"/>
      <c r="UDD7" s="484"/>
      <c r="UDE7" s="484"/>
      <c r="UDF7" s="484"/>
      <c r="UDG7" s="484"/>
      <c r="UDH7" s="484"/>
      <c r="UDI7" s="484"/>
      <c r="UDJ7" s="484"/>
      <c r="UDK7" s="484"/>
      <c r="UDL7" s="484"/>
      <c r="UDM7" s="484"/>
      <c r="UDN7" s="484"/>
      <c r="UDO7" s="484"/>
      <c r="UDP7" s="484"/>
      <c r="UDQ7" s="484"/>
      <c r="UDR7" s="484"/>
      <c r="UDS7" s="484"/>
      <c r="UDT7" s="484"/>
      <c r="UDU7" s="484"/>
      <c r="UDV7" s="484"/>
      <c r="UDW7" s="484"/>
      <c r="UDX7" s="484"/>
      <c r="UDY7" s="484"/>
      <c r="UDZ7" s="484"/>
      <c r="UEA7" s="484"/>
      <c r="UEB7" s="484"/>
      <c r="UEC7" s="484"/>
      <c r="UED7" s="484"/>
      <c r="UEE7" s="484"/>
      <c r="UEF7" s="484"/>
      <c r="UEG7" s="484"/>
      <c r="UEH7" s="484"/>
      <c r="UEI7" s="484"/>
      <c r="UEJ7" s="484"/>
      <c r="UEK7" s="484"/>
      <c r="UEL7" s="484"/>
      <c r="UEM7" s="484"/>
      <c r="UEN7" s="484"/>
      <c r="UEO7" s="484"/>
      <c r="UEP7" s="484"/>
      <c r="UEQ7" s="484"/>
      <c r="UER7" s="484"/>
      <c r="UES7" s="484"/>
      <c r="UET7" s="484"/>
      <c r="UEU7" s="484"/>
      <c r="UEV7" s="484"/>
      <c r="UEW7" s="484"/>
      <c r="UEX7" s="484"/>
      <c r="UEY7" s="484"/>
      <c r="UEZ7" s="484"/>
      <c r="UFA7" s="484"/>
      <c r="UFB7" s="484"/>
      <c r="UFC7" s="484"/>
      <c r="UFD7" s="484"/>
      <c r="UFE7" s="484"/>
      <c r="UFF7" s="484"/>
      <c r="UFG7" s="484"/>
      <c r="UFH7" s="484"/>
      <c r="UFI7" s="484"/>
      <c r="UFJ7" s="484"/>
      <c r="UFK7" s="484"/>
      <c r="UFL7" s="484"/>
      <c r="UFM7" s="484"/>
      <c r="UFN7" s="484"/>
      <c r="UFO7" s="484"/>
      <c r="UFP7" s="484"/>
      <c r="UFQ7" s="484"/>
      <c r="UFR7" s="484"/>
      <c r="UFS7" s="484"/>
      <c r="UFT7" s="484"/>
      <c r="UFU7" s="484"/>
      <c r="UFV7" s="484"/>
      <c r="UFW7" s="484"/>
      <c r="UFX7" s="484"/>
      <c r="UFY7" s="484"/>
      <c r="UFZ7" s="484"/>
      <c r="UGA7" s="484"/>
      <c r="UGB7" s="484"/>
      <c r="UGC7" s="484"/>
      <c r="UGD7" s="484"/>
      <c r="UGE7" s="484"/>
      <c r="UGF7" s="484"/>
      <c r="UGG7" s="484"/>
      <c r="UGH7" s="484"/>
      <c r="UGI7" s="484"/>
      <c r="UGJ7" s="484"/>
      <c r="UGK7" s="484"/>
      <c r="UGL7" s="484"/>
      <c r="UGM7" s="484"/>
      <c r="UGN7" s="484"/>
      <c r="UGO7" s="484"/>
      <c r="UGP7" s="484"/>
      <c r="UGQ7" s="484"/>
      <c r="UGR7" s="484"/>
      <c r="UGS7" s="484"/>
      <c r="UGT7" s="484"/>
      <c r="UGU7" s="484"/>
      <c r="UGV7" s="484"/>
      <c r="UGW7" s="484"/>
      <c r="UGX7" s="484"/>
      <c r="UGY7" s="484"/>
      <c r="UGZ7" s="484"/>
      <c r="UHA7" s="484"/>
      <c r="UHB7" s="484"/>
      <c r="UHC7" s="484"/>
      <c r="UHD7" s="484"/>
      <c r="UHE7" s="484"/>
      <c r="UHF7" s="484"/>
      <c r="UHG7" s="484"/>
      <c r="UHH7" s="484"/>
      <c r="UHI7" s="484"/>
      <c r="UHJ7" s="484"/>
      <c r="UHK7" s="484"/>
      <c r="UHL7" s="484"/>
      <c r="UHM7" s="484"/>
      <c r="UHN7" s="484"/>
      <c r="UHO7" s="484"/>
      <c r="UHP7" s="484"/>
      <c r="UHQ7" s="484"/>
      <c r="UHR7" s="484"/>
      <c r="UHS7" s="484"/>
      <c r="UHT7" s="484"/>
      <c r="UHU7" s="484"/>
      <c r="UHV7" s="484"/>
      <c r="UHW7" s="484"/>
      <c r="UHX7" s="484"/>
      <c r="UHY7" s="484"/>
      <c r="UHZ7" s="484"/>
      <c r="UIA7" s="484"/>
      <c r="UIB7" s="484"/>
      <c r="UIC7" s="484"/>
      <c r="UID7" s="484"/>
      <c r="UIE7" s="484"/>
      <c r="UIF7" s="484"/>
      <c r="UIG7" s="484"/>
      <c r="UIH7" s="484"/>
      <c r="UII7" s="484"/>
      <c r="UIJ7" s="484"/>
      <c r="UIK7" s="484"/>
      <c r="UIL7" s="484"/>
      <c r="UIM7" s="484"/>
      <c r="UIN7" s="484"/>
      <c r="UIO7" s="484"/>
      <c r="UIP7" s="484"/>
      <c r="UIQ7" s="484"/>
      <c r="UIR7" s="484"/>
      <c r="UIS7" s="484"/>
      <c r="UIT7" s="484"/>
      <c r="UIU7" s="484"/>
      <c r="UIV7" s="484"/>
      <c r="UIW7" s="484"/>
      <c r="UIX7" s="484"/>
      <c r="UIY7" s="484"/>
      <c r="UIZ7" s="484"/>
      <c r="UJA7" s="484"/>
      <c r="UJB7" s="484"/>
      <c r="UJC7" s="484"/>
      <c r="UJD7" s="484"/>
      <c r="UJE7" s="484"/>
      <c r="UJF7" s="484"/>
      <c r="UJG7" s="484"/>
      <c r="UJH7" s="484"/>
      <c r="UJI7" s="484"/>
      <c r="UJJ7" s="484"/>
      <c r="UJK7" s="484"/>
      <c r="UJL7" s="484"/>
      <c r="UJM7" s="484"/>
      <c r="UJN7" s="484"/>
      <c r="UJO7" s="484"/>
      <c r="UJP7" s="484"/>
      <c r="UJQ7" s="484"/>
      <c r="UJR7" s="484"/>
      <c r="UJS7" s="484"/>
      <c r="UJT7" s="484"/>
      <c r="UJU7" s="484"/>
      <c r="UJV7" s="484"/>
      <c r="UJW7" s="484"/>
      <c r="UJX7" s="484"/>
      <c r="UJY7" s="484"/>
      <c r="UJZ7" s="484"/>
      <c r="UKA7" s="484"/>
      <c r="UKB7" s="484"/>
      <c r="UKC7" s="484"/>
      <c r="UKD7" s="484"/>
      <c r="UKE7" s="484"/>
      <c r="UKF7" s="484"/>
      <c r="UKG7" s="484"/>
      <c r="UKH7" s="484"/>
      <c r="UKI7" s="484"/>
      <c r="UKJ7" s="484"/>
      <c r="UKK7" s="484"/>
      <c r="UKL7" s="484"/>
      <c r="UKM7" s="484"/>
      <c r="UKN7" s="484"/>
      <c r="UKO7" s="484"/>
      <c r="UKP7" s="484"/>
      <c r="UKQ7" s="484"/>
      <c r="UKR7" s="484"/>
      <c r="UKS7" s="484"/>
      <c r="UKT7" s="484"/>
      <c r="UKU7" s="484"/>
      <c r="UKV7" s="484"/>
      <c r="UKW7" s="484"/>
      <c r="UKX7" s="484"/>
      <c r="UKY7" s="484"/>
      <c r="UKZ7" s="484"/>
      <c r="ULA7" s="484"/>
      <c r="ULB7" s="484"/>
      <c r="ULC7" s="484"/>
      <c r="ULD7" s="484"/>
      <c r="ULE7" s="484"/>
      <c r="ULF7" s="484"/>
      <c r="ULG7" s="484"/>
      <c r="ULH7" s="484"/>
      <c r="ULI7" s="484"/>
      <c r="ULJ7" s="484"/>
      <c r="ULK7" s="484"/>
      <c r="ULL7" s="484"/>
      <c r="ULM7" s="484"/>
      <c r="ULN7" s="484"/>
      <c r="ULO7" s="484"/>
      <c r="ULP7" s="484"/>
      <c r="ULQ7" s="484"/>
      <c r="ULR7" s="484"/>
      <c r="ULS7" s="484"/>
      <c r="ULT7" s="484"/>
      <c r="ULU7" s="484"/>
      <c r="ULV7" s="484"/>
      <c r="ULW7" s="484"/>
      <c r="ULX7" s="484"/>
      <c r="ULY7" s="484"/>
      <c r="ULZ7" s="484"/>
      <c r="UMA7" s="484"/>
      <c r="UMB7" s="484"/>
      <c r="UMC7" s="484"/>
      <c r="UMD7" s="484"/>
      <c r="UME7" s="484"/>
      <c r="UMF7" s="484"/>
      <c r="UMG7" s="484"/>
      <c r="UMH7" s="484"/>
      <c r="UMI7" s="484"/>
      <c r="UMJ7" s="484"/>
      <c r="UMK7" s="484"/>
      <c r="UML7" s="484"/>
      <c r="UMM7" s="484"/>
      <c r="UMN7" s="484"/>
      <c r="UMO7" s="484"/>
      <c r="UMP7" s="484"/>
      <c r="UMQ7" s="484"/>
      <c r="UMR7" s="484"/>
      <c r="UMS7" s="484"/>
      <c r="UMT7" s="484"/>
      <c r="UMU7" s="484"/>
      <c r="UMV7" s="484"/>
      <c r="UMW7" s="484"/>
      <c r="UMX7" s="484"/>
      <c r="UMY7" s="484"/>
      <c r="UMZ7" s="484"/>
      <c r="UNA7" s="484"/>
      <c r="UNB7" s="484"/>
      <c r="UNC7" s="484"/>
      <c r="UND7" s="484"/>
      <c r="UNE7" s="484"/>
      <c r="UNF7" s="484"/>
      <c r="UNG7" s="484"/>
      <c r="UNH7" s="484"/>
      <c r="UNI7" s="484"/>
      <c r="UNJ7" s="484"/>
      <c r="UNK7" s="484"/>
      <c r="UNL7" s="484"/>
      <c r="UNM7" s="484"/>
      <c r="UNN7" s="484"/>
      <c r="UNO7" s="484"/>
      <c r="UNP7" s="484"/>
      <c r="UNQ7" s="484"/>
      <c r="UNR7" s="484"/>
      <c r="UNS7" s="484"/>
      <c r="UNT7" s="484"/>
      <c r="UNU7" s="484"/>
      <c r="UNV7" s="484"/>
      <c r="UNW7" s="484"/>
      <c r="UNX7" s="484"/>
      <c r="UNY7" s="484"/>
      <c r="UNZ7" s="484"/>
      <c r="UOA7" s="484"/>
      <c r="UOB7" s="484"/>
      <c r="UOC7" s="484"/>
      <c r="UOD7" s="484"/>
      <c r="UOE7" s="484"/>
      <c r="UOF7" s="484"/>
      <c r="UOG7" s="484"/>
      <c r="UOH7" s="484"/>
      <c r="UOI7" s="484"/>
      <c r="UOJ7" s="484"/>
      <c r="UOK7" s="484"/>
      <c r="UOL7" s="484"/>
      <c r="UOM7" s="484"/>
      <c r="UON7" s="484"/>
      <c r="UOO7" s="484"/>
      <c r="UOP7" s="484"/>
      <c r="UOQ7" s="484"/>
      <c r="UOR7" s="484"/>
      <c r="UOS7" s="484"/>
      <c r="UOT7" s="484"/>
      <c r="UOU7" s="484"/>
      <c r="UOV7" s="484"/>
      <c r="UOW7" s="484"/>
      <c r="UOX7" s="484"/>
      <c r="UOY7" s="484"/>
      <c r="UOZ7" s="484"/>
      <c r="UPA7" s="484"/>
      <c r="UPB7" s="484"/>
      <c r="UPC7" s="484"/>
      <c r="UPD7" s="484"/>
      <c r="UPE7" s="484"/>
      <c r="UPF7" s="484"/>
      <c r="UPG7" s="484"/>
      <c r="UPH7" s="484"/>
      <c r="UPI7" s="484"/>
      <c r="UPJ7" s="484"/>
      <c r="UPK7" s="484"/>
      <c r="UPL7" s="484"/>
      <c r="UPM7" s="484"/>
      <c r="UPN7" s="484"/>
      <c r="UPO7" s="484"/>
      <c r="UPP7" s="484"/>
      <c r="UPQ7" s="484"/>
      <c r="UPR7" s="484"/>
      <c r="UPS7" s="484"/>
      <c r="UPT7" s="484"/>
      <c r="UPU7" s="484"/>
      <c r="UPV7" s="484"/>
      <c r="UPW7" s="484"/>
      <c r="UPX7" s="484"/>
      <c r="UPY7" s="484"/>
      <c r="UPZ7" s="484"/>
      <c r="UQA7" s="484"/>
      <c r="UQB7" s="484"/>
      <c r="UQC7" s="484"/>
      <c r="UQD7" s="484"/>
      <c r="UQE7" s="484"/>
      <c r="UQF7" s="484"/>
      <c r="UQG7" s="484"/>
      <c r="UQH7" s="484"/>
      <c r="UQI7" s="484"/>
      <c r="UQJ7" s="484"/>
      <c r="UQK7" s="484"/>
      <c r="UQL7" s="484"/>
      <c r="UQM7" s="484"/>
      <c r="UQN7" s="484"/>
      <c r="UQO7" s="484"/>
      <c r="UQP7" s="484"/>
      <c r="UQQ7" s="484"/>
      <c r="UQR7" s="484"/>
      <c r="UQS7" s="484"/>
      <c r="UQT7" s="484"/>
      <c r="UQU7" s="484"/>
      <c r="UQV7" s="484"/>
      <c r="UQW7" s="484"/>
      <c r="UQX7" s="484"/>
      <c r="UQY7" s="484"/>
      <c r="UQZ7" s="484"/>
      <c r="URA7" s="484"/>
      <c r="URB7" s="484"/>
      <c r="URC7" s="484"/>
      <c r="URD7" s="484"/>
      <c r="URE7" s="484"/>
      <c r="URF7" s="484"/>
      <c r="URG7" s="484"/>
      <c r="URH7" s="484"/>
      <c r="URI7" s="484"/>
      <c r="URJ7" s="484"/>
      <c r="URK7" s="484"/>
      <c r="URL7" s="484"/>
      <c r="URM7" s="484"/>
      <c r="URN7" s="484"/>
      <c r="URO7" s="484"/>
      <c r="URP7" s="484"/>
      <c r="URQ7" s="484"/>
      <c r="URR7" s="484"/>
      <c r="URS7" s="484"/>
      <c r="URT7" s="484"/>
      <c r="URU7" s="484"/>
      <c r="URV7" s="484"/>
      <c r="URW7" s="484"/>
      <c r="URX7" s="484"/>
      <c r="URY7" s="484"/>
      <c r="URZ7" s="484"/>
      <c r="USA7" s="484"/>
      <c r="USB7" s="484"/>
      <c r="USC7" s="484"/>
      <c r="USD7" s="484"/>
      <c r="USE7" s="484"/>
      <c r="USF7" s="484"/>
      <c r="USG7" s="484"/>
      <c r="USH7" s="484"/>
      <c r="USI7" s="484"/>
      <c r="USJ7" s="484"/>
      <c r="USK7" s="484"/>
      <c r="USL7" s="484"/>
      <c r="USM7" s="484"/>
      <c r="USN7" s="484"/>
      <c r="USO7" s="484"/>
      <c r="USP7" s="484"/>
      <c r="USQ7" s="484"/>
      <c r="USR7" s="484"/>
      <c r="USS7" s="484"/>
      <c r="UST7" s="484"/>
      <c r="USU7" s="484"/>
      <c r="USV7" s="484"/>
      <c r="USW7" s="484"/>
      <c r="USX7" s="484"/>
      <c r="USY7" s="484"/>
      <c r="USZ7" s="484"/>
      <c r="UTA7" s="484"/>
      <c r="UTB7" s="484"/>
      <c r="UTC7" s="484"/>
      <c r="UTD7" s="484"/>
      <c r="UTE7" s="484"/>
      <c r="UTF7" s="484"/>
      <c r="UTG7" s="484"/>
      <c r="UTH7" s="484"/>
      <c r="UTI7" s="484"/>
      <c r="UTJ7" s="484"/>
      <c r="UTK7" s="484"/>
      <c r="UTL7" s="484"/>
      <c r="UTM7" s="484"/>
      <c r="UTN7" s="484"/>
      <c r="UTO7" s="484"/>
      <c r="UTP7" s="484"/>
      <c r="UTQ7" s="484"/>
      <c r="UTR7" s="484"/>
      <c r="UTS7" s="484"/>
      <c r="UTT7" s="484"/>
      <c r="UTU7" s="484"/>
      <c r="UTV7" s="484"/>
      <c r="UTW7" s="484"/>
      <c r="UTX7" s="484"/>
      <c r="UTY7" s="484"/>
      <c r="UTZ7" s="484"/>
      <c r="UUA7" s="484"/>
      <c r="UUB7" s="484"/>
      <c r="UUC7" s="484"/>
      <c r="UUD7" s="484"/>
      <c r="UUE7" s="484"/>
      <c r="UUF7" s="484"/>
      <c r="UUG7" s="484"/>
      <c r="UUH7" s="484"/>
      <c r="UUI7" s="484"/>
      <c r="UUJ7" s="484"/>
      <c r="UUK7" s="484"/>
      <c r="UUL7" s="484"/>
      <c r="UUM7" s="484"/>
      <c r="UUN7" s="484"/>
      <c r="UUO7" s="484"/>
      <c r="UUP7" s="484"/>
      <c r="UUQ7" s="484"/>
      <c r="UUR7" s="484"/>
      <c r="UUS7" s="484"/>
      <c r="UUT7" s="484"/>
      <c r="UUU7" s="484"/>
      <c r="UUV7" s="484"/>
      <c r="UUW7" s="484"/>
      <c r="UUX7" s="484"/>
      <c r="UUY7" s="484"/>
      <c r="UUZ7" s="484"/>
      <c r="UVA7" s="484"/>
      <c r="UVB7" s="484"/>
      <c r="UVC7" s="484"/>
      <c r="UVD7" s="484"/>
      <c r="UVE7" s="484"/>
      <c r="UVF7" s="484"/>
      <c r="UVG7" s="484"/>
      <c r="UVH7" s="484"/>
      <c r="UVI7" s="484"/>
      <c r="UVJ7" s="484"/>
      <c r="UVK7" s="484"/>
      <c r="UVL7" s="484"/>
      <c r="UVM7" s="484"/>
      <c r="UVN7" s="484"/>
      <c r="UVO7" s="484"/>
      <c r="UVP7" s="484"/>
      <c r="UVQ7" s="484"/>
      <c r="UVR7" s="484"/>
      <c r="UVS7" s="484"/>
      <c r="UVT7" s="484"/>
      <c r="UVU7" s="484"/>
      <c r="UVV7" s="484"/>
      <c r="UVW7" s="484"/>
      <c r="UVX7" s="484"/>
      <c r="UVY7" s="484"/>
      <c r="UVZ7" s="484"/>
      <c r="UWA7" s="484"/>
      <c r="UWB7" s="484"/>
      <c r="UWC7" s="484"/>
      <c r="UWD7" s="484"/>
      <c r="UWE7" s="484"/>
      <c r="UWF7" s="484"/>
      <c r="UWG7" s="484"/>
      <c r="UWH7" s="484"/>
      <c r="UWI7" s="484"/>
      <c r="UWJ7" s="484"/>
      <c r="UWK7" s="484"/>
      <c r="UWL7" s="484"/>
      <c r="UWM7" s="484"/>
      <c r="UWN7" s="484"/>
      <c r="UWO7" s="484"/>
      <c r="UWP7" s="484"/>
      <c r="UWQ7" s="484"/>
      <c r="UWR7" s="484"/>
      <c r="UWS7" s="484"/>
      <c r="UWT7" s="484"/>
      <c r="UWU7" s="484"/>
      <c r="UWV7" s="484"/>
      <c r="UWW7" s="484"/>
      <c r="UWX7" s="484"/>
      <c r="UWY7" s="484"/>
      <c r="UWZ7" s="484"/>
      <c r="UXA7" s="484"/>
      <c r="UXB7" s="484"/>
      <c r="UXC7" s="484"/>
      <c r="UXD7" s="484"/>
      <c r="UXE7" s="484"/>
      <c r="UXF7" s="484"/>
      <c r="UXG7" s="484"/>
      <c r="UXH7" s="484"/>
      <c r="UXI7" s="484"/>
      <c r="UXJ7" s="484"/>
      <c r="UXK7" s="484"/>
      <c r="UXL7" s="484"/>
      <c r="UXM7" s="484"/>
      <c r="UXN7" s="484"/>
      <c r="UXO7" s="484"/>
      <c r="UXP7" s="484"/>
      <c r="UXQ7" s="484"/>
      <c r="UXR7" s="484"/>
      <c r="UXS7" s="484"/>
      <c r="UXT7" s="484"/>
      <c r="UXU7" s="484"/>
      <c r="UXV7" s="484"/>
      <c r="UXW7" s="484"/>
      <c r="UXX7" s="484"/>
      <c r="UXY7" s="484"/>
      <c r="UXZ7" s="484"/>
      <c r="UYA7" s="484"/>
      <c r="UYB7" s="484"/>
      <c r="UYC7" s="484"/>
      <c r="UYD7" s="484"/>
      <c r="UYE7" s="484"/>
      <c r="UYF7" s="484"/>
      <c r="UYG7" s="484"/>
      <c r="UYH7" s="484"/>
      <c r="UYI7" s="484"/>
      <c r="UYJ7" s="484"/>
      <c r="UYK7" s="484"/>
      <c r="UYL7" s="484"/>
      <c r="UYM7" s="484"/>
      <c r="UYN7" s="484"/>
      <c r="UYO7" s="484"/>
      <c r="UYP7" s="484"/>
      <c r="UYQ7" s="484"/>
      <c r="UYR7" s="484"/>
      <c r="UYS7" s="484"/>
      <c r="UYT7" s="484"/>
      <c r="UYU7" s="484"/>
      <c r="UYV7" s="484"/>
      <c r="UYW7" s="484"/>
      <c r="UYX7" s="484"/>
      <c r="UYY7" s="484"/>
      <c r="UYZ7" s="484"/>
      <c r="UZA7" s="484"/>
      <c r="UZB7" s="484"/>
      <c r="UZC7" s="484"/>
      <c r="UZD7" s="484"/>
      <c r="UZE7" s="484"/>
      <c r="UZF7" s="484"/>
      <c r="UZG7" s="484"/>
      <c r="UZH7" s="484"/>
      <c r="UZI7" s="484"/>
      <c r="UZJ7" s="484"/>
      <c r="UZK7" s="484"/>
      <c r="UZL7" s="484"/>
      <c r="UZM7" s="484"/>
      <c r="UZN7" s="484"/>
      <c r="UZO7" s="484"/>
      <c r="UZP7" s="484"/>
      <c r="UZQ7" s="484"/>
      <c r="UZR7" s="484"/>
      <c r="UZS7" s="484"/>
      <c r="UZT7" s="484"/>
      <c r="UZU7" s="484"/>
      <c r="UZV7" s="484"/>
      <c r="UZW7" s="484"/>
      <c r="UZX7" s="484"/>
      <c r="UZY7" s="484"/>
      <c r="UZZ7" s="484"/>
      <c r="VAA7" s="484"/>
      <c r="VAB7" s="484"/>
      <c r="VAC7" s="484"/>
      <c r="VAD7" s="484"/>
      <c r="VAE7" s="484"/>
      <c r="VAF7" s="484"/>
      <c r="VAG7" s="484"/>
      <c r="VAH7" s="484"/>
      <c r="VAI7" s="484"/>
      <c r="VAJ7" s="484"/>
      <c r="VAK7" s="484"/>
      <c r="VAL7" s="484"/>
      <c r="VAM7" s="484"/>
      <c r="VAN7" s="484"/>
      <c r="VAO7" s="484"/>
      <c r="VAP7" s="484"/>
      <c r="VAQ7" s="484"/>
      <c r="VAR7" s="484"/>
      <c r="VAS7" s="484"/>
      <c r="VAT7" s="484"/>
      <c r="VAU7" s="484"/>
      <c r="VAV7" s="484"/>
      <c r="VAW7" s="484"/>
      <c r="VAX7" s="484"/>
      <c r="VAY7" s="484"/>
      <c r="VAZ7" s="484"/>
      <c r="VBA7" s="484"/>
      <c r="VBB7" s="484"/>
      <c r="VBC7" s="484"/>
      <c r="VBD7" s="484"/>
      <c r="VBE7" s="484"/>
      <c r="VBF7" s="484"/>
      <c r="VBG7" s="484"/>
      <c r="VBH7" s="484"/>
      <c r="VBI7" s="484"/>
      <c r="VBJ7" s="484"/>
      <c r="VBK7" s="484"/>
      <c r="VBL7" s="484"/>
      <c r="VBM7" s="484"/>
      <c r="VBN7" s="484"/>
      <c r="VBO7" s="484"/>
      <c r="VBP7" s="484"/>
      <c r="VBQ7" s="484"/>
      <c r="VBR7" s="484"/>
      <c r="VBS7" s="484"/>
      <c r="VBT7" s="484"/>
      <c r="VBU7" s="484"/>
      <c r="VBV7" s="484"/>
      <c r="VBW7" s="484"/>
      <c r="VBX7" s="484"/>
      <c r="VBY7" s="484"/>
      <c r="VBZ7" s="484"/>
      <c r="VCA7" s="484"/>
      <c r="VCB7" s="484"/>
      <c r="VCC7" s="484"/>
      <c r="VCD7" s="484"/>
      <c r="VCE7" s="484"/>
      <c r="VCF7" s="484"/>
      <c r="VCG7" s="484"/>
      <c r="VCH7" s="484"/>
      <c r="VCI7" s="484"/>
      <c r="VCJ7" s="484"/>
      <c r="VCK7" s="484"/>
      <c r="VCL7" s="484"/>
      <c r="VCM7" s="484"/>
      <c r="VCN7" s="484"/>
      <c r="VCO7" s="484"/>
      <c r="VCP7" s="484"/>
      <c r="VCQ7" s="484"/>
      <c r="VCR7" s="484"/>
      <c r="VCS7" s="484"/>
      <c r="VCT7" s="484"/>
      <c r="VCU7" s="484"/>
      <c r="VCV7" s="484"/>
      <c r="VCW7" s="484"/>
      <c r="VCX7" s="484"/>
      <c r="VCY7" s="484"/>
      <c r="VCZ7" s="484"/>
      <c r="VDA7" s="484"/>
      <c r="VDB7" s="484"/>
      <c r="VDC7" s="484"/>
      <c r="VDD7" s="484"/>
      <c r="VDE7" s="484"/>
      <c r="VDF7" s="484"/>
      <c r="VDG7" s="484"/>
      <c r="VDH7" s="484"/>
      <c r="VDI7" s="484"/>
      <c r="VDJ7" s="484"/>
      <c r="VDK7" s="484"/>
      <c r="VDL7" s="484"/>
      <c r="VDM7" s="484"/>
      <c r="VDN7" s="484"/>
      <c r="VDO7" s="484"/>
      <c r="VDP7" s="484"/>
      <c r="VDQ7" s="484"/>
      <c r="VDR7" s="484"/>
      <c r="VDS7" s="484"/>
      <c r="VDT7" s="484"/>
      <c r="VDU7" s="484"/>
      <c r="VDV7" s="484"/>
      <c r="VDW7" s="484"/>
      <c r="VDX7" s="484"/>
      <c r="VDY7" s="484"/>
      <c r="VDZ7" s="484"/>
      <c r="VEA7" s="484"/>
      <c r="VEB7" s="484"/>
      <c r="VEC7" s="484"/>
      <c r="VED7" s="484"/>
      <c r="VEE7" s="484"/>
      <c r="VEF7" s="484"/>
      <c r="VEG7" s="484"/>
      <c r="VEH7" s="484"/>
      <c r="VEI7" s="484"/>
      <c r="VEJ7" s="484"/>
      <c r="VEK7" s="484"/>
      <c r="VEL7" s="484"/>
      <c r="VEM7" s="484"/>
      <c r="VEN7" s="484"/>
      <c r="VEO7" s="484"/>
      <c r="VEP7" s="484"/>
      <c r="VEQ7" s="484"/>
      <c r="VER7" s="484"/>
      <c r="VES7" s="484"/>
      <c r="VET7" s="484"/>
      <c r="VEU7" s="484"/>
      <c r="VEV7" s="484"/>
      <c r="VEW7" s="484"/>
      <c r="VEX7" s="484"/>
      <c r="VEY7" s="484"/>
      <c r="VEZ7" s="484"/>
      <c r="VFA7" s="484"/>
      <c r="VFB7" s="484"/>
      <c r="VFC7" s="484"/>
      <c r="VFD7" s="484"/>
      <c r="VFE7" s="484"/>
      <c r="VFF7" s="484"/>
      <c r="VFG7" s="484"/>
      <c r="VFH7" s="484"/>
      <c r="VFI7" s="484"/>
      <c r="VFJ7" s="484"/>
      <c r="VFK7" s="484"/>
      <c r="VFL7" s="484"/>
      <c r="VFM7" s="484"/>
      <c r="VFN7" s="484"/>
      <c r="VFO7" s="484"/>
      <c r="VFP7" s="484"/>
      <c r="VFQ7" s="484"/>
      <c r="VFR7" s="484"/>
      <c r="VFS7" s="484"/>
      <c r="VFT7" s="484"/>
      <c r="VFU7" s="484"/>
      <c r="VFV7" s="484"/>
      <c r="VFW7" s="484"/>
      <c r="VFX7" s="484"/>
      <c r="VFY7" s="484"/>
      <c r="VFZ7" s="484"/>
      <c r="VGA7" s="484"/>
      <c r="VGB7" s="484"/>
      <c r="VGC7" s="484"/>
      <c r="VGD7" s="484"/>
      <c r="VGE7" s="484"/>
      <c r="VGF7" s="484"/>
      <c r="VGG7" s="484"/>
      <c r="VGH7" s="484"/>
      <c r="VGI7" s="484"/>
      <c r="VGJ7" s="484"/>
      <c r="VGK7" s="484"/>
      <c r="VGL7" s="484"/>
      <c r="VGM7" s="484"/>
      <c r="VGN7" s="484"/>
      <c r="VGO7" s="484"/>
      <c r="VGP7" s="484"/>
      <c r="VGQ7" s="484"/>
      <c r="VGR7" s="484"/>
      <c r="VGS7" s="484"/>
      <c r="VGT7" s="484"/>
      <c r="VGU7" s="484"/>
      <c r="VGV7" s="484"/>
      <c r="VGW7" s="484"/>
      <c r="VGX7" s="484"/>
      <c r="VGY7" s="484"/>
      <c r="VGZ7" s="484"/>
      <c r="VHA7" s="484"/>
      <c r="VHB7" s="484"/>
      <c r="VHC7" s="484"/>
      <c r="VHD7" s="484"/>
      <c r="VHE7" s="484"/>
      <c r="VHF7" s="484"/>
      <c r="VHG7" s="484"/>
      <c r="VHH7" s="484"/>
      <c r="VHI7" s="484"/>
      <c r="VHJ7" s="484"/>
      <c r="VHK7" s="484"/>
      <c r="VHL7" s="484"/>
      <c r="VHM7" s="484"/>
      <c r="VHN7" s="484"/>
      <c r="VHO7" s="484"/>
      <c r="VHP7" s="484"/>
      <c r="VHQ7" s="484"/>
      <c r="VHR7" s="484"/>
      <c r="VHS7" s="484"/>
      <c r="VHT7" s="484"/>
      <c r="VHU7" s="484"/>
      <c r="VHV7" s="484"/>
      <c r="VHW7" s="484"/>
      <c r="VHX7" s="484"/>
      <c r="VHY7" s="484"/>
      <c r="VHZ7" s="484"/>
      <c r="VIA7" s="484"/>
      <c r="VIB7" s="484"/>
      <c r="VIC7" s="484"/>
      <c r="VID7" s="484"/>
      <c r="VIE7" s="484"/>
      <c r="VIF7" s="484"/>
      <c r="VIG7" s="484"/>
      <c r="VIH7" s="484"/>
      <c r="VII7" s="484"/>
      <c r="VIJ7" s="484"/>
      <c r="VIK7" s="484"/>
      <c r="VIL7" s="484"/>
      <c r="VIM7" s="484"/>
      <c r="VIN7" s="484"/>
      <c r="VIO7" s="484"/>
      <c r="VIP7" s="484"/>
      <c r="VIQ7" s="484"/>
      <c r="VIR7" s="484"/>
      <c r="VIS7" s="484"/>
      <c r="VIT7" s="484"/>
      <c r="VIU7" s="484"/>
      <c r="VIV7" s="484"/>
      <c r="VIW7" s="484"/>
      <c r="VIX7" s="484"/>
      <c r="VIY7" s="484"/>
      <c r="VIZ7" s="484"/>
      <c r="VJA7" s="484"/>
      <c r="VJB7" s="484"/>
      <c r="VJC7" s="484"/>
      <c r="VJD7" s="484"/>
      <c r="VJE7" s="484"/>
      <c r="VJF7" s="484"/>
      <c r="VJG7" s="484"/>
      <c r="VJH7" s="484"/>
      <c r="VJI7" s="484"/>
      <c r="VJJ7" s="484"/>
      <c r="VJK7" s="484"/>
      <c r="VJL7" s="484"/>
      <c r="VJM7" s="484"/>
      <c r="VJN7" s="484"/>
      <c r="VJO7" s="484"/>
      <c r="VJP7" s="484"/>
      <c r="VJQ7" s="484"/>
      <c r="VJR7" s="484"/>
      <c r="VJS7" s="484"/>
      <c r="VJT7" s="484"/>
      <c r="VJU7" s="484"/>
      <c r="VJV7" s="484"/>
      <c r="VJW7" s="484"/>
      <c r="VJX7" s="484"/>
      <c r="VJY7" s="484"/>
      <c r="VJZ7" s="484"/>
      <c r="VKA7" s="484"/>
      <c r="VKB7" s="484"/>
      <c r="VKC7" s="484"/>
      <c r="VKD7" s="484"/>
      <c r="VKE7" s="484"/>
      <c r="VKF7" s="484"/>
      <c r="VKG7" s="484"/>
      <c r="VKH7" s="484"/>
      <c r="VKI7" s="484"/>
      <c r="VKJ7" s="484"/>
      <c r="VKK7" s="484"/>
      <c r="VKL7" s="484"/>
      <c r="VKM7" s="484"/>
      <c r="VKN7" s="484"/>
      <c r="VKO7" s="484"/>
      <c r="VKP7" s="484"/>
      <c r="VKQ7" s="484"/>
      <c r="VKR7" s="484"/>
      <c r="VKS7" s="484"/>
      <c r="VKT7" s="484"/>
      <c r="VKU7" s="484"/>
      <c r="VKV7" s="484"/>
      <c r="VKW7" s="484"/>
      <c r="VKX7" s="484"/>
      <c r="VKY7" s="484"/>
      <c r="VKZ7" s="484"/>
      <c r="VLA7" s="484"/>
      <c r="VLB7" s="484"/>
      <c r="VLC7" s="484"/>
      <c r="VLD7" s="484"/>
      <c r="VLE7" s="484"/>
      <c r="VLF7" s="484"/>
      <c r="VLG7" s="484"/>
      <c r="VLH7" s="484"/>
      <c r="VLI7" s="484"/>
      <c r="VLJ7" s="484"/>
      <c r="VLK7" s="484"/>
      <c r="VLL7" s="484"/>
      <c r="VLM7" s="484"/>
      <c r="VLN7" s="484"/>
      <c r="VLO7" s="484"/>
      <c r="VLP7" s="484"/>
      <c r="VLQ7" s="484"/>
      <c r="VLR7" s="484"/>
      <c r="VLS7" s="484"/>
      <c r="VLT7" s="484"/>
      <c r="VLU7" s="484"/>
      <c r="VLV7" s="484"/>
      <c r="VLW7" s="484"/>
      <c r="VLX7" s="484"/>
      <c r="VLY7" s="484"/>
      <c r="VLZ7" s="484"/>
      <c r="VMA7" s="484"/>
      <c r="VMB7" s="484"/>
      <c r="VMC7" s="484"/>
      <c r="VMD7" s="484"/>
      <c r="VME7" s="484"/>
      <c r="VMF7" s="484"/>
      <c r="VMG7" s="484"/>
      <c r="VMH7" s="484"/>
      <c r="VMI7" s="484"/>
      <c r="VMJ7" s="484"/>
      <c r="VMK7" s="484"/>
      <c r="VML7" s="484"/>
      <c r="VMM7" s="484"/>
      <c r="VMN7" s="484"/>
      <c r="VMO7" s="484"/>
      <c r="VMP7" s="484"/>
      <c r="VMQ7" s="484"/>
      <c r="VMR7" s="484"/>
      <c r="VMS7" s="484"/>
      <c r="VMT7" s="484"/>
      <c r="VMU7" s="484"/>
      <c r="VMV7" s="484"/>
      <c r="VMW7" s="484"/>
      <c r="VMX7" s="484"/>
      <c r="VMY7" s="484"/>
      <c r="VMZ7" s="484"/>
      <c r="VNA7" s="484"/>
      <c r="VNB7" s="484"/>
      <c r="VNC7" s="484"/>
      <c r="VND7" s="484"/>
      <c r="VNE7" s="484"/>
      <c r="VNF7" s="484"/>
      <c r="VNG7" s="484"/>
      <c r="VNH7" s="484"/>
      <c r="VNI7" s="484"/>
      <c r="VNJ7" s="484"/>
      <c r="VNK7" s="484"/>
      <c r="VNL7" s="484"/>
      <c r="VNM7" s="484"/>
      <c r="VNN7" s="484"/>
      <c r="VNO7" s="484"/>
      <c r="VNP7" s="484"/>
      <c r="VNQ7" s="484"/>
      <c r="VNR7" s="484"/>
      <c r="VNS7" s="484"/>
      <c r="VNT7" s="484"/>
      <c r="VNU7" s="484"/>
      <c r="VNV7" s="484"/>
      <c r="VNW7" s="484"/>
      <c r="VNX7" s="484"/>
      <c r="VNY7" s="484"/>
      <c r="VNZ7" s="484"/>
      <c r="VOA7" s="484"/>
      <c r="VOB7" s="484"/>
      <c r="VOC7" s="484"/>
      <c r="VOD7" s="484"/>
      <c r="VOE7" s="484"/>
      <c r="VOF7" s="484"/>
      <c r="VOG7" s="484"/>
      <c r="VOH7" s="484"/>
      <c r="VOI7" s="484"/>
      <c r="VOJ7" s="484"/>
      <c r="VOK7" s="484"/>
      <c r="VOL7" s="484"/>
      <c r="VOM7" s="484"/>
      <c r="VON7" s="484"/>
      <c r="VOO7" s="484"/>
      <c r="VOP7" s="484"/>
      <c r="VOQ7" s="484"/>
      <c r="VOR7" s="484"/>
      <c r="VOS7" s="484"/>
      <c r="VOT7" s="484"/>
      <c r="VOU7" s="484"/>
      <c r="VOV7" s="484"/>
      <c r="VOW7" s="484"/>
      <c r="VOX7" s="484"/>
      <c r="VOY7" s="484"/>
      <c r="VOZ7" s="484"/>
      <c r="VPA7" s="484"/>
      <c r="VPB7" s="484"/>
      <c r="VPC7" s="484"/>
      <c r="VPD7" s="484"/>
      <c r="VPE7" s="484"/>
      <c r="VPF7" s="484"/>
      <c r="VPG7" s="484"/>
      <c r="VPH7" s="484"/>
      <c r="VPI7" s="484"/>
      <c r="VPJ7" s="484"/>
      <c r="VPK7" s="484"/>
      <c r="VPL7" s="484"/>
      <c r="VPM7" s="484"/>
      <c r="VPN7" s="484"/>
      <c r="VPO7" s="484"/>
      <c r="VPP7" s="484"/>
      <c r="VPQ7" s="484"/>
      <c r="VPR7" s="484"/>
      <c r="VPS7" s="484"/>
      <c r="VPT7" s="484"/>
      <c r="VPU7" s="484"/>
      <c r="VPV7" s="484"/>
      <c r="VPW7" s="484"/>
      <c r="VPX7" s="484"/>
      <c r="VPY7" s="484"/>
      <c r="VPZ7" s="484"/>
      <c r="VQA7" s="484"/>
      <c r="VQB7" s="484"/>
      <c r="VQC7" s="484"/>
      <c r="VQD7" s="484"/>
      <c r="VQE7" s="484"/>
      <c r="VQF7" s="484"/>
      <c r="VQG7" s="484"/>
      <c r="VQH7" s="484"/>
      <c r="VQI7" s="484"/>
      <c r="VQJ7" s="484"/>
      <c r="VQK7" s="484"/>
      <c r="VQL7" s="484"/>
      <c r="VQM7" s="484"/>
      <c r="VQN7" s="484"/>
      <c r="VQO7" s="484"/>
      <c r="VQP7" s="484"/>
      <c r="VQQ7" s="484"/>
      <c r="VQR7" s="484"/>
      <c r="VQS7" s="484"/>
      <c r="VQT7" s="484"/>
      <c r="VQU7" s="484"/>
      <c r="VQV7" s="484"/>
      <c r="VQW7" s="484"/>
      <c r="VQX7" s="484"/>
      <c r="VQY7" s="484"/>
      <c r="VQZ7" s="484"/>
      <c r="VRA7" s="484"/>
      <c r="VRB7" s="484"/>
      <c r="VRC7" s="484"/>
      <c r="VRD7" s="484"/>
      <c r="VRE7" s="484"/>
      <c r="VRF7" s="484"/>
      <c r="VRG7" s="484"/>
      <c r="VRH7" s="484"/>
      <c r="VRI7" s="484"/>
      <c r="VRJ7" s="484"/>
      <c r="VRK7" s="484"/>
      <c r="VRL7" s="484"/>
      <c r="VRM7" s="484"/>
      <c r="VRN7" s="484"/>
      <c r="VRO7" s="484"/>
      <c r="VRP7" s="484"/>
      <c r="VRQ7" s="484"/>
      <c r="VRR7" s="484"/>
      <c r="VRS7" s="484"/>
      <c r="VRT7" s="484"/>
      <c r="VRU7" s="484"/>
      <c r="VRV7" s="484"/>
      <c r="VRW7" s="484"/>
      <c r="VRX7" s="484"/>
      <c r="VRY7" s="484"/>
      <c r="VRZ7" s="484"/>
      <c r="VSA7" s="484"/>
      <c r="VSB7" s="484"/>
      <c r="VSC7" s="484"/>
      <c r="VSD7" s="484"/>
      <c r="VSE7" s="484"/>
      <c r="VSF7" s="484"/>
      <c r="VSG7" s="484"/>
      <c r="VSH7" s="484"/>
      <c r="VSI7" s="484"/>
      <c r="VSJ7" s="484"/>
      <c r="VSK7" s="484"/>
      <c r="VSL7" s="484"/>
      <c r="VSM7" s="484"/>
      <c r="VSN7" s="484"/>
      <c r="VSO7" s="484"/>
      <c r="VSP7" s="484"/>
      <c r="VSQ7" s="484"/>
      <c r="VSR7" s="484"/>
      <c r="VSS7" s="484"/>
      <c r="VST7" s="484"/>
      <c r="VSU7" s="484"/>
      <c r="VSV7" s="484"/>
      <c r="VSW7" s="484"/>
      <c r="VSX7" s="484"/>
      <c r="VSY7" s="484"/>
      <c r="VSZ7" s="484"/>
      <c r="VTA7" s="484"/>
      <c r="VTB7" s="484"/>
      <c r="VTC7" s="484"/>
      <c r="VTD7" s="484"/>
      <c r="VTE7" s="484"/>
      <c r="VTF7" s="484"/>
      <c r="VTG7" s="484"/>
      <c r="VTH7" s="484"/>
      <c r="VTI7" s="484"/>
      <c r="VTJ7" s="484"/>
      <c r="VTK7" s="484"/>
      <c r="VTL7" s="484"/>
      <c r="VTM7" s="484"/>
      <c r="VTN7" s="484"/>
      <c r="VTO7" s="484"/>
      <c r="VTP7" s="484"/>
      <c r="VTQ7" s="484"/>
      <c r="VTR7" s="484"/>
      <c r="VTS7" s="484"/>
      <c r="VTT7" s="484"/>
      <c r="VTU7" s="484"/>
      <c r="VTV7" s="484"/>
      <c r="VTW7" s="484"/>
      <c r="VTX7" s="484"/>
      <c r="VTY7" s="484"/>
      <c r="VTZ7" s="484"/>
      <c r="VUA7" s="484"/>
      <c r="VUB7" s="484"/>
      <c r="VUC7" s="484"/>
      <c r="VUD7" s="484"/>
      <c r="VUE7" s="484"/>
      <c r="VUF7" s="484"/>
      <c r="VUG7" s="484"/>
      <c r="VUH7" s="484"/>
      <c r="VUI7" s="484"/>
      <c r="VUJ7" s="484"/>
      <c r="VUK7" s="484"/>
      <c r="VUL7" s="484"/>
      <c r="VUM7" s="484"/>
      <c r="VUN7" s="484"/>
      <c r="VUO7" s="484"/>
      <c r="VUP7" s="484"/>
      <c r="VUQ7" s="484"/>
      <c r="VUR7" s="484"/>
      <c r="VUS7" s="484"/>
      <c r="VUT7" s="484"/>
      <c r="VUU7" s="484"/>
      <c r="VUV7" s="484"/>
      <c r="VUW7" s="484"/>
      <c r="VUX7" s="484"/>
      <c r="VUY7" s="484"/>
      <c r="VUZ7" s="484"/>
      <c r="VVA7" s="484"/>
      <c r="VVB7" s="484"/>
      <c r="VVC7" s="484"/>
      <c r="VVD7" s="484"/>
      <c r="VVE7" s="484"/>
      <c r="VVF7" s="484"/>
      <c r="VVG7" s="484"/>
      <c r="VVH7" s="484"/>
      <c r="VVI7" s="484"/>
      <c r="VVJ7" s="484"/>
      <c r="VVK7" s="484"/>
      <c r="VVL7" s="484"/>
      <c r="VVM7" s="484"/>
      <c r="VVN7" s="484"/>
      <c r="VVO7" s="484"/>
      <c r="VVP7" s="484"/>
      <c r="VVQ7" s="484"/>
      <c r="VVR7" s="484"/>
      <c r="VVS7" s="484"/>
      <c r="VVT7" s="484"/>
      <c r="VVU7" s="484"/>
      <c r="VVV7" s="484"/>
      <c r="VVW7" s="484"/>
      <c r="VVX7" s="484"/>
      <c r="VVY7" s="484"/>
      <c r="VVZ7" s="484"/>
      <c r="VWA7" s="484"/>
      <c r="VWB7" s="484"/>
      <c r="VWC7" s="484"/>
      <c r="VWD7" s="484"/>
      <c r="VWE7" s="484"/>
      <c r="VWF7" s="484"/>
      <c r="VWG7" s="484"/>
      <c r="VWH7" s="484"/>
      <c r="VWI7" s="484"/>
      <c r="VWJ7" s="484"/>
      <c r="VWK7" s="484"/>
      <c r="VWL7" s="484"/>
      <c r="VWM7" s="484"/>
      <c r="VWN7" s="484"/>
      <c r="VWO7" s="484"/>
      <c r="VWP7" s="484"/>
      <c r="VWQ7" s="484"/>
      <c r="VWR7" s="484"/>
      <c r="VWS7" s="484"/>
      <c r="VWT7" s="484"/>
      <c r="VWU7" s="484"/>
      <c r="VWV7" s="484"/>
      <c r="VWW7" s="484"/>
      <c r="VWX7" s="484"/>
      <c r="VWY7" s="484"/>
      <c r="VWZ7" s="484"/>
      <c r="VXA7" s="484"/>
      <c r="VXB7" s="484"/>
      <c r="VXC7" s="484"/>
      <c r="VXD7" s="484"/>
      <c r="VXE7" s="484"/>
      <c r="VXF7" s="484"/>
      <c r="VXG7" s="484"/>
      <c r="VXH7" s="484"/>
      <c r="VXI7" s="484"/>
      <c r="VXJ7" s="484"/>
      <c r="VXK7" s="484"/>
      <c r="VXL7" s="484"/>
      <c r="VXM7" s="484"/>
      <c r="VXN7" s="484"/>
      <c r="VXO7" s="484"/>
      <c r="VXP7" s="484"/>
      <c r="VXQ7" s="484"/>
      <c r="VXR7" s="484"/>
      <c r="VXS7" s="484"/>
      <c r="VXT7" s="484"/>
      <c r="VXU7" s="484"/>
      <c r="VXV7" s="484"/>
      <c r="VXW7" s="484"/>
      <c r="VXX7" s="484"/>
      <c r="VXY7" s="484"/>
      <c r="VXZ7" s="484"/>
      <c r="VYA7" s="484"/>
      <c r="VYB7" s="484"/>
      <c r="VYC7" s="484"/>
      <c r="VYD7" s="484"/>
      <c r="VYE7" s="484"/>
      <c r="VYF7" s="484"/>
      <c r="VYG7" s="484"/>
      <c r="VYH7" s="484"/>
      <c r="VYI7" s="484"/>
      <c r="VYJ7" s="484"/>
      <c r="VYK7" s="484"/>
      <c r="VYL7" s="484"/>
      <c r="VYM7" s="484"/>
      <c r="VYN7" s="484"/>
      <c r="VYO7" s="484"/>
      <c r="VYP7" s="484"/>
      <c r="VYQ7" s="484"/>
      <c r="VYR7" s="484"/>
      <c r="VYS7" s="484"/>
      <c r="VYT7" s="484"/>
      <c r="VYU7" s="484"/>
      <c r="VYV7" s="484"/>
      <c r="VYW7" s="484"/>
      <c r="VYX7" s="484"/>
      <c r="VYY7" s="484"/>
      <c r="VYZ7" s="484"/>
      <c r="VZA7" s="484"/>
      <c r="VZB7" s="484"/>
      <c r="VZC7" s="484"/>
      <c r="VZD7" s="484"/>
      <c r="VZE7" s="484"/>
      <c r="VZF7" s="484"/>
      <c r="VZG7" s="484"/>
      <c r="VZH7" s="484"/>
      <c r="VZI7" s="484"/>
      <c r="VZJ7" s="484"/>
      <c r="VZK7" s="484"/>
      <c r="VZL7" s="484"/>
      <c r="VZM7" s="484"/>
      <c r="VZN7" s="484"/>
      <c r="VZO7" s="484"/>
      <c r="VZP7" s="484"/>
      <c r="VZQ7" s="484"/>
      <c r="VZR7" s="484"/>
      <c r="VZS7" s="484"/>
      <c r="VZT7" s="484"/>
      <c r="VZU7" s="484"/>
      <c r="VZV7" s="484"/>
      <c r="VZW7" s="484"/>
      <c r="VZX7" s="484"/>
      <c r="VZY7" s="484"/>
      <c r="VZZ7" s="484"/>
      <c r="WAA7" s="484"/>
      <c r="WAB7" s="484"/>
      <c r="WAC7" s="484"/>
      <c r="WAD7" s="484"/>
      <c r="WAE7" s="484"/>
      <c r="WAF7" s="484"/>
      <c r="WAG7" s="484"/>
      <c r="WAH7" s="484"/>
      <c r="WAI7" s="484"/>
      <c r="WAJ7" s="484"/>
      <c r="WAK7" s="484"/>
      <c r="WAL7" s="484"/>
      <c r="WAM7" s="484"/>
      <c r="WAN7" s="484"/>
      <c r="WAO7" s="484"/>
      <c r="WAP7" s="484"/>
      <c r="WAQ7" s="484"/>
      <c r="WAR7" s="484"/>
      <c r="WAS7" s="484"/>
      <c r="WAT7" s="484"/>
      <c r="WAU7" s="484"/>
      <c r="WAV7" s="484"/>
      <c r="WAW7" s="484"/>
      <c r="WAX7" s="484"/>
      <c r="WAY7" s="484"/>
      <c r="WAZ7" s="484"/>
      <c r="WBA7" s="484"/>
      <c r="WBB7" s="484"/>
      <c r="WBC7" s="484"/>
      <c r="WBD7" s="484"/>
      <c r="WBE7" s="484"/>
      <c r="WBF7" s="484"/>
      <c r="WBG7" s="484"/>
      <c r="WBH7" s="484"/>
      <c r="WBI7" s="484"/>
      <c r="WBJ7" s="484"/>
      <c r="WBK7" s="484"/>
      <c r="WBL7" s="484"/>
      <c r="WBM7" s="484"/>
      <c r="WBN7" s="484"/>
      <c r="WBO7" s="484"/>
      <c r="WBP7" s="484"/>
      <c r="WBQ7" s="484"/>
      <c r="WBR7" s="484"/>
      <c r="WBS7" s="484"/>
      <c r="WBT7" s="484"/>
      <c r="WBU7" s="484"/>
      <c r="WBV7" s="484"/>
      <c r="WBW7" s="484"/>
      <c r="WBX7" s="484"/>
      <c r="WBY7" s="484"/>
      <c r="WBZ7" s="484"/>
      <c r="WCA7" s="484"/>
      <c r="WCB7" s="484"/>
      <c r="WCC7" s="484"/>
      <c r="WCD7" s="484"/>
      <c r="WCE7" s="484"/>
      <c r="WCF7" s="484"/>
      <c r="WCG7" s="484"/>
      <c r="WCH7" s="484"/>
      <c r="WCI7" s="484"/>
      <c r="WCJ7" s="484"/>
      <c r="WCK7" s="484"/>
      <c r="WCL7" s="484"/>
      <c r="WCM7" s="484"/>
      <c r="WCN7" s="484"/>
      <c r="WCO7" s="484"/>
      <c r="WCP7" s="484"/>
      <c r="WCQ7" s="484"/>
      <c r="WCR7" s="484"/>
      <c r="WCS7" s="484"/>
      <c r="WCT7" s="484"/>
      <c r="WCU7" s="484"/>
      <c r="WCV7" s="484"/>
      <c r="WCW7" s="484"/>
      <c r="WCX7" s="484"/>
      <c r="WCY7" s="484"/>
      <c r="WCZ7" s="484"/>
      <c r="WDA7" s="484"/>
      <c r="WDB7" s="484"/>
      <c r="WDC7" s="484"/>
      <c r="WDD7" s="484"/>
      <c r="WDE7" s="484"/>
      <c r="WDF7" s="484"/>
      <c r="WDG7" s="484"/>
      <c r="WDH7" s="484"/>
      <c r="WDI7" s="484"/>
      <c r="WDJ7" s="484"/>
      <c r="WDK7" s="484"/>
      <c r="WDL7" s="484"/>
      <c r="WDM7" s="484"/>
      <c r="WDN7" s="484"/>
      <c r="WDO7" s="484"/>
      <c r="WDP7" s="484"/>
      <c r="WDQ7" s="484"/>
      <c r="WDR7" s="484"/>
      <c r="WDS7" s="484"/>
      <c r="WDT7" s="484"/>
      <c r="WDU7" s="484"/>
      <c r="WDV7" s="484"/>
      <c r="WDW7" s="484"/>
      <c r="WDX7" s="484"/>
      <c r="WDY7" s="484"/>
      <c r="WDZ7" s="484"/>
      <c r="WEA7" s="484"/>
      <c r="WEB7" s="484"/>
      <c r="WEC7" s="484"/>
      <c r="WED7" s="484"/>
      <c r="WEE7" s="484"/>
      <c r="WEF7" s="484"/>
      <c r="WEG7" s="484"/>
      <c r="WEH7" s="484"/>
      <c r="WEI7" s="484"/>
      <c r="WEJ7" s="484"/>
      <c r="WEK7" s="484"/>
      <c r="WEL7" s="484"/>
      <c r="WEM7" s="484"/>
      <c r="WEN7" s="484"/>
      <c r="WEO7" s="484"/>
      <c r="WEP7" s="484"/>
      <c r="WEQ7" s="484"/>
      <c r="WER7" s="484"/>
      <c r="WES7" s="484"/>
      <c r="WET7" s="484"/>
      <c r="WEU7" s="484"/>
      <c r="WEV7" s="484"/>
      <c r="WEW7" s="484"/>
      <c r="WEX7" s="484"/>
      <c r="WEY7" s="484"/>
      <c r="WEZ7" s="484"/>
      <c r="WFA7" s="484"/>
      <c r="WFB7" s="484"/>
      <c r="WFC7" s="484"/>
      <c r="WFD7" s="484"/>
      <c r="WFE7" s="484"/>
      <c r="WFF7" s="484"/>
      <c r="WFG7" s="484"/>
      <c r="WFH7" s="484"/>
      <c r="WFI7" s="484"/>
      <c r="WFJ7" s="484"/>
      <c r="WFK7" s="484"/>
      <c r="WFL7" s="484"/>
      <c r="WFM7" s="484"/>
      <c r="WFN7" s="484"/>
      <c r="WFO7" s="484"/>
      <c r="WFP7" s="484"/>
      <c r="WFQ7" s="484"/>
      <c r="WFR7" s="484"/>
      <c r="WFS7" s="484"/>
      <c r="WFT7" s="484"/>
      <c r="WFU7" s="484"/>
      <c r="WFV7" s="484"/>
      <c r="WFW7" s="484"/>
      <c r="WFX7" s="484"/>
      <c r="WFY7" s="484"/>
      <c r="WFZ7" s="484"/>
      <c r="WGA7" s="484"/>
      <c r="WGB7" s="484"/>
      <c r="WGC7" s="484"/>
      <c r="WGD7" s="484"/>
      <c r="WGE7" s="484"/>
      <c r="WGF7" s="484"/>
      <c r="WGG7" s="484"/>
      <c r="WGH7" s="484"/>
      <c r="WGI7" s="484"/>
      <c r="WGJ7" s="484"/>
      <c r="WGK7" s="484"/>
      <c r="WGL7" s="484"/>
      <c r="WGM7" s="484"/>
      <c r="WGN7" s="484"/>
      <c r="WGO7" s="484"/>
      <c r="WGP7" s="484"/>
      <c r="WGQ7" s="484"/>
      <c r="WGR7" s="484"/>
      <c r="WGS7" s="484"/>
      <c r="WGT7" s="484"/>
      <c r="WGU7" s="484"/>
      <c r="WGV7" s="484"/>
      <c r="WGW7" s="484"/>
      <c r="WGX7" s="484"/>
      <c r="WGY7" s="484"/>
      <c r="WGZ7" s="484"/>
      <c r="WHA7" s="484"/>
      <c r="WHB7" s="484"/>
      <c r="WHC7" s="484"/>
      <c r="WHD7" s="484"/>
      <c r="WHE7" s="484"/>
      <c r="WHF7" s="484"/>
      <c r="WHG7" s="484"/>
      <c r="WHH7" s="484"/>
      <c r="WHI7" s="484"/>
      <c r="WHJ7" s="484"/>
      <c r="WHK7" s="484"/>
      <c r="WHL7" s="484"/>
      <c r="WHM7" s="484"/>
      <c r="WHN7" s="484"/>
      <c r="WHO7" s="484"/>
      <c r="WHP7" s="484"/>
      <c r="WHQ7" s="484"/>
      <c r="WHR7" s="484"/>
      <c r="WHS7" s="484"/>
      <c r="WHT7" s="484"/>
      <c r="WHU7" s="484"/>
      <c r="WHV7" s="484"/>
      <c r="WHW7" s="484"/>
      <c r="WHX7" s="484"/>
      <c r="WHY7" s="484"/>
      <c r="WHZ7" s="484"/>
      <c r="WIA7" s="484"/>
      <c r="WIB7" s="484"/>
      <c r="WIC7" s="484"/>
      <c r="WID7" s="484"/>
      <c r="WIE7" s="484"/>
      <c r="WIF7" s="484"/>
      <c r="WIG7" s="484"/>
      <c r="WIH7" s="484"/>
      <c r="WII7" s="484"/>
      <c r="WIJ7" s="484"/>
      <c r="WIK7" s="484"/>
      <c r="WIL7" s="484"/>
      <c r="WIM7" s="484"/>
      <c r="WIN7" s="484"/>
      <c r="WIO7" s="484"/>
      <c r="WIP7" s="484"/>
      <c r="WIQ7" s="484"/>
      <c r="WIR7" s="484"/>
      <c r="WIS7" s="484"/>
      <c r="WIT7" s="484"/>
      <c r="WIU7" s="484"/>
      <c r="WIV7" s="484"/>
      <c r="WIW7" s="484"/>
      <c r="WIX7" s="484"/>
      <c r="WIY7" s="484"/>
      <c r="WIZ7" s="484"/>
      <c r="WJA7" s="484"/>
      <c r="WJB7" s="484"/>
      <c r="WJC7" s="484"/>
      <c r="WJD7" s="484"/>
      <c r="WJE7" s="484"/>
      <c r="WJF7" s="484"/>
      <c r="WJG7" s="484"/>
      <c r="WJH7" s="484"/>
      <c r="WJI7" s="484"/>
      <c r="WJJ7" s="484"/>
      <c r="WJK7" s="484"/>
      <c r="WJL7" s="484"/>
      <c r="WJM7" s="484"/>
      <c r="WJN7" s="484"/>
      <c r="WJO7" s="484"/>
      <c r="WJP7" s="484"/>
      <c r="WJQ7" s="484"/>
      <c r="WJR7" s="484"/>
      <c r="WJS7" s="484"/>
      <c r="WJT7" s="484"/>
      <c r="WJU7" s="484"/>
      <c r="WJV7" s="484"/>
      <c r="WJW7" s="484"/>
      <c r="WJX7" s="484"/>
      <c r="WJY7" s="484"/>
      <c r="WJZ7" s="484"/>
      <c r="WKA7" s="484"/>
      <c r="WKB7" s="484"/>
      <c r="WKC7" s="484"/>
      <c r="WKD7" s="484"/>
      <c r="WKE7" s="484"/>
      <c r="WKF7" s="484"/>
      <c r="WKG7" s="484"/>
      <c r="WKH7" s="484"/>
      <c r="WKI7" s="484"/>
      <c r="WKJ7" s="484"/>
      <c r="WKK7" s="484"/>
      <c r="WKL7" s="484"/>
      <c r="WKM7" s="484"/>
      <c r="WKN7" s="484"/>
      <c r="WKO7" s="484"/>
      <c r="WKP7" s="484"/>
      <c r="WKQ7" s="484"/>
      <c r="WKR7" s="484"/>
      <c r="WKS7" s="484"/>
      <c r="WKT7" s="484"/>
      <c r="WKU7" s="484"/>
      <c r="WKV7" s="484"/>
      <c r="WKW7" s="484"/>
      <c r="WKX7" s="484"/>
      <c r="WKY7" s="484"/>
      <c r="WKZ7" s="484"/>
      <c r="WLA7" s="484"/>
      <c r="WLB7" s="484"/>
      <c r="WLC7" s="484"/>
      <c r="WLD7" s="484"/>
      <c r="WLE7" s="484"/>
      <c r="WLF7" s="484"/>
      <c r="WLG7" s="484"/>
      <c r="WLH7" s="484"/>
      <c r="WLI7" s="484"/>
      <c r="WLJ7" s="484"/>
      <c r="WLK7" s="484"/>
      <c r="WLL7" s="484"/>
      <c r="WLM7" s="484"/>
      <c r="WLN7" s="484"/>
      <c r="WLO7" s="484"/>
      <c r="WLP7" s="484"/>
      <c r="WLQ7" s="484"/>
      <c r="WLR7" s="484"/>
      <c r="WLS7" s="484"/>
      <c r="WLT7" s="484"/>
      <c r="WLU7" s="484"/>
      <c r="WLV7" s="484"/>
      <c r="WLW7" s="484"/>
      <c r="WLX7" s="484"/>
      <c r="WLY7" s="484"/>
      <c r="WLZ7" s="484"/>
      <c r="WMA7" s="484"/>
      <c r="WMB7" s="484"/>
      <c r="WMC7" s="484"/>
      <c r="WMD7" s="484"/>
      <c r="WME7" s="484"/>
      <c r="WMF7" s="484"/>
      <c r="WMG7" s="484"/>
      <c r="WMH7" s="484"/>
      <c r="WMI7" s="484"/>
      <c r="WMJ7" s="484"/>
      <c r="WMK7" s="484"/>
      <c r="WML7" s="484"/>
      <c r="WMM7" s="484"/>
      <c r="WMN7" s="484"/>
      <c r="WMO7" s="484"/>
      <c r="WMP7" s="484"/>
      <c r="WMQ7" s="484"/>
      <c r="WMR7" s="484"/>
      <c r="WMS7" s="484"/>
      <c r="WMT7" s="484"/>
      <c r="WMU7" s="484"/>
      <c r="WMV7" s="484"/>
      <c r="WMW7" s="484"/>
      <c r="WMX7" s="484"/>
      <c r="WMY7" s="484"/>
      <c r="WMZ7" s="484"/>
      <c r="WNA7" s="484"/>
      <c r="WNB7" s="484"/>
      <c r="WNC7" s="484"/>
      <c r="WND7" s="484"/>
      <c r="WNE7" s="484"/>
      <c r="WNF7" s="484"/>
      <c r="WNG7" s="484"/>
      <c r="WNH7" s="484"/>
      <c r="WNI7" s="484"/>
      <c r="WNJ7" s="484"/>
      <c r="WNK7" s="484"/>
      <c r="WNL7" s="484"/>
      <c r="WNM7" s="484"/>
      <c r="WNN7" s="484"/>
      <c r="WNO7" s="484"/>
      <c r="WNP7" s="484"/>
      <c r="WNQ7" s="484"/>
      <c r="WNR7" s="484"/>
      <c r="WNS7" s="484"/>
      <c r="WNT7" s="484"/>
      <c r="WNU7" s="484"/>
      <c r="WNV7" s="484"/>
      <c r="WNW7" s="484"/>
      <c r="WNX7" s="484"/>
      <c r="WNY7" s="484"/>
      <c r="WNZ7" s="484"/>
      <c r="WOA7" s="484"/>
      <c r="WOB7" s="484"/>
      <c r="WOC7" s="484"/>
      <c r="WOD7" s="484"/>
      <c r="WOE7" s="484"/>
      <c r="WOF7" s="484"/>
      <c r="WOG7" s="484"/>
      <c r="WOH7" s="484"/>
      <c r="WOI7" s="484"/>
      <c r="WOJ7" s="484"/>
      <c r="WOK7" s="484"/>
      <c r="WOL7" s="484"/>
      <c r="WOM7" s="484"/>
      <c r="WON7" s="484"/>
      <c r="WOO7" s="484"/>
      <c r="WOP7" s="484"/>
      <c r="WOQ7" s="484"/>
      <c r="WOR7" s="484"/>
      <c r="WOS7" s="484"/>
      <c r="WOT7" s="484"/>
      <c r="WOU7" s="484"/>
      <c r="WOV7" s="484"/>
      <c r="WOW7" s="484"/>
      <c r="WOX7" s="484"/>
      <c r="WOY7" s="484"/>
      <c r="WOZ7" s="484"/>
      <c r="WPA7" s="484"/>
      <c r="WPB7" s="484"/>
      <c r="WPC7" s="484"/>
      <c r="WPD7" s="484"/>
      <c r="WPE7" s="484"/>
      <c r="WPF7" s="484"/>
      <c r="WPG7" s="484"/>
      <c r="WPH7" s="484"/>
      <c r="WPI7" s="484"/>
      <c r="WPJ7" s="484"/>
      <c r="WPK7" s="484"/>
      <c r="WPL7" s="484"/>
      <c r="WPM7" s="484"/>
      <c r="WPN7" s="484"/>
      <c r="WPO7" s="484"/>
      <c r="WPP7" s="484"/>
      <c r="WPQ7" s="484"/>
      <c r="WPR7" s="484"/>
      <c r="WPS7" s="484"/>
      <c r="WPT7" s="484"/>
      <c r="WPU7" s="484"/>
      <c r="WPV7" s="484"/>
      <c r="WPW7" s="484"/>
      <c r="WPX7" s="484"/>
      <c r="WPY7" s="484"/>
      <c r="WPZ7" s="484"/>
      <c r="WQA7" s="484"/>
      <c r="WQB7" s="484"/>
      <c r="WQC7" s="484"/>
      <c r="WQD7" s="484"/>
      <c r="WQE7" s="484"/>
      <c r="WQF7" s="484"/>
      <c r="WQG7" s="484"/>
      <c r="WQH7" s="484"/>
      <c r="WQI7" s="484"/>
      <c r="WQJ7" s="484"/>
      <c r="WQK7" s="484"/>
      <c r="WQL7" s="484"/>
      <c r="WQM7" s="484"/>
      <c r="WQN7" s="484"/>
      <c r="WQO7" s="484"/>
      <c r="WQP7" s="484"/>
      <c r="WQQ7" s="484"/>
      <c r="WQR7" s="484"/>
      <c r="WQS7" s="484"/>
      <c r="WQT7" s="484"/>
      <c r="WQU7" s="484"/>
      <c r="WQV7" s="484"/>
      <c r="WQW7" s="484"/>
      <c r="WQX7" s="484"/>
      <c r="WQY7" s="484"/>
      <c r="WQZ7" s="484"/>
      <c r="WRA7" s="484"/>
      <c r="WRB7" s="484"/>
      <c r="WRC7" s="484"/>
      <c r="WRD7" s="484"/>
      <c r="WRE7" s="484"/>
      <c r="WRF7" s="484"/>
      <c r="WRG7" s="484"/>
      <c r="WRH7" s="484"/>
      <c r="WRI7" s="484"/>
      <c r="WRJ7" s="484"/>
      <c r="WRK7" s="484"/>
      <c r="WRL7" s="484"/>
      <c r="WRM7" s="484"/>
      <c r="WRN7" s="484"/>
      <c r="WRO7" s="484"/>
      <c r="WRP7" s="484"/>
      <c r="WRQ7" s="484"/>
      <c r="WRR7" s="484"/>
      <c r="WRS7" s="484"/>
      <c r="WRT7" s="484"/>
      <c r="WRU7" s="484"/>
      <c r="WRV7" s="484"/>
      <c r="WRW7" s="484"/>
      <c r="WRX7" s="484"/>
      <c r="WRY7" s="484"/>
      <c r="WRZ7" s="484"/>
      <c r="WSA7" s="484"/>
      <c r="WSB7" s="484"/>
      <c r="WSC7" s="484"/>
      <c r="WSD7" s="484"/>
      <c r="WSE7" s="484"/>
      <c r="WSF7" s="484"/>
      <c r="WSG7" s="484"/>
      <c r="WSH7" s="484"/>
      <c r="WSI7" s="484"/>
      <c r="WSJ7" s="484"/>
      <c r="WSK7" s="484"/>
      <c r="WSL7" s="484"/>
      <c r="WSM7" s="484"/>
      <c r="WSN7" s="484"/>
      <c r="WSO7" s="484"/>
      <c r="WSP7" s="484"/>
      <c r="WSQ7" s="484"/>
      <c r="WSR7" s="484"/>
      <c r="WSS7" s="484"/>
      <c r="WST7" s="484"/>
      <c r="WSU7" s="484"/>
      <c r="WSV7" s="484"/>
      <c r="WSW7" s="484"/>
      <c r="WSX7" s="484"/>
      <c r="WSY7" s="484"/>
      <c r="WSZ7" s="484"/>
      <c r="WTA7" s="484"/>
      <c r="WTB7" s="484"/>
      <c r="WTC7" s="484"/>
      <c r="WTD7" s="484"/>
      <c r="WTE7" s="484"/>
      <c r="WTF7" s="484"/>
      <c r="WTG7" s="484"/>
      <c r="WTH7" s="484"/>
      <c r="WTI7" s="484"/>
      <c r="WTJ7" s="484"/>
      <c r="WTK7" s="484"/>
      <c r="WTL7" s="484"/>
      <c r="WTM7" s="484"/>
      <c r="WTN7" s="484"/>
      <c r="WTO7" s="484"/>
      <c r="WTP7" s="484"/>
      <c r="WTQ7" s="484"/>
      <c r="WTR7" s="484"/>
      <c r="WTS7" s="484"/>
      <c r="WTT7" s="484"/>
      <c r="WTU7" s="484"/>
      <c r="WTV7" s="484"/>
      <c r="WTW7" s="484"/>
      <c r="WTX7" s="484"/>
      <c r="WTY7" s="484"/>
      <c r="WTZ7" s="484"/>
      <c r="WUA7" s="484"/>
      <c r="WUB7" s="484"/>
      <c r="WUC7" s="484"/>
      <c r="WUD7" s="484"/>
      <c r="WUE7" s="484"/>
      <c r="WUF7" s="484"/>
      <c r="WUG7" s="484"/>
      <c r="WUH7" s="484"/>
      <c r="WUI7" s="484"/>
      <c r="WUJ7" s="484"/>
      <c r="WUK7" s="484"/>
      <c r="WUL7" s="484"/>
      <c r="WUM7" s="484"/>
      <c r="WUN7" s="484"/>
      <c r="WUO7" s="484"/>
      <c r="WUP7" s="484"/>
      <c r="WUQ7" s="484"/>
      <c r="WUR7" s="484"/>
      <c r="WUS7" s="484"/>
      <c r="WUT7" s="484"/>
      <c r="WUU7" s="484"/>
      <c r="WUV7" s="484"/>
      <c r="WUW7" s="484"/>
      <c r="WUX7" s="484"/>
      <c r="WUY7" s="484"/>
      <c r="WUZ7" s="484"/>
      <c r="WVA7" s="484"/>
      <c r="WVB7" s="484"/>
      <c r="WVC7" s="484"/>
      <c r="WVD7" s="484"/>
      <c r="WVE7" s="484"/>
      <c r="WVF7" s="484"/>
      <c r="WVG7" s="484"/>
      <c r="WVH7" s="484"/>
      <c r="WVI7" s="484"/>
      <c r="WVJ7" s="484"/>
      <c r="WVK7" s="484"/>
      <c r="WVL7" s="484"/>
      <c r="WVM7" s="484"/>
      <c r="WVN7" s="484"/>
      <c r="WVO7" s="484"/>
      <c r="WVP7" s="484"/>
      <c r="WVQ7" s="484"/>
      <c r="WVR7" s="484"/>
      <c r="WVS7" s="484"/>
      <c r="WVT7" s="484"/>
      <c r="WVU7" s="484"/>
      <c r="WVV7" s="484"/>
      <c r="WVW7" s="484"/>
      <c r="WVX7" s="484"/>
      <c r="WVY7" s="484"/>
      <c r="WVZ7" s="484"/>
      <c r="WWA7" s="484"/>
      <c r="WWB7" s="484"/>
      <c r="WWC7" s="484"/>
      <c r="WWD7" s="484"/>
      <c r="WWE7" s="484"/>
      <c r="WWF7" s="484"/>
      <c r="WWG7" s="484"/>
      <c r="WWH7" s="484"/>
      <c r="WWI7" s="484"/>
      <c r="WWJ7" s="484"/>
      <c r="WWK7" s="484"/>
      <c r="WWL7" s="484"/>
      <c r="WWM7" s="484"/>
      <c r="WWN7" s="484"/>
      <c r="WWO7" s="484"/>
      <c r="WWP7" s="484"/>
      <c r="WWQ7" s="484"/>
      <c r="WWR7" s="484"/>
      <c r="WWS7" s="484"/>
      <c r="WWT7" s="484"/>
      <c r="WWU7" s="484"/>
      <c r="WWV7" s="484"/>
      <c r="WWW7" s="484"/>
      <c r="WWX7" s="484"/>
      <c r="WWY7" s="484"/>
      <c r="WWZ7" s="484"/>
      <c r="WXA7" s="484"/>
      <c r="WXB7" s="484"/>
      <c r="WXC7" s="484"/>
      <c r="WXD7" s="484"/>
      <c r="WXE7" s="484"/>
      <c r="WXF7" s="484"/>
      <c r="WXG7" s="484"/>
      <c r="WXH7" s="484"/>
      <c r="WXI7" s="484"/>
      <c r="WXJ7" s="484"/>
      <c r="WXK7" s="484"/>
      <c r="WXL7" s="484"/>
      <c r="WXM7" s="484"/>
      <c r="WXN7" s="484"/>
      <c r="WXO7" s="484"/>
      <c r="WXP7" s="484"/>
      <c r="WXQ7" s="484"/>
      <c r="WXR7" s="484"/>
      <c r="WXS7" s="484"/>
      <c r="WXT7" s="484"/>
      <c r="WXU7" s="484"/>
      <c r="WXV7" s="484"/>
      <c r="WXW7" s="484"/>
      <c r="WXX7" s="484"/>
      <c r="WXY7" s="484"/>
      <c r="WXZ7" s="484"/>
      <c r="WYA7" s="484"/>
      <c r="WYB7" s="484"/>
      <c r="WYC7" s="484"/>
      <c r="WYD7" s="484"/>
      <c r="WYE7" s="484"/>
      <c r="WYF7" s="484"/>
      <c r="WYG7" s="484"/>
      <c r="WYH7" s="484"/>
      <c r="WYI7" s="484"/>
      <c r="WYJ7" s="484"/>
      <c r="WYK7" s="484"/>
      <c r="WYL7" s="484"/>
      <c r="WYM7" s="484"/>
      <c r="WYN7" s="484"/>
      <c r="WYO7" s="484"/>
      <c r="WYP7" s="484"/>
      <c r="WYQ7" s="484"/>
      <c r="WYR7" s="484"/>
      <c r="WYS7" s="484"/>
      <c r="WYT7" s="484"/>
      <c r="WYU7" s="484"/>
      <c r="WYV7" s="484"/>
      <c r="WYW7" s="484"/>
      <c r="WYX7" s="484"/>
      <c r="WYY7" s="484"/>
      <c r="WYZ7" s="484"/>
      <c r="WZA7" s="484"/>
      <c r="WZB7" s="484"/>
      <c r="WZC7" s="484"/>
      <c r="WZD7" s="484"/>
      <c r="WZE7" s="484"/>
      <c r="WZF7" s="484"/>
      <c r="WZG7" s="484"/>
      <c r="WZH7" s="484"/>
      <c r="WZI7" s="484"/>
      <c r="WZJ7" s="484"/>
      <c r="WZK7" s="484"/>
      <c r="WZL7" s="484"/>
      <c r="WZM7" s="484"/>
      <c r="WZN7" s="484"/>
      <c r="WZO7" s="484"/>
      <c r="WZP7" s="484"/>
      <c r="WZQ7" s="484"/>
      <c r="WZR7" s="484"/>
      <c r="WZS7" s="484"/>
      <c r="WZT7" s="484"/>
      <c r="WZU7" s="484"/>
      <c r="WZV7" s="484"/>
      <c r="WZW7" s="484"/>
      <c r="WZX7" s="484"/>
      <c r="WZY7" s="484"/>
      <c r="WZZ7" s="484"/>
      <c r="XAA7" s="484"/>
      <c r="XAB7" s="484"/>
      <c r="XAC7" s="484"/>
      <c r="XAD7" s="484"/>
      <c r="XAE7" s="484"/>
      <c r="XAF7" s="484"/>
      <c r="XAG7" s="484"/>
      <c r="XAH7" s="484"/>
      <c r="XAI7" s="484"/>
      <c r="XAJ7" s="484"/>
      <c r="XAK7" s="484"/>
      <c r="XAL7" s="484"/>
      <c r="XAM7" s="484"/>
      <c r="XAN7" s="484"/>
      <c r="XAO7" s="484"/>
      <c r="XAP7" s="484"/>
      <c r="XAQ7" s="484"/>
      <c r="XAR7" s="484"/>
      <c r="XAS7" s="484"/>
      <c r="XAT7" s="484"/>
      <c r="XAU7" s="484"/>
      <c r="XAV7" s="484"/>
      <c r="XAW7" s="484"/>
      <c r="XAX7" s="484"/>
      <c r="XAY7" s="484"/>
      <c r="XAZ7" s="484"/>
      <c r="XBA7" s="484"/>
      <c r="XBB7" s="484"/>
      <c r="XBC7" s="484"/>
      <c r="XBD7" s="484"/>
      <c r="XBE7" s="484"/>
      <c r="XBF7" s="484"/>
      <c r="XBG7" s="484"/>
      <c r="XBH7" s="484"/>
      <c r="XBI7" s="484"/>
      <c r="XBJ7" s="484"/>
      <c r="XBK7" s="484"/>
      <c r="XBL7" s="484"/>
      <c r="XBM7" s="484"/>
      <c r="XBN7" s="484"/>
      <c r="XBO7" s="484"/>
      <c r="XBP7" s="484"/>
      <c r="XBQ7" s="484"/>
      <c r="XBR7" s="484"/>
      <c r="XBS7" s="484"/>
      <c r="XBT7" s="484"/>
      <c r="XBU7" s="484"/>
      <c r="XBV7" s="484"/>
      <c r="XBW7" s="484"/>
      <c r="XBX7" s="484"/>
      <c r="XBY7" s="484"/>
      <c r="XBZ7" s="484"/>
      <c r="XCA7" s="484"/>
      <c r="XCB7" s="484"/>
      <c r="XCC7" s="484"/>
      <c r="XCD7" s="484"/>
      <c r="XCE7" s="484"/>
      <c r="XCF7" s="484"/>
      <c r="XCG7" s="484"/>
      <c r="XCH7" s="484"/>
      <c r="XCI7" s="484"/>
      <c r="XCJ7" s="484"/>
      <c r="XCK7" s="484"/>
      <c r="XCL7" s="484"/>
      <c r="XCM7" s="484"/>
      <c r="XCN7" s="484"/>
      <c r="XCO7" s="484"/>
      <c r="XCP7" s="484"/>
      <c r="XCQ7" s="484"/>
      <c r="XCR7" s="484"/>
      <c r="XCS7" s="484"/>
      <c r="XCT7" s="484"/>
      <c r="XCU7" s="484"/>
      <c r="XCV7" s="484"/>
      <c r="XCW7" s="484"/>
      <c r="XCX7" s="484"/>
      <c r="XCY7" s="484"/>
      <c r="XCZ7" s="484"/>
      <c r="XDA7" s="484"/>
      <c r="XDB7" s="484"/>
      <c r="XDC7" s="484"/>
      <c r="XDD7" s="484"/>
      <c r="XDE7" s="484"/>
      <c r="XDF7" s="484"/>
      <c r="XDG7" s="484"/>
      <c r="XDH7" s="484"/>
      <c r="XDI7" s="484"/>
      <c r="XDJ7" s="484"/>
      <c r="XDK7" s="484"/>
      <c r="XDL7" s="484"/>
      <c r="XDM7" s="484"/>
      <c r="XDN7" s="484"/>
      <c r="XDO7" s="484"/>
      <c r="XDP7" s="484"/>
      <c r="XDQ7" s="484"/>
      <c r="XDR7" s="484"/>
      <c r="XDS7" s="484"/>
      <c r="XDT7" s="484"/>
      <c r="XDU7" s="484"/>
      <c r="XDV7" s="484"/>
      <c r="XDW7" s="484"/>
      <c r="XDX7" s="484"/>
      <c r="XDY7" s="484"/>
      <c r="XDZ7" s="484"/>
      <c r="XEA7" s="484"/>
      <c r="XEB7" s="484"/>
      <c r="XEC7" s="484"/>
      <c r="XED7" s="484"/>
      <c r="XEE7" s="484"/>
      <c r="XEF7" s="484"/>
      <c r="XEG7" s="484"/>
      <c r="XEH7" s="484"/>
      <c r="XEI7" s="484"/>
      <c r="XEJ7" s="484"/>
      <c r="XEK7" s="484"/>
      <c r="XEL7" s="484"/>
      <c r="XEM7" s="484"/>
      <c r="XEN7" s="484"/>
      <c r="XEO7" s="484"/>
      <c r="XEP7" s="484"/>
      <c r="XEQ7" s="484"/>
      <c r="XER7" s="484"/>
      <c r="XES7" s="484"/>
      <c r="XET7" s="484"/>
      <c r="XEU7" s="484"/>
      <c r="XEV7" s="484"/>
      <c r="XEW7" s="484"/>
      <c r="XEX7" s="484"/>
      <c r="XEY7" s="484"/>
      <c r="XEZ7" s="484"/>
      <c r="XFA7" s="484"/>
      <c r="XFB7" s="484"/>
      <c r="XFC7" s="484"/>
      <c r="XFD7" s="4"/>
    </row>
    <row r="8" spans="1:16384" x14ac:dyDescent="0.25">
      <c r="A8" s="485"/>
      <c r="B8" s="485"/>
      <c r="C8" s="485"/>
      <c r="D8" s="484"/>
      <c r="E8" s="484"/>
      <c r="F8" s="484"/>
      <c r="G8" s="484"/>
      <c r="H8" s="484"/>
      <c r="I8" s="484"/>
      <c r="J8" s="484"/>
      <c r="K8" s="484"/>
      <c r="L8" s="484"/>
      <c r="M8" s="484"/>
      <c r="N8" s="484"/>
      <c r="O8" s="484"/>
      <c r="P8" s="484"/>
      <c r="Q8" s="484"/>
      <c r="R8" s="484"/>
      <c r="S8" s="484"/>
      <c r="T8" s="484"/>
      <c r="U8" s="484"/>
      <c r="V8" s="484"/>
      <c r="W8" s="484"/>
      <c r="X8" s="484"/>
      <c r="Y8" s="484"/>
      <c r="Z8" s="484"/>
      <c r="AA8" s="484"/>
      <c r="AB8" s="484"/>
      <c r="AC8" s="484"/>
      <c r="AD8" s="484"/>
      <c r="AE8" s="484"/>
      <c r="AF8" s="484"/>
      <c r="AG8" s="484"/>
      <c r="AH8" s="484"/>
      <c r="AI8" s="484"/>
      <c r="AJ8" s="484"/>
      <c r="AK8" s="484"/>
      <c r="AL8" s="484"/>
      <c r="AM8" s="484"/>
      <c r="AN8" s="484"/>
      <c r="AO8" s="484"/>
      <c r="AP8" s="484"/>
      <c r="AQ8" s="484"/>
      <c r="AR8" s="484"/>
      <c r="AS8" s="484"/>
      <c r="AT8" s="484"/>
      <c r="AU8" s="484"/>
      <c r="AV8" s="484"/>
      <c r="AW8" s="484"/>
      <c r="AX8" s="484"/>
      <c r="AY8" s="484"/>
      <c r="AZ8" s="484"/>
      <c r="BA8" s="484"/>
      <c r="BB8" s="484"/>
      <c r="BC8" s="484"/>
      <c r="BD8" s="484"/>
      <c r="BE8" s="484"/>
      <c r="BF8" s="484"/>
      <c r="BG8" s="484"/>
      <c r="BH8" s="484"/>
      <c r="BI8" s="484"/>
      <c r="BJ8" s="484"/>
      <c r="BK8" s="484"/>
      <c r="BL8" s="484"/>
      <c r="BM8" s="484"/>
      <c r="BN8" s="484"/>
      <c r="BO8" s="484"/>
      <c r="BP8" s="484"/>
      <c r="BQ8" s="484"/>
      <c r="BR8" s="484"/>
      <c r="BS8" s="484"/>
      <c r="BT8" s="484"/>
      <c r="BU8" s="484"/>
      <c r="BV8" s="484"/>
      <c r="BW8" s="484"/>
      <c r="BX8" s="484"/>
      <c r="BY8" s="484"/>
      <c r="BZ8" s="484"/>
      <c r="CA8" s="484"/>
      <c r="CB8" s="484"/>
      <c r="CC8" s="484"/>
      <c r="CD8" s="484"/>
      <c r="CE8" s="484"/>
      <c r="CF8" s="484"/>
      <c r="CG8" s="484"/>
      <c r="CH8" s="484"/>
      <c r="CI8" s="484"/>
      <c r="CJ8" s="484"/>
      <c r="CK8" s="484"/>
      <c r="CL8" s="484"/>
      <c r="CM8" s="484"/>
      <c r="CN8" s="484"/>
      <c r="CO8" s="484"/>
      <c r="CP8" s="484"/>
      <c r="CQ8" s="484"/>
      <c r="CR8" s="484"/>
      <c r="CS8" s="484"/>
      <c r="CT8" s="484"/>
      <c r="CU8" s="484"/>
      <c r="CV8" s="484"/>
      <c r="CW8" s="484"/>
      <c r="CX8" s="484"/>
      <c r="CY8" s="484"/>
      <c r="CZ8" s="484"/>
      <c r="DA8" s="484"/>
      <c r="DB8" s="484"/>
      <c r="DC8" s="484"/>
      <c r="DD8" s="484"/>
      <c r="DE8" s="484"/>
      <c r="DF8" s="484"/>
      <c r="DG8" s="484"/>
      <c r="DH8" s="484"/>
      <c r="DI8" s="484"/>
      <c r="DJ8" s="484"/>
      <c r="DK8" s="484"/>
      <c r="DL8" s="484"/>
      <c r="DM8" s="484"/>
      <c r="DN8" s="484"/>
      <c r="DO8" s="484"/>
      <c r="DP8" s="484"/>
      <c r="DQ8" s="484"/>
      <c r="DR8" s="484"/>
      <c r="DS8" s="484"/>
      <c r="DT8" s="484"/>
      <c r="DU8" s="484"/>
      <c r="DV8" s="484"/>
      <c r="DW8" s="484"/>
      <c r="DX8" s="484"/>
      <c r="DY8" s="484"/>
      <c r="DZ8" s="484"/>
      <c r="EA8" s="484"/>
      <c r="EB8" s="484"/>
      <c r="EC8" s="484"/>
      <c r="ED8" s="484"/>
      <c r="EE8" s="484"/>
      <c r="EF8" s="484"/>
      <c r="EG8" s="484"/>
      <c r="EH8" s="484"/>
      <c r="EI8" s="484"/>
      <c r="EJ8" s="484"/>
      <c r="EK8" s="484"/>
      <c r="EL8" s="484"/>
      <c r="EM8" s="484"/>
      <c r="EN8" s="484"/>
      <c r="EO8" s="484"/>
      <c r="EP8" s="484"/>
      <c r="EQ8" s="484"/>
      <c r="ER8" s="484"/>
      <c r="ES8" s="484"/>
      <c r="ET8" s="484"/>
      <c r="EU8" s="484"/>
      <c r="EV8" s="484"/>
      <c r="EW8" s="484"/>
      <c r="EX8" s="484"/>
      <c r="EY8" s="484"/>
      <c r="EZ8" s="484"/>
      <c r="FA8" s="484"/>
      <c r="FB8" s="484"/>
      <c r="FC8" s="484"/>
      <c r="FD8" s="484"/>
      <c r="FE8" s="484"/>
      <c r="FF8" s="484"/>
      <c r="FG8" s="484"/>
      <c r="FH8" s="484"/>
      <c r="FI8" s="484"/>
      <c r="FJ8" s="484"/>
      <c r="FK8" s="484"/>
      <c r="FL8" s="484"/>
      <c r="FM8" s="484"/>
      <c r="FN8" s="484"/>
      <c r="FO8" s="484"/>
      <c r="FP8" s="484"/>
      <c r="FQ8" s="484"/>
      <c r="FR8" s="484"/>
      <c r="FS8" s="484"/>
      <c r="FT8" s="484"/>
      <c r="FU8" s="484"/>
      <c r="FV8" s="484"/>
      <c r="FW8" s="484"/>
      <c r="FX8" s="484"/>
      <c r="FY8" s="484"/>
      <c r="FZ8" s="484"/>
      <c r="GA8" s="484"/>
      <c r="GB8" s="484"/>
      <c r="GC8" s="484"/>
      <c r="GD8" s="484"/>
      <c r="GE8" s="484"/>
      <c r="GF8" s="484"/>
      <c r="GG8" s="484"/>
      <c r="GH8" s="484"/>
      <c r="GI8" s="484"/>
      <c r="GJ8" s="484"/>
      <c r="GK8" s="484"/>
      <c r="GL8" s="484"/>
      <c r="GM8" s="484"/>
      <c r="GN8" s="484"/>
      <c r="GO8" s="484"/>
      <c r="GP8" s="484"/>
      <c r="GQ8" s="484"/>
      <c r="GR8" s="484"/>
      <c r="GS8" s="484"/>
      <c r="GT8" s="484"/>
      <c r="GU8" s="484"/>
      <c r="GV8" s="484"/>
      <c r="GW8" s="484"/>
      <c r="GX8" s="484"/>
      <c r="GY8" s="484"/>
      <c r="GZ8" s="484"/>
      <c r="HA8" s="484"/>
      <c r="HB8" s="484"/>
      <c r="HC8" s="484"/>
      <c r="HD8" s="484"/>
      <c r="HE8" s="484"/>
      <c r="HF8" s="484"/>
      <c r="HG8" s="484"/>
      <c r="HH8" s="484"/>
      <c r="HI8" s="484"/>
      <c r="HJ8" s="484"/>
      <c r="HK8" s="484"/>
      <c r="HL8" s="484"/>
      <c r="HM8" s="484"/>
      <c r="HN8" s="484"/>
      <c r="HO8" s="484"/>
      <c r="HP8" s="484"/>
      <c r="HQ8" s="484"/>
      <c r="HR8" s="484"/>
      <c r="HS8" s="484"/>
      <c r="HT8" s="484"/>
      <c r="HU8" s="484"/>
      <c r="HV8" s="484"/>
      <c r="HW8" s="484"/>
      <c r="HX8" s="484"/>
      <c r="HY8" s="484"/>
      <c r="HZ8" s="484"/>
      <c r="IA8" s="484"/>
      <c r="IB8" s="484"/>
      <c r="IC8" s="484"/>
      <c r="ID8" s="484"/>
      <c r="IE8" s="484"/>
      <c r="IF8" s="484"/>
      <c r="IG8" s="484"/>
      <c r="IH8" s="484"/>
      <c r="II8" s="484"/>
      <c r="IJ8" s="484"/>
      <c r="IK8" s="484"/>
      <c r="IL8" s="484"/>
      <c r="IM8" s="484"/>
      <c r="IN8" s="484"/>
      <c r="IO8" s="484"/>
      <c r="IP8" s="484"/>
      <c r="IQ8" s="484"/>
      <c r="IR8" s="484"/>
      <c r="IS8" s="484"/>
      <c r="IT8" s="484"/>
      <c r="IU8" s="484"/>
      <c r="IV8" s="484"/>
      <c r="IW8" s="484"/>
      <c r="IX8" s="484"/>
      <c r="IY8" s="484"/>
      <c r="IZ8" s="484"/>
      <c r="JA8" s="484"/>
      <c r="JB8" s="484"/>
      <c r="JC8" s="484"/>
      <c r="JD8" s="484"/>
      <c r="JE8" s="484"/>
      <c r="JF8" s="484"/>
      <c r="JG8" s="484"/>
      <c r="JH8" s="484"/>
      <c r="JI8" s="484"/>
      <c r="JJ8" s="484"/>
      <c r="JK8" s="484"/>
      <c r="JL8" s="484"/>
      <c r="JM8" s="484"/>
      <c r="JN8" s="484"/>
      <c r="JO8" s="484"/>
      <c r="JP8" s="484"/>
      <c r="JQ8" s="484"/>
      <c r="JR8" s="484"/>
      <c r="JS8" s="484"/>
      <c r="JT8" s="484"/>
      <c r="JU8" s="484"/>
      <c r="JV8" s="484"/>
      <c r="JW8" s="484"/>
      <c r="JX8" s="484"/>
      <c r="JY8" s="484"/>
      <c r="JZ8" s="484"/>
      <c r="KA8" s="484"/>
      <c r="KB8" s="484"/>
      <c r="KC8" s="484"/>
      <c r="KD8" s="484"/>
      <c r="KE8" s="484"/>
      <c r="KF8" s="484"/>
      <c r="KG8" s="484"/>
      <c r="KH8" s="484"/>
      <c r="KI8" s="484"/>
      <c r="KJ8" s="484"/>
      <c r="KK8" s="484"/>
      <c r="KL8" s="484"/>
      <c r="KM8" s="484"/>
      <c r="KN8" s="484"/>
      <c r="KO8" s="484"/>
      <c r="KP8" s="484"/>
      <c r="KQ8" s="484"/>
      <c r="KR8" s="484"/>
      <c r="KS8" s="484"/>
      <c r="KT8" s="484"/>
      <c r="KU8" s="484"/>
      <c r="KV8" s="484"/>
      <c r="KW8" s="484"/>
      <c r="KX8" s="484"/>
      <c r="KY8" s="484"/>
      <c r="KZ8" s="484"/>
      <c r="LA8" s="484"/>
      <c r="LB8" s="484"/>
      <c r="LC8" s="484"/>
      <c r="LD8" s="484"/>
      <c r="LE8" s="484"/>
      <c r="LF8" s="484"/>
      <c r="LG8" s="484"/>
      <c r="LH8" s="484"/>
      <c r="LI8" s="484"/>
      <c r="LJ8" s="484"/>
      <c r="LK8" s="484"/>
      <c r="LL8" s="484"/>
      <c r="LM8" s="484"/>
      <c r="LN8" s="484"/>
      <c r="LO8" s="484"/>
      <c r="LP8" s="484"/>
      <c r="LQ8" s="484"/>
      <c r="LR8" s="484"/>
      <c r="LS8" s="484"/>
      <c r="LT8" s="484"/>
      <c r="LU8" s="484"/>
      <c r="LV8" s="484"/>
      <c r="LW8" s="484"/>
      <c r="LX8" s="484"/>
      <c r="LY8" s="484"/>
      <c r="LZ8" s="484"/>
      <c r="MA8" s="484"/>
      <c r="MB8" s="484"/>
      <c r="MC8" s="484"/>
      <c r="MD8" s="484"/>
      <c r="ME8" s="484"/>
      <c r="MF8" s="484"/>
      <c r="MG8" s="484"/>
      <c r="MH8" s="484"/>
      <c r="MI8" s="484"/>
      <c r="MJ8" s="484"/>
      <c r="MK8" s="484"/>
      <c r="ML8" s="484"/>
      <c r="MM8" s="484"/>
      <c r="MN8" s="484"/>
      <c r="MO8" s="484"/>
      <c r="MP8" s="484"/>
      <c r="MQ8" s="484"/>
      <c r="MR8" s="484"/>
      <c r="MS8" s="484"/>
      <c r="MT8" s="484"/>
      <c r="MU8" s="484"/>
      <c r="MV8" s="484"/>
      <c r="MW8" s="484"/>
      <c r="MX8" s="484"/>
      <c r="MY8" s="484"/>
      <c r="MZ8" s="484"/>
      <c r="NA8" s="484"/>
      <c r="NB8" s="484"/>
      <c r="NC8" s="484"/>
      <c r="ND8" s="484"/>
      <c r="NE8" s="484"/>
      <c r="NF8" s="484"/>
      <c r="NG8" s="484"/>
      <c r="NH8" s="484"/>
      <c r="NI8" s="484"/>
      <c r="NJ8" s="484"/>
      <c r="NK8" s="484"/>
      <c r="NL8" s="484"/>
      <c r="NM8" s="484"/>
      <c r="NN8" s="484"/>
      <c r="NO8" s="484"/>
      <c r="NP8" s="484"/>
      <c r="NQ8" s="484"/>
      <c r="NR8" s="484"/>
      <c r="NS8" s="484"/>
      <c r="NT8" s="484"/>
      <c r="NU8" s="484"/>
      <c r="NV8" s="484"/>
      <c r="NW8" s="484"/>
      <c r="NX8" s="484"/>
      <c r="NY8" s="484"/>
      <c r="NZ8" s="484"/>
      <c r="OA8" s="484"/>
      <c r="OB8" s="484"/>
      <c r="OC8" s="484"/>
      <c r="OD8" s="484"/>
      <c r="OE8" s="484"/>
      <c r="OF8" s="484"/>
      <c r="OG8" s="484"/>
      <c r="OH8" s="484"/>
      <c r="OI8" s="484"/>
      <c r="OJ8" s="484"/>
      <c r="OK8" s="484"/>
      <c r="OL8" s="484"/>
      <c r="OM8" s="484"/>
      <c r="ON8" s="484"/>
      <c r="OO8" s="484"/>
      <c r="OP8" s="484"/>
      <c r="OQ8" s="484"/>
      <c r="OR8" s="484"/>
      <c r="OS8" s="484"/>
      <c r="OT8" s="484"/>
      <c r="OU8" s="484"/>
      <c r="OV8" s="484"/>
      <c r="OW8" s="484"/>
      <c r="OX8" s="484"/>
      <c r="OY8" s="484"/>
      <c r="OZ8" s="484"/>
      <c r="PA8" s="484"/>
      <c r="PB8" s="484"/>
      <c r="PC8" s="484"/>
      <c r="PD8" s="484"/>
      <c r="PE8" s="484"/>
      <c r="PF8" s="484"/>
      <c r="PG8" s="484"/>
      <c r="PH8" s="484"/>
      <c r="PI8" s="484"/>
      <c r="PJ8" s="484"/>
      <c r="PK8" s="484"/>
      <c r="PL8" s="484"/>
      <c r="PM8" s="484"/>
      <c r="PN8" s="484"/>
      <c r="PO8" s="484"/>
      <c r="PP8" s="484"/>
      <c r="PQ8" s="484"/>
      <c r="PR8" s="484"/>
      <c r="PS8" s="484"/>
      <c r="PT8" s="484"/>
      <c r="PU8" s="484"/>
      <c r="PV8" s="484"/>
      <c r="PW8" s="484"/>
      <c r="PX8" s="484"/>
      <c r="PY8" s="484"/>
      <c r="PZ8" s="484"/>
      <c r="QA8" s="484"/>
      <c r="QB8" s="484"/>
      <c r="QC8" s="484"/>
      <c r="QD8" s="484"/>
      <c r="QE8" s="484"/>
      <c r="QF8" s="484"/>
      <c r="QG8" s="484"/>
      <c r="QH8" s="484"/>
      <c r="QI8" s="484"/>
      <c r="QJ8" s="484"/>
      <c r="QK8" s="484"/>
      <c r="QL8" s="484"/>
      <c r="QM8" s="484"/>
      <c r="QN8" s="484"/>
      <c r="QO8" s="484"/>
      <c r="QP8" s="484"/>
      <c r="QQ8" s="484"/>
      <c r="QR8" s="484"/>
      <c r="QS8" s="484"/>
      <c r="QT8" s="484"/>
      <c r="QU8" s="484"/>
      <c r="QV8" s="484"/>
      <c r="QW8" s="484"/>
      <c r="QX8" s="484"/>
      <c r="QY8" s="484"/>
      <c r="QZ8" s="484"/>
      <c r="RA8" s="484"/>
      <c r="RB8" s="484"/>
      <c r="RC8" s="484"/>
      <c r="RD8" s="484"/>
      <c r="RE8" s="484"/>
      <c r="RF8" s="484"/>
      <c r="RG8" s="484"/>
      <c r="RH8" s="484"/>
      <c r="RI8" s="484"/>
      <c r="RJ8" s="484"/>
      <c r="RK8" s="484"/>
      <c r="RL8" s="484"/>
      <c r="RM8" s="484"/>
      <c r="RN8" s="484"/>
      <c r="RO8" s="484"/>
      <c r="RP8" s="484"/>
      <c r="RQ8" s="484"/>
      <c r="RR8" s="484"/>
      <c r="RS8" s="484"/>
      <c r="RT8" s="484"/>
      <c r="RU8" s="484"/>
      <c r="RV8" s="484"/>
      <c r="RW8" s="484"/>
      <c r="RX8" s="484"/>
      <c r="RY8" s="484"/>
      <c r="RZ8" s="484"/>
      <c r="SA8" s="484"/>
      <c r="SB8" s="484"/>
      <c r="SC8" s="484"/>
      <c r="SD8" s="484"/>
      <c r="SE8" s="484"/>
      <c r="SF8" s="484"/>
      <c r="SG8" s="484"/>
      <c r="SH8" s="484"/>
      <c r="SI8" s="484"/>
      <c r="SJ8" s="484"/>
      <c r="SK8" s="484"/>
      <c r="SL8" s="484"/>
      <c r="SM8" s="484"/>
      <c r="SN8" s="484"/>
      <c r="SO8" s="484"/>
      <c r="SP8" s="484"/>
      <c r="SQ8" s="484"/>
      <c r="SR8" s="484"/>
      <c r="SS8" s="484"/>
      <c r="ST8" s="484"/>
      <c r="SU8" s="484"/>
      <c r="SV8" s="484"/>
      <c r="SW8" s="484"/>
      <c r="SX8" s="484"/>
      <c r="SY8" s="484"/>
      <c r="SZ8" s="484"/>
      <c r="TA8" s="484"/>
      <c r="TB8" s="484"/>
      <c r="TC8" s="484"/>
      <c r="TD8" s="484"/>
      <c r="TE8" s="484"/>
      <c r="TF8" s="484"/>
      <c r="TG8" s="484"/>
      <c r="TH8" s="484"/>
      <c r="TI8" s="484"/>
      <c r="TJ8" s="484"/>
      <c r="TK8" s="484"/>
      <c r="TL8" s="484"/>
      <c r="TM8" s="484"/>
      <c r="TN8" s="484"/>
      <c r="TO8" s="484"/>
      <c r="TP8" s="484"/>
      <c r="TQ8" s="484"/>
      <c r="TR8" s="484"/>
      <c r="TS8" s="484"/>
      <c r="TT8" s="484"/>
      <c r="TU8" s="484"/>
      <c r="TV8" s="484"/>
      <c r="TW8" s="484"/>
      <c r="TX8" s="484"/>
      <c r="TY8" s="484"/>
      <c r="TZ8" s="484"/>
      <c r="UA8" s="484"/>
      <c r="UB8" s="484"/>
      <c r="UC8" s="484"/>
      <c r="UD8" s="484"/>
      <c r="UE8" s="484"/>
      <c r="UF8" s="484"/>
      <c r="UG8" s="484"/>
      <c r="UH8" s="484"/>
      <c r="UI8" s="484"/>
      <c r="UJ8" s="484"/>
      <c r="UK8" s="484"/>
      <c r="UL8" s="484"/>
      <c r="UM8" s="484"/>
      <c r="UN8" s="484"/>
      <c r="UO8" s="484"/>
      <c r="UP8" s="484"/>
      <c r="UQ8" s="484"/>
      <c r="UR8" s="484"/>
      <c r="US8" s="484"/>
      <c r="UT8" s="484"/>
      <c r="UU8" s="484"/>
      <c r="UV8" s="484"/>
      <c r="UW8" s="484"/>
      <c r="UX8" s="484"/>
      <c r="UY8" s="484"/>
      <c r="UZ8" s="484"/>
      <c r="VA8" s="484"/>
      <c r="VB8" s="484"/>
      <c r="VC8" s="484"/>
      <c r="VD8" s="484"/>
      <c r="VE8" s="484"/>
      <c r="VF8" s="484"/>
      <c r="VG8" s="484"/>
      <c r="VH8" s="484"/>
      <c r="VI8" s="484"/>
      <c r="VJ8" s="484"/>
      <c r="VK8" s="484"/>
      <c r="VL8" s="484"/>
      <c r="VM8" s="484"/>
      <c r="VN8" s="484"/>
      <c r="VO8" s="484"/>
      <c r="VP8" s="484"/>
      <c r="VQ8" s="484"/>
      <c r="VR8" s="484"/>
      <c r="VS8" s="484"/>
      <c r="VT8" s="484"/>
      <c r="VU8" s="484"/>
      <c r="VV8" s="484"/>
      <c r="VW8" s="484"/>
      <c r="VX8" s="484"/>
      <c r="VY8" s="484"/>
      <c r="VZ8" s="484"/>
      <c r="WA8" s="484"/>
      <c r="WB8" s="484"/>
      <c r="WC8" s="484"/>
      <c r="WD8" s="484"/>
      <c r="WE8" s="484"/>
      <c r="WF8" s="484"/>
      <c r="WG8" s="484"/>
      <c r="WH8" s="484"/>
      <c r="WI8" s="484"/>
      <c r="WJ8" s="484"/>
      <c r="WK8" s="484"/>
      <c r="WL8" s="484"/>
      <c r="WM8" s="484"/>
      <c r="WN8" s="484"/>
      <c r="WO8" s="484"/>
      <c r="WP8" s="484"/>
      <c r="WQ8" s="484"/>
      <c r="WR8" s="484"/>
      <c r="WS8" s="484"/>
      <c r="WT8" s="484"/>
      <c r="WU8" s="484"/>
      <c r="WV8" s="484"/>
      <c r="WW8" s="484"/>
      <c r="WX8" s="484"/>
      <c r="WY8" s="484"/>
      <c r="WZ8" s="484"/>
      <c r="XA8" s="484"/>
      <c r="XB8" s="484"/>
      <c r="XC8" s="484"/>
      <c r="XD8" s="484"/>
      <c r="XE8" s="484"/>
      <c r="XF8" s="484"/>
      <c r="XG8" s="484"/>
      <c r="XH8" s="484"/>
      <c r="XI8" s="484"/>
      <c r="XJ8" s="484"/>
      <c r="XK8" s="484"/>
      <c r="XL8" s="484"/>
      <c r="XM8" s="484"/>
      <c r="XN8" s="484"/>
      <c r="XO8" s="484"/>
      <c r="XP8" s="484"/>
      <c r="XQ8" s="484"/>
      <c r="XR8" s="484"/>
      <c r="XS8" s="484"/>
      <c r="XT8" s="484"/>
      <c r="XU8" s="484"/>
      <c r="XV8" s="484"/>
      <c r="XW8" s="484"/>
      <c r="XX8" s="484"/>
      <c r="XY8" s="484"/>
      <c r="XZ8" s="484"/>
      <c r="YA8" s="484"/>
      <c r="YB8" s="484"/>
      <c r="YC8" s="484"/>
      <c r="YD8" s="484"/>
      <c r="YE8" s="484"/>
      <c r="YF8" s="484"/>
      <c r="YG8" s="484"/>
      <c r="YH8" s="484"/>
      <c r="YI8" s="484"/>
      <c r="YJ8" s="484"/>
      <c r="YK8" s="484"/>
      <c r="YL8" s="484"/>
      <c r="YM8" s="484"/>
      <c r="YN8" s="484"/>
      <c r="YO8" s="484"/>
      <c r="YP8" s="484"/>
      <c r="YQ8" s="484"/>
      <c r="YR8" s="484"/>
      <c r="YS8" s="484"/>
      <c r="YT8" s="484"/>
      <c r="YU8" s="484"/>
      <c r="YV8" s="484"/>
      <c r="YW8" s="484"/>
      <c r="YX8" s="484"/>
      <c r="YY8" s="484"/>
      <c r="YZ8" s="484"/>
      <c r="ZA8" s="484"/>
      <c r="ZB8" s="484"/>
      <c r="ZC8" s="484"/>
      <c r="ZD8" s="484"/>
      <c r="ZE8" s="484"/>
      <c r="ZF8" s="484"/>
      <c r="ZG8" s="484"/>
      <c r="ZH8" s="484"/>
      <c r="ZI8" s="484"/>
      <c r="ZJ8" s="484"/>
      <c r="ZK8" s="484"/>
      <c r="ZL8" s="484"/>
      <c r="ZM8" s="484"/>
      <c r="ZN8" s="484"/>
      <c r="ZO8" s="484"/>
      <c r="ZP8" s="484"/>
      <c r="ZQ8" s="484"/>
      <c r="ZR8" s="484"/>
      <c r="ZS8" s="484"/>
      <c r="ZT8" s="484"/>
      <c r="ZU8" s="484"/>
      <c r="ZV8" s="484"/>
      <c r="ZW8" s="484"/>
      <c r="ZX8" s="484"/>
      <c r="ZY8" s="484"/>
      <c r="ZZ8" s="484"/>
      <c r="AAA8" s="484"/>
      <c r="AAB8" s="484"/>
      <c r="AAC8" s="484"/>
      <c r="AAD8" s="484"/>
      <c r="AAE8" s="484"/>
      <c r="AAF8" s="484"/>
      <c r="AAG8" s="484"/>
      <c r="AAH8" s="484"/>
      <c r="AAI8" s="484"/>
      <c r="AAJ8" s="484"/>
      <c r="AAK8" s="484"/>
      <c r="AAL8" s="484"/>
      <c r="AAM8" s="484"/>
      <c r="AAN8" s="484"/>
      <c r="AAO8" s="484"/>
      <c r="AAP8" s="484"/>
      <c r="AAQ8" s="484"/>
      <c r="AAR8" s="484"/>
      <c r="AAS8" s="484"/>
      <c r="AAT8" s="484"/>
      <c r="AAU8" s="484"/>
      <c r="AAV8" s="484"/>
      <c r="AAW8" s="484"/>
      <c r="AAX8" s="484"/>
      <c r="AAY8" s="484"/>
      <c r="AAZ8" s="484"/>
      <c r="ABA8" s="484"/>
      <c r="ABB8" s="484"/>
      <c r="ABC8" s="484"/>
      <c r="ABD8" s="484"/>
      <c r="ABE8" s="484"/>
      <c r="ABF8" s="484"/>
      <c r="ABG8" s="484"/>
      <c r="ABH8" s="484"/>
      <c r="ABI8" s="484"/>
      <c r="ABJ8" s="484"/>
      <c r="ABK8" s="484"/>
      <c r="ABL8" s="484"/>
      <c r="ABM8" s="484"/>
      <c r="ABN8" s="484"/>
      <c r="ABO8" s="484"/>
      <c r="ABP8" s="484"/>
      <c r="ABQ8" s="484"/>
      <c r="ABR8" s="484"/>
      <c r="ABS8" s="484"/>
      <c r="ABT8" s="484"/>
      <c r="ABU8" s="484"/>
      <c r="ABV8" s="484"/>
      <c r="ABW8" s="484"/>
      <c r="ABX8" s="484"/>
      <c r="ABY8" s="484"/>
      <c r="ABZ8" s="484"/>
      <c r="ACA8" s="484"/>
      <c r="ACB8" s="484"/>
      <c r="ACC8" s="484"/>
      <c r="ACD8" s="484"/>
      <c r="ACE8" s="484"/>
      <c r="ACF8" s="484"/>
      <c r="ACG8" s="484"/>
      <c r="ACH8" s="484"/>
      <c r="ACI8" s="484"/>
      <c r="ACJ8" s="484"/>
      <c r="ACK8" s="484"/>
      <c r="ACL8" s="484"/>
      <c r="ACM8" s="484"/>
      <c r="ACN8" s="484"/>
      <c r="ACO8" s="484"/>
      <c r="ACP8" s="484"/>
      <c r="ACQ8" s="484"/>
      <c r="ACR8" s="484"/>
      <c r="ACS8" s="484"/>
      <c r="ACT8" s="484"/>
      <c r="ACU8" s="484"/>
      <c r="ACV8" s="484"/>
      <c r="ACW8" s="484"/>
      <c r="ACX8" s="484"/>
      <c r="ACY8" s="484"/>
      <c r="ACZ8" s="484"/>
      <c r="ADA8" s="484"/>
      <c r="ADB8" s="484"/>
      <c r="ADC8" s="484"/>
      <c r="ADD8" s="484"/>
      <c r="ADE8" s="484"/>
      <c r="ADF8" s="484"/>
      <c r="ADG8" s="484"/>
      <c r="ADH8" s="484"/>
      <c r="ADI8" s="484"/>
      <c r="ADJ8" s="484"/>
      <c r="ADK8" s="484"/>
      <c r="ADL8" s="484"/>
      <c r="ADM8" s="484"/>
      <c r="ADN8" s="484"/>
      <c r="ADO8" s="484"/>
      <c r="ADP8" s="484"/>
      <c r="ADQ8" s="484"/>
      <c r="ADR8" s="484"/>
      <c r="ADS8" s="484"/>
      <c r="ADT8" s="484"/>
      <c r="ADU8" s="484"/>
      <c r="ADV8" s="484"/>
      <c r="ADW8" s="484"/>
      <c r="ADX8" s="484"/>
      <c r="ADY8" s="484"/>
      <c r="ADZ8" s="484"/>
      <c r="AEA8" s="484"/>
      <c r="AEB8" s="484"/>
      <c r="AEC8" s="484"/>
      <c r="AED8" s="484"/>
      <c r="AEE8" s="484"/>
      <c r="AEF8" s="484"/>
      <c r="AEG8" s="484"/>
      <c r="AEH8" s="484"/>
      <c r="AEI8" s="484"/>
      <c r="AEJ8" s="484"/>
      <c r="AEK8" s="484"/>
      <c r="AEL8" s="484"/>
      <c r="AEM8" s="484"/>
      <c r="AEN8" s="484"/>
      <c r="AEO8" s="484"/>
      <c r="AEP8" s="484"/>
      <c r="AEQ8" s="484"/>
      <c r="AER8" s="484"/>
      <c r="AES8" s="484"/>
      <c r="AET8" s="484"/>
      <c r="AEU8" s="484"/>
      <c r="AEV8" s="484"/>
      <c r="AEW8" s="484"/>
      <c r="AEX8" s="484"/>
      <c r="AEY8" s="484"/>
      <c r="AEZ8" s="484"/>
      <c r="AFA8" s="484"/>
      <c r="AFB8" s="484"/>
      <c r="AFC8" s="484"/>
      <c r="AFD8" s="484"/>
      <c r="AFE8" s="484"/>
      <c r="AFF8" s="484"/>
      <c r="AFG8" s="484"/>
      <c r="AFH8" s="484"/>
      <c r="AFI8" s="484"/>
      <c r="AFJ8" s="484"/>
      <c r="AFK8" s="484"/>
      <c r="AFL8" s="484"/>
      <c r="AFM8" s="484"/>
      <c r="AFN8" s="484"/>
      <c r="AFO8" s="484"/>
      <c r="AFP8" s="484"/>
      <c r="AFQ8" s="484"/>
      <c r="AFR8" s="484"/>
      <c r="AFS8" s="484"/>
      <c r="AFT8" s="484"/>
      <c r="AFU8" s="484"/>
      <c r="AFV8" s="484"/>
      <c r="AFW8" s="484"/>
      <c r="AFX8" s="484"/>
      <c r="AFY8" s="484"/>
      <c r="AFZ8" s="484"/>
      <c r="AGA8" s="484"/>
      <c r="AGB8" s="484"/>
      <c r="AGC8" s="484"/>
      <c r="AGD8" s="484"/>
      <c r="AGE8" s="484"/>
      <c r="AGF8" s="484"/>
      <c r="AGG8" s="484"/>
      <c r="AGH8" s="484"/>
      <c r="AGI8" s="484"/>
      <c r="AGJ8" s="484"/>
      <c r="AGK8" s="484"/>
      <c r="AGL8" s="484"/>
      <c r="AGM8" s="484"/>
      <c r="AGN8" s="484"/>
      <c r="AGO8" s="484"/>
      <c r="AGP8" s="484"/>
      <c r="AGQ8" s="484"/>
      <c r="AGR8" s="484"/>
      <c r="AGS8" s="484"/>
      <c r="AGT8" s="484"/>
      <c r="AGU8" s="484"/>
      <c r="AGV8" s="484"/>
      <c r="AGW8" s="484"/>
      <c r="AGX8" s="484"/>
      <c r="AGY8" s="484"/>
      <c r="AGZ8" s="484"/>
      <c r="AHA8" s="484"/>
      <c r="AHB8" s="484"/>
      <c r="AHC8" s="484"/>
      <c r="AHD8" s="484"/>
      <c r="AHE8" s="484"/>
      <c r="AHF8" s="484"/>
      <c r="AHG8" s="484"/>
      <c r="AHH8" s="484"/>
      <c r="AHI8" s="484"/>
      <c r="AHJ8" s="484"/>
      <c r="AHK8" s="484"/>
      <c r="AHL8" s="484"/>
      <c r="AHM8" s="484"/>
      <c r="AHN8" s="484"/>
      <c r="AHO8" s="484"/>
      <c r="AHP8" s="484"/>
      <c r="AHQ8" s="484"/>
      <c r="AHR8" s="484"/>
      <c r="AHS8" s="484"/>
      <c r="AHT8" s="484"/>
      <c r="AHU8" s="484"/>
      <c r="AHV8" s="484"/>
      <c r="AHW8" s="484"/>
      <c r="AHX8" s="484"/>
      <c r="AHY8" s="484"/>
      <c r="AHZ8" s="484"/>
      <c r="AIA8" s="484"/>
      <c r="AIB8" s="484"/>
      <c r="AIC8" s="484"/>
      <c r="AID8" s="484"/>
      <c r="AIE8" s="484"/>
      <c r="AIF8" s="484"/>
      <c r="AIG8" s="484"/>
      <c r="AIH8" s="484"/>
      <c r="AII8" s="484"/>
      <c r="AIJ8" s="484"/>
      <c r="AIK8" s="484"/>
      <c r="AIL8" s="484"/>
      <c r="AIM8" s="484"/>
      <c r="AIN8" s="484"/>
      <c r="AIO8" s="484"/>
      <c r="AIP8" s="484"/>
      <c r="AIQ8" s="484"/>
      <c r="AIR8" s="484"/>
      <c r="AIS8" s="484"/>
      <c r="AIT8" s="484"/>
      <c r="AIU8" s="484"/>
      <c r="AIV8" s="484"/>
      <c r="AIW8" s="484"/>
      <c r="AIX8" s="484"/>
      <c r="AIY8" s="484"/>
      <c r="AIZ8" s="484"/>
      <c r="AJA8" s="484"/>
      <c r="AJB8" s="484"/>
      <c r="AJC8" s="484"/>
      <c r="AJD8" s="484"/>
      <c r="AJE8" s="484"/>
      <c r="AJF8" s="484"/>
      <c r="AJG8" s="484"/>
      <c r="AJH8" s="484"/>
      <c r="AJI8" s="484"/>
      <c r="AJJ8" s="484"/>
      <c r="AJK8" s="484"/>
      <c r="AJL8" s="484"/>
      <c r="AJM8" s="484"/>
      <c r="AJN8" s="484"/>
      <c r="AJO8" s="484"/>
      <c r="AJP8" s="484"/>
      <c r="AJQ8" s="484"/>
      <c r="AJR8" s="484"/>
      <c r="AJS8" s="484"/>
      <c r="AJT8" s="484"/>
      <c r="AJU8" s="484"/>
      <c r="AJV8" s="484"/>
      <c r="AJW8" s="484"/>
      <c r="AJX8" s="484"/>
      <c r="AJY8" s="484"/>
      <c r="AJZ8" s="484"/>
      <c r="AKA8" s="484"/>
      <c r="AKB8" s="484"/>
      <c r="AKC8" s="484"/>
      <c r="AKD8" s="484"/>
      <c r="AKE8" s="484"/>
      <c r="AKF8" s="484"/>
      <c r="AKG8" s="484"/>
      <c r="AKH8" s="484"/>
      <c r="AKI8" s="484"/>
      <c r="AKJ8" s="484"/>
      <c r="AKK8" s="484"/>
      <c r="AKL8" s="484"/>
      <c r="AKM8" s="484"/>
      <c r="AKN8" s="484"/>
      <c r="AKO8" s="484"/>
      <c r="AKP8" s="484"/>
      <c r="AKQ8" s="484"/>
      <c r="AKR8" s="484"/>
      <c r="AKS8" s="484"/>
      <c r="AKT8" s="484"/>
      <c r="AKU8" s="484"/>
      <c r="AKV8" s="484"/>
      <c r="AKW8" s="484"/>
      <c r="AKX8" s="484"/>
      <c r="AKY8" s="484"/>
      <c r="AKZ8" s="484"/>
      <c r="ALA8" s="484"/>
      <c r="ALB8" s="484"/>
      <c r="ALC8" s="484"/>
      <c r="ALD8" s="484"/>
      <c r="ALE8" s="484"/>
      <c r="ALF8" s="484"/>
      <c r="ALG8" s="484"/>
      <c r="ALH8" s="484"/>
      <c r="ALI8" s="484"/>
      <c r="ALJ8" s="484"/>
      <c r="ALK8" s="484"/>
      <c r="ALL8" s="484"/>
      <c r="ALM8" s="484"/>
      <c r="ALN8" s="484"/>
      <c r="ALO8" s="484"/>
      <c r="ALP8" s="484"/>
      <c r="ALQ8" s="484"/>
      <c r="ALR8" s="484"/>
      <c r="ALS8" s="484"/>
      <c r="ALT8" s="484"/>
      <c r="ALU8" s="484"/>
      <c r="ALV8" s="484"/>
      <c r="ALW8" s="484"/>
      <c r="ALX8" s="484"/>
      <c r="ALY8" s="484"/>
      <c r="ALZ8" s="484"/>
      <c r="AMA8" s="484"/>
      <c r="AMB8" s="484"/>
      <c r="AMC8" s="484"/>
      <c r="AMD8" s="484"/>
      <c r="AME8" s="484"/>
      <c r="AMF8" s="484"/>
      <c r="AMG8" s="484"/>
      <c r="AMH8" s="484"/>
      <c r="AMI8" s="484"/>
      <c r="AMJ8" s="484"/>
      <c r="AMK8" s="484"/>
      <c r="AML8" s="484"/>
      <c r="AMM8" s="484"/>
      <c r="AMN8" s="484"/>
      <c r="AMO8" s="484"/>
      <c r="AMP8" s="484"/>
      <c r="AMQ8" s="484"/>
      <c r="AMR8" s="484"/>
      <c r="AMS8" s="484"/>
      <c r="AMT8" s="484"/>
      <c r="AMU8" s="484"/>
      <c r="AMV8" s="484"/>
      <c r="AMW8" s="484"/>
      <c r="AMX8" s="484"/>
      <c r="AMY8" s="484"/>
      <c r="AMZ8" s="484"/>
      <c r="ANA8" s="484"/>
      <c r="ANB8" s="484"/>
      <c r="ANC8" s="484"/>
      <c r="AND8" s="484"/>
      <c r="ANE8" s="484"/>
      <c r="ANF8" s="484"/>
      <c r="ANG8" s="484"/>
      <c r="ANH8" s="484"/>
      <c r="ANI8" s="484"/>
      <c r="ANJ8" s="484"/>
      <c r="ANK8" s="484"/>
      <c r="ANL8" s="484"/>
      <c r="ANM8" s="484"/>
      <c r="ANN8" s="484"/>
      <c r="ANO8" s="484"/>
      <c r="ANP8" s="484"/>
      <c r="ANQ8" s="484"/>
      <c r="ANR8" s="484"/>
      <c r="ANS8" s="484"/>
      <c r="ANT8" s="484"/>
      <c r="ANU8" s="484"/>
      <c r="ANV8" s="484"/>
      <c r="ANW8" s="484"/>
      <c r="ANX8" s="484"/>
      <c r="ANY8" s="484"/>
      <c r="ANZ8" s="484"/>
      <c r="AOA8" s="484"/>
      <c r="AOB8" s="484"/>
      <c r="AOC8" s="484"/>
      <c r="AOD8" s="484"/>
      <c r="AOE8" s="484"/>
      <c r="AOF8" s="484"/>
      <c r="AOG8" s="484"/>
      <c r="AOH8" s="484"/>
      <c r="AOI8" s="484"/>
      <c r="AOJ8" s="484"/>
      <c r="AOK8" s="484"/>
      <c r="AOL8" s="484"/>
      <c r="AOM8" s="484"/>
      <c r="AON8" s="484"/>
      <c r="AOO8" s="484"/>
      <c r="AOP8" s="484"/>
      <c r="AOQ8" s="484"/>
      <c r="AOR8" s="484"/>
      <c r="AOS8" s="484"/>
      <c r="AOT8" s="484"/>
      <c r="AOU8" s="484"/>
      <c r="AOV8" s="484"/>
      <c r="AOW8" s="484"/>
      <c r="AOX8" s="484"/>
      <c r="AOY8" s="484"/>
      <c r="AOZ8" s="484"/>
      <c r="APA8" s="484"/>
      <c r="APB8" s="484"/>
      <c r="APC8" s="484"/>
      <c r="APD8" s="484"/>
      <c r="APE8" s="484"/>
      <c r="APF8" s="484"/>
      <c r="APG8" s="484"/>
      <c r="APH8" s="484"/>
      <c r="API8" s="484"/>
      <c r="APJ8" s="484"/>
      <c r="APK8" s="484"/>
      <c r="APL8" s="484"/>
      <c r="APM8" s="484"/>
      <c r="APN8" s="484"/>
      <c r="APO8" s="484"/>
      <c r="APP8" s="484"/>
      <c r="APQ8" s="484"/>
      <c r="APR8" s="484"/>
      <c r="APS8" s="484"/>
      <c r="APT8" s="484"/>
      <c r="APU8" s="484"/>
      <c r="APV8" s="484"/>
      <c r="APW8" s="484"/>
      <c r="APX8" s="484"/>
      <c r="APY8" s="484"/>
      <c r="APZ8" s="484"/>
      <c r="AQA8" s="484"/>
      <c r="AQB8" s="484"/>
      <c r="AQC8" s="484"/>
      <c r="AQD8" s="484"/>
      <c r="AQE8" s="484"/>
      <c r="AQF8" s="484"/>
      <c r="AQG8" s="484"/>
      <c r="AQH8" s="484"/>
      <c r="AQI8" s="484"/>
      <c r="AQJ8" s="484"/>
      <c r="AQK8" s="484"/>
      <c r="AQL8" s="484"/>
      <c r="AQM8" s="484"/>
      <c r="AQN8" s="484"/>
      <c r="AQO8" s="484"/>
      <c r="AQP8" s="484"/>
      <c r="AQQ8" s="484"/>
      <c r="AQR8" s="484"/>
      <c r="AQS8" s="484"/>
      <c r="AQT8" s="484"/>
      <c r="AQU8" s="484"/>
      <c r="AQV8" s="484"/>
      <c r="AQW8" s="484"/>
      <c r="AQX8" s="484"/>
      <c r="AQY8" s="484"/>
      <c r="AQZ8" s="484"/>
      <c r="ARA8" s="484"/>
      <c r="ARB8" s="484"/>
      <c r="ARC8" s="484"/>
      <c r="ARD8" s="484"/>
      <c r="ARE8" s="484"/>
      <c r="ARF8" s="484"/>
      <c r="ARG8" s="484"/>
      <c r="ARH8" s="484"/>
      <c r="ARI8" s="484"/>
      <c r="ARJ8" s="484"/>
      <c r="ARK8" s="484"/>
      <c r="ARL8" s="484"/>
      <c r="ARM8" s="484"/>
      <c r="ARN8" s="484"/>
      <c r="ARO8" s="484"/>
      <c r="ARP8" s="484"/>
      <c r="ARQ8" s="484"/>
      <c r="ARR8" s="484"/>
      <c r="ARS8" s="484"/>
      <c r="ART8" s="484"/>
      <c r="ARU8" s="484"/>
      <c r="ARV8" s="484"/>
      <c r="ARW8" s="484"/>
      <c r="ARX8" s="484"/>
      <c r="ARY8" s="484"/>
      <c r="ARZ8" s="484"/>
      <c r="ASA8" s="484"/>
      <c r="ASB8" s="484"/>
      <c r="ASC8" s="484"/>
      <c r="ASD8" s="484"/>
      <c r="ASE8" s="484"/>
      <c r="ASF8" s="484"/>
      <c r="ASG8" s="484"/>
      <c r="ASH8" s="484"/>
      <c r="ASI8" s="484"/>
      <c r="ASJ8" s="484"/>
      <c r="ASK8" s="484"/>
      <c r="ASL8" s="484"/>
      <c r="ASM8" s="484"/>
      <c r="ASN8" s="484"/>
      <c r="ASO8" s="484"/>
      <c r="ASP8" s="484"/>
      <c r="ASQ8" s="484"/>
      <c r="ASR8" s="484"/>
      <c r="ASS8" s="484"/>
      <c r="AST8" s="484"/>
      <c r="ASU8" s="484"/>
      <c r="ASV8" s="484"/>
      <c r="ASW8" s="484"/>
      <c r="ASX8" s="484"/>
      <c r="ASY8" s="484"/>
      <c r="ASZ8" s="484"/>
      <c r="ATA8" s="484"/>
      <c r="ATB8" s="484"/>
      <c r="ATC8" s="484"/>
      <c r="ATD8" s="484"/>
      <c r="ATE8" s="484"/>
      <c r="ATF8" s="484"/>
      <c r="ATG8" s="484"/>
      <c r="ATH8" s="484"/>
      <c r="ATI8" s="484"/>
      <c r="ATJ8" s="484"/>
      <c r="ATK8" s="484"/>
      <c r="ATL8" s="484"/>
      <c r="ATM8" s="484"/>
      <c r="ATN8" s="484"/>
      <c r="ATO8" s="484"/>
      <c r="ATP8" s="484"/>
      <c r="ATQ8" s="484"/>
      <c r="ATR8" s="484"/>
      <c r="ATS8" s="484"/>
      <c r="ATT8" s="484"/>
      <c r="ATU8" s="484"/>
      <c r="ATV8" s="484"/>
      <c r="ATW8" s="484"/>
      <c r="ATX8" s="484"/>
      <c r="ATY8" s="484"/>
      <c r="ATZ8" s="484"/>
      <c r="AUA8" s="484"/>
      <c r="AUB8" s="484"/>
      <c r="AUC8" s="484"/>
      <c r="AUD8" s="484"/>
      <c r="AUE8" s="484"/>
      <c r="AUF8" s="484"/>
      <c r="AUG8" s="484"/>
      <c r="AUH8" s="484"/>
      <c r="AUI8" s="484"/>
      <c r="AUJ8" s="484"/>
      <c r="AUK8" s="484"/>
      <c r="AUL8" s="484"/>
      <c r="AUM8" s="484"/>
      <c r="AUN8" s="484"/>
      <c r="AUO8" s="484"/>
      <c r="AUP8" s="484"/>
      <c r="AUQ8" s="484"/>
      <c r="AUR8" s="484"/>
      <c r="AUS8" s="484"/>
      <c r="AUT8" s="484"/>
      <c r="AUU8" s="484"/>
      <c r="AUV8" s="484"/>
      <c r="AUW8" s="484"/>
      <c r="AUX8" s="484"/>
      <c r="AUY8" s="484"/>
      <c r="AUZ8" s="484"/>
      <c r="AVA8" s="484"/>
      <c r="AVB8" s="484"/>
      <c r="AVC8" s="484"/>
      <c r="AVD8" s="484"/>
      <c r="AVE8" s="484"/>
      <c r="AVF8" s="484"/>
      <c r="AVG8" s="484"/>
      <c r="AVH8" s="484"/>
      <c r="AVI8" s="484"/>
      <c r="AVJ8" s="484"/>
      <c r="AVK8" s="484"/>
      <c r="AVL8" s="484"/>
      <c r="AVM8" s="484"/>
      <c r="AVN8" s="484"/>
      <c r="AVO8" s="484"/>
      <c r="AVP8" s="484"/>
      <c r="AVQ8" s="484"/>
      <c r="AVR8" s="484"/>
      <c r="AVS8" s="484"/>
      <c r="AVT8" s="484"/>
      <c r="AVU8" s="484"/>
      <c r="AVV8" s="484"/>
      <c r="AVW8" s="484"/>
      <c r="AVX8" s="484"/>
      <c r="AVY8" s="484"/>
      <c r="AVZ8" s="484"/>
      <c r="AWA8" s="484"/>
      <c r="AWB8" s="484"/>
      <c r="AWC8" s="484"/>
      <c r="AWD8" s="484"/>
      <c r="AWE8" s="484"/>
      <c r="AWF8" s="484"/>
      <c r="AWG8" s="484"/>
      <c r="AWH8" s="484"/>
      <c r="AWI8" s="484"/>
      <c r="AWJ8" s="484"/>
      <c r="AWK8" s="484"/>
      <c r="AWL8" s="484"/>
      <c r="AWM8" s="484"/>
      <c r="AWN8" s="484"/>
      <c r="AWO8" s="484"/>
      <c r="AWP8" s="484"/>
      <c r="AWQ8" s="484"/>
      <c r="AWR8" s="484"/>
      <c r="AWS8" s="484"/>
      <c r="AWT8" s="484"/>
      <c r="AWU8" s="484"/>
      <c r="AWV8" s="484"/>
      <c r="AWW8" s="484"/>
      <c r="AWX8" s="484"/>
      <c r="AWY8" s="484"/>
      <c r="AWZ8" s="484"/>
      <c r="AXA8" s="484"/>
      <c r="AXB8" s="484"/>
      <c r="AXC8" s="484"/>
      <c r="AXD8" s="484"/>
      <c r="AXE8" s="484"/>
      <c r="AXF8" s="484"/>
      <c r="AXG8" s="484"/>
      <c r="AXH8" s="484"/>
      <c r="AXI8" s="484"/>
      <c r="AXJ8" s="484"/>
      <c r="AXK8" s="484"/>
      <c r="AXL8" s="484"/>
      <c r="AXM8" s="484"/>
      <c r="AXN8" s="484"/>
      <c r="AXO8" s="484"/>
      <c r="AXP8" s="484"/>
      <c r="AXQ8" s="484"/>
      <c r="AXR8" s="484"/>
      <c r="AXS8" s="484"/>
      <c r="AXT8" s="484"/>
      <c r="AXU8" s="484"/>
      <c r="AXV8" s="484"/>
      <c r="AXW8" s="484"/>
      <c r="AXX8" s="484"/>
      <c r="AXY8" s="484"/>
      <c r="AXZ8" s="484"/>
      <c r="AYA8" s="484"/>
      <c r="AYB8" s="484"/>
      <c r="AYC8" s="484"/>
      <c r="AYD8" s="484"/>
      <c r="AYE8" s="484"/>
      <c r="AYF8" s="484"/>
      <c r="AYG8" s="484"/>
      <c r="AYH8" s="484"/>
      <c r="AYI8" s="484"/>
      <c r="AYJ8" s="484"/>
      <c r="AYK8" s="484"/>
      <c r="AYL8" s="484"/>
      <c r="AYM8" s="484"/>
      <c r="AYN8" s="484"/>
      <c r="AYO8" s="484"/>
      <c r="AYP8" s="484"/>
      <c r="AYQ8" s="484"/>
      <c r="AYR8" s="484"/>
      <c r="AYS8" s="484"/>
      <c r="AYT8" s="484"/>
      <c r="AYU8" s="484"/>
      <c r="AYV8" s="484"/>
      <c r="AYW8" s="484"/>
      <c r="AYX8" s="484"/>
      <c r="AYY8" s="484"/>
      <c r="AYZ8" s="484"/>
      <c r="AZA8" s="484"/>
      <c r="AZB8" s="484"/>
      <c r="AZC8" s="484"/>
      <c r="AZD8" s="484"/>
      <c r="AZE8" s="484"/>
      <c r="AZF8" s="484"/>
      <c r="AZG8" s="484"/>
      <c r="AZH8" s="484"/>
      <c r="AZI8" s="484"/>
      <c r="AZJ8" s="484"/>
      <c r="AZK8" s="484"/>
      <c r="AZL8" s="484"/>
      <c r="AZM8" s="484"/>
      <c r="AZN8" s="484"/>
      <c r="AZO8" s="484"/>
      <c r="AZP8" s="484"/>
      <c r="AZQ8" s="484"/>
      <c r="AZR8" s="484"/>
      <c r="AZS8" s="484"/>
      <c r="AZT8" s="484"/>
      <c r="AZU8" s="484"/>
      <c r="AZV8" s="484"/>
      <c r="AZW8" s="484"/>
      <c r="AZX8" s="484"/>
      <c r="AZY8" s="484"/>
      <c r="AZZ8" s="484"/>
      <c r="BAA8" s="484"/>
      <c r="BAB8" s="484"/>
      <c r="BAC8" s="484"/>
      <c r="BAD8" s="484"/>
      <c r="BAE8" s="484"/>
      <c r="BAF8" s="484"/>
      <c r="BAG8" s="484"/>
      <c r="BAH8" s="484"/>
      <c r="BAI8" s="484"/>
      <c r="BAJ8" s="484"/>
      <c r="BAK8" s="484"/>
      <c r="BAL8" s="484"/>
      <c r="BAM8" s="484"/>
      <c r="BAN8" s="484"/>
      <c r="BAO8" s="484"/>
      <c r="BAP8" s="484"/>
      <c r="BAQ8" s="484"/>
      <c r="BAR8" s="484"/>
      <c r="BAS8" s="484"/>
      <c r="BAT8" s="484"/>
      <c r="BAU8" s="484"/>
      <c r="BAV8" s="484"/>
      <c r="BAW8" s="484"/>
      <c r="BAX8" s="484"/>
      <c r="BAY8" s="484"/>
      <c r="BAZ8" s="484"/>
      <c r="BBA8" s="484"/>
      <c r="BBB8" s="484"/>
      <c r="BBC8" s="484"/>
      <c r="BBD8" s="484"/>
      <c r="BBE8" s="484"/>
      <c r="BBF8" s="484"/>
      <c r="BBG8" s="484"/>
      <c r="BBH8" s="484"/>
      <c r="BBI8" s="484"/>
      <c r="BBJ8" s="484"/>
      <c r="BBK8" s="484"/>
      <c r="BBL8" s="484"/>
      <c r="BBM8" s="484"/>
      <c r="BBN8" s="484"/>
      <c r="BBO8" s="484"/>
      <c r="BBP8" s="484"/>
      <c r="BBQ8" s="484"/>
      <c r="BBR8" s="484"/>
      <c r="BBS8" s="484"/>
      <c r="BBT8" s="484"/>
      <c r="BBU8" s="484"/>
      <c r="BBV8" s="484"/>
      <c r="BBW8" s="484"/>
      <c r="BBX8" s="484"/>
      <c r="BBY8" s="484"/>
      <c r="BBZ8" s="484"/>
      <c r="BCA8" s="484"/>
      <c r="BCB8" s="484"/>
      <c r="BCC8" s="484"/>
      <c r="BCD8" s="484"/>
      <c r="BCE8" s="484"/>
      <c r="BCF8" s="484"/>
      <c r="BCG8" s="484"/>
      <c r="BCH8" s="484"/>
      <c r="BCI8" s="484"/>
      <c r="BCJ8" s="484"/>
      <c r="BCK8" s="484"/>
      <c r="BCL8" s="484"/>
      <c r="BCM8" s="484"/>
      <c r="BCN8" s="484"/>
      <c r="BCO8" s="484"/>
      <c r="BCP8" s="484"/>
      <c r="BCQ8" s="484"/>
      <c r="BCR8" s="484"/>
      <c r="BCS8" s="484"/>
      <c r="BCT8" s="484"/>
      <c r="BCU8" s="484"/>
      <c r="BCV8" s="484"/>
      <c r="BCW8" s="484"/>
      <c r="BCX8" s="484"/>
      <c r="BCY8" s="484"/>
      <c r="BCZ8" s="484"/>
      <c r="BDA8" s="484"/>
      <c r="BDB8" s="484"/>
      <c r="BDC8" s="484"/>
      <c r="BDD8" s="484"/>
      <c r="BDE8" s="484"/>
      <c r="BDF8" s="484"/>
      <c r="BDG8" s="484"/>
      <c r="BDH8" s="484"/>
      <c r="BDI8" s="484"/>
      <c r="BDJ8" s="484"/>
      <c r="BDK8" s="484"/>
      <c r="BDL8" s="484"/>
      <c r="BDM8" s="484"/>
      <c r="BDN8" s="484"/>
      <c r="BDO8" s="484"/>
      <c r="BDP8" s="484"/>
      <c r="BDQ8" s="484"/>
      <c r="BDR8" s="484"/>
      <c r="BDS8" s="484"/>
      <c r="BDT8" s="484"/>
      <c r="BDU8" s="484"/>
      <c r="BDV8" s="484"/>
      <c r="BDW8" s="484"/>
      <c r="BDX8" s="484"/>
      <c r="BDY8" s="484"/>
      <c r="BDZ8" s="484"/>
      <c r="BEA8" s="484"/>
      <c r="BEB8" s="484"/>
      <c r="BEC8" s="484"/>
      <c r="BED8" s="484"/>
      <c r="BEE8" s="484"/>
      <c r="BEF8" s="484"/>
      <c r="BEG8" s="484"/>
      <c r="BEH8" s="484"/>
      <c r="BEI8" s="484"/>
      <c r="BEJ8" s="484"/>
      <c r="BEK8" s="484"/>
      <c r="BEL8" s="484"/>
      <c r="BEM8" s="484"/>
      <c r="BEN8" s="484"/>
      <c r="BEO8" s="484"/>
      <c r="BEP8" s="484"/>
      <c r="BEQ8" s="484"/>
      <c r="BER8" s="484"/>
      <c r="BES8" s="484"/>
      <c r="BET8" s="484"/>
      <c r="BEU8" s="484"/>
      <c r="BEV8" s="484"/>
      <c r="BEW8" s="484"/>
      <c r="BEX8" s="484"/>
      <c r="BEY8" s="484"/>
      <c r="BEZ8" s="484"/>
      <c r="BFA8" s="484"/>
      <c r="BFB8" s="484"/>
      <c r="BFC8" s="484"/>
      <c r="BFD8" s="484"/>
      <c r="BFE8" s="484"/>
      <c r="BFF8" s="484"/>
      <c r="BFG8" s="484"/>
      <c r="BFH8" s="484"/>
      <c r="BFI8" s="484"/>
      <c r="BFJ8" s="484"/>
      <c r="BFK8" s="484"/>
      <c r="BFL8" s="484"/>
      <c r="BFM8" s="484"/>
      <c r="BFN8" s="484"/>
      <c r="BFO8" s="484"/>
      <c r="BFP8" s="484"/>
      <c r="BFQ8" s="484"/>
      <c r="BFR8" s="484"/>
      <c r="BFS8" s="484"/>
      <c r="BFT8" s="484"/>
      <c r="BFU8" s="484"/>
      <c r="BFV8" s="484"/>
      <c r="BFW8" s="484"/>
      <c r="BFX8" s="484"/>
      <c r="BFY8" s="484"/>
      <c r="BFZ8" s="484"/>
      <c r="BGA8" s="484"/>
      <c r="BGB8" s="484"/>
      <c r="BGC8" s="484"/>
      <c r="BGD8" s="484"/>
      <c r="BGE8" s="484"/>
      <c r="BGF8" s="484"/>
      <c r="BGG8" s="484"/>
      <c r="BGH8" s="484"/>
      <c r="BGI8" s="484"/>
      <c r="BGJ8" s="484"/>
      <c r="BGK8" s="484"/>
      <c r="BGL8" s="484"/>
      <c r="BGM8" s="484"/>
      <c r="BGN8" s="484"/>
      <c r="BGO8" s="484"/>
      <c r="BGP8" s="484"/>
      <c r="BGQ8" s="484"/>
      <c r="BGR8" s="484"/>
      <c r="BGS8" s="484"/>
      <c r="BGT8" s="484"/>
      <c r="BGU8" s="484"/>
      <c r="BGV8" s="484"/>
      <c r="BGW8" s="484"/>
      <c r="BGX8" s="484"/>
      <c r="BGY8" s="484"/>
      <c r="BGZ8" s="484"/>
      <c r="BHA8" s="484"/>
      <c r="BHB8" s="484"/>
      <c r="BHC8" s="484"/>
      <c r="BHD8" s="484"/>
      <c r="BHE8" s="484"/>
      <c r="BHF8" s="484"/>
      <c r="BHG8" s="484"/>
      <c r="BHH8" s="484"/>
      <c r="BHI8" s="484"/>
      <c r="BHJ8" s="484"/>
      <c r="BHK8" s="484"/>
      <c r="BHL8" s="484"/>
      <c r="BHM8" s="484"/>
      <c r="BHN8" s="484"/>
      <c r="BHO8" s="484"/>
      <c r="BHP8" s="484"/>
      <c r="BHQ8" s="484"/>
      <c r="BHR8" s="484"/>
      <c r="BHS8" s="484"/>
      <c r="BHT8" s="484"/>
      <c r="BHU8" s="484"/>
      <c r="BHV8" s="484"/>
      <c r="BHW8" s="484"/>
      <c r="BHX8" s="484"/>
      <c r="BHY8" s="484"/>
      <c r="BHZ8" s="484"/>
      <c r="BIA8" s="484"/>
      <c r="BIB8" s="484"/>
      <c r="BIC8" s="484"/>
      <c r="BID8" s="484"/>
      <c r="BIE8" s="484"/>
      <c r="BIF8" s="484"/>
      <c r="BIG8" s="484"/>
      <c r="BIH8" s="484"/>
      <c r="BII8" s="484"/>
      <c r="BIJ8" s="484"/>
      <c r="BIK8" s="484"/>
      <c r="BIL8" s="484"/>
      <c r="BIM8" s="484"/>
      <c r="BIN8" s="484"/>
      <c r="BIO8" s="484"/>
      <c r="BIP8" s="484"/>
      <c r="BIQ8" s="484"/>
      <c r="BIR8" s="484"/>
      <c r="BIS8" s="484"/>
      <c r="BIT8" s="484"/>
      <c r="BIU8" s="484"/>
      <c r="BIV8" s="484"/>
      <c r="BIW8" s="484"/>
      <c r="BIX8" s="484"/>
      <c r="BIY8" s="484"/>
      <c r="BIZ8" s="484"/>
      <c r="BJA8" s="484"/>
      <c r="BJB8" s="484"/>
      <c r="BJC8" s="484"/>
      <c r="BJD8" s="484"/>
      <c r="BJE8" s="484"/>
      <c r="BJF8" s="484"/>
      <c r="BJG8" s="484"/>
      <c r="BJH8" s="484"/>
      <c r="BJI8" s="484"/>
      <c r="BJJ8" s="484"/>
      <c r="BJK8" s="484"/>
      <c r="BJL8" s="484"/>
      <c r="BJM8" s="484"/>
      <c r="BJN8" s="484"/>
      <c r="BJO8" s="484"/>
      <c r="BJP8" s="484"/>
      <c r="BJQ8" s="484"/>
      <c r="BJR8" s="484"/>
      <c r="BJS8" s="484"/>
      <c r="BJT8" s="484"/>
      <c r="BJU8" s="484"/>
      <c r="BJV8" s="484"/>
      <c r="BJW8" s="484"/>
      <c r="BJX8" s="484"/>
      <c r="BJY8" s="484"/>
      <c r="BJZ8" s="484"/>
      <c r="BKA8" s="484"/>
      <c r="BKB8" s="484"/>
      <c r="BKC8" s="484"/>
      <c r="BKD8" s="484"/>
      <c r="BKE8" s="484"/>
      <c r="BKF8" s="484"/>
      <c r="BKG8" s="484"/>
      <c r="BKH8" s="484"/>
      <c r="BKI8" s="484"/>
      <c r="BKJ8" s="484"/>
      <c r="BKK8" s="484"/>
      <c r="BKL8" s="484"/>
      <c r="BKM8" s="484"/>
      <c r="BKN8" s="484"/>
      <c r="BKO8" s="484"/>
      <c r="BKP8" s="484"/>
      <c r="BKQ8" s="484"/>
      <c r="BKR8" s="484"/>
      <c r="BKS8" s="484"/>
      <c r="BKT8" s="484"/>
      <c r="BKU8" s="484"/>
      <c r="BKV8" s="484"/>
      <c r="BKW8" s="484"/>
      <c r="BKX8" s="484"/>
      <c r="BKY8" s="484"/>
      <c r="BKZ8" s="484"/>
      <c r="BLA8" s="484"/>
      <c r="BLB8" s="484"/>
      <c r="BLC8" s="484"/>
      <c r="BLD8" s="484"/>
      <c r="BLE8" s="484"/>
      <c r="BLF8" s="484"/>
      <c r="BLG8" s="484"/>
      <c r="BLH8" s="484"/>
      <c r="BLI8" s="484"/>
      <c r="BLJ8" s="484"/>
      <c r="BLK8" s="484"/>
      <c r="BLL8" s="484"/>
      <c r="BLM8" s="484"/>
      <c r="BLN8" s="484"/>
      <c r="BLO8" s="484"/>
      <c r="BLP8" s="484"/>
      <c r="BLQ8" s="484"/>
      <c r="BLR8" s="484"/>
      <c r="BLS8" s="484"/>
      <c r="BLT8" s="484"/>
      <c r="BLU8" s="484"/>
      <c r="BLV8" s="484"/>
      <c r="BLW8" s="484"/>
      <c r="BLX8" s="484"/>
      <c r="BLY8" s="484"/>
      <c r="BLZ8" s="484"/>
      <c r="BMA8" s="484"/>
      <c r="BMB8" s="484"/>
      <c r="BMC8" s="484"/>
      <c r="BMD8" s="484"/>
      <c r="BME8" s="484"/>
      <c r="BMF8" s="484"/>
      <c r="BMG8" s="484"/>
      <c r="BMH8" s="484"/>
      <c r="BMI8" s="484"/>
      <c r="BMJ8" s="484"/>
      <c r="BMK8" s="484"/>
      <c r="BML8" s="484"/>
      <c r="BMM8" s="484"/>
      <c r="BMN8" s="484"/>
      <c r="BMO8" s="484"/>
      <c r="BMP8" s="484"/>
      <c r="BMQ8" s="484"/>
      <c r="BMR8" s="484"/>
      <c r="BMS8" s="484"/>
      <c r="BMT8" s="484"/>
      <c r="BMU8" s="484"/>
      <c r="BMV8" s="484"/>
      <c r="BMW8" s="484"/>
      <c r="BMX8" s="484"/>
      <c r="BMY8" s="484"/>
      <c r="BMZ8" s="484"/>
      <c r="BNA8" s="484"/>
      <c r="BNB8" s="484"/>
      <c r="BNC8" s="484"/>
      <c r="BND8" s="484"/>
      <c r="BNE8" s="484"/>
      <c r="BNF8" s="484"/>
      <c r="BNG8" s="484"/>
      <c r="BNH8" s="484"/>
      <c r="BNI8" s="484"/>
      <c r="BNJ8" s="484"/>
      <c r="BNK8" s="484"/>
      <c r="BNL8" s="484"/>
      <c r="BNM8" s="484"/>
      <c r="BNN8" s="484"/>
      <c r="BNO8" s="484"/>
      <c r="BNP8" s="484"/>
      <c r="BNQ8" s="484"/>
      <c r="BNR8" s="484"/>
      <c r="BNS8" s="484"/>
      <c r="BNT8" s="484"/>
      <c r="BNU8" s="484"/>
      <c r="BNV8" s="484"/>
      <c r="BNW8" s="484"/>
      <c r="BNX8" s="484"/>
      <c r="BNY8" s="484"/>
      <c r="BNZ8" s="484"/>
      <c r="BOA8" s="484"/>
      <c r="BOB8" s="484"/>
      <c r="BOC8" s="484"/>
      <c r="BOD8" s="484"/>
      <c r="BOE8" s="484"/>
      <c r="BOF8" s="484"/>
      <c r="BOG8" s="484"/>
      <c r="BOH8" s="484"/>
      <c r="BOI8" s="484"/>
      <c r="BOJ8" s="484"/>
      <c r="BOK8" s="484"/>
      <c r="BOL8" s="484"/>
      <c r="BOM8" s="484"/>
      <c r="BON8" s="484"/>
      <c r="BOO8" s="484"/>
      <c r="BOP8" s="484"/>
      <c r="BOQ8" s="484"/>
      <c r="BOR8" s="484"/>
      <c r="BOS8" s="484"/>
      <c r="BOT8" s="484"/>
      <c r="BOU8" s="484"/>
      <c r="BOV8" s="484"/>
      <c r="BOW8" s="484"/>
      <c r="BOX8" s="484"/>
      <c r="BOY8" s="484"/>
      <c r="BOZ8" s="484"/>
      <c r="BPA8" s="484"/>
      <c r="BPB8" s="484"/>
      <c r="BPC8" s="484"/>
      <c r="BPD8" s="484"/>
      <c r="BPE8" s="484"/>
      <c r="BPF8" s="484"/>
      <c r="BPG8" s="484"/>
      <c r="BPH8" s="484"/>
      <c r="BPI8" s="484"/>
      <c r="BPJ8" s="484"/>
      <c r="BPK8" s="484"/>
      <c r="BPL8" s="484"/>
      <c r="BPM8" s="484"/>
      <c r="BPN8" s="484"/>
      <c r="BPO8" s="484"/>
      <c r="BPP8" s="484"/>
      <c r="BPQ8" s="484"/>
      <c r="BPR8" s="484"/>
      <c r="BPS8" s="484"/>
      <c r="BPT8" s="484"/>
      <c r="BPU8" s="484"/>
      <c r="BPV8" s="484"/>
      <c r="BPW8" s="484"/>
      <c r="BPX8" s="484"/>
      <c r="BPY8" s="484"/>
      <c r="BPZ8" s="484"/>
      <c r="BQA8" s="484"/>
      <c r="BQB8" s="484"/>
      <c r="BQC8" s="484"/>
      <c r="BQD8" s="484"/>
      <c r="BQE8" s="484"/>
      <c r="BQF8" s="484"/>
      <c r="BQG8" s="484"/>
      <c r="BQH8" s="484"/>
      <c r="BQI8" s="484"/>
      <c r="BQJ8" s="484"/>
      <c r="BQK8" s="484"/>
      <c r="BQL8" s="484"/>
      <c r="BQM8" s="484"/>
      <c r="BQN8" s="484"/>
      <c r="BQO8" s="484"/>
      <c r="BQP8" s="484"/>
      <c r="BQQ8" s="484"/>
      <c r="BQR8" s="484"/>
      <c r="BQS8" s="484"/>
      <c r="BQT8" s="484"/>
      <c r="BQU8" s="484"/>
      <c r="BQV8" s="484"/>
      <c r="BQW8" s="484"/>
      <c r="BQX8" s="484"/>
      <c r="BQY8" s="484"/>
      <c r="BQZ8" s="484"/>
      <c r="BRA8" s="484"/>
      <c r="BRB8" s="484"/>
      <c r="BRC8" s="484"/>
      <c r="BRD8" s="484"/>
      <c r="BRE8" s="484"/>
      <c r="BRF8" s="484"/>
      <c r="BRG8" s="484"/>
      <c r="BRH8" s="484"/>
      <c r="BRI8" s="484"/>
      <c r="BRJ8" s="484"/>
      <c r="BRK8" s="484"/>
      <c r="BRL8" s="484"/>
      <c r="BRM8" s="484"/>
      <c r="BRN8" s="484"/>
      <c r="BRO8" s="484"/>
      <c r="BRP8" s="484"/>
      <c r="BRQ8" s="484"/>
      <c r="BRR8" s="484"/>
      <c r="BRS8" s="484"/>
      <c r="BRT8" s="484"/>
      <c r="BRU8" s="484"/>
      <c r="BRV8" s="484"/>
      <c r="BRW8" s="484"/>
      <c r="BRX8" s="484"/>
      <c r="BRY8" s="484"/>
      <c r="BRZ8" s="484"/>
      <c r="BSA8" s="484"/>
      <c r="BSB8" s="484"/>
      <c r="BSC8" s="484"/>
      <c r="BSD8" s="484"/>
      <c r="BSE8" s="484"/>
      <c r="BSF8" s="484"/>
      <c r="BSG8" s="484"/>
      <c r="BSH8" s="484"/>
      <c r="BSI8" s="484"/>
      <c r="BSJ8" s="484"/>
      <c r="BSK8" s="484"/>
      <c r="BSL8" s="484"/>
      <c r="BSM8" s="484"/>
      <c r="BSN8" s="484"/>
      <c r="BSO8" s="484"/>
      <c r="BSP8" s="484"/>
      <c r="BSQ8" s="484"/>
      <c r="BSR8" s="484"/>
      <c r="BSS8" s="484"/>
      <c r="BST8" s="484"/>
      <c r="BSU8" s="484"/>
      <c r="BSV8" s="484"/>
      <c r="BSW8" s="484"/>
      <c r="BSX8" s="484"/>
      <c r="BSY8" s="484"/>
      <c r="BSZ8" s="484"/>
      <c r="BTA8" s="484"/>
      <c r="BTB8" s="484"/>
      <c r="BTC8" s="484"/>
      <c r="BTD8" s="484"/>
      <c r="BTE8" s="484"/>
      <c r="BTF8" s="484"/>
      <c r="BTG8" s="484"/>
      <c r="BTH8" s="484"/>
      <c r="BTI8" s="484"/>
      <c r="BTJ8" s="484"/>
      <c r="BTK8" s="484"/>
      <c r="BTL8" s="484"/>
      <c r="BTM8" s="484"/>
      <c r="BTN8" s="484"/>
      <c r="BTO8" s="484"/>
      <c r="BTP8" s="484"/>
      <c r="BTQ8" s="484"/>
      <c r="BTR8" s="484"/>
      <c r="BTS8" s="484"/>
      <c r="BTT8" s="484"/>
      <c r="BTU8" s="484"/>
      <c r="BTV8" s="484"/>
      <c r="BTW8" s="484"/>
      <c r="BTX8" s="484"/>
      <c r="BTY8" s="484"/>
      <c r="BTZ8" s="484"/>
      <c r="BUA8" s="484"/>
      <c r="BUB8" s="484"/>
      <c r="BUC8" s="484"/>
      <c r="BUD8" s="484"/>
      <c r="BUE8" s="484"/>
      <c r="BUF8" s="484"/>
      <c r="BUG8" s="484"/>
      <c r="BUH8" s="484"/>
      <c r="BUI8" s="484"/>
      <c r="BUJ8" s="484"/>
      <c r="BUK8" s="484"/>
      <c r="BUL8" s="484"/>
      <c r="BUM8" s="484"/>
      <c r="BUN8" s="484"/>
      <c r="BUO8" s="484"/>
      <c r="BUP8" s="484"/>
      <c r="BUQ8" s="484"/>
      <c r="BUR8" s="484"/>
      <c r="BUS8" s="484"/>
      <c r="BUT8" s="484"/>
      <c r="BUU8" s="484"/>
      <c r="BUV8" s="484"/>
      <c r="BUW8" s="484"/>
      <c r="BUX8" s="484"/>
      <c r="BUY8" s="484"/>
      <c r="BUZ8" s="484"/>
      <c r="BVA8" s="484"/>
      <c r="BVB8" s="484"/>
      <c r="BVC8" s="484"/>
      <c r="BVD8" s="484"/>
      <c r="BVE8" s="484"/>
      <c r="BVF8" s="484"/>
      <c r="BVG8" s="484"/>
      <c r="BVH8" s="484"/>
      <c r="BVI8" s="484"/>
      <c r="BVJ8" s="484"/>
      <c r="BVK8" s="484"/>
      <c r="BVL8" s="484"/>
      <c r="BVM8" s="484"/>
      <c r="BVN8" s="484"/>
      <c r="BVO8" s="484"/>
      <c r="BVP8" s="484"/>
      <c r="BVQ8" s="484"/>
      <c r="BVR8" s="484"/>
      <c r="BVS8" s="484"/>
      <c r="BVT8" s="484"/>
      <c r="BVU8" s="484"/>
      <c r="BVV8" s="484"/>
      <c r="BVW8" s="484"/>
      <c r="BVX8" s="484"/>
      <c r="BVY8" s="484"/>
      <c r="BVZ8" s="484"/>
      <c r="BWA8" s="484"/>
      <c r="BWB8" s="484"/>
      <c r="BWC8" s="484"/>
      <c r="BWD8" s="484"/>
      <c r="BWE8" s="484"/>
      <c r="BWF8" s="484"/>
      <c r="BWG8" s="484"/>
      <c r="BWH8" s="484"/>
      <c r="BWI8" s="484"/>
      <c r="BWJ8" s="484"/>
      <c r="BWK8" s="484"/>
      <c r="BWL8" s="484"/>
      <c r="BWM8" s="484"/>
      <c r="BWN8" s="484"/>
      <c r="BWO8" s="484"/>
      <c r="BWP8" s="484"/>
      <c r="BWQ8" s="484"/>
      <c r="BWR8" s="484"/>
      <c r="BWS8" s="484"/>
      <c r="BWT8" s="484"/>
      <c r="BWU8" s="484"/>
      <c r="BWV8" s="484"/>
      <c r="BWW8" s="484"/>
      <c r="BWX8" s="484"/>
      <c r="BWY8" s="484"/>
      <c r="BWZ8" s="484"/>
      <c r="BXA8" s="484"/>
      <c r="BXB8" s="484"/>
      <c r="BXC8" s="484"/>
      <c r="BXD8" s="484"/>
      <c r="BXE8" s="484"/>
      <c r="BXF8" s="484"/>
      <c r="BXG8" s="484"/>
      <c r="BXH8" s="484"/>
      <c r="BXI8" s="484"/>
      <c r="BXJ8" s="484"/>
      <c r="BXK8" s="484"/>
      <c r="BXL8" s="484"/>
      <c r="BXM8" s="484"/>
      <c r="BXN8" s="484"/>
      <c r="BXO8" s="484"/>
      <c r="BXP8" s="484"/>
      <c r="BXQ8" s="484"/>
      <c r="BXR8" s="484"/>
      <c r="BXS8" s="484"/>
      <c r="BXT8" s="484"/>
      <c r="BXU8" s="484"/>
      <c r="BXV8" s="484"/>
      <c r="BXW8" s="484"/>
      <c r="BXX8" s="484"/>
      <c r="BXY8" s="484"/>
      <c r="BXZ8" s="484"/>
      <c r="BYA8" s="484"/>
      <c r="BYB8" s="484"/>
      <c r="BYC8" s="484"/>
      <c r="BYD8" s="484"/>
      <c r="BYE8" s="484"/>
      <c r="BYF8" s="484"/>
      <c r="BYG8" s="484"/>
      <c r="BYH8" s="484"/>
      <c r="BYI8" s="484"/>
      <c r="BYJ8" s="484"/>
      <c r="BYK8" s="484"/>
      <c r="BYL8" s="484"/>
      <c r="BYM8" s="484"/>
      <c r="BYN8" s="484"/>
      <c r="BYO8" s="484"/>
      <c r="BYP8" s="484"/>
      <c r="BYQ8" s="484"/>
      <c r="BYR8" s="484"/>
      <c r="BYS8" s="484"/>
      <c r="BYT8" s="484"/>
      <c r="BYU8" s="484"/>
      <c r="BYV8" s="484"/>
      <c r="BYW8" s="484"/>
      <c r="BYX8" s="484"/>
      <c r="BYY8" s="484"/>
      <c r="BYZ8" s="484"/>
      <c r="BZA8" s="484"/>
      <c r="BZB8" s="484"/>
      <c r="BZC8" s="484"/>
      <c r="BZD8" s="484"/>
      <c r="BZE8" s="484"/>
      <c r="BZF8" s="484"/>
      <c r="BZG8" s="484"/>
      <c r="BZH8" s="484"/>
      <c r="BZI8" s="484"/>
      <c r="BZJ8" s="484"/>
      <c r="BZK8" s="484"/>
      <c r="BZL8" s="484"/>
      <c r="BZM8" s="484"/>
      <c r="BZN8" s="484"/>
      <c r="BZO8" s="484"/>
      <c r="BZP8" s="484"/>
      <c r="BZQ8" s="484"/>
      <c r="BZR8" s="484"/>
      <c r="BZS8" s="484"/>
      <c r="BZT8" s="484"/>
      <c r="BZU8" s="484"/>
      <c r="BZV8" s="484"/>
      <c r="BZW8" s="484"/>
      <c r="BZX8" s="484"/>
      <c r="BZY8" s="484"/>
      <c r="BZZ8" s="484"/>
      <c r="CAA8" s="484"/>
      <c r="CAB8" s="484"/>
      <c r="CAC8" s="484"/>
      <c r="CAD8" s="484"/>
      <c r="CAE8" s="484"/>
      <c r="CAF8" s="484"/>
      <c r="CAG8" s="484"/>
      <c r="CAH8" s="484"/>
      <c r="CAI8" s="484"/>
      <c r="CAJ8" s="484"/>
      <c r="CAK8" s="484"/>
      <c r="CAL8" s="484"/>
      <c r="CAM8" s="484"/>
      <c r="CAN8" s="484"/>
      <c r="CAO8" s="484"/>
      <c r="CAP8" s="484"/>
      <c r="CAQ8" s="484"/>
      <c r="CAR8" s="484"/>
      <c r="CAS8" s="484"/>
      <c r="CAT8" s="484"/>
      <c r="CAU8" s="484"/>
      <c r="CAV8" s="484"/>
      <c r="CAW8" s="484"/>
      <c r="CAX8" s="484"/>
      <c r="CAY8" s="484"/>
      <c r="CAZ8" s="484"/>
      <c r="CBA8" s="484"/>
      <c r="CBB8" s="484"/>
      <c r="CBC8" s="484"/>
      <c r="CBD8" s="484"/>
      <c r="CBE8" s="484"/>
      <c r="CBF8" s="484"/>
      <c r="CBG8" s="484"/>
      <c r="CBH8" s="484"/>
      <c r="CBI8" s="484"/>
      <c r="CBJ8" s="484"/>
      <c r="CBK8" s="484"/>
      <c r="CBL8" s="484"/>
      <c r="CBM8" s="484"/>
      <c r="CBN8" s="484"/>
      <c r="CBO8" s="484"/>
      <c r="CBP8" s="484"/>
      <c r="CBQ8" s="484"/>
      <c r="CBR8" s="484"/>
      <c r="CBS8" s="484"/>
      <c r="CBT8" s="484"/>
      <c r="CBU8" s="484"/>
      <c r="CBV8" s="484"/>
      <c r="CBW8" s="484"/>
      <c r="CBX8" s="484"/>
      <c r="CBY8" s="484"/>
      <c r="CBZ8" s="484"/>
      <c r="CCA8" s="484"/>
      <c r="CCB8" s="484"/>
      <c r="CCC8" s="484"/>
      <c r="CCD8" s="484"/>
      <c r="CCE8" s="484"/>
      <c r="CCF8" s="484"/>
      <c r="CCG8" s="484"/>
      <c r="CCH8" s="484"/>
      <c r="CCI8" s="484"/>
      <c r="CCJ8" s="484"/>
      <c r="CCK8" s="484"/>
      <c r="CCL8" s="484"/>
      <c r="CCM8" s="484"/>
      <c r="CCN8" s="484"/>
      <c r="CCO8" s="484"/>
      <c r="CCP8" s="484"/>
      <c r="CCQ8" s="484"/>
      <c r="CCR8" s="484"/>
      <c r="CCS8" s="484"/>
      <c r="CCT8" s="484"/>
      <c r="CCU8" s="484"/>
      <c r="CCV8" s="484"/>
      <c r="CCW8" s="484"/>
      <c r="CCX8" s="484"/>
      <c r="CCY8" s="484"/>
      <c r="CCZ8" s="484"/>
      <c r="CDA8" s="484"/>
      <c r="CDB8" s="484"/>
      <c r="CDC8" s="484"/>
      <c r="CDD8" s="484"/>
      <c r="CDE8" s="484"/>
      <c r="CDF8" s="484"/>
      <c r="CDG8" s="484"/>
      <c r="CDH8" s="484"/>
      <c r="CDI8" s="484"/>
      <c r="CDJ8" s="484"/>
      <c r="CDK8" s="484"/>
      <c r="CDL8" s="484"/>
      <c r="CDM8" s="484"/>
      <c r="CDN8" s="484"/>
      <c r="CDO8" s="484"/>
      <c r="CDP8" s="484"/>
      <c r="CDQ8" s="484"/>
      <c r="CDR8" s="484"/>
      <c r="CDS8" s="484"/>
      <c r="CDT8" s="484"/>
      <c r="CDU8" s="484"/>
      <c r="CDV8" s="484"/>
      <c r="CDW8" s="484"/>
      <c r="CDX8" s="484"/>
      <c r="CDY8" s="484"/>
      <c r="CDZ8" s="484"/>
      <c r="CEA8" s="484"/>
      <c r="CEB8" s="484"/>
      <c r="CEC8" s="484"/>
      <c r="CED8" s="484"/>
      <c r="CEE8" s="484"/>
      <c r="CEF8" s="484"/>
      <c r="CEG8" s="484"/>
      <c r="CEH8" s="484"/>
      <c r="CEI8" s="484"/>
      <c r="CEJ8" s="484"/>
      <c r="CEK8" s="484"/>
      <c r="CEL8" s="484"/>
      <c r="CEM8" s="484"/>
      <c r="CEN8" s="484"/>
      <c r="CEO8" s="484"/>
      <c r="CEP8" s="484"/>
      <c r="CEQ8" s="484"/>
      <c r="CER8" s="484"/>
      <c r="CES8" s="484"/>
      <c r="CET8" s="484"/>
      <c r="CEU8" s="484"/>
      <c r="CEV8" s="484"/>
      <c r="CEW8" s="484"/>
      <c r="CEX8" s="484"/>
      <c r="CEY8" s="484"/>
      <c r="CEZ8" s="484"/>
      <c r="CFA8" s="484"/>
      <c r="CFB8" s="484"/>
      <c r="CFC8" s="484"/>
      <c r="CFD8" s="484"/>
      <c r="CFE8" s="484"/>
      <c r="CFF8" s="484"/>
      <c r="CFG8" s="484"/>
      <c r="CFH8" s="484"/>
      <c r="CFI8" s="484"/>
      <c r="CFJ8" s="484"/>
      <c r="CFK8" s="484"/>
      <c r="CFL8" s="484"/>
      <c r="CFM8" s="484"/>
      <c r="CFN8" s="484"/>
      <c r="CFO8" s="484"/>
      <c r="CFP8" s="484"/>
      <c r="CFQ8" s="484"/>
      <c r="CFR8" s="484"/>
      <c r="CFS8" s="484"/>
      <c r="CFT8" s="484"/>
      <c r="CFU8" s="484"/>
      <c r="CFV8" s="484"/>
      <c r="CFW8" s="484"/>
      <c r="CFX8" s="484"/>
      <c r="CFY8" s="484"/>
      <c r="CFZ8" s="484"/>
      <c r="CGA8" s="484"/>
      <c r="CGB8" s="484"/>
      <c r="CGC8" s="484"/>
      <c r="CGD8" s="484"/>
      <c r="CGE8" s="484"/>
      <c r="CGF8" s="484"/>
      <c r="CGG8" s="484"/>
      <c r="CGH8" s="484"/>
      <c r="CGI8" s="484"/>
      <c r="CGJ8" s="484"/>
      <c r="CGK8" s="484"/>
      <c r="CGL8" s="484"/>
      <c r="CGM8" s="484"/>
      <c r="CGN8" s="484"/>
      <c r="CGO8" s="484"/>
      <c r="CGP8" s="484"/>
      <c r="CGQ8" s="484"/>
      <c r="CGR8" s="484"/>
      <c r="CGS8" s="484"/>
      <c r="CGT8" s="484"/>
      <c r="CGU8" s="484"/>
      <c r="CGV8" s="484"/>
      <c r="CGW8" s="484"/>
      <c r="CGX8" s="484"/>
      <c r="CGY8" s="484"/>
      <c r="CGZ8" s="484"/>
      <c r="CHA8" s="484"/>
      <c r="CHB8" s="484"/>
      <c r="CHC8" s="484"/>
      <c r="CHD8" s="484"/>
      <c r="CHE8" s="484"/>
      <c r="CHF8" s="484"/>
      <c r="CHG8" s="484"/>
      <c r="CHH8" s="484"/>
      <c r="CHI8" s="484"/>
      <c r="CHJ8" s="484"/>
      <c r="CHK8" s="484"/>
      <c r="CHL8" s="484"/>
      <c r="CHM8" s="484"/>
      <c r="CHN8" s="484"/>
      <c r="CHO8" s="484"/>
      <c r="CHP8" s="484"/>
      <c r="CHQ8" s="484"/>
      <c r="CHR8" s="484"/>
      <c r="CHS8" s="484"/>
      <c r="CHT8" s="484"/>
      <c r="CHU8" s="484"/>
      <c r="CHV8" s="484"/>
      <c r="CHW8" s="484"/>
      <c r="CHX8" s="484"/>
      <c r="CHY8" s="484"/>
      <c r="CHZ8" s="484"/>
      <c r="CIA8" s="484"/>
      <c r="CIB8" s="484"/>
      <c r="CIC8" s="484"/>
      <c r="CID8" s="484"/>
      <c r="CIE8" s="484"/>
      <c r="CIF8" s="484"/>
      <c r="CIG8" s="484"/>
      <c r="CIH8" s="484"/>
      <c r="CII8" s="484"/>
      <c r="CIJ8" s="484"/>
      <c r="CIK8" s="484"/>
      <c r="CIL8" s="484"/>
      <c r="CIM8" s="484"/>
      <c r="CIN8" s="484"/>
      <c r="CIO8" s="484"/>
      <c r="CIP8" s="484"/>
      <c r="CIQ8" s="484"/>
      <c r="CIR8" s="484"/>
      <c r="CIS8" s="484"/>
      <c r="CIT8" s="484"/>
      <c r="CIU8" s="484"/>
      <c r="CIV8" s="484"/>
      <c r="CIW8" s="484"/>
      <c r="CIX8" s="484"/>
      <c r="CIY8" s="484"/>
      <c r="CIZ8" s="484"/>
      <c r="CJA8" s="484"/>
      <c r="CJB8" s="484"/>
      <c r="CJC8" s="484"/>
      <c r="CJD8" s="484"/>
      <c r="CJE8" s="484"/>
      <c r="CJF8" s="484"/>
      <c r="CJG8" s="484"/>
      <c r="CJH8" s="484"/>
      <c r="CJI8" s="484"/>
      <c r="CJJ8" s="484"/>
      <c r="CJK8" s="484"/>
      <c r="CJL8" s="484"/>
      <c r="CJM8" s="484"/>
      <c r="CJN8" s="484"/>
      <c r="CJO8" s="484"/>
      <c r="CJP8" s="484"/>
      <c r="CJQ8" s="484"/>
      <c r="CJR8" s="484"/>
      <c r="CJS8" s="484"/>
      <c r="CJT8" s="484"/>
      <c r="CJU8" s="484"/>
      <c r="CJV8" s="484"/>
      <c r="CJW8" s="484"/>
      <c r="CJX8" s="484"/>
      <c r="CJY8" s="484"/>
      <c r="CJZ8" s="484"/>
      <c r="CKA8" s="484"/>
      <c r="CKB8" s="484"/>
      <c r="CKC8" s="484"/>
      <c r="CKD8" s="484"/>
      <c r="CKE8" s="484"/>
      <c r="CKF8" s="484"/>
      <c r="CKG8" s="484"/>
      <c r="CKH8" s="484"/>
      <c r="CKI8" s="484"/>
      <c r="CKJ8" s="484"/>
      <c r="CKK8" s="484"/>
      <c r="CKL8" s="484"/>
      <c r="CKM8" s="484"/>
      <c r="CKN8" s="484"/>
      <c r="CKO8" s="484"/>
      <c r="CKP8" s="484"/>
      <c r="CKQ8" s="484"/>
      <c r="CKR8" s="484"/>
      <c r="CKS8" s="484"/>
      <c r="CKT8" s="484"/>
      <c r="CKU8" s="484"/>
      <c r="CKV8" s="484"/>
      <c r="CKW8" s="484"/>
      <c r="CKX8" s="484"/>
      <c r="CKY8" s="484"/>
      <c r="CKZ8" s="484"/>
      <c r="CLA8" s="484"/>
      <c r="CLB8" s="484"/>
      <c r="CLC8" s="484"/>
      <c r="CLD8" s="484"/>
      <c r="CLE8" s="484"/>
      <c r="CLF8" s="484"/>
      <c r="CLG8" s="484"/>
      <c r="CLH8" s="484"/>
      <c r="CLI8" s="484"/>
      <c r="CLJ8" s="484"/>
      <c r="CLK8" s="484"/>
      <c r="CLL8" s="484"/>
      <c r="CLM8" s="484"/>
      <c r="CLN8" s="484"/>
      <c r="CLO8" s="484"/>
      <c r="CLP8" s="484"/>
      <c r="CLQ8" s="484"/>
      <c r="CLR8" s="484"/>
      <c r="CLS8" s="484"/>
      <c r="CLT8" s="484"/>
      <c r="CLU8" s="484"/>
      <c r="CLV8" s="484"/>
      <c r="CLW8" s="484"/>
      <c r="CLX8" s="484"/>
      <c r="CLY8" s="484"/>
      <c r="CLZ8" s="484"/>
      <c r="CMA8" s="484"/>
      <c r="CMB8" s="484"/>
      <c r="CMC8" s="484"/>
      <c r="CMD8" s="484"/>
      <c r="CME8" s="484"/>
      <c r="CMF8" s="484"/>
      <c r="CMG8" s="484"/>
      <c r="CMH8" s="484"/>
      <c r="CMI8" s="484"/>
      <c r="CMJ8" s="484"/>
      <c r="CMK8" s="484"/>
      <c r="CML8" s="484"/>
      <c r="CMM8" s="484"/>
      <c r="CMN8" s="484"/>
      <c r="CMO8" s="484"/>
      <c r="CMP8" s="484"/>
      <c r="CMQ8" s="484"/>
      <c r="CMR8" s="484"/>
      <c r="CMS8" s="484"/>
      <c r="CMT8" s="484"/>
      <c r="CMU8" s="484"/>
      <c r="CMV8" s="484"/>
      <c r="CMW8" s="484"/>
      <c r="CMX8" s="484"/>
      <c r="CMY8" s="484"/>
      <c r="CMZ8" s="484"/>
      <c r="CNA8" s="484"/>
      <c r="CNB8" s="484"/>
      <c r="CNC8" s="484"/>
      <c r="CND8" s="484"/>
      <c r="CNE8" s="484"/>
      <c r="CNF8" s="484"/>
      <c r="CNG8" s="484"/>
      <c r="CNH8" s="484"/>
      <c r="CNI8" s="484"/>
      <c r="CNJ8" s="484"/>
      <c r="CNK8" s="484"/>
      <c r="CNL8" s="484"/>
      <c r="CNM8" s="484"/>
      <c r="CNN8" s="484"/>
      <c r="CNO8" s="484"/>
      <c r="CNP8" s="484"/>
      <c r="CNQ8" s="484"/>
      <c r="CNR8" s="484"/>
      <c r="CNS8" s="484"/>
      <c r="CNT8" s="484"/>
      <c r="CNU8" s="484"/>
      <c r="CNV8" s="484"/>
      <c r="CNW8" s="484"/>
      <c r="CNX8" s="484"/>
      <c r="CNY8" s="484"/>
      <c r="CNZ8" s="484"/>
      <c r="COA8" s="484"/>
      <c r="COB8" s="484"/>
      <c r="COC8" s="484"/>
      <c r="COD8" s="484"/>
      <c r="COE8" s="484"/>
      <c r="COF8" s="484"/>
      <c r="COG8" s="484"/>
      <c r="COH8" s="484"/>
      <c r="COI8" s="484"/>
      <c r="COJ8" s="484"/>
      <c r="COK8" s="484"/>
      <c r="COL8" s="484"/>
      <c r="COM8" s="484"/>
      <c r="CON8" s="484"/>
      <c r="COO8" s="484"/>
      <c r="COP8" s="484"/>
      <c r="COQ8" s="484"/>
      <c r="COR8" s="484"/>
      <c r="COS8" s="484"/>
      <c r="COT8" s="484"/>
      <c r="COU8" s="484"/>
      <c r="COV8" s="484"/>
      <c r="COW8" s="484"/>
      <c r="COX8" s="484"/>
      <c r="COY8" s="484"/>
      <c r="COZ8" s="484"/>
      <c r="CPA8" s="484"/>
      <c r="CPB8" s="484"/>
      <c r="CPC8" s="484"/>
      <c r="CPD8" s="484"/>
      <c r="CPE8" s="484"/>
      <c r="CPF8" s="484"/>
      <c r="CPG8" s="484"/>
      <c r="CPH8" s="484"/>
      <c r="CPI8" s="484"/>
      <c r="CPJ8" s="484"/>
      <c r="CPK8" s="484"/>
      <c r="CPL8" s="484"/>
      <c r="CPM8" s="484"/>
      <c r="CPN8" s="484"/>
      <c r="CPO8" s="484"/>
      <c r="CPP8" s="484"/>
      <c r="CPQ8" s="484"/>
      <c r="CPR8" s="484"/>
      <c r="CPS8" s="484"/>
      <c r="CPT8" s="484"/>
      <c r="CPU8" s="484"/>
      <c r="CPV8" s="484"/>
      <c r="CPW8" s="484"/>
      <c r="CPX8" s="484"/>
      <c r="CPY8" s="484"/>
      <c r="CPZ8" s="484"/>
      <c r="CQA8" s="484"/>
      <c r="CQB8" s="484"/>
      <c r="CQC8" s="484"/>
      <c r="CQD8" s="484"/>
      <c r="CQE8" s="484"/>
      <c r="CQF8" s="484"/>
      <c r="CQG8" s="484"/>
      <c r="CQH8" s="484"/>
      <c r="CQI8" s="484"/>
      <c r="CQJ8" s="484"/>
      <c r="CQK8" s="484"/>
      <c r="CQL8" s="484"/>
      <c r="CQM8" s="484"/>
      <c r="CQN8" s="484"/>
      <c r="CQO8" s="484"/>
      <c r="CQP8" s="484"/>
      <c r="CQQ8" s="484"/>
      <c r="CQR8" s="484"/>
      <c r="CQS8" s="484"/>
      <c r="CQT8" s="484"/>
      <c r="CQU8" s="484"/>
      <c r="CQV8" s="484"/>
      <c r="CQW8" s="484"/>
      <c r="CQX8" s="484"/>
      <c r="CQY8" s="484"/>
      <c r="CQZ8" s="484"/>
      <c r="CRA8" s="484"/>
      <c r="CRB8" s="484"/>
      <c r="CRC8" s="484"/>
      <c r="CRD8" s="484"/>
      <c r="CRE8" s="484"/>
      <c r="CRF8" s="484"/>
      <c r="CRG8" s="484"/>
      <c r="CRH8" s="484"/>
      <c r="CRI8" s="484"/>
      <c r="CRJ8" s="484"/>
      <c r="CRK8" s="484"/>
      <c r="CRL8" s="484"/>
      <c r="CRM8" s="484"/>
      <c r="CRN8" s="484"/>
      <c r="CRO8" s="484"/>
      <c r="CRP8" s="484"/>
      <c r="CRQ8" s="484"/>
      <c r="CRR8" s="484"/>
      <c r="CRS8" s="484"/>
      <c r="CRT8" s="484"/>
      <c r="CRU8" s="484"/>
      <c r="CRV8" s="484"/>
      <c r="CRW8" s="484"/>
      <c r="CRX8" s="484"/>
      <c r="CRY8" s="484"/>
      <c r="CRZ8" s="484"/>
      <c r="CSA8" s="484"/>
      <c r="CSB8" s="484"/>
      <c r="CSC8" s="484"/>
      <c r="CSD8" s="484"/>
      <c r="CSE8" s="484"/>
      <c r="CSF8" s="484"/>
      <c r="CSG8" s="484"/>
      <c r="CSH8" s="484"/>
      <c r="CSI8" s="484"/>
      <c r="CSJ8" s="484"/>
      <c r="CSK8" s="484"/>
      <c r="CSL8" s="484"/>
      <c r="CSM8" s="484"/>
      <c r="CSN8" s="484"/>
      <c r="CSO8" s="484"/>
      <c r="CSP8" s="484"/>
      <c r="CSQ8" s="484"/>
      <c r="CSR8" s="484"/>
      <c r="CSS8" s="484"/>
      <c r="CST8" s="484"/>
      <c r="CSU8" s="484"/>
      <c r="CSV8" s="484"/>
      <c r="CSW8" s="484"/>
      <c r="CSX8" s="484"/>
      <c r="CSY8" s="484"/>
      <c r="CSZ8" s="484"/>
      <c r="CTA8" s="484"/>
      <c r="CTB8" s="484"/>
      <c r="CTC8" s="484"/>
      <c r="CTD8" s="484"/>
      <c r="CTE8" s="484"/>
      <c r="CTF8" s="484"/>
      <c r="CTG8" s="484"/>
      <c r="CTH8" s="484"/>
      <c r="CTI8" s="484"/>
      <c r="CTJ8" s="484"/>
      <c r="CTK8" s="484"/>
      <c r="CTL8" s="484"/>
      <c r="CTM8" s="484"/>
      <c r="CTN8" s="484"/>
      <c r="CTO8" s="484"/>
      <c r="CTP8" s="484"/>
      <c r="CTQ8" s="484"/>
      <c r="CTR8" s="484"/>
      <c r="CTS8" s="484"/>
      <c r="CTT8" s="484"/>
      <c r="CTU8" s="484"/>
      <c r="CTV8" s="484"/>
      <c r="CTW8" s="484"/>
      <c r="CTX8" s="484"/>
      <c r="CTY8" s="484"/>
      <c r="CTZ8" s="484"/>
      <c r="CUA8" s="484"/>
      <c r="CUB8" s="484"/>
      <c r="CUC8" s="484"/>
      <c r="CUD8" s="484"/>
      <c r="CUE8" s="484"/>
      <c r="CUF8" s="484"/>
      <c r="CUG8" s="484"/>
      <c r="CUH8" s="484"/>
      <c r="CUI8" s="484"/>
      <c r="CUJ8" s="484"/>
      <c r="CUK8" s="484"/>
      <c r="CUL8" s="484"/>
      <c r="CUM8" s="484"/>
      <c r="CUN8" s="484"/>
      <c r="CUO8" s="484"/>
      <c r="CUP8" s="484"/>
      <c r="CUQ8" s="484"/>
      <c r="CUR8" s="484"/>
      <c r="CUS8" s="484"/>
      <c r="CUT8" s="484"/>
      <c r="CUU8" s="484"/>
      <c r="CUV8" s="484"/>
      <c r="CUW8" s="484"/>
      <c r="CUX8" s="484"/>
      <c r="CUY8" s="484"/>
      <c r="CUZ8" s="484"/>
      <c r="CVA8" s="484"/>
      <c r="CVB8" s="484"/>
      <c r="CVC8" s="484"/>
      <c r="CVD8" s="484"/>
      <c r="CVE8" s="484"/>
      <c r="CVF8" s="484"/>
      <c r="CVG8" s="484"/>
      <c r="CVH8" s="484"/>
      <c r="CVI8" s="484"/>
      <c r="CVJ8" s="484"/>
      <c r="CVK8" s="484"/>
      <c r="CVL8" s="484"/>
      <c r="CVM8" s="484"/>
      <c r="CVN8" s="484"/>
      <c r="CVO8" s="484"/>
      <c r="CVP8" s="484"/>
      <c r="CVQ8" s="484"/>
      <c r="CVR8" s="484"/>
      <c r="CVS8" s="484"/>
      <c r="CVT8" s="484"/>
      <c r="CVU8" s="484"/>
      <c r="CVV8" s="484"/>
      <c r="CVW8" s="484"/>
      <c r="CVX8" s="484"/>
      <c r="CVY8" s="484"/>
      <c r="CVZ8" s="484"/>
      <c r="CWA8" s="484"/>
      <c r="CWB8" s="484"/>
      <c r="CWC8" s="484"/>
      <c r="CWD8" s="484"/>
      <c r="CWE8" s="484"/>
      <c r="CWF8" s="484"/>
      <c r="CWG8" s="484"/>
      <c r="CWH8" s="484"/>
      <c r="CWI8" s="484"/>
      <c r="CWJ8" s="484"/>
      <c r="CWK8" s="484"/>
      <c r="CWL8" s="484"/>
      <c r="CWM8" s="484"/>
      <c r="CWN8" s="484"/>
      <c r="CWO8" s="484"/>
      <c r="CWP8" s="484"/>
      <c r="CWQ8" s="484"/>
      <c r="CWR8" s="484"/>
      <c r="CWS8" s="484"/>
      <c r="CWT8" s="484"/>
      <c r="CWU8" s="484"/>
      <c r="CWV8" s="484"/>
      <c r="CWW8" s="484"/>
      <c r="CWX8" s="484"/>
      <c r="CWY8" s="484"/>
      <c r="CWZ8" s="484"/>
      <c r="CXA8" s="484"/>
      <c r="CXB8" s="484"/>
      <c r="CXC8" s="484"/>
      <c r="CXD8" s="484"/>
      <c r="CXE8" s="484"/>
      <c r="CXF8" s="484"/>
      <c r="CXG8" s="484"/>
      <c r="CXH8" s="484"/>
      <c r="CXI8" s="484"/>
      <c r="CXJ8" s="484"/>
      <c r="CXK8" s="484"/>
      <c r="CXL8" s="484"/>
      <c r="CXM8" s="484"/>
      <c r="CXN8" s="484"/>
      <c r="CXO8" s="484"/>
      <c r="CXP8" s="484"/>
      <c r="CXQ8" s="484"/>
      <c r="CXR8" s="484"/>
      <c r="CXS8" s="484"/>
      <c r="CXT8" s="484"/>
      <c r="CXU8" s="484"/>
      <c r="CXV8" s="484"/>
      <c r="CXW8" s="484"/>
      <c r="CXX8" s="484"/>
      <c r="CXY8" s="484"/>
      <c r="CXZ8" s="484"/>
      <c r="CYA8" s="484"/>
      <c r="CYB8" s="484"/>
      <c r="CYC8" s="484"/>
      <c r="CYD8" s="484"/>
      <c r="CYE8" s="484"/>
      <c r="CYF8" s="484"/>
      <c r="CYG8" s="484"/>
      <c r="CYH8" s="484"/>
      <c r="CYI8" s="484"/>
      <c r="CYJ8" s="484"/>
      <c r="CYK8" s="484"/>
      <c r="CYL8" s="484"/>
      <c r="CYM8" s="484"/>
      <c r="CYN8" s="484"/>
      <c r="CYO8" s="484"/>
      <c r="CYP8" s="484"/>
      <c r="CYQ8" s="484"/>
      <c r="CYR8" s="484"/>
      <c r="CYS8" s="484"/>
      <c r="CYT8" s="484"/>
      <c r="CYU8" s="484"/>
      <c r="CYV8" s="484"/>
      <c r="CYW8" s="484"/>
      <c r="CYX8" s="484"/>
      <c r="CYY8" s="484"/>
      <c r="CYZ8" s="484"/>
      <c r="CZA8" s="484"/>
      <c r="CZB8" s="484"/>
      <c r="CZC8" s="484"/>
      <c r="CZD8" s="484"/>
      <c r="CZE8" s="484"/>
      <c r="CZF8" s="484"/>
      <c r="CZG8" s="484"/>
      <c r="CZH8" s="484"/>
      <c r="CZI8" s="484"/>
      <c r="CZJ8" s="484"/>
      <c r="CZK8" s="484"/>
      <c r="CZL8" s="484"/>
      <c r="CZM8" s="484"/>
      <c r="CZN8" s="484"/>
      <c r="CZO8" s="484"/>
      <c r="CZP8" s="484"/>
      <c r="CZQ8" s="484"/>
      <c r="CZR8" s="484"/>
      <c r="CZS8" s="484"/>
      <c r="CZT8" s="484"/>
      <c r="CZU8" s="484"/>
      <c r="CZV8" s="484"/>
      <c r="CZW8" s="484"/>
      <c r="CZX8" s="484"/>
      <c r="CZY8" s="484"/>
      <c r="CZZ8" s="484"/>
      <c r="DAA8" s="484"/>
      <c r="DAB8" s="484"/>
      <c r="DAC8" s="484"/>
      <c r="DAD8" s="484"/>
      <c r="DAE8" s="484"/>
      <c r="DAF8" s="484"/>
      <c r="DAG8" s="484"/>
      <c r="DAH8" s="484"/>
      <c r="DAI8" s="484"/>
      <c r="DAJ8" s="484"/>
      <c r="DAK8" s="484"/>
      <c r="DAL8" s="484"/>
      <c r="DAM8" s="484"/>
      <c r="DAN8" s="484"/>
      <c r="DAO8" s="484"/>
      <c r="DAP8" s="484"/>
      <c r="DAQ8" s="484"/>
      <c r="DAR8" s="484"/>
      <c r="DAS8" s="484"/>
      <c r="DAT8" s="484"/>
      <c r="DAU8" s="484"/>
      <c r="DAV8" s="484"/>
      <c r="DAW8" s="484"/>
      <c r="DAX8" s="484"/>
      <c r="DAY8" s="484"/>
      <c r="DAZ8" s="484"/>
      <c r="DBA8" s="484"/>
      <c r="DBB8" s="484"/>
      <c r="DBC8" s="484"/>
      <c r="DBD8" s="484"/>
      <c r="DBE8" s="484"/>
      <c r="DBF8" s="484"/>
      <c r="DBG8" s="484"/>
      <c r="DBH8" s="484"/>
      <c r="DBI8" s="484"/>
      <c r="DBJ8" s="484"/>
      <c r="DBK8" s="484"/>
      <c r="DBL8" s="484"/>
      <c r="DBM8" s="484"/>
      <c r="DBN8" s="484"/>
      <c r="DBO8" s="484"/>
      <c r="DBP8" s="484"/>
      <c r="DBQ8" s="484"/>
      <c r="DBR8" s="484"/>
      <c r="DBS8" s="484"/>
      <c r="DBT8" s="484"/>
      <c r="DBU8" s="484"/>
      <c r="DBV8" s="484"/>
      <c r="DBW8" s="484"/>
      <c r="DBX8" s="484"/>
      <c r="DBY8" s="484"/>
      <c r="DBZ8" s="484"/>
      <c r="DCA8" s="484"/>
      <c r="DCB8" s="484"/>
      <c r="DCC8" s="484"/>
      <c r="DCD8" s="484"/>
      <c r="DCE8" s="484"/>
      <c r="DCF8" s="484"/>
      <c r="DCG8" s="484"/>
      <c r="DCH8" s="484"/>
      <c r="DCI8" s="484"/>
      <c r="DCJ8" s="484"/>
      <c r="DCK8" s="484"/>
      <c r="DCL8" s="484"/>
      <c r="DCM8" s="484"/>
      <c r="DCN8" s="484"/>
      <c r="DCO8" s="484"/>
      <c r="DCP8" s="484"/>
      <c r="DCQ8" s="484"/>
      <c r="DCR8" s="484"/>
      <c r="DCS8" s="484"/>
      <c r="DCT8" s="484"/>
      <c r="DCU8" s="484"/>
      <c r="DCV8" s="484"/>
      <c r="DCW8" s="484"/>
      <c r="DCX8" s="484"/>
      <c r="DCY8" s="484"/>
      <c r="DCZ8" s="484"/>
      <c r="DDA8" s="484"/>
      <c r="DDB8" s="484"/>
      <c r="DDC8" s="484"/>
      <c r="DDD8" s="484"/>
      <c r="DDE8" s="484"/>
      <c r="DDF8" s="484"/>
      <c r="DDG8" s="484"/>
      <c r="DDH8" s="484"/>
      <c r="DDI8" s="484"/>
      <c r="DDJ8" s="484"/>
      <c r="DDK8" s="484"/>
      <c r="DDL8" s="484"/>
      <c r="DDM8" s="484"/>
      <c r="DDN8" s="484"/>
      <c r="DDO8" s="484"/>
      <c r="DDP8" s="484"/>
      <c r="DDQ8" s="484"/>
      <c r="DDR8" s="484"/>
      <c r="DDS8" s="484"/>
      <c r="DDT8" s="484"/>
      <c r="DDU8" s="484"/>
      <c r="DDV8" s="484"/>
      <c r="DDW8" s="484"/>
      <c r="DDX8" s="484"/>
      <c r="DDY8" s="484"/>
      <c r="DDZ8" s="484"/>
      <c r="DEA8" s="484"/>
      <c r="DEB8" s="484"/>
      <c r="DEC8" s="484"/>
      <c r="DED8" s="484"/>
      <c r="DEE8" s="484"/>
      <c r="DEF8" s="484"/>
      <c r="DEG8" s="484"/>
      <c r="DEH8" s="484"/>
      <c r="DEI8" s="484"/>
      <c r="DEJ8" s="484"/>
      <c r="DEK8" s="484"/>
      <c r="DEL8" s="484"/>
      <c r="DEM8" s="484"/>
      <c r="DEN8" s="484"/>
      <c r="DEO8" s="484"/>
      <c r="DEP8" s="484"/>
      <c r="DEQ8" s="484"/>
      <c r="DER8" s="484"/>
      <c r="DES8" s="484"/>
      <c r="DET8" s="484"/>
      <c r="DEU8" s="484"/>
      <c r="DEV8" s="484"/>
      <c r="DEW8" s="484"/>
      <c r="DEX8" s="484"/>
      <c r="DEY8" s="484"/>
      <c r="DEZ8" s="484"/>
      <c r="DFA8" s="484"/>
      <c r="DFB8" s="484"/>
      <c r="DFC8" s="484"/>
      <c r="DFD8" s="484"/>
      <c r="DFE8" s="484"/>
      <c r="DFF8" s="484"/>
      <c r="DFG8" s="484"/>
      <c r="DFH8" s="484"/>
      <c r="DFI8" s="484"/>
      <c r="DFJ8" s="484"/>
      <c r="DFK8" s="484"/>
      <c r="DFL8" s="484"/>
      <c r="DFM8" s="484"/>
      <c r="DFN8" s="484"/>
      <c r="DFO8" s="484"/>
      <c r="DFP8" s="484"/>
      <c r="DFQ8" s="484"/>
      <c r="DFR8" s="484"/>
      <c r="DFS8" s="484"/>
      <c r="DFT8" s="484"/>
      <c r="DFU8" s="484"/>
      <c r="DFV8" s="484"/>
      <c r="DFW8" s="484"/>
      <c r="DFX8" s="484"/>
      <c r="DFY8" s="484"/>
      <c r="DFZ8" s="484"/>
      <c r="DGA8" s="484"/>
      <c r="DGB8" s="484"/>
      <c r="DGC8" s="484"/>
      <c r="DGD8" s="484"/>
      <c r="DGE8" s="484"/>
      <c r="DGF8" s="484"/>
      <c r="DGG8" s="484"/>
      <c r="DGH8" s="484"/>
      <c r="DGI8" s="484"/>
      <c r="DGJ8" s="484"/>
      <c r="DGK8" s="484"/>
      <c r="DGL8" s="484"/>
      <c r="DGM8" s="484"/>
      <c r="DGN8" s="484"/>
      <c r="DGO8" s="484"/>
      <c r="DGP8" s="484"/>
      <c r="DGQ8" s="484"/>
      <c r="DGR8" s="484"/>
      <c r="DGS8" s="484"/>
      <c r="DGT8" s="484"/>
      <c r="DGU8" s="484"/>
      <c r="DGV8" s="484"/>
      <c r="DGW8" s="484"/>
      <c r="DGX8" s="484"/>
      <c r="DGY8" s="484"/>
      <c r="DGZ8" s="484"/>
      <c r="DHA8" s="484"/>
      <c r="DHB8" s="484"/>
      <c r="DHC8" s="484"/>
      <c r="DHD8" s="484"/>
      <c r="DHE8" s="484"/>
      <c r="DHF8" s="484"/>
      <c r="DHG8" s="484"/>
      <c r="DHH8" s="484"/>
      <c r="DHI8" s="484"/>
      <c r="DHJ8" s="484"/>
      <c r="DHK8" s="484"/>
      <c r="DHL8" s="484"/>
      <c r="DHM8" s="484"/>
      <c r="DHN8" s="484"/>
      <c r="DHO8" s="484"/>
      <c r="DHP8" s="484"/>
      <c r="DHQ8" s="484"/>
      <c r="DHR8" s="484"/>
      <c r="DHS8" s="484"/>
      <c r="DHT8" s="484"/>
      <c r="DHU8" s="484"/>
      <c r="DHV8" s="484"/>
      <c r="DHW8" s="484"/>
      <c r="DHX8" s="484"/>
      <c r="DHY8" s="484"/>
      <c r="DHZ8" s="484"/>
      <c r="DIA8" s="484"/>
      <c r="DIB8" s="484"/>
      <c r="DIC8" s="484"/>
      <c r="DID8" s="484"/>
      <c r="DIE8" s="484"/>
      <c r="DIF8" s="484"/>
      <c r="DIG8" s="484"/>
      <c r="DIH8" s="484"/>
      <c r="DII8" s="484"/>
      <c r="DIJ8" s="484"/>
      <c r="DIK8" s="484"/>
      <c r="DIL8" s="484"/>
      <c r="DIM8" s="484"/>
      <c r="DIN8" s="484"/>
      <c r="DIO8" s="484"/>
      <c r="DIP8" s="484"/>
      <c r="DIQ8" s="484"/>
      <c r="DIR8" s="484"/>
      <c r="DIS8" s="484"/>
      <c r="DIT8" s="484"/>
      <c r="DIU8" s="484"/>
      <c r="DIV8" s="484"/>
      <c r="DIW8" s="484"/>
      <c r="DIX8" s="484"/>
      <c r="DIY8" s="484"/>
      <c r="DIZ8" s="484"/>
      <c r="DJA8" s="484"/>
      <c r="DJB8" s="484"/>
      <c r="DJC8" s="484"/>
      <c r="DJD8" s="484"/>
      <c r="DJE8" s="484"/>
      <c r="DJF8" s="484"/>
      <c r="DJG8" s="484"/>
      <c r="DJH8" s="484"/>
      <c r="DJI8" s="484"/>
      <c r="DJJ8" s="484"/>
      <c r="DJK8" s="484"/>
      <c r="DJL8" s="484"/>
      <c r="DJM8" s="484"/>
      <c r="DJN8" s="484"/>
      <c r="DJO8" s="484"/>
      <c r="DJP8" s="484"/>
      <c r="DJQ8" s="484"/>
      <c r="DJR8" s="484"/>
      <c r="DJS8" s="484"/>
      <c r="DJT8" s="484"/>
      <c r="DJU8" s="484"/>
      <c r="DJV8" s="484"/>
      <c r="DJW8" s="484"/>
      <c r="DJX8" s="484"/>
      <c r="DJY8" s="484"/>
      <c r="DJZ8" s="484"/>
      <c r="DKA8" s="484"/>
      <c r="DKB8" s="484"/>
      <c r="DKC8" s="484"/>
      <c r="DKD8" s="484"/>
      <c r="DKE8" s="484"/>
      <c r="DKF8" s="484"/>
      <c r="DKG8" s="484"/>
      <c r="DKH8" s="484"/>
      <c r="DKI8" s="484"/>
      <c r="DKJ8" s="484"/>
      <c r="DKK8" s="484"/>
      <c r="DKL8" s="484"/>
      <c r="DKM8" s="484"/>
      <c r="DKN8" s="484"/>
      <c r="DKO8" s="484"/>
      <c r="DKP8" s="484"/>
      <c r="DKQ8" s="484"/>
      <c r="DKR8" s="484"/>
      <c r="DKS8" s="484"/>
      <c r="DKT8" s="484"/>
      <c r="DKU8" s="484"/>
      <c r="DKV8" s="484"/>
      <c r="DKW8" s="484"/>
      <c r="DKX8" s="484"/>
      <c r="DKY8" s="484"/>
      <c r="DKZ8" s="484"/>
      <c r="DLA8" s="484"/>
      <c r="DLB8" s="484"/>
      <c r="DLC8" s="484"/>
      <c r="DLD8" s="484"/>
      <c r="DLE8" s="484"/>
      <c r="DLF8" s="484"/>
      <c r="DLG8" s="484"/>
      <c r="DLH8" s="484"/>
      <c r="DLI8" s="484"/>
      <c r="DLJ8" s="484"/>
      <c r="DLK8" s="484"/>
      <c r="DLL8" s="484"/>
      <c r="DLM8" s="484"/>
      <c r="DLN8" s="484"/>
      <c r="DLO8" s="484"/>
      <c r="DLP8" s="484"/>
      <c r="DLQ8" s="484"/>
      <c r="DLR8" s="484"/>
      <c r="DLS8" s="484"/>
      <c r="DLT8" s="484"/>
      <c r="DLU8" s="484"/>
      <c r="DLV8" s="484"/>
      <c r="DLW8" s="484"/>
      <c r="DLX8" s="484"/>
      <c r="DLY8" s="484"/>
      <c r="DLZ8" s="484"/>
      <c r="DMA8" s="484"/>
      <c r="DMB8" s="484"/>
      <c r="DMC8" s="484"/>
      <c r="DMD8" s="484"/>
      <c r="DME8" s="484"/>
      <c r="DMF8" s="484"/>
      <c r="DMG8" s="484"/>
      <c r="DMH8" s="484"/>
      <c r="DMI8" s="484"/>
      <c r="DMJ8" s="484"/>
      <c r="DMK8" s="484"/>
      <c r="DML8" s="484"/>
      <c r="DMM8" s="484"/>
      <c r="DMN8" s="484"/>
      <c r="DMO8" s="484"/>
      <c r="DMP8" s="484"/>
      <c r="DMQ8" s="484"/>
      <c r="DMR8" s="484"/>
      <c r="DMS8" s="484"/>
      <c r="DMT8" s="484"/>
      <c r="DMU8" s="484"/>
      <c r="DMV8" s="484"/>
      <c r="DMW8" s="484"/>
      <c r="DMX8" s="484"/>
      <c r="DMY8" s="484"/>
      <c r="DMZ8" s="484"/>
      <c r="DNA8" s="484"/>
      <c r="DNB8" s="484"/>
      <c r="DNC8" s="484"/>
      <c r="DND8" s="484"/>
      <c r="DNE8" s="484"/>
      <c r="DNF8" s="484"/>
      <c r="DNG8" s="484"/>
      <c r="DNH8" s="484"/>
      <c r="DNI8" s="484"/>
      <c r="DNJ8" s="484"/>
      <c r="DNK8" s="484"/>
      <c r="DNL8" s="484"/>
      <c r="DNM8" s="484"/>
      <c r="DNN8" s="484"/>
      <c r="DNO8" s="484"/>
      <c r="DNP8" s="484"/>
      <c r="DNQ8" s="484"/>
      <c r="DNR8" s="484"/>
      <c r="DNS8" s="484"/>
      <c r="DNT8" s="484"/>
      <c r="DNU8" s="484"/>
      <c r="DNV8" s="484"/>
      <c r="DNW8" s="484"/>
      <c r="DNX8" s="484"/>
      <c r="DNY8" s="484"/>
      <c r="DNZ8" s="484"/>
      <c r="DOA8" s="484"/>
      <c r="DOB8" s="484"/>
      <c r="DOC8" s="484"/>
      <c r="DOD8" s="484"/>
      <c r="DOE8" s="484"/>
      <c r="DOF8" s="484"/>
      <c r="DOG8" s="484"/>
      <c r="DOH8" s="484"/>
      <c r="DOI8" s="484"/>
      <c r="DOJ8" s="484"/>
      <c r="DOK8" s="484"/>
      <c r="DOL8" s="484"/>
      <c r="DOM8" s="484"/>
      <c r="DON8" s="484"/>
      <c r="DOO8" s="484"/>
      <c r="DOP8" s="484"/>
      <c r="DOQ8" s="484"/>
      <c r="DOR8" s="484"/>
      <c r="DOS8" s="484"/>
      <c r="DOT8" s="484"/>
      <c r="DOU8" s="484"/>
      <c r="DOV8" s="484"/>
      <c r="DOW8" s="484"/>
      <c r="DOX8" s="484"/>
      <c r="DOY8" s="484"/>
      <c r="DOZ8" s="484"/>
      <c r="DPA8" s="484"/>
      <c r="DPB8" s="484"/>
      <c r="DPC8" s="484"/>
      <c r="DPD8" s="484"/>
      <c r="DPE8" s="484"/>
      <c r="DPF8" s="484"/>
      <c r="DPG8" s="484"/>
      <c r="DPH8" s="484"/>
      <c r="DPI8" s="484"/>
      <c r="DPJ8" s="484"/>
      <c r="DPK8" s="484"/>
      <c r="DPL8" s="484"/>
      <c r="DPM8" s="484"/>
      <c r="DPN8" s="484"/>
      <c r="DPO8" s="484"/>
      <c r="DPP8" s="484"/>
      <c r="DPQ8" s="484"/>
      <c r="DPR8" s="484"/>
      <c r="DPS8" s="484"/>
      <c r="DPT8" s="484"/>
      <c r="DPU8" s="484"/>
      <c r="DPV8" s="484"/>
      <c r="DPW8" s="484"/>
      <c r="DPX8" s="484"/>
      <c r="DPY8" s="484"/>
      <c r="DPZ8" s="484"/>
      <c r="DQA8" s="484"/>
      <c r="DQB8" s="484"/>
      <c r="DQC8" s="484"/>
      <c r="DQD8" s="484"/>
      <c r="DQE8" s="484"/>
      <c r="DQF8" s="484"/>
      <c r="DQG8" s="484"/>
      <c r="DQH8" s="484"/>
      <c r="DQI8" s="484"/>
      <c r="DQJ8" s="484"/>
      <c r="DQK8" s="484"/>
      <c r="DQL8" s="484"/>
      <c r="DQM8" s="484"/>
      <c r="DQN8" s="484"/>
      <c r="DQO8" s="484"/>
      <c r="DQP8" s="484"/>
      <c r="DQQ8" s="484"/>
      <c r="DQR8" s="484"/>
      <c r="DQS8" s="484"/>
      <c r="DQT8" s="484"/>
      <c r="DQU8" s="484"/>
      <c r="DQV8" s="484"/>
      <c r="DQW8" s="484"/>
      <c r="DQX8" s="484"/>
      <c r="DQY8" s="484"/>
      <c r="DQZ8" s="484"/>
      <c r="DRA8" s="484"/>
      <c r="DRB8" s="484"/>
      <c r="DRC8" s="484"/>
      <c r="DRD8" s="484"/>
      <c r="DRE8" s="484"/>
      <c r="DRF8" s="484"/>
      <c r="DRG8" s="484"/>
      <c r="DRH8" s="484"/>
      <c r="DRI8" s="484"/>
      <c r="DRJ8" s="484"/>
      <c r="DRK8" s="484"/>
      <c r="DRL8" s="484"/>
      <c r="DRM8" s="484"/>
      <c r="DRN8" s="484"/>
      <c r="DRO8" s="484"/>
      <c r="DRP8" s="484"/>
      <c r="DRQ8" s="484"/>
      <c r="DRR8" s="484"/>
      <c r="DRS8" s="484"/>
      <c r="DRT8" s="484"/>
      <c r="DRU8" s="484"/>
      <c r="DRV8" s="484"/>
      <c r="DRW8" s="484"/>
      <c r="DRX8" s="484"/>
      <c r="DRY8" s="484"/>
      <c r="DRZ8" s="484"/>
      <c r="DSA8" s="484"/>
      <c r="DSB8" s="484"/>
      <c r="DSC8" s="484"/>
      <c r="DSD8" s="484"/>
      <c r="DSE8" s="484"/>
      <c r="DSF8" s="484"/>
      <c r="DSG8" s="484"/>
      <c r="DSH8" s="484"/>
      <c r="DSI8" s="484"/>
      <c r="DSJ8" s="484"/>
      <c r="DSK8" s="484"/>
      <c r="DSL8" s="484"/>
      <c r="DSM8" s="484"/>
      <c r="DSN8" s="484"/>
      <c r="DSO8" s="484"/>
      <c r="DSP8" s="484"/>
      <c r="DSQ8" s="484"/>
      <c r="DSR8" s="484"/>
      <c r="DSS8" s="484"/>
      <c r="DST8" s="484"/>
      <c r="DSU8" s="484"/>
      <c r="DSV8" s="484"/>
      <c r="DSW8" s="484"/>
      <c r="DSX8" s="484"/>
      <c r="DSY8" s="484"/>
      <c r="DSZ8" s="484"/>
      <c r="DTA8" s="484"/>
      <c r="DTB8" s="484"/>
      <c r="DTC8" s="484"/>
      <c r="DTD8" s="484"/>
      <c r="DTE8" s="484"/>
      <c r="DTF8" s="484"/>
      <c r="DTG8" s="484"/>
      <c r="DTH8" s="484"/>
      <c r="DTI8" s="484"/>
      <c r="DTJ8" s="484"/>
      <c r="DTK8" s="484"/>
      <c r="DTL8" s="484"/>
      <c r="DTM8" s="484"/>
      <c r="DTN8" s="484"/>
      <c r="DTO8" s="484"/>
      <c r="DTP8" s="484"/>
      <c r="DTQ8" s="484"/>
      <c r="DTR8" s="484"/>
      <c r="DTS8" s="484"/>
      <c r="DTT8" s="484"/>
      <c r="DTU8" s="484"/>
      <c r="DTV8" s="484"/>
      <c r="DTW8" s="484"/>
      <c r="DTX8" s="484"/>
      <c r="DTY8" s="484"/>
      <c r="DTZ8" s="484"/>
      <c r="DUA8" s="484"/>
      <c r="DUB8" s="484"/>
      <c r="DUC8" s="484"/>
      <c r="DUD8" s="484"/>
      <c r="DUE8" s="484"/>
      <c r="DUF8" s="484"/>
      <c r="DUG8" s="484"/>
      <c r="DUH8" s="484"/>
      <c r="DUI8" s="484"/>
      <c r="DUJ8" s="484"/>
      <c r="DUK8" s="484"/>
      <c r="DUL8" s="484"/>
      <c r="DUM8" s="484"/>
      <c r="DUN8" s="484"/>
      <c r="DUO8" s="484"/>
      <c r="DUP8" s="484"/>
      <c r="DUQ8" s="484"/>
      <c r="DUR8" s="484"/>
      <c r="DUS8" s="484"/>
      <c r="DUT8" s="484"/>
      <c r="DUU8" s="484"/>
      <c r="DUV8" s="484"/>
      <c r="DUW8" s="484"/>
      <c r="DUX8" s="484"/>
      <c r="DUY8" s="484"/>
      <c r="DUZ8" s="484"/>
      <c r="DVA8" s="484"/>
      <c r="DVB8" s="484"/>
      <c r="DVC8" s="484"/>
      <c r="DVD8" s="484"/>
      <c r="DVE8" s="484"/>
      <c r="DVF8" s="484"/>
      <c r="DVG8" s="484"/>
      <c r="DVH8" s="484"/>
      <c r="DVI8" s="484"/>
      <c r="DVJ8" s="484"/>
      <c r="DVK8" s="484"/>
      <c r="DVL8" s="484"/>
      <c r="DVM8" s="484"/>
      <c r="DVN8" s="484"/>
      <c r="DVO8" s="484"/>
      <c r="DVP8" s="484"/>
      <c r="DVQ8" s="484"/>
      <c r="DVR8" s="484"/>
      <c r="DVS8" s="484"/>
      <c r="DVT8" s="484"/>
      <c r="DVU8" s="484"/>
      <c r="DVV8" s="484"/>
      <c r="DVW8" s="484"/>
      <c r="DVX8" s="484"/>
      <c r="DVY8" s="484"/>
      <c r="DVZ8" s="484"/>
      <c r="DWA8" s="484"/>
      <c r="DWB8" s="484"/>
      <c r="DWC8" s="484"/>
      <c r="DWD8" s="484"/>
      <c r="DWE8" s="484"/>
      <c r="DWF8" s="484"/>
      <c r="DWG8" s="484"/>
      <c r="DWH8" s="484"/>
      <c r="DWI8" s="484"/>
      <c r="DWJ8" s="484"/>
      <c r="DWK8" s="484"/>
      <c r="DWL8" s="484"/>
      <c r="DWM8" s="484"/>
      <c r="DWN8" s="484"/>
      <c r="DWO8" s="484"/>
      <c r="DWP8" s="484"/>
      <c r="DWQ8" s="484"/>
      <c r="DWR8" s="484"/>
      <c r="DWS8" s="484"/>
      <c r="DWT8" s="484"/>
      <c r="DWU8" s="484"/>
      <c r="DWV8" s="484"/>
      <c r="DWW8" s="484"/>
      <c r="DWX8" s="484"/>
      <c r="DWY8" s="484"/>
      <c r="DWZ8" s="484"/>
      <c r="DXA8" s="484"/>
      <c r="DXB8" s="484"/>
      <c r="DXC8" s="484"/>
      <c r="DXD8" s="484"/>
      <c r="DXE8" s="484"/>
      <c r="DXF8" s="484"/>
      <c r="DXG8" s="484"/>
      <c r="DXH8" s="484"/>
      <c r="DXI8" s="484"/>
      <c r="DXJ8" s="484"/>
      <c r="DXK8" s="484"/>
      <c r="DXL8" s="484"/>
      <c r="DXM8" s="484"/>
      <c r="DXN8" s="484"/>
      <c r="DXO8" s="484"/>
      <c r="DXP8" s="484"/>
      <c r="DXQ8" s="484"/>
      <c r="DXR8" s="484"/>
      <c r="DXS8" s="484"/>
      <c r="DXT8" s="484"/>
      <c r="DXU8" s="484"/>
      <c r="DXV8" s="484"/>
      <c r="DXW8" s="484"/>
      <c r="DXX8" s="484"/>
      <c r="DXY8" s="484"/>
      <c r="DXZ8" s="484"/>
      <c r="DYA8" s="484"/>
      <c r="DYB8" s="484"/>
      <c r="DYC8" s="484"/>
      <c r="DYD8" s="484"/>
      <c r="DYE8" s="484"/>
      <c r="DYF8" s="484"/>
      <c r="DYG8" s="484"/>
      <c r="DYH8" s="484"/>
      <c r="DYI8" s="484"/>
      <c r="DYJ8" s="484"/>
      <c r="DYK8" s="484"/>
      <c r="DYL8" s="484"/>
      <c r="DYM8" s="484"/>
      <c r="DYN8" s="484"/>
      <c r="DYO8" s="484"/>
      <c r="DYP8" s="484"/>
      <c r="DYQ8" s="484"/>
      <c r="DYR8" s="484"/>
      <c r="DYS8" s="484"/>
      <c r="DYT8" s="484"/>
      <c r="DYU8" s="484"/>
      <c r="DYV8" s="484"/>
      <c r="DYW8" s="484"/>
      <c r="DYX8" s="484"/>
      <c r="DYY8" s="484"/>
      <c r="DYZ8" s="484"/>
      <c r="DZA8" s="484"/>
      <c r="DZB8" s="484"/>
      <c r="DZC8" s="484"/>
      <c r="DZD8" s="484"/>
      <c r="DZE8" s="484"/>
      <c r="DZF8" s="484"/>
      <c r="DZG8" s="484"/>
      <c r="DZH8" s="484"/>
      <c r="DZI8" s="484"/>
      <c r="DZJ8" s="484"/>
      <c r="DZK8" s="484"/>
      <c r="DZL8" s="484"/>
      <c r="DZM8" s="484"/>
      <c r="DZN8" s="484"/>
      <c r="DZO8" s="484"/>
      <c r="DZP8" s="484"/>
      <c r="DZQ8" s="484"/>
      <c r="DZR8" s="484"/>
      <c r="DZS8" s="484"/>
      <c r="DZT8" s="484"/>
      <c r="DZU8" s="484"/>
      <c r="DZV8" s="484"/>
      <c r="DZW8" s="484"/>
      <c r="DZX8" s="484"/>
      <c r="DZY8" s="484"/>
      <c r="DZZ8" s="484"/>
      <c r="EAA8" s="484"/>
      <c r="EAB8" s="484"/>
      <c r="EAC8" s="484"/>
      <c r="EAD8" s="484"/>
      <c r="EAE8" s="484"/>
      <c r="EAF8" s="484"/>
      <c r="EAG8" s="484"/>
      <c r="EAH8" s="484"/>
      <c r="EAI8" s="484"/>
      <c r="EAJ8" s="484"/>
      <c r="EAK8" s="484"/>
      <c r="EAL8" s="484"/>
      <c r="EAM8" s="484"/>
      <c r="EAN8" s="484"/>
      <c r="EAO8" s="484"/>
      <c r="EAP8" s="484"/>
      <c r="EAQ8" s="484"/>
      <c r="EAR8" s="484"/>
      <c r="EAS8" s="484"/>
      <c r="EAT8" s="484"/>
      <c r="EAU8" s="484"/>
      <c r="EAV8" s="484"/>
      <c r="EAW8" s="484"/>
      <c r="EAX8" s="484"/>
      <c r="EAY8" s="484"/>
      <c r="EAZ8" s="484"/>
      <c r="EBA8" s="484"/>
      <c r="EBB8" s="484"/>
      <c r="EBC8" s="484"/>
      <c r="EBD8" s="484"/>
      <c r="EBE8" s="484"/>
      <c r="EBF8" s="484"/>
      <c r="EBG8" s="484"/>
      <c r="EBH8" s="484"/>
      <c r="EBI8" s="484"/>
      <c r="EBJ8" s="484"/>
      <c r="EBK8" s="484"/>
      <c r="EBL8" s="484"/>
      <c r="EBM8" s="484"/>
      <c r="EBN8" s="484"/>
      <c r="EBO8" s="484"/>
      <c r="EBP8" s="484"/>
      <c r="EBQ8" s="484"/>
      <c r="EBR8" s="484"/>
      <c r="EBS8" s="484"/>
      <c r="EBT8" s="484"/>
      <c r="EBU8" s="484"/>
      <c r="EBV8" s="484"/>
      <c r="EBW8" s="484"/>
      <c r="EBX8" s="484"/>
      <c r="EBY8" s="484"/>
      <c r="EBZ8" s="484"/>
      <c r="ECA8" s="484"/>
      <c r="ECB8" s="484"/>
      <c r="ECC8" s="484"/>
      <c r="ECD8" s="484"/>
      <c r="ECE8" s="484"/>
      <c r="ECF8" s="484"/>
      <c r="ECG8" s="484"/>
      <c r="ECH8" s="484"/>
      <c r="ECI8" s="484"/>
      <c r="ECJ8" s="484"/>
      <c r="ECK8" s="484"/>
      <c r="ECL8" s="484"/>
      <c r="ECM8" s="484"/>
      <c r="ECN8" s="484"/>
      <c r="ECO8" s="484"/>
      <c r="ECP8" s="484"/>
      <c r="ECQ8" s="484"/>
      <c r="ECR8" s="484"/>
      <c r="ECS8" s="484"/>
      <c r="ECT8" s="484"/>
      <c r="ECU8" s="484"/>
      <c r="ECV8" s="484"/>
      <c r="ECW8" s="484"/>
      <c r="ECX8" s="484"/>
      <c r="ECY8" s="484"/>
      <c r="ECZ8" s="484"/>
      <c r="EDA8" s="484"/>
      <c r="EDB8" s="484"/>
      <c r="EDC8" s="484"/>
      <c r="EDD8" s="484"/>
      <c r="EDE8" s="484"/>
      <c r="EDF8" s="484"/>
      <c r="EDG8" s="484"/>
      <c r="EDH8" s="484"/>
      <c r="EDI8" s="484"/>
      <c r="EDJ8" s="484"/>
      <c r="EDK8" s="484"/>
      <c r="EDL8" s="484"/>
      <c r="EDM8" s="484"/>
      <c r="EDN8" s="484"/>
      <c r="EDO8" s="484"/>
      <c r="EDP8" s="484"/>
      <c r="EDQ8" s="484"/>
      <c r="EDR8" s="484"/>
      <c r="EDS8" s="484"/>
      <c r="EDT8" s="484"/>
      <c r="EDU8" s="484"/>
      <c r="EDV8" s="484"/>
      <c r="EDW8" s="484"/>
      <c r="EDX8" s="484"/>
      <c r="EDY8" s="484"/>
      <c r="EDZ8" s="484"/>
      <c r="EEA8" s="484"/>
      <c r="EEB8" s="484"/>
      <c r="EEC8" s="484"/>
      <c r="EED8" s="484"/>
      <c r="EEE8" s="484"/>
      <c r="EEF8" s="484"/>
      <c r="EEG8" s="484"/>
      <c r="EEH8" s="484"/>
      <c r="EEI8" s="484"/>
      <c r="EEJ8" s="484"/>
      <c r="EEK8" s="484"/>
      <c r="EEL8" s="484"/>
      <c r="EEM8" s="484"/>
      <c r="EEN8" s="484"/>
      <c r="EEO8" s="484"/>
      <c r="EEP8" s="484"/>
      <c r="EEQ8" s="484"/>
      <c r="EER8" s="484"/>
      <c r="EES8" s="484"/>
      <c r="EET8" s="484"/>
      <c r="EEU8" s="484"/>
      <c r="EEV8" s="484"/>
      <c r="EEW8" s="484"/>
      <c r="EEX8" s="484"/>
      <c r="EEY8" s="484"/>
      <c r="EEZ8" s="484"/>
      <c r="EFA8" s="484"/>
      <c r="EFB8" s="484"/>
      <c r="EFC8" s="484"/>
      <c r="EFD8" s="484"/>
      <c r="EFE8" s="484"/>
      <c r="EFF8" s="484"/>
      <c r="EFG8" s="484"/>
      <c r="EFH8" s="484"/>
      <c r="EFI8" s="484"/>
      <c r="EFJ8" s="484"/>
      <c r="EFK8" s="484"/>
      <c r="EFL8" s="484"/>
      <c r="EFM8" s="484"/>
      <c r="EFN8" s="484"/>
      <c r="EFO8" s="484"/>
      <c r="EFP8" s="484"/>
      <c r="EFQ8" s="484"/>
      <c r="EFR8" s="484"/>
      <c r="EFS8" s="484"/>
      <c r="EFT8" s="484"/>
      <c r="EFU8" s="484"/>
      <c r="EFV8" s="484"/>
      <c r="EFW8" s="484"/>
      <c r="EFX8" s="484"/>
      <c r="EFY8" s="484"/>
      <c r="EFZ8" s="484"/>
      <c r="EGA8" s="484"/>
      <c r="EGB8" s="484"/>
      <c r="EGC8" s="484"/>
      <c r="EGD8" s="484"/>
      <c r="EGE8" s="484"/>
      <c r="EGF8" s="484"/>
      <c r="EGG8" s="484"/>
      <c r="EGH8" s="484"/>
      <c r="EGI8" s="484"/>
      <c r="EGJ8" s="484"/>
      <c r="EGK8" s="484"/>
      <c r="EGL8" s="484"/>
      <c r="EGM8" s="484"/>
      <c r="EGN8" s="484"/>
      <c r="EGO8" s="484"/>
      <c r="EGP8" s="484"/>
      <c r="EGQ8" s="484"/>
      <c r="EGR8" s="484"/>
      <c r="EGS8" s="484"/>
      <c r="EGT8" s="484"/>
      <c r="EGU8" s="484"/>
      <c r="EGV8" s="484"/>
      <c r="EGW8" s="484"/>
      <c r="EGX8" s="484"/>
      <c r="EGY8" s="484"/>
      <c r="EGZ8" s="484"/>
      <c r="EHA8" s="484"/>
      <c r="EHB8" s="484"/>
      <c r="EHC8" s="484"/>
      <c r="EHD8" s="484"/>
      <c r="EHE8" s="484"/>
      <c r="EHF8" s="484"/>
      <c r="EHG8" s="484"/>
      <c r="EHH8" s="484"/>
      <c r="EHI8" s="484"/>
      <c r="EHJ8" s="484"/>
      <c r="EHK8" s="484"/>
      <c r="EHL8" s="484"/>
      <c r="EHM8" s="484"/>
      <c r="EHN8" s="484"/>
      <c r="EHO8" s="484"/>
      <c r="EHP8" s="484"/>
      <c r="EHQ8" s="484"/>
      <c r="EHR8" s="484"/>
      <c r="EHS8" s="484"/>
      <c r="EHT8" s="484"/>
      <c r="EHU8" s="484"/>
      <c r="EHV8" s="484"/>
      <c r="EHW8" s="484"/>
      <c r="EHX8" s="484"/>
      <c r="EHY8" s="484"/>
      <c r="EHZ8" s="484"/>
      <c r="EIA8" s="484"/>
      <c r="EIB8" s="484"/>
      <c r="EIC8" s="484"/>
      <c r="EID8" s="484"/>
      <c r="EIE8" s="484"/>
      <c r="EIF8" s="484"/>
      <c r="EIG8" s="484"/>
      <c r="EIH8" s="484"/>
      <c r="EII8" s="484"/>
      <c r="EIJ8" s="484"/>
      <c r="EIK8" s="484"/>
      <c r="EIL8" s="484"/>
      <c r="EIM8" s="484"/>
      <c r="EIN8" s="484"/>
      <c r="EIO8" s="484"/>
      <c r="EIP8" s="484"/>
      <c r="EIQ8" s="484"/>
      <c r="EIR8" s="484"/>
      <c r="EIS8" s="484"/>
      <c r="EIT8" s="484"/>
      <c r="EIU8" s="484"/>
      <c r="EIV8" s="484"/>
      <c r="EIW8" s="484"/>
      <c r="EIX8" s="484"/>
      <c r="EIY8" s="484"/>
      <c r="EIZ8" s="484"/>
      <c r="EJA8" s="484"/>
      <c r="EJB8" s="484"/>
      <c r="EJC8" s="484"/>
      <c r="EJD8" s="484"/>
      <c r="EJE8" s="484"/>
      <c r="EJF8" s="484"/>
      <c r="EJG8" s="484"/>
      <c r="EJH8" s="484"/>
      <c r="EJI8" s="484"/>
      <c r="EJJ8" s="484"/>
      <c r="EJK8" s="484"/>
      <c r="EJL8" s="484"/>
      <c r="EJM8" s="484"/>
      <c r="EJN8" s="484"/>
      <c r="EJO8" s="484"/>
      <c r="EJP8" s="484"/>
      <c r="EJQ8" s="484"/>
      <c r="EJR8" s="484"/>
      <c r="EJS8" s="484"/>
      <c r="EJT8" s="484"/>
      <c r="EJU8" s="484"/>
      <c r="EJV8" s="484"/>
      <c r="EJW8" s="484"/>
      <c r="EJX8" s="484"/>
      <c r="EJY8" s="484"/>
      <c r="EJZ8" s="484"/>
      <c r="EKA8" s="484"/>
      <c r="EKB8" s="484"/>
      <c r="EKC8" s="484"/>
      <c r="EKD8" s="484"/>
      <c r="EKE8" s="484"/>
      <c r="EKF8" s="484"/>
      <c r="EKG8" s="484"/>
      <c r="EKH8" s="484"/>
      <c r="EKI8" s="484"/>
      <c r="EKJ8" s="484"/>
      <c r="EKK8" s="484"/>
      <c r="EKL8" s="484"/>
      <c r="EKM8" s="484"/>
      <c r="EKN8" s="484"/>
      <c r="EKO8" s="484"/>
      <c r="EKP8" s="484"/>
      <c r="EKQ8" s="484"/>
      <c r="EKR8" s="484"/>
      <c r="EKS8" s="484"/>
      <c r="EKT8" s="484"/>
      <c r="EKU8" s="484"/>
      <c r="EKV8" s="484"/>
      <c r="EKW8" s="484"/>
      <c r="EKX8" s="484"/>
      <c r="EKY8" s="484"/>
      <c r="EKZ8" s="484"/>
      <c r="ELA8" s="484"/>
      <c r="ELB8" s="484"/>
      <c r="ELC8" s="484"/>
      <c r="ELD8" s="484"/>
      <c r="ELE8" s="484"/>
      <c r="ELF8" s="484"/>
      <c r="ELG8" s="484"/>
      <c r="ELH8" s="484"/>
      <c r="ELI8" s="484"/>
      <c r="ELJ8" s="484"/>
      <c r="ELK8" s="484"/>
      <c r="ELL8" s="484"/>
      <c r="ELM8" s="484"/>
      <c r="ELN8" s="484"/>
      <c r="ELO8" s="484"/>
      <c r="ELP8" s="484"/>
      <c r="ELQ8" s="484"/>
      <c r="ELR8" s="484"/>
      <c r="ELS8" s="484"/>
      <c r="ELT8" s="484"/>
      <c r="ELU8" s="484"/>
      <c r="ELV8" s="484"/>
      <c r="ELW8" s="484"/>
      <c r="ELX8" s="484"/>
      <c r="ELY8" s="484"/>
      <c r="ELZ8" s="484"/>
      <c r="EMA8" s="484"/>
      <c r="EMB8" s="484"/>
      <c r="EMC8" s="484"/>
      <c r="EMD8" s="484"/>
      <c r="EME8" s="484"/>
      <c r="EMF8" s="484"/>
      <c r="EMG8" s="484"/>
      <c r="EMH8" s="484"/>
      <c r="EMI8" s="484"/>
      <c r="EMJ8" s="484"/>
      <c r="EMK8" s="484"/>
      <c r="EML8" s="484"/>
      <c r="EMM8" s="484"/>
      <c r="EMN8" s="484"/>
      <c r="EMO8" s="484"/>
      <c r="EMP8" s="484"/>
      <c r="EMQ8" s="484"/>
      <c r="EMR8" s="484"/>
      <c r="EMS8" s="484"/>
      <c r="EMT8" s="484"/>
      <c r="EMU8" s="484"/>
      <c r="EMV8" s="484"/>
      <c r="EMW8" s="484"/>
      <c r="EMX8" s="484"/>
      <c r="EMY8" s="484"/>
      <c r="EMZ8" s="484"/>
      <c r="ENA8" s="484"/>
      <c r="ENB8" s="484"/>
      <c r="ENC8" s="484"/>
      <c r="END8" s="484"/>
      <c r="ENE8" s="484"/>
      <c r="ENF8" s="484"/>
      <c r="ENG8" s="484"/>
      <c r="ENH8" s="484"/>
      <c r="ENI8" s="484"/>
      <c r="ENJ8" s="484"/>
      <c r="ENK8" s="484"/>
      <c r="ENL8" s="484"/>
      <c r="ENM8" s="484"/>
      <c r="ENN8" s="484"/>
      <c r="ENO8" s="484"/>
      <c r="ENP8" s="484"/>
      <c r="ENQ8" s="484"/>
      <c r="ENR8" s="484"/>
      <c r="ENS8" s="484"/>
      <c r="ENT8" s="484"/>
      <c r="ENU8" s="484"/>
      <c r="ENV8" s="484"/>
      <c r="ENW8" s="484"/>
      <c r="ENX8" s="484"/>
      <c r="ENY8" s="484"/>
      <c r="ENZ8" s="484"/>
      <c r="EOA8" s="484"/>
      <c r="EOB8" s="484"/>
      <c r="EOC8" s="484"/>
      <c r="EOD8" s="484"/>
      <c r="EOE8" s="484"/>
      <c r="EOF8" s="484"/>
      <c r="EOG8" s="484"/>
      <c r="EOH8" s="484"/>
      <c r="EOI8" s="484"/>
      <c r="EOJ8" s="484"/>
      <c r="EOK8" s="484"/>
      <c r="EOL8" s="484"/>
      <c r="EOM8" s="484"/>
      <c r="EON8" s="484"/>
      <c r="EOO8" s="484"/>
      <c r="EOP8" s="484"/>
      <c r="EOQ8" s="484"/>
      <c r="EOR8" s="484"/>
      <c r="EOS8" s="484"/>
      <c r="EOT8" s="484"/>
      <c r="EOU8" s="484"/>
      <c r="EOV8" s="484"/>
      <c r="EOW8" s="484"/>
      <c r="EOX8" s="484"/>
      <c r="EOY8" s="484"/>
      <c r="EOZ8" s="484"/>
      <c r="EPA8" s="484"/>
      <c r="EPB8" s="484"/>
      <c r="EPC8" s="484"/>
      <c r="EPD8" s="484"/>
      <c r="EPE8" s="484"/>
      <c r="EPF8" s="484"/>
      <c r="EPG8" s="484"/>
      <c r="EPH8" s="484"/>
      <c r="EPI8" s="484"/>
      <c r="EPJ8" s="484"/>
      <c r="EPK8" s="484"/>
      <c r="EPL8" s="484"/>
      <c r="EPM8" s="484"/>
      <c r="EPN8" s="484"/>
      <c r="EPO8" s="484"/>
      <c r="EPP8" s="484"/>
      <c r="EPQ8" s="484"/>
      <c r="EPR8" s="484"/>
      <c r="EPS8" s="484"/>
      <c r="EPT8" s="484"/>
      <c r="EPU8" s="484"/>
      <c r="EPV8" s="484"/>
      <c r="EPW8" s="484"/>
      <c r="EPX8" s="484"/>
      <c r="EPY8" s="484"/>
      <c r="EPZ8" s="484"/>
      <c r="EQA8" s="484"/>
      <c r="EQB8" s="484"/>
      <c r="EQC8" s="484"/>
      <c r="EQD8" s="484"/>
      <c r="EQE8" s="484"/>
      <c r="EQF8" s="484"/>
      <c r="EQG8" s="484"/>
      <c r="EQH8" s="484"/>
      <c r="EQI8" s="484"/>
      <c r="EQJ8" s="484"/>
      <c r="EQK8" s="484"/>
      <c r="EQL8" s="484"/>
      <c r="EQM8" s="484"/>
      <c r="EQN8" s="484"/>
      <c r="EQO8" s="484"/>
      <c r="EQP8" s="484"/>
      <c r="EQQ8" s="484"/>
      <c r="EQR8" s="484"/>
      <c r="EQS8" s="484"/>
      <c r="EQT8" s="484"/>
      <c r="EQU8" s="484"/>
      <c r="EQV8" s="484"/>
      <c r="EQW8" s="484"/>
      <c r="EQX8" s="484"/>
      <c r="EQY8" s="484"/>
      <c r="EQZ8" s="484"/>
      <c r="ERA8" s="484"/>
      <c r="ERB8" s="484"/>
      <c r="ERC8" s="484"/>
      <c r="ERD8" s="484"/>
      <c r="ERE8" s="484"/>
      <c r="ERF8" s="484"/>
      <c r="ERG8" s="484"/>
      <c r="ERH8" s="484"/>
      <c r="ERI8" s="484"/>
      <c r="ERJ8" s="484"/>
      <c r="ERK8" s="484"/>
      <c r="ERL8" s="484"/>
      <c r="ERM8" s="484"/>
      <c r="ERN8" s="484"/>
      <c r="ERO8" s="484"/>
      <c r="ERP8" s="484"/>
      <c r="ERQ8" s="484"/>
      <c r="ERR8" s="484"/>
      <c r="ERS8" s="484"/>
      <c r="ERT8" s="484"/>
      <c r="ERU8" s="484"/>
      <c r="ERV8" s="484"/>
      <c r="ERW8" s="484"/>
      <c r="ERX8" s="484"/>
      <c r="ERY8" s="484"/>
      <c r="ERZ8" s="484"/>
      <c r="ESA8" s="484"/>
      <c r="ESB8" s="484"/>
      <c r="ESC8" s="484"/>
      <c r="ESD8" s="484"/>
      <c r="ESE8" s="484"/>
      <c r="ESF8" s="484"/>
      <c r="ESG8" s="484"/>
      <c r="ESH8" s="484"/>
      <c r="ESI8" s="484"/>
      <c r="ESJ8" s="484"/>
      <c r="ESK8" s="484"/>
      <c r="ESL8" s="484"/>
      <c r="ESM8" s="484"/>
      <c r="ESN8" s="484"/>
      <c r="ESO8" s="484"/>
      <c r="ESP8" s="484"/>
      <c r="ESQ8" s="484"/>
      <c r="ESR8" s="484"/>
      <c r="ESS8" s="484"/>
      <c r="EST8" s="484"/>
      <c r="ESU8" s="484"/>
      <c r="ESV8" s="484"/>
      <c r="ESW8" s="484"/>
      <c r="ESX8" s="484"/>
      <c r="ESY8" s="484"/>
      <c r="ESZ8" s="484"/>
      <c r="ETA8" s="484"/>
      <c r="ETB8" s="484"/>
      <c r="ETC8" s="484"/>
      <c r="ETD8" s="484"/>
      <c r="ETE8" s="484"/>
      <c r="ETF8" s="484"/>
      <c r="ETG8" s="484"/>
      <c r="ETH8" s="484"/>
      <c r="ETI8" s="484"/>
      <c r="ETJ8" s="484"/>
      <c r="ETK8" s="484"/>
      <c r="ETL8" s="484"/>
      <c r="ETM8" s="484"/>
      <c r="ETN8" s="484"/>
      <c r="ETO8" s="484"/>
      <c r="ETP8" s="484"/>
      <c r="ETQ8" s="484"/>
      <c r="ETR8" s="484"/>
      <c r="ETS8" s="484"/>
      <c r="ETT8" s="484"/>
      <c r="ETU8" s="484"/>
      <c r="ETV8" s="484"/>
      <c r="ETW8" s="484"/>
      <c r="ETX8" s="484"/>
      <c r="ETY8" s="484"/>
      <c r="ETZ8" s="484"/>
      <c r="EUA8" s="484"/>
      <c r="EUB8" s="484"/>
      <c r="EUC8" s="484"/>
      <c r="EUD8" s="484"/>
      <c r="EUE8" s="484"/>
      <c r="EUF8" s="484"/>
      <c r="EUG8" s="484"/>
      <c r="EUH8" s="484"/>
      <c r="EUI8" s="484"/>
      <c r="EUJ8" s="484"/>
      <c r="EUK8" s="484"/>
      <c r="EUL8" s="484"/>
      <c r="EUM8" s="484"/>
      <c r="EUN8" s="484"/>
      <c r="EUO8" s="484"/>
      <c r="EUP8" s="484"/>
      <c r="EUQ8" s="484"/>
      <c r="EUR8" s="484"/>
      <c r="EUS8" s="484"/>
      <c r="EUT8" s="484"/>
      <c r="EUU8" s="484"/>
      <c r="EUV8" s="484"/>
      <c r="EUW8" s="484"/>
      <c r="EUX8" s="484"/>
      <c r="EUY8" s="484"/>
      <c r="EUZ8" s="484"/>
      <c r="EVA8" s="484"/>
      <c r="EVB8" s="484"/>
      <c r="EVC8" s="484"/>
      <c r="EVD8" s="484"/>
      <c r="EVE8" s="484"/>
      <c r="EVF8" s="484"/>
      <c r="EVG8" s="484"/>
      <c r="EVH8" s="484"/>
      <c r="EVI8" s="484"/>
      <c r="EVJ8" s="484"/>
      <c r="EVK8" s="484"/>
      <c r="EVL8" s="484"/>
      <c r="EVM8" s="484"/>
      <c r="EVN8" s="484"/>
      <c r="EVO8" s="484"/>
      <c r="EVP8" s="484"/>
      <c r="EVQ8" s="484"/>
      <c r="EVR8" s="484"/>
      <c r="EVS8" s="484"/>
      <c r="EVT8" s="484"/>
      <c r="EVU8" s="484"/>
      <c r="EVV8" s="484"/>
      <c r="EVW8" s="484"/>
      <c r="EVX8" s="484"/>
      <c r="EVY8" s="484"/>
      <c r="EVZ8" s="484"/>
      <c r="EWA8" s="484"/>
      <c r="EWB8" s="484"/>
      <c r="EWC8" s="484"/>
      <c r="EWD8" s="484"/>
      <c r="EWE8" s="484"/>
      <c r="EWF8" s="484"/>
      <c r="EWG8" s="484"/>
      <c r="EWH8" s="484"/>
      <c r="EWI8" s="484"/>
      <c r="EWJ8" s="484"/>
      <c r="EWK8" s="484"/>
      <c r="EWL8" s="484"/>
      <c r="EWM8" s="484"/>
      <c r="EWN8" s="484"/>
      <c r="EWO8" s="484"/>
      <c r="EWP8" s="484"/>
      <c r="EWQ8" s="484"/>
      <c r="EWR8" s="484"/>
      <c r="EWS8" s="484"/>
      <c r="EWT8" s="484"/>
      <c r="EWU8" s="484"/>
      <c r="EWV8" s="484"/>
      <c r="EWW8" s="484"/>
      <c r="EWX8" s="484"/>
      <c r="EWY8" s="484"/>
      <c r="EWZ8" s="484"/>
      <c r="EXA8" s="484"/>
      <c r="EXB8" s="484"/>
      <c r="EXC8" s="484"/>
      <c r="EXD8" s="484"/>
      <c r="EXE8" s="484"/>
      <c r="EXF8" s="484"/>
      <c r="EXG8" s="484"/>
      <c r="EXH8" s="484"/>
      <c r="EXI8" s="484"/>
      <c r="EXJ8" s="484"/>
      <c r="EXK8" s="484"/>
      <c r="EXL8" s="484"/>
      <c r="EXM8" s="484"/>
      <c r="EXN8" s="484"/>
      <c r="EXO8" s="484"/>
      <c r="EXP8" s="484"/>
      <c r="EXQ8" s="484"/>
      <c r="EXR8" s="484"/>
      <c r="EXS8" s="484"/>
      <c r="EXT8" s="484"/>
      <c r="EXU8" s="484"/>
      <c r="EXV8" s="484"/>
      <c r="EXW8" s="484"/>
      <c r="EXX8" s="484"/>
      <c r="EXY8" s="484"/>
      <c r="EXZ8" s="484"/>
      <c r="EYA8" s="484"/>
      <c r="EYB8" s="484"/>
      <c r="EYC8" s="484"/>
      <c r="EYD8" s="484"/>
      <c r="EYE8" s="484"/>
      <c r="EYF8" s="484"/>
      <c r="EYG8" s="484"/>
      <c r="EYH8" s="484"/>
      <c r="EYI8" s="484"/>
      <c r="EYJ8" s="484"/>
      <c r="EYK8" s="484"/>
      <c r="EYL8" s="484"/>
      <c r="EYM8" s="484"/>
      <c r="EYN8" s="484"/>
      <c r="EYO8" s="484"/>
      <c r="EYP8" s="484"/>
      <c r="EYQ8" s="484"/>
      <c r="EYR8" s="484"/>
      <c r="EYS8" s="484"/>
      <c r="EYT8" s="484"/>
      <c r="EYU8" s="484"/>
      <c r="EYV8" s="484"/>
      <c r="EYW8" s="484"/>
      <c r="EYX8" s="484"/>
      <c r="EYY8" s="484"/>
      <c r="EYZ8" s="484"/>
      <c r="EZA8" s="484"/>
      <c r="EZB8" s="484"/>
      <c r="EZC8" s="484"/>
      <c r="EZD8" s="484"/>
      <c r="EZE8" s="484"/>
      <c r="EZF8" s="484"/>
      <c r="EZG8" s="484"/>
      <c r="EZH8" s="484"/>
      <c r="EZI8" s="484"/>
      <c r="EZJ8" s="484"/>
      <c r="EZK8" s="484"/>
      <c r="EZL8" s="484"/>
      <c r="EZM8" s="484"/>
      <c r="EZN8" s="484"/>
      <c r="EZO8" s="484"/>
      <c r="EZP8" s="484"/>
      <c r="EZQ8" s="484"/>
      <c r="EZR8" s="484"/>
      <c r="EZS8" s="484"/>
      <c r="EZT8" s="484"/>
      <c r="EZU8" s="484"/>
      <c r="EZV8" s="484"/>
      <c r="EZW8" s="484"/>
      <c r="EZX8" s="484"/>
      <c r="EZY8" s="484"/>
      <c r="EZZ8" s="484"/>
      <c r="FAA8" s="484"/>
      <c r="FAB8" s="484"/>
      <c r="FAC8" s="484"/>
      <c r="FAD8" s="484"/>
      <c r="FAE8" s="484"/>
      <c r="FAF8" s="484"/>
      <c r="FAG8" s="484"/>
      <c r="FAH8" s="484"/>
      <c r="FAI8" s="484"/>
      <c r="FAJ8" s="484"/>
      <c r="FAK8" s="484"/>
      <c r="FAL8" s="484"/>
      <c r="FAM8" s="484"/>
      <c r="FAN8" s="484"/>
      <c r="FAO8" s="484"/>
      <c r="FAP8" s="484"/>
      <c r="FAQ8" s="484"/>
      <c r="FAR8" s="484"/>
      <c r="FAS8" s="484"/>
      <c r="FAT8" s="484"/>
      <c r="FAU8" s="484"/>
      <c r="FAV8" s="484"/>
      <c r="FAW8" s="484"/>
      <c r="FAX8" s="484"/>
      <c r="FAY8" s="484"/>
      <c r="FAZ8" s="484"/>
      <c r="FBA8" s="484"/>
      <c r="FBB8" s="484"/>
      <c r="FBC8" s="484"/>
      <c r="FBD8" s="484"/>
      <c r="FBE8" s="484"/>
      <c r="FBF8" s="484"/>
      <c r="FBG8" s="484"/>
      <c r="FBH8" s="484"/>
      <c r="FBI8" s="484"/>
      <c r="FBJ8" s="484"/>
      <c r="FBK8" s="484"/>
      <c r="FBL8" s="484"/>
      <c r="FBM8" s="484"/>
      <c r="FBN8" s="484"/>
      <c r="FBO8" s="484"/>
      <c r="FBP8" s="484"/>
      <c r="FBQ8" s="484"/>
      <c r="FBR8" s="484"/>
      <c r="FBS8" s="484"/>
      <c r="FBT8" s="484"/>
      <c r="FBU8" s="484"/>
      <c r="FBV8" s="484"/>
      <c r="FBW8" s="484"/>
      <c r="FBX8" s="484"/>
      <c r="FBY8" s="484"/>
      <c r="FBZ8" s="484"/>
      <c r="FCA8" s="484"/>
      <c r="FCB8" s="484"/>
      <c r="FCC8" s="484"/>
      <c r="FCD8" s="484"/>
      <c r="FCE8" s="484"/>
      <c r="FCF8" s="484"/>
      <c r="FCG8" s="484"/>
      <c r="FCH8" s="484"/>
      <c r="FCI8" s="484"/>
      <c r="FCJ8" s="484"/>
      <c r="FCK8" s="484"/>
      <c r="FCL8" s="484"/>
      <c r="FCM8" s="484"/>
      <c r="FCN8" s="484"/>
      <c r="FCO8" s="484"/>
      <c r="FCP8" s="484"/>
      <c r="FCQ8" s="484"/>
      <c r="FCR8" s="484"/>
      <c r="FCS8" s="484"/>
      <c r="FCT8" s="484"/>
      <c r="FCU8" s="484"/>
      <c r="FCV8" s="484"/>
      <c r="FCW8" s="484"/>
      <c r="FCX8" s="484"/>
      <c r="FCY8" s="484"/>
      <c r="FCZ8" s="484"/>
      <c r="FDA8" s="484"/>
      <c r="FDB8" s="484"/>
      <c r="FDC8" s="484"/>
      <c r="FDD8" s="484"/>
      <c r="FDE8" s="484"/>
      <c r="FDF8" s="484"/>
      <c r="FDG8" s="484"/>
      <c r="FDH8" s="484"/>
      <c r="FDI8" s="484"/>
      <c r="FDJ8" s="484"/>
      <c r="FDK8" s="484"/>
      <c r="FDL8" s="484"/>
      <c r="FDM8" s="484"/>
      <c r="FDN8" s="484"/>
      <c r="FDO8" s="484"/>
      <c r="FDP8" s="484"/>
      <c r="FDQ8" s="484"/>
      <c r="FDR8" s="484"/>
      <c r="FDS8" s="484"/>
      <c r="FDT8" s="484"/>
      <c r="FDU8" s="484"/>
      <c r="FDV8" s="484"/>
      <c r="FDW8" s="484"/>
      <c r="FDX8" s="484"/>
      <c r="FDY8" s="484"/>
      <c r="FDZ8" s="484"/>
      <c r="FEA8" s="484"/>
      <c r="FEB8" s="484"/>
      <c r="FEC8" s="484"/>
      <c r="FED8" s="484"/>
      <c r="FEE8" s="484"/>
      <c r="FEF8" s="484"/>
      <c r="FEG8" s="484"/>
      <c r="FEH8" s="484"/>
      <c r="FEI8" s="484"/>
      <c r="FEJ8" s="484"/>
      <c r="FEK8" s="484"/>
      <c r="FEL8" s="484"/>
      <c r="FEM8" s="484"/>
      <c r="FEN8" s="484"/>
      <c r="FEO8" s="484"/>
      <c r="FEP8" s="484"/>
      <c r="FEQ8" s="484"/>
      <c r="FER8" s="484"/>
      <c r="FES8" s="484"/>
      <c r="FET8" s="484"/>
      <c r="FEU8" s="484"/>
      <c r="FEV8" s="484"/>
      <c r="FEW8" s="484"/>
      <c r="FEX8" s="484"/>
      <c r="FEY8" s="484"/>
      <c r="FEZ8" s="484"/>
      <c r="FFA8" s="484"/>
      <c r="FFB8" s="484"/>
      <c r="FFC8" s="484"/>
      <c r="FFD8" s="484"/>
      <c r="FFE8" s="484"/>
      <c r="FFF8" s="484"/>
      <c r="FFG8" s="484"/>
      <c r="FFH8" s="484"/>
      <c r="FFI8" s="484"/>
      <c r="FFJ8" s="484"/>
      <c r="FFK8" s="484"/>
      <c r="FFL8" s="484"/>
      <c r="FFM8" s="484"/>
      <c r="FFN8" s="484"/>
      <c r="FFO8" s="484"/>
      <c r="FFP8" s="484"/>
      <c r="FFQ8" s="484"/>
      <c r="FFR8" s="484"/>
      <c r="FFS8" s="484"/>
      <c r="FFT8" s="484"/>
      <c r="FFU8" s="484"/>
      <c r="FFV8" s="484"/>
      <c r="FFW8" s="484"/>
      <c r="FFX8" s="484"/>
      <c r="FFY8" s="484"/>
      <c r="FFZ8" s="484"/>
      <c r="FGA8" s="484"/>
      <c r="FGB8" s="484"/>
      <c r="FGC8" s="484"/>
      <c r="FGD8" s="484"/>
      <c r="FGE8" s="484"/>
      <c r="FGF8" s="484"/>
      <c r="FGG8" s="484"/>
      <c r="FGH8" s="484"/>
      <c r="FGI8" s="484"/>
      <c r="FGJ8" s="484"/>
      <c r="FGK8" s="484"/>
      <c r="FGL8" s="484"/>
      <c r="FGM8" s="484"/>
      <c r="FGN8" s="484"/>
      <c r="FGO8" s="484"/>
      <c r="FGP8" s="484"/>
      <c r="FGQ8" s="484"/>
      <c r="FGR8" s="484"/>
      <c r="FGS8" s="484"/>
      <c r="FGT8" s="484"/>
      <c r="FGU8" s="484"/>
      <c r="FGV8" s="484"/>
      <c r="FGW8" s="484"/>
      <c r="FGX8" s="484"/>
      <c r="FGY8" s="484"/>
      <c r="FGZ8" s="484"/>
      <c r="FHA8" s="484"/>
      <c r="FHB8" s="484"/>
      <c r="FHC8" s="484"/>
      <c r="FHD8" s="484"/>
      <c r="FHE8" s="484"/>
      <c r="FHF8" s="484"/>
      <c r="FHG8" s="484"/>
      <c r="FHH8" s="484"/>
      <c r="FHI8" s="484"/>
      <c r="FHJ8" s="484"/>
      <c r="FHK8" s="484"/>
      <c r="FHL8" s="484"/>
      <c r="FHM8" s="484"/>
      <c r="FHN8" s="484"/>
      <c r="FHO8" s="484"/>
      <c r="FHP8" s="484"/>
      <c r="FHQ8" s="484"/>
      <c r="FHR8" s="484"/>
      <c r="FHS8" s="484"/>
      <c r="FHT8" s="484"/>
      <c r="FHU8" s="484"/>
      <c r="FHV8" s="484"/>
      <c r="FHW8" s="484"/>
      <c r="FHX8" s="484"/>
      <c r="FHY8" s="484"/>
      <c r="FHZ8" s="484"/>
      <c r="FIA8" s="484"/>
      <c r="FIB8" s="484"/>
      <c r="FIC8" s="484"/>
      <c r="FID8" s="484"/>
      <c r="FIE8" s="484"/>
      <c r="FIF8" s="484"/>
      <c r="FIG8" s="484"/>
      <c r="FIH8" s="484"/>
      <c r="FII8" s="484"/>
      <c r="FIJ8" s="484"/>
      <c r="FIK8" s="484"/>
      <c r="FIL8" s="484"/>
      <c r="FIM8" s="484"/>
      <c r="FIN8" s="484"/>
      <c r="FIO8" s="484"/>
      <c r="FIP8" s="484"/>
      <c r="FIQ8" s="484"/>
      <c r="FIR8" s="484"/>
      <c r="FIS8" s="484"/>
      <c r="FIT8" s="484"/>
      <c r="FIU8" s="484"/>
      <c r="FIV8" s="484"/>
      <c r="FIW8" s="484"/>
      <c r="FIX8" s="484"/>
      <c r="FIY8" s="484"/>
      <c r="FIZ8" s="484"/>
      <c r="FJA8" s="484"/>
      <c r="FJB8" s="484"/>
      <c r="FJC8" s="484"/>
      <c r="FJD8" s="484"/>
      <c r="FJE8" s="484"/>
      <c r="FJF8" s="484"/>
      <c r="FJG8" s="484"/>
      <c r="FJH8" s="484"/>
      <c r="FJI8" s="484"/>
      <c r="FJJ8" s="484"/>
      <c r="FJK8" s="484"/>
      <c r="FJL8" s="484"/>
      <c r="FJM8" s="484"/>
      <c r="FJN8" s="484"/>
      <c r="FJO8" s="484"/>
      <c r="FJP8" s="484"/>
      <c r="FJQ8" s="484"/>
      <c r="FJR8" s="484"/>
      <c r="FJS8" s="484"/>
      <c r="FJT8" s="484"/>
      <c r="FJU8" s="484"/>
      <c r="FJV8" s="484"/>
      <c r="FJW8" s="484"/>
      <c r="FJX8" s="484"/>
      <c r="FJY8" s="484"/>
      <c r="FJZ8" s="484"/>
      <c r="FKA8" s="484"/>
      <c r="FKB8" s="484"/>
      <c r="FKC8" s="484"/>
      <c r="FKD8" s="484"/>
      <c r="FKE8" s="484"/>
      <c r="FKF8" s="484"/>
      <c r="FKG8" s="484"/>
      <c r="FKH8" s="484"/>
      <c r="FKI8" s="484"/>
      <c r="FKJ8" s="484"/>
      <c r="FKK8" s="484"/>
      <c r="FKL8" s="484"/>
      <c r="FKM8" s="484"/>
      <c r="FKN8" s="484"/>
      <c r="FKO8" s="484"/>
      <c r="FKP8" s="484"/>
      <c r="FKQ8" s="484"/>
      <c r="FKR8" s="484"/>
      <c r="FKS8" s="484"/>
      <c r="FKT8" s="484"/>
      <c r="FKU8" s="484"/>
      <c r="FKV8" s="484"/>
      <c r="FKW8" s="484"/>
      <c r="FKX8" s="484"/>
      <c r="FKY8" s="484"/>
      <c r="FKZ8" s="484"/>
      <c r="FLA8" s="484"/>
      <c r="FLB8" s="484"/>
      <c r="FLC8" s="484"/>
      <c r="FLD8" s="484"/>
      <c r="FLE8" s="484"/>
      <c r="FLF8" s="484"/>
      <c r="FLG8" s="484"/>
      <c r="FLH8" s="484"/>
      <c r="FLI8" s="484"/>
      <c r="FLJ8" s="484"/>
      <c r="FLK8" s="484"/>
      <c r="FLL8" s="484"/>
      <c r="FLM8" s="484"/>
      <c r="FLN8" s="484"/>
      <c r="FLO8" s="484"/>
      <c r="FLP8" s="484"/>
      <c r="FLQ8" s="484"/>
      <c r="FLR8" s="484"/>
      <c r="FLS8" s="484"/>
      <c r="FLT8" s="484"/>
      <c r="FLU8" s="484"/>
      <c r="FLV8" s="484"/>
      <c r="FLW8" s="484"/>
      <c r="FLX8" s="484"/>
      <c r="FLY8" s="484"/>
      <c r="FLZ8" s="484"/>
      <c r="FMA8" s="484"/>
      <c r="FMB8" s="484"/>
      <c r="FMC8" s="484"/>
      <c r="FMD8" s="484"/>
      <c r="FME8" s="484"/>
      <c r="FMF8" s="484"/>
      <c r="FMG8" s="484"/>
      <c r="FMH8" s="484"/>
      <c r="FMI8" s="484"/>
      <c r="FMJ8" s="484"/>
      <c r="FMK8" s="484"/>
      <c r="FML8" s="484"/>
      <c r="FMM8" s="484"/>
      <c r="FMN8" s="484"/>
      <c r="FMO8" s="484"/>
      <c r="FMP8" s="484"/>
      <c r="FMQ8" s="484"/>
      <c r="FMR8" s="484"/>
      <c r="FMS8" s="484"/>
      <c r="FMT8" s="484"/>
      <c r="FMU8" s="484"/>
      <c r="FMV8" s="484"/>
      <c r="FMW8" s="484"/>
      <c r="FMX8" s="484"/>
      <c r="FMY8" s="484"/>
      <c r="FMZ8" s="484"/>
      <c r="FNA8" s="484"/>
      <c r="FNB8" s="484"/>
      <c r="FNC8" s="484"/>
      <c r="FND8" s="484"/>
      <c r="FNE8" s="484"/>
      <c r="FNF8" s="484"/>
      <c r="FNG8" s="484"/>
      <c r="FNH8" s="484"/>
      <c r="FNI8" s="484"/>
      <c r="FNJ8" s="484"/>
      <c r="FNK8" s="484"/>
      <c r="FNL8" s="484"/>
      <c r="FNM8" s="484"/>
      <c r="FNN8" s="484"/>
      <c r="FNO8" s="484"/>
      <c r="FNP8" s="484"/>
      <c r="FNQ8" s="484"/>
      <c r="FNR8" s="484"/>
      <c r="FNS8" s="484"/>
      <c r="FNT8" s="484"/>
      <c r="FNU8" s="484"/>
      <c r="FNV8" s="484"/>
      <c r="FNW8" s="484"/>
      <c r="FNX8" s="484"/>
      <c r="FNY8" s="484"/>
      <c r="FNZ8" s="484"/>
      <c r="FOA8" s="484"/>
      <c r="FOB8" s="484"/>
      <c r="FOC8" s="484"/>
      <c r="FOD8" s="484"/>
      <c r="FOE8" s="484"/>
      <c r="FOF8" s="484"/>
      <c r="FOG8" s="484"/>
      <c r="FOH8" s="484"/>
      <c r="FOI8" s="484"/>
      <c r="FOJ8" s="484"/>
      <c r="FOK8" s="484"/>
      <c r="FOL8" s="484"/>
      <c r="FOM8" s="484"/>
      <c r="FON8" s="484"/>
      <c r="FOO8" s="484"/>
      <c r="FOP8" s="484"/>
      <c r="FOQ8" s="484"/>
      <c r="FOR8" s="484"/>
      <c r="FOS8" s="484"/>
      <c r="FOT8" s="484"/>
      <c r="FOU8" s="484"/>
      <c r="FOV8" s="484"/>
      <c r="FOW8" s="484"/>
      <c r="FOX8" s="484"/>
      <c r="FOY8" s="484"/>
      <c r="FOZ8" s="484"/>
      <c r="FPA8" s="484"/>
      <c r="FPB8" s="484"/>
      <c r="FPC8" s="484"/>
      <c r="FPD8" s="484"/>
      <c r="FPE8" s="484"/>
      <c r="FPF8" s="484"/>
      <c r="FPG8" s="484"/>
      <c r="FPH8" s="484"/>
      <c r="FPI8" s="484"/>
      <c r="FPJ8" s="484"/>
      <c r="FPK8" s="484"/>
      <c r="FPL8" s="484"/>
      <c r="FPM8" s="484"/>
      <c r="FPN8" s="484"/>
      <c r="FPO8" s="484"/>
      <c r="FPP8" s="484"/>
      <c r="FPQ8" s="484"/>
      <c r="FPR8" s="484"/>
      <c r="FPS8" s="484"/>
      <c r="FPT8" s="484"/>
      <c r="FPU8" s="484"/>
      <c r="FPV8" s="484"/>
      <c r="FPW8" s="484"/>
      <c r="FPX8" s="484"/>
      <c r="FPY8" s="484"/>
      <c r="FPZ8" s="484"/>
      <c r="FQA8" s="484"/>
      <c r="FQB8" s="484"/>
      <c r="FQC8" s="484"/>
      <c r="FQD8" s="484"/>
      <c r="FQE8" s="484"/>
      <c r="FQF8" s="484"/>
      <c r="FQG8" s="484"/>
      <c r="FQH8" s="484"/>
      <c r="FQI8" s="484"/>
      <c r="FQJ8" s="484"/>
      <c r="FQK8" s="484"/>
      <c r="FQL8" s="484"/>
      <c r="FQM8" s="484"/>
      <c r="FQN8" s="484"/>
      <c r="FQO8" s="484"/>
      <c r="FQP8" s="484"/>
      <c r="FQQ8" s="484"/>
      <c r="FQR8" s="484"/>
      <c r="FQS8" s="484"/>
      <c r="FQT8" s="484"/>
      <c r="FQU8" s="484"/>
      <c r="FQV8" s="484"/>
      <c r="FQW8" s="484"/>
      <c r="FQX8" s="484"/>
      <c r="FQY8" s="484"/>
      <c r="FQZ8" s="484"/>
      <c r="FRA8" s="484"/>
      <c r="FRB8" s="484"/>
      <c r="FRC8" s="484"/>
      <c r="FRD8" s="484"/>
      <c r="FRE8" s="484"/>
      <c r="FRF8" s="484"/>
      <c r="FRG8" s="484"/>
      <c r="FRH8" s="484"/>
      <c r="FRI8" s="484"/>
      <c r="FRJ8" s="484"/>
      <c r="FRK8" s="484"/>
      <c r="FRL8" s="484"/>
      <c r="FRM8" s="484"/>
      <c r="FRN8" s="484"/>
      <c r="FRO8" s="484"/>
      <c r="FRP8" s="484"/>
      <c r="FRQ8" s="484"/>
      <c r="FRR8" s="484"/>
      <c r="FRS8" s="484"/>
      <c r="FRT8" s="484"/>
      <c r="FRU8" s="484"/>
      <c r="FRV8" s="484"/>
      <c r="FRW8" s="484"/>
      <c r="FRX8" s="484"/>
      <c r="FRY8" s="484"/>
      <c r="FRZ8" s="484"/>
      <c r="FSA8" s="484"/>
      <c r="FSB8" s="484"/>
      <c r="FSC8" s="484"/>
      <c r="FSD8" s="484"/>
      <c r="FSE8" s="484"/>
      <c r="FSF8" s="484"/>
      <c r="FSG8" s="484"/>
      <c r="FSH8" s="484"/>
      <c r="FSI8" s="484"/>
      <c r="FSJ8" s="484"/>
      <c r="FSK8" s="484"/>
      <c r="FSL8" s="484"/>
      <c r="FSM8" s="484"/>
      <c r="FSN8" s="484"/>
      <c r="FSO8" s="484"/>
      <c r="FSP8" s="484"/>
      <c r="FSQ8" s="484"/>
      <c r="FSR8" s="484"/>
      <c r="FSS8" s="484"/>
      <c r="FST8" s="484"/>
      <c r="FSU8" s="484"/>
      <c r="FSV8" s="484"/>
      <c r="FSW8" s="484"/>
      <c r="FSX8" s="484"/>
      <c r="FSY8" s="484"/>
      <c r="FSZ8" s="484"/>
      <c r="FTA8" s="484"/>
      <c r="FTB8" s="484"/>
      <c r="FTC8" s="484"/>
      <c r="FTD8" s="484"/>
      <c r="FTE8" s="484"/>
      <c r="FTF8" s="484"/>
      <c r="FTG8" s="484"/>
      <c r="FTH8" s="484"/>
      <c r="FTI8" s="484"/>
      <c r="FTJ8" s="484"/>
      <c r="FTK8" s="484"/>
      <c r="FTL8" s="484"/>
      <c r="FTM8" s="484"/>
      <c r="FTN8" s="484"/>
      <c r="FTO8" s="484"/>
      <c r="FTP8" s="484"/>
      <c r="FTQ8" s="484"/>
      <c r="FTR8" s="484"/>
      <c r="FTS8" s="484"/>
      <c r="FTT8" s="484"/>
      <c r="FTU8" s="484"/>
      <c r="FTV8" s="484"/>
      <c r="FTW8" s="484"/>
      <c r="FTX8" s="484"/>
      <c r="FTY8" s="484"/>
      <c r="FTZ8" s="484"/>
      <c r="FUA8" s="484"/>
      <c r="FUB8" s="484"/>
      <c r="FUC8" s="484"/>
      <c r="FUD8" s="484"/>
      <c r="FUE8" s="484"/>
      <c r="FUF8" s="484"/>
      <c r="FUG8" s="484"/>
      <c r="FUH8" s="484"/>
      <c r="FUI8" s="484"/>
      <c r="FUJ8" s="484"/>
      <c r="FUK8" s="484"/>
      <c r="FUL8" s="484"/>
      <c r="FUM8" s="484"/>
      <c r="FUN8" s="484"/>
      <c r="FUO8" s="484"/>
      <c r="FUP8" s="484"/>
      <c r="FUQ8" s="484"/>
      <c r="FUR8" s="484"/>
      <c r="FUS8" s="484"/>
      <c r="FUT8" s="484"/>
      <c r="FUU8" s="484"/>
      <c r="FUV8" s="484"/>
      <c r="FUW8" s="484"/>
      <c r="FUX8" s="484"/>
      <c r="FUY8" s="484"/>
      <c r="FUZ8" s="484"/>
      <c r="FVA8" s="484"/>
      <c r="FVB8" s="484"/>
      <c r="FVC8" s="484"/>
      <c r="FVD8" s="484"/>
      <c r="FVE8" s="484"/>
      <c r="FVF8" s="484"/>
      <c r="FVG8" s="484"/>
      <c r="FVH8" s="484"/>
      <c r="FVI8" s="484"/>
      <c r="FVJ8" s="484"/>
      <c r="FVK8" s="484"/>
      <c r="FVL8" s="484"/>
      <c r="FVM8" s="484"/>
      <c r="FVN8" s="484"/>
      <c r="FVO8" s="484"/>
      <c r="FVP8" s="484"/>
      <c r="FVQ8" s="484"/>
      <c r="FVR8" s="484"/>
      <c r="FVS8" s="484"/>
      <c r="FVT8" s="484"/>
      <c r="FVU8" s="484"/>
      <c r="FVV8" s="484"/>
      <c r="FVW8" s="484"/>
      <c r="FVX8" s="484"/>
      <c r="FVY8" s="484"/>
      <c r="FVZ8" s="484"/>
      <c r="FWA8" s="484"/>
      <c r="FWB8" s="484"/>
      <c r="FWC8" s="484"/>
      <c r="FWD8" s="484"/>
      <c r="FWE8" s="484"/>
      <c r="FWF8" s="484"/>
      <c r="FWG8" s="484"/>
      <c r="FWH8" s="484"/>
      <c r="FWI8" s="484"/>
      <c r="FWJ8" s="484"/>
      <c r="FWK8" s="484"/>
      <c r="FWL8" s="484"/>
      <c r="FWM8" s="484"/>
      <c r="FWN8" s="484"/>
      <c r="FWO8" s="484"/>
      <c r="FWP8" s="484"/>
      <c r="FWQ8" s="484"/>
      <c r="FWR8" s="484"/>
      <c r="FWS8" s="484"/>
      <c r="FWT8" s="484"/>
      <c r="FWU8" s="484"/>
      <c r="FWV8" s="484"/>
      <c r="FWW8" s="484"/>
      <c r="FWX8" s="484"/>
      <c r="FWY8" s="484"/>
      <c r="FWZ8" s="484"/>
      <c r="FXA8" s="484"/>
      <c r="FXB8" s="484"/>
      <c r="FXC8" s="484"/>
      <c r="FXD8" s="484"/>
      <c r="FXE8" s="484"/>
      <c r="FXF8" s="484"/>
      <c r="FXG8" s="484"/>
      <c r="FXH8" s="484"/>
      <c r="FXI8" s="484"/>
      <c r="FXJ8" s="484"/>
      <c r="FXK8" s="484"/>
      <c r="FXL8" s="484"/>
      <c r="FXM8" s="484"/>
      <c r="FXN8" s="484"/>
      <c r="FXO8" s="484"/>
      <c r="FXP8" s="484"/>
      <c r="FXQ8" s="484"/>
      <c r="FXR8" s="484"/>
      <c r="FXS8" s="484"/>
      <c r="FXT8" s="484"/>
      <c r="FXU8" s="484"/>
      <c r="FXV8" s="484"/>
      <c r="FXW8" s="484"/>
      <c r="FXX8" s="484"/>
      <c r="FXY8" s="484"/>
      <c r="FXZ8" s="484"/>
      <c r="FYA8" s="484"/>
      <c r="FYB8" s="484"/>
      <c r="FYC8" s="484"/>
      <c r="FYD8" s="484"/>
      <c r="FYE8" s="484"/>
      <c r="FYF8" s="484"/>
      <c r="FYG8" s="484"/>
      <c r="FYH8" s="484"/>
      <c r="FYI8" s="484"/>
      <c r="FYJ8" s="484"/>
      <c r="FYK8" s="484"/>
      <c r="FYL8" s="484"/>
      <c r="FYM8" s="484"/>
      <c r="FYN8" s="484"/>
      <c r="FYO8" s="484"/>
      <c r="FYP8" s="484"/>
      <c r="FYQ8" s="484"/>
      <c r="FYR8" s="484"/>
      <c r="FYS8" s="484"/>
      <c r="FYT8" s="484"/>
      <c r="FYU8" s="484"/>
      <c r="FYV8" s="484"/>
      <c r="FYW8" s="484"/>
      <c r="FYX8" s="484"/>
      <c r="FYY8" s="484"/>
      <c r="FYZ8" s="484"/>
      <c r="FZA8" s="484"/>
      <c r="FZB8" s="484"/>
      <c r="FZC8" s="484"/>
      <c r="FZD8" s="484"/>
      <c r="FZE8" s="484"/>
      <c r="FZF8" s="484"/>
      <c r="FZG8" s="484"/>
      <c r="FZH8" s="484"/>
      <c r="FZI8" s="484"/>
      <c r="FZJ8" s="484"/>
      <c r="FZK8" s="484"/>
      <c r="FZL8" s="484"/>
      <c r="FZM8" s="484"/>
      <c r="FZN8" s="484"/>
      <c r="FZO8" s="484"/>
      <c r="FZP8" s="484"/>
      <c r="FZQ8" s="484"/>
      <c r="FZR8" s="484"/>
      <c r="FZS8" s="484"/>
      <c r="FZT8" s="484"/>
      <c r="FZU8" s="484"/>
      <c r="FZV8" s="484"/>
      <c r="FZW8" s="484"/>
      <c r="FZX8" s="484"/>
      <c r="FZY8" s="484"/>
      <c r="FZZ8" s="484"/>
      <c r="GAA8" s="484"/>
      <c r="GAB8" s="484"/>
      <c r="GAC8" s="484"/>
      <c r="GAD8" s="484"/>
      <c r="GAE8" s="484"/>
      <c r="GAF8" s="484"/>
      <c r="GAG8" s="484"/>
      <c r="GAH8" s="484"/>
      <c r="GAI8" s="484"/>
      <c r="GAJ8" s="484"/>
      <c r="GAK8" s="484"/>
      <c r="GAL8" s="484"/>
      <c r="GAM8" s="484"/>
      <c r="GAN8" s="484"/>
      <c r="GAO8" s="484"/>
      <c r="GAP8" s="484"/>
      <c r="GAQ8" s="484"/>
      <c r="GAR8" s="484"/>
      <c r="GAS8" s="484"/>
      <c r="GAT8" s="484"/>
      <c r="GAU8" s="484"/>
      <c r="GAV8" s="484"/>
      <c r="GAW8" s="484"/>
      <c r="GAX8" s="484"/>
      <c r="GAY8" s="484"/>
      <c r="GAZ8" s="484"/>
      <c r="GBA8" s="484"/>
      <c r="GBB8" s="484"/>
      <c r="GBC8" s="484"/>
      <c r="GBD8" s="484"/>
      <c r="GBE8" s="484"/>
      <c r="GBF8" s="484"/>
      <c r="GBG8" s="484"/>
      <c r="GBH8" s="484"/>
      <c r="GBI8" s="484"/>
      <c r="GBJ8" s="484"/>
      <c r="GBK8" s="484"/>
      <c r="GBL8" s="484"/>
      <c r="GBM8" s="484"/>
      <c r="GBN8" s="484"/>
      <c r="GBO8" s="484"/>
      <c r="GBP8" s="484"/>
      <c r="GBQ8" s="484"/>
      <c r="GBR8" s="484"/>
      <c r="GBS8" s="484"/>
      <c r="GBT8" s="484"/>
      <c r="GBU8" s="484"/>
      <c r="GBV8" s="484"/>
      <c r="GBW8" s="484"/>
      <c r="GBX8" s="484"/>
      <c r="GBY8" s="484"/>
      <c r="GBZ8" s="484"/>
      <c r="GCA8" s="484"/>
      <c r="GCB8" s="484"/>
      <c r="GCC8" s="484"/>
      <c r="GCD8" s="484"/>
      <c r="GCE8" s="484"/>
      <c r="GCF8" s="484"/>
      <c r="GCG8" s="484"/>
      <c r="GCH8" s="484"/>
      <c r="GCI8" s="484"/>
      <c r="GCJ8" s="484"/>
      <c r="GCK8" s="484"/>
      <c r="GCL8" s="484"/>
      <c r="GCM8" s="484"/>
      <c r="GCN8" s="484"/>
      <c r="GCO8" s="484"/>
      <c r="GCP8" s="484"/>
      <c r="GCQ8" s="484"/>
      <c r="GCR8" s="484"/>
      <c r="GCS8" s="484"/>
      <c r="GCT8" s="484"/>
      <c r="GCU8" s="484"/>
      <c r="GCV8" s="484"/>
      <c r="GCW8" s="484"/>
      <c r="GCX8" s="484"/>
      <c r="GCY8" s="484"/>
      <c r="GCZ8" s="484"/>
      <c r="GDA8" s="484"/>
      <c r="GDB8" s="484"/>
      <c r="GDC8" s="484"/>
      <c r="GDD8" s="484"/>
      <c r="GDE8" s="484"/>
      <c r="GDF8" s="484"/>
      <c r="GDG8" s="484"/>
      <c r="GDH8" s="484"/>
      <c r="GDI8" s="484"/>
      <c r="GDJ8" s="484"/>
      <c r="GDK8" s="484"/>
      <c r="GDL8" s="484"/>
      <c r="GDM8" s="484"/>
      <c r="GDN8" s="484"/>
      <c r="GDO8" s="484"/>
      <c r="GDP8" s="484"/>
      <c r="GDQ8" s="484"/>
      <c r="GDR8" s="484"/>
      <c r="GDS8" s="484"/>
      <c r="GDT8" s="484"/>
      <c r="GDU8" s="484"/>
      <c r="GDV8" s="484"/>
      <c r="GDW8" s="484"/>
      <c r="GDX8" s="484"/>
      <c r="GDY8" s="484"/>
      <c r="GDZ8" s="484"/>
      <c r="GEA8" s="484"/>
      <c r="GEB8" s="484"/>
      <c r="GEC8" s="484"/>
      <c r="GED8" s="484"/>
      <c r="GEE8" s="484"/>
      <c r="GEF8" s="484"/>
      <c r="GEG8" s="484"/>
      <c r="GEH8" s="484"/>
      <c r="GEI8" s="484"/>
      <c r="GEJ8" s="484"/>
      <c r="GEK8" s="484"/>
      <c r="GEL8" s="484"/>
      <c r="GEM8" s="484"/>
      <c r="GEN8" s="484"/>
      <c r="GEO8" s="484"/>
      <c r="GEP8" s="484"/>
      <c r="GEQ8" s="484"/>
      <c r="GER8" s="484"/>
      <c r="GES8" s="484"/>
      <c r="GET8" s="484"/>
      <c r="GEU8" s="484"/>
      <c r="GEV8" s="484"/>
      <c r="GEW8" s="484"/>
      <c r="GEX8" s="484"/>
      <c r="GEY8" s="484"/>
      <c r="GEZ8" s="484"/>
      <c r="GFA8" s="484"/>
      <c r="GFB8" s="484"/>
      <c r="GFC8" s="484"/>
      <c r="GFD8" s="484"/>
      <c r="GFE8" s="484"/>
      <c r="GFF8" s="484"/>
      <c r="GFG8" s="484"/>
      <c r="GFH8" s="484"/>
      <c r="GFI8" s="484"/>
      <c r="GFJ8" s="484"/>
      <c r="GFK8" s="484"/>
      <c r="GFL8" s="484"/>
      <c r="GFM8" s="484"/>
      <c r="GFN8" s="484"/>
      <c r="GFO8" s="484"/>
      <c r="GFP8" s="484"/>
      <c r="GFQ8" s="484"/>
      <c r="GFR8" s="484"/>
      <c r="GFS8" s="484"/>
      <c r="GFT8" s="484"/>
      <c r="GFU8" s="484"/>
      <c r="GFV8" s="484"/>
      <c r="GFW8" s="484"/>
      <c r="GFX8" s="484"/>
      <c r="GFY8" s="484"/>
      <c r="GFZ8" s="484"/>
      <c r="GGA8" s="484"/>
      <c r="GGB8" s="484"/>
      <c r="GGC8" s="484"/>
      <c r="GGD8" s="484"/>
      <c r="GGE8" s="484"/>
      <c r="GGF8" s="484"/>
      <c r="GGG8" s="484"/>
      <c r="GGH8" s="484"/>
      <c r="GGI8" s="484"/>
      <c r="GGJ8" s="484"/>
      <c r="GGK8" s="484"/>
      <c r="GGL8" s="484"/>
      <c r="GGM8" s="484"/>
      <c r="GGN8" s="484"/>
      <c r="GGO8" s="484"/>
      <c r="GGP8" s="484"/>
      <c r="GGQ8" s="484"/>
      <c r="GGR8" s="484"/>
      <c r="GGS8" s="484"/>
      <c r="GGT8" s="484"/>
      <c r="GGU8" s="484"/>
      <c r="GGV8" s="484"/>
      <c r="GGW8" s="484"/>
      <c r="GGX8" s="484"/>
      <c r="GGY8" s="484"/>
      <c r="GGZ8" s="484"/>
      <c r="GHA8" s="484"/>
      <c r="GHB8" s="484"/>
      <c r="GHC8" s="484"/>
      <c r="GHD8" s="484"/>
      <c r="GHE8" s="484"/>
      <c r="GHF8" s="484"/>
      <c r="GHG8" s="484"/>
      <c r="GHH8" s="484"/>
      <c r="GHI8" s="484"/>
      <c r="GHJ8" s="484"/>
      <c r="GHK8" s="484"/>
      <c r="GHL8" s="484"/>
      <c r="GHM8" s="484"/>
      <c r="GHN8" s="484"/>
      <c r="GHO8" s="484"/>
      <c r="GHP8" s="484"/>
      <c r="GHQ8" s="484"/>
      <c r="GHR8" s="484"/>
      <c r="GHS8" s="484"/>
      <c r="GHT8" s="484"/>
      <c r="GHU8" s="484"/>
      <c r="GHV8" s="484"/>
      <c r="GHW8" s="484"/>
      <c r="GHX8" s="484"/>
      <c r="GHY8" s="484"/>
      <c r="GHZ8" s="484"/>
      <c r="GIA8" s="484"/>
      <c r="GIB8" s="484"/>
      <c r="GIC8" s="484"/>
      <c r="GID8" s="484"/>
      <c r="GIE8" s="484"/>
      <c r="GIF8" s="484"/>
      <c r="GIG8" s="484"/>
      <c r="GIH8" s="484"/>
      <c r="GII8" s="484"/>
      <c r="GIJ8" s="484"/>
      <c r="GIK8" s="484"/>
      <c r="GIL8" s="484"/>
      <c r="GIM8" s="484"/>
      <c r="GIN8" s="484"/>
      <c r="GIO8" s="484"/>
      <c r="GIP8" s="484"/>
      <c r="GIQ8" s="484"/>
      <c r="GIR8" s="484"/>
      <c r="GIS8" s="484"/>
      <c r="GIT8" s="484"/>
      <c r="GIU8" s="484"/>
      <c r="GIV8" s="484"/>
      <c r="GIW8" s="484"/>
      <c r="GIX8" s="484"/>
      <c r="GIY8" s="484"/>
      <c r="GIZ8" s="484"/>
      <c r="GJA8" s="484"/>
      <c r="GJB8" s="484"/>
      <c r="GJC8" s="484"/>
      <c r="GJD8" s="484"/>
      <c r="GJE8" s="484"/>
      <c r="GJF8" s="484"/>
      <c r="GJG8" s="484"/>
      <c r="GJH8" s="484"/>
      <c r="GJI8" s="484"/>
      <c r="GJJ8" s="484"/>
      <c r="GJK8" s="484"/>
      <c r="GJL8" s="484"/>
      <c r="GJM8" s="484"/>
      <c r="GJN8" s="484"/>
      <c r="GJO8" s="484"/>
      <c r="GJP8" s="484"/>
      <c r="GJQ8" s="484"/>
      <c r="GJR8" s="484"/>
      <c r="GJS8" s="484"/>
      <c r="GJT8" s="484"/>
      <c r="GJU8" s="484"/>
      <c r="GJV8" s="484"/>
      <c r="GJW8" s="484"/>
      <c r="GJX8" s="484"/>
      <c r="GJY8" s="484"/>
      <c r="GJZ8" s="484"/>
      <c r="GKA8" s="484"/>
      <c r="GKB8" s="484"/>
      <c r="GKC8" s="484"/>
      <c r="GKD8" s="484"/>
      <c r="GKE8" s="484"/>
      <c r="GKF8" s="484"/>
      <c r="GKG8" s="484"/>
      <c r="GKH8" s="484"/>
      <c r="GKI8" s="484"/>
      <c r="GKJ8" s="484"/>
      <c r="GKK8" s="484"/>
      <c r="GKL8" s="484"/>
      <c r="GKM8" s="484"/>
      <c r="GKN8" s="484"/>
      <c r="GKO8" s="484"/>
      <c r="GKP8" s="484"/>
      <c r="GKQ8" s="484"/>
      <c r="GKR8" s="484"/>
      <c r="GKS8" s="484"/>
      <c r="GKT8" s="484"/>
      <c r="GKU8" s="484"/>
      <c r="GKV8" s="484"/>
      <c r="GKW8" s="484"/>
      <c r="GKX8" s="484"/>
      <c r="GKY8" s="484"/>
      <c r="GKZ8" s="484"/>
      <c r="GLA8" s="484"/>
      <c r="GLB8" s="484"/>
      <c r="GLC8" s="484"/>
      <c r="GLD8" s="484"/>
      <c r="GLE8" s="484"/>
      <c r="GLF8" s="484"/>
      <c r="GLG8" s="484"/>
      <c r="GLH8" s="484"/>
      <c r="GLI8" s="484"/>
      <c r="GLJ8" s="484"/>
      <c r="GLK8" s="484"/>
      <c r="GLL8" s="484"/>
      <c r="GLM8" s="484"/>
      <c r="GLN8" s="484"/>
      <c r="GLO8" s="484"/>
      <c r="GLP8" s="484"/>
      <c r="GLQ8" s="484"/>
      <c r="GLR8" s="484"/>
      <c r="GLS8" s="484"/>
      <c r="GLT8" s="484"/>
      <c r="GLU8" s="484"/>
      <c r="GLV8" s="484"/>
      <c r="GLW8" s="484"/>
      <c r="GLX8" s="484"/>
      <c r="GLY8" s="484"/>
      <c r="GLZ8" s="484"/>
      <c r="GMA8" s="484"/>
      <c r="GMB8" s="484"/>
      <c r="GMC8" s="484"/>
      <c r="GMD8" s="484"/>
      <c r="GME8" s="484"/>
      <c r="GMF8" s="484"/>
      <c r="GMG8" s="484"/>
      <c r="GMH8" s="484"/>
      <c r="GMI8" s="484"/>
      <c r="GMJ8" s="484"/>
      <c r="GMK8" s="484"/>
      <c r="GML8" s="484"/>
      <c r="GMM8" s="484"/>
      <c r="GMN8" s="484"/>
      <c r="GMO8" s="484"/>
      <c r="GMP8" s="484"/>
      <c r="GMQ8" s="484"/>
      <c r="GMR8" s="484"/>
      <c r="GMS8" s="484"/>
      <c r="GMT8" s="484"/>
      <c r="GMU8" s="484"/>
      <c r="GMV8" s="484"/>
      <c r="GMW8" s="484"/>
      <c r="GMX8" s="484"/>
      <c r="GMY8" s="484"/>
      <c r="GMZ8" s="484"/>
      <c r="GNA8" s="484"/>
      <c r="GNB8" s="484"/>
      <c r="GNC8" s="484"/>
      <c r="GND8" s="484"/>
      <c r="GNE8" s="484"/>
      <c r="GNF8" s="484"/>
      <c r="GNG8" s="484"/>
      <c r="GNH8" s="484"/>
      <c r="GNI8" s="484"/>
      <c r="GNJ8" s="484"/>
      <c r="GNK8" s="484"/>
      <c r="GNL8" s="484"/>
      <c r="GNM8" s="484"/>
      <c r="GNN8" s="484"/>
      <c r="GNO8" s="484"/>
      <c r="GNP8" s="484"/>
      <c r="GNQ8" s="484"/>
      <c r="GNR8" s="484"/>
      <c r="GNS8" s="484"/>
      <c r="GNT8" s="484"/>
      <c r="GNU8" s="484"/>
      <c r="GNV8" s="484"/>
      <c r="GNW8" s="484"/>
      <c r="GNX8" s="484"/>
      <c r="GNY8" s="484"/>
      <c r="GNZ8" s="484"/>
      <c r="GOA8" s="484"/>
      <c r="GOB8" s="484"/>
      <c r="GOC8" s="484"/>
      <c r="GOD8" s="484"/>
      <c r="GOE8" s="484"/>
      <c r="GOF8" s="484"/>
      <c r="GOG8" s="484"/>
      <c r="GOH8" s="484"/>
      <c r="GOI8" s="484"/>
      <c r="GOJ8" s="484"/>
      <c r="GOK8" s="484"/>
      <c r="GOL8" s="484"/>
      <c r="GOM8" s="484"/>
      <c r="GON8" s="484"/>
      <c r="GOO8" s="484"/>
      <c r="GOP8" s="484"/>
      <c r="GOQ8" s="484"/>
      <c r="GOR8" s="484"/>
      <c r="GOS8" s="484"/>
      <c r="GOT8" s="484"/>
      <c r="GOU8" s="484"/>
      <c r="GOV8" s="484"/>
      <c r="GOW8" s="484"/>
      <c r="GOX8" s="484"/>
      <c r="GOY8" s="484"/>
      <c r="GOZ8" s="484"/>
      <c r="GPA8" s="484"/>
      <c r="GPB8" s="484"/>
      <c r="GPC8" s="484"/>
      <c r="GPD8" s="484"/>
      <c r="GPE8" s="484"/>
      <c r="GPF8" s="484"/>
      <c r="GPG8" s="484"/>
      <c r="GPH8" s="484"/>
      <c r="GPI8" s="484"/>
      <c r="GPJ8" s="484"/>
      <c r="GPK8" s="484"/>
      <c r="GPL8" s="484"/>
      <c r="GPM8" s="484"/>
      <c r="GPN8" s="484"/>
      <c r="GPO8" s="484"/>
      <c r="GPP8" s="484"/>
      <c r="GPQ8" s="484"/>
      <c r="GPR8" s="484"/>
      <c r="GPS8" s="484"/>
      <c r="GPT8" s="484"/>
      <c r="GPU8" s="484"/>
      <c r="GPV8" s="484"/>
      <c r="GPW8" s="484"/>
      <c r="GPX8" s="484"/>
      <c r="GPY8" s="484"/>
      <c r="GPZ8" s="484"/>
      <c r="GQA8" s="484"/>
      <c r="GQB8" s="484"/>
      <c r="GQC8" s="484"/>
      <c r="GQD8" s="484"/>
      <c r="GQE8" s="484"/>
      <c r="GQF8" s="484"/>
      <c r="GQG8" s="484"/>
      <c r="GQH8" s="484"/>
      <c r="GQI8" s="484"/>
      <c r="GQJ8" s="484"/>
      <c r="GQK8" s="484"/>
      <c r="GQL8" s="484"/>
      <c r="GQM8" s="484"/>
      <c r="GQN8" s="484"/>
      <c r="GQO8" s="484"/>
      <c r="GQP8" s="484"/>
      <c r="GQQ8" s="484"/>
      <c r="GQR8" s="484"/>
      <c r="GQS8" s="484"/>
      <c r="GQT8" s="484"/>
      <c r="GQU8" s="484"/>
      <c r="GQV8" s="484"/>
      <c r="GQW8" s="484"/>
      <c r="GQX8" s="484"/>
      <c r="GQY8" s="484"/>
      <c r="GQZ8" s="484"/>
      <c r="GRA8" s="484"/>
      <c r="GRB8" s="484"/>
      <c r="GRC8" s="484"/>
      <c r="GRD8" s="484"/>
      <c r="GRE8" s="484"/>
      <c r="GRF8" s="484"/>
      <c r="GRG8" s="484"/>
      <c r="GRH8" s="484"/>
      <c r="GRI8" s="484"/>
      <c r="GRJ8" s="484"/>
      <c r="GRK8" s="484"/>
      <c r="GRL8" s="484"/>
      <c r="GRM8" s="484"/>
      <c r="GRN8" s="484"/>
      <c r="GRO8" s="484"/>
      <c r="GRP8" s="484"/>
      <c r="GRQ8" s="484"/>
      <c r="GRR8" s="484"/>
      <c r="GRS8" s="484"/>
      <c r="GRT8" s="484"/>
      <c r="GRU8" s="484"/>
      <c r="GRV8" s="484"/>
      <c r="GRW8" s="484"/>
      <c r="GRX8" s="484"/>
      <c r="GRY8" s="484"/>
      <c r="GRZ8" s="484"/>
      <c r="GSA8" s="484"/>
      <c r="GSB8" s="484"/>
      <c r="GSC8" s="484"/>
      <c r="GSD8" s="484"/>
      <c r="GSE8" s="484"/>
      <c r="GSF8" s="484"/>
      <c r="GSG8" s="484"/>
      <c r="GSH8" s="484"/>
      <c r="GSI8" s="484"/>
      <c r="GSJ8" s="484"/>
      <c r="GSK8" s="484"/>
      <c r="GSL8" s="484"/>
      <c r="GSM8" s="484"/>
      <c r="GSN8" s="484"/>
      <c r="GSO8" s="484"/>
      <c r="GSP8" s="484"/>
      <c r="GSQ8" s="484"/>
      <c r="GSR8" s="484"/>
      <c r="GSS8" s="484"/>
      <c r="GST8" s="484"/>
      <c r="GSU8" s="484"/>
      <c r="GSV8" s="484"/>
      <c r="GSW8" s="484"/>
      <c r="GSX8" s="484"/>
      <c r="GSY8" s="484"/>
      <c r="GSZ8" s="484"/>
      <c r="GTA8" s="484"/>
      <c r="GTB8" s="484"/>
      <c r="GTC8" s="484"/>
      <c r="GTD8" s="484"/>
      <c r="GTE8" s="484"/>
      <c r="GTF8" s="484"/>
      <c r="GTG8" s="484"/>
      <c r="GTH8" s="484"/>
      <c r="GTI8" s="484"/>
      <c r="GTJ8" s="484"/>
      <c r="GTK8" s="484"/>
      <c r="GTL8" s="484"/>
      <c r="GTM8" s="484"/>
      <c r="GTN8" s="484"/>
      <c r="GTO8" s="484"/>
      <c r="GTP8" s="484"/>
      <c r="GTQ8" s="484"/>
      <c r="GTR8" s="484"/>
      <c r="GTS8" s="484"/>
      <c r="GTT8" s="484"/>
      <c r="GTU8" s="484"/>
      <c r="GTV8" s="484"/>
      <c r="GTW8" s="484"/>
      <c r="GTX8" s="484"/>
      <c r="GTY8" s="484"/>
      <c r="GTZ8" s="484"/>
      <c r="GUA8" s="484"/>
      <c r="GUB8" s="484"/>
      <c r="GUC8" s="484"/>
      <c r="GUD8" s="484"/>
      <c r="GUE8" s="484"/>
      <c r="GUF8" s="484"/>
      <c r="GUG8" s="484"/>
      <c r="GUH8" s="484"/>
      <c r="GUI8" s="484"/>
      <c r="GUJ8" s="484"/>
      <c r="GUK8" s="484"/>
      <c r="GUL8" s="484"/>
      <c r="GUM8" s="484"/>
      <c r="GUN8" s="484"/>
      <c r="GUO8" s="484"/>
      <c r="GUP8" s="484"/>
      <c r="GUQ8" s="484"/>
      <c r="GUR8" s="484"/>
      <c r="GUS8" s="484"/>
      <c r="GUT8" s="484"/>
      <c r="GUU8" s="484"/>
      <c r="GUV8" s="484"/>
      <c r="GUW8" s="484"/>
      <c r="GUX8" s="484"/>
      <c r="GUY8" s="484"/>
      <c r="GUZ8" s="484"/>
      <c r="GVA8" s="484"/>
      <c r="GVB8" s="484"/>
      <c r="GVC8" s="484"/>
      <c r="GVD8" s="484"/>
      <c r="GVE8" s="484"/>
      <c r="GVF8" s="484"/>
      <c r="GVG8" s="484"/>
      <c r="GVH8" s="484"/>
      <c r="GVI8" s="484"/>
      <c r="GVJ8" s="484"/>
      <c r="GVK8" s="484"/>
      <c r="GVL8" s="484"/>
      <c r="GVM8" s="484"/>
      <c r="GVN8" s="484"/>
      <c r="GVO8" s="484"/>
      <c r="GVP8" s="484"/>
      <c r="GVQ8" s="484"/>
      <c r="GVR8" s="484"/>
      <c r="GVS8" s="484"/>
      <c r="GVT8" s="484"/>
      <c r="GVU8" s="484"/>
      <c r="GVV8" s="484"/>
      <c r="GVW8" s="484"/>
      <c r="GVX8" s="484"/>
      <c r="GVY8" s="484"/>
      <c r="GVZ8" s="484"/>
      <c r="GWA8" s="484"/>
      <c r="GWB8" s="484"/>
      <c r="GWC8" s="484"/>
      <c r="GWD8" s="484"/>
      <c r="GWE8" s="484"/>
      <c r="GWF8" s="484"/>
      <c r="GWG8" s="484"/>
      <c r="GWH8" s="484"/>
      <c r="GWI8" s="484"/>
      <c r="GWJ8" s="484"/>
      <c r="GWK8" s="484"/>
      <c r="GWL8" s="484"/>
      <c r="GWM8" s="484"/>
      <c r="GWN8" s="484"/>
      <c r="GWO8" s="484"/>
      <c r="GWP8" s="484"/>
      <c r="GWQ8" s="484"/>
      <c r="GWR8" s="484"/>
      <c r="GWS8" s="484"/>
      <c r="GWT8" s="484"/>
      <c r="GWU8" s="484"/>
      <c r="GWV8" s="484"/>
      <c r="GWW8" s="484"/>
      <c r="GWX8" s="484"/>
      <c r="GWY8" s="484"/>
      <c r="GWZ8" s="484"/>
      <c r="GXA8" s="484"/>
      <c r="GXB8" s="484"/>
      <c r="GXC8" s="484"/>
      <c r="GXD8" s="484"/>
      <c r="GXE8" s="484"/>
      <c r="GXF8" s="484"/>
      <c r="GXG8" s="484"/>
      <c r="GXH8" s="484"/>
      <c r="GXI8" s="484"/>
      <c r="GXJ8" s="484"/>
      <c r="GXK8" s="484"/>
      <c r="GXL8" s="484"/>
      <c r="GXM8" s="484"/>
      <c r="GXN8" s="484"/>
      <c r="GXO8" s="484"/>
      <c r="GXP8" s="484"/>
      <c r="GXQ8" s="484"/>
      <c r="GXR8" s="484"/>
      <c r="GXS8" s="484"/>
      <c r="GXT8" s="484"/>
      <c r="GXU8" s="484"/>
      <c r="GXV8" s="484"/>
      <c r="GXW8" s="484"/>
      <c r="GXX8" s="484"/>
      <c r="GXY8" s="484"/>
      <c r="GXZ8" s="484"/>
      <c r="GYA8" s="484"/>
      <c r="GYB8" s="484"/>
      <c r="GYC8" s="484"/>
      <c r="GYD8" s="484"/>
      <c r="GYE8" s="484"/>
      <c r="GYF8" s="484"/>
      <c r="GYG8" s="484"/>
      <c r="GYH8" s="484"/>
      <c r="GYI8" s="484"/>
      <c r="GYJ8" s="484"/>
      <c r="GYK8" s="484"/>
      <c r="GYL8" s="484"/>
      <c r="GYM8" s="484"/>
      <c r="GYN8" s="484"/>
      <c r="GYO8" s="484"/>
      <c r="GYP8" s="484"/>
      <c r="GYQ8" s="484"/>
      <c r="GYR8" s="484"/>
      <c r="GYS8" s="484"/>
      <c r="GYT8" s="484"/>
      <c r="GYU8" s="484"/>
      <c r="GYV8" s="484"/>
      <c r="GYW8" s="484"/>
      <c r="GYX8" s="484"/>
      <c r="GYY8" s="484"/>
      <c r="GYZ8" s="484"/>
      <c r="GZA8" s="484"/>
      <c r="GZB8" s="484"/>
      <c r="GZC8" s="484"/>
      <c r="GZD8" s="484"/>
      <c r="GZE8" s="484"/>
      <c r="GZF8" s="484"/>
      <c r="GZG8" s="484"/>
      <c r="GZH8" s="484"/>
      <c r="GZI8" s="484"/>
      <c r="GZJ8" s="484"/>
      <c r="GZK8" s="484"/>
      <c r="GZL8" s="484"/>
      <c r="GZM8" s="484"/>
      <c r="GZN8" s="484"/>
      <c r="GZO8" s="484"/>
      <c r="GZP8" s="484"/>
      <c r="GZQ8" s="484"/>
      <c r="GZR8" s="484"/>
      <c r="GZS8" s="484"/>
      <c r="GZT8" s="484"/>
      <c r="GZU8" s="484"/>
      <c r="GZV8" s="484"/>
      <c r="GZW8" s="484"/>
      <c r="GZX8" s="484"/>
      <c r="GZY8" s="484"/>
      <c r="GZZ8" s="484"/>
      <c r="HAA8" s="484"/>
      <c r="HAB8" s="484"/>
      <c r="HAC8" s="484"/>
      <c r="HAD8" s="484"/>
      <c r="HAE8" s="484"/>
      <c r="HAF8" s="484"/>
      <c r="HAG8" s="484"/>
      <c r="HAH8" s="484"/>
      <c r="HAI8" s="484"/>
      <c r="HAJ8" s="484"/>
      <c r="HAK8" s="484"/>
      <c r="HAL8" s="484"/>
      <c r="HAM8" s="484"/>
      <c r="HAN8" s="484"/>
      <c r="HAO8" s="484"/>
      <c r="HAP8" s="484"/>
      <c r="HAQ8" s="484"/>
      <c r="HAR8" s="484"/>
      <c r="HAS8" s="484"/>
      <c r="HAT8" s="484"/>
      <c r="HAU8" s="484"/>
      <c r="HAV8" s="484"/>
      <c r="HAW8" s="484"/>
      <c r="HAX8" s="484"/>
      <c r="HAY8" s="484"/>
      <c r="HAZ8" s="484"/>
      <c r="HBA8" s="484"/>
      <c r="HBB8" s="484"/>
      <c r="HBC8" s="484"/>
      <c r="HBD8" s="484"/>
      <c r="HBE8" s="484"/>
      <c r="HBF8" s="484"/>
      <c r="HBG8" s="484"/>
      <c r="HBH8" s="484"/>
      <c r="HBI8" s="484"/>
      <c r="HBJ8" s="484"/>
      <c r="HBK8" s="484"/>
      <c r="HBL8" s="484"/>
      <c r="HBM8" s="484"/>
      <c r="HBN8" s="484"/>
      <c r="HBO8" s="484"/>
      <c r="HBP8" s="484"/>
      <c r="HBQ8" s="484"/>
      <c r="HBR8" s="484"/>
      <c r="HBS8" s="484"/>
      <c r="HBT8" s="484"/>
      <c r="HBU8" s="484"/>
      <c r="HBV8" s="484"/>
      <c r="HBW8" s="484"/>
      <c r="HBX8" s="484"/>
      <c r="HBY8" s="484"/>
      <c r="HBZ8" s="484"/>
      <c r="HCA8" s="484"/>
      <c r="HCB8" s="484"/>
      <c r="HCC8" s="484"/>
      <c r="HCD8" s="484"/>
      <c r="HCE8" s="484"/>
      <c r="HCF8" s="484"/>
      <c r="HCG8" s="484"/>
      <c r="HCH8" s="484"/>
      <c r="HCI8" s="484"/>
      <c r="HCJ8" s="484"/>
      <c r="HCK8" s="484"/>
      <c r="HCL8" s="484"/>
      <c r="HCM8" s="484"/>
      <c r="HCN8" s="484"/>
      <c r="HCO8" s="484"/>
      <c r="HCP8" s="484"/>
      <c r="HCQ8" s="484"/>
      <c r="HCR8" s="484"/>
      <c r="HCS8" s="484"/>
      <c r="HCT8" s="484"/>
      <c r="HCU8" s="484"/>
      <c r="HCV8" s="484"/>
      <c r="HCW8" s="484"/>
      <c r="HCX8" s="484"/>
      <c r="HCY8" s="484"/>
      <c r="HCZ8" s="484"/>
      <c r="HDA8" s="484"/>
      <c r="HDB8" s="484"/>
      <c r="HDC8" s="484"/>
      <c r="HDD8" s="484"/>
      <c r="HDE8" s="484"/>
      <c r="HDF8" s="484"/>
      <c r="HDG8" s="484"/>
      <c r="HDH8" s="484"/>
      <c r="HDI8" s="484"/>
      <c r="HDJ8" s="484"/>
      <c r="HDK8" s="484"/>
      <c r="HDL8" s="484"/>
      <c r="HDM8" s="484"/>
      <c r="HDN8" s="484"/>
      <c r="HDO8" s="484"/>
      <c r="HDP8" s="484"/>
      <c r="HDQ8" s="484"/>
      <c r="HDR8" s="484"/>
      <c r="HDS8" s="484"/>
      <c r="HDT8" s="484"/>
      <c r="HDU8" s="484"/>
      <c r="HDV8" s="484"/>
      <c r="HDW8" s="484"/>
      <c r="HDX8" s="484"/>
      <c r="HDY8" s="484"/>
      <c r="HDZ8" s="484"/>
      <c r="HEA8" s="484"/>
      <c r="HEB8" s="484"/>
      <c r="HEC8" s="484"/>
      <c r="HED8" s="484"/>
      <c r="HEE8" s="484"/>
      <c r="HEF8" s="484"/>
      <c r="HEG8" s="484"/>
      <c r="HEH8" s="484"/>
      <c r="HEI8" s="484"/>
      <c r="HEJ8" s="484"/>
      <c r="HEK8" s="484"/>
      <c r="HEL8" s="484"/>
      <c r="HEM8" s="484"/>
      <c r="HEN8" s="484"/>
      <c r="HEO8" s="484"/>
      <c r="HEP8" s="484"/>
      <c r="HEQ8" s="484"/>
      <c r="HER8" s="484"/>
      <c r="HES8" s="484"/>
      <c r="HET8" s="484"/>
      <c r="HEU8" s="484"/>
      <c r="HEV8" s="484"/>
      <c r="HEW8" s="484"/>
      <c r="HEX8" s="484"/>
      <c r="HEY8" s="484"/>
      <c r="HEZ8" s="484"/>
      <c r="HFA8" s="484"/>
      <c r="HFB8" s="484"/>
      <c r="HFC8" s="484"/>
      <c r="HFD8" s="484"/>
      <c r="HFE8" s="484"/>
      <c r="HFF8" s="484"/>
      <c r="HFG8" s="484"/>
      <c r="HFH8" s="484"/>
      <c r="HFI8" s="484"/>
      <c r="HFJ8" s="484"/>
      <c r="HFK8" s="484"/>
      <c r="HFL8" s="484"/>
      <c r="HFM8" s="484"/>
      <c r="HFN8" s="484"/>
      <c r="HFO8" s="484"/>
      <c r="HFP8" s="484"/>
      <c r="HFQ8" s="484"/>
      <c r="HFR8" s="484"/>
      <c r="HFS8" s="484"/>
      <c r="HFT8" s="484"/>
      <c r="HFU8" s="484"/>
      <c r="HFV8" s="484"/>
      <c r="HFW8" s="484"/>
      <c r="HFX8" s="484"/>
      <c r="HFY8" s="484"/>
      <c r="HFZ8" s="484"/>
      <c r="HGA8" s="484"/>
      <c r="HGB8" s="484"/>
      <c r="HGC8" s="484"/>
      <c r="HGD8" s="484"/>
      <c r="HGE8" s="484"/>
      <c r="HGF8" s="484"/>
      <c r="HGG8" s="484"/>
      <c r="HGH8" s="484"/>
      <c r="HGI8" s="484"/>
      <c r="HGJ8" s="484"/>
      <c r="HGK8" s="484"/>
      <c r="HGL8" s="484"/>
      <c r="HGM8" s="484"/>
      <c r="HGN8" s="484"/>
      <c r="HGO8" s="484"/>
      <c r="HGP8" s="484"/>
      <c r="HGQ8" s="484"/>
      <c r="HGR8" s="484"/>
      <c r="HGS8" s="484"/>
      <c r="HGT8" s="484"/>
      <c r="HGU8" s="484"/>
      <c r="HGV8" s="484"/>
      <c r="HGW8" s="484"/>
      <c r="HGX8" s="484"/>
      <c r="HGY8" s="484"/>
      <c r="HGZ8" s="484"/>
      <c r="HHA8" s="484"/>
      <c r="HHB8" s="484"/>
      <c r="HHC8" s="484"/>
      <c r="HHD8" s="484"/>
      <c r="HHE8" s="484"/>
      <c r="HHF8" s="484"/>
      <c r="HHG8" s="484"/>
      <c r="HHH8" s="484"/>
      <c r="HHI8" s="484"/>
      <c r="HHJ8" s="484"/>
      <c r="HHK8" s="484"/>
      <c r="HHL8" s="484"/>
      <c r="HHM8" s="484"/>
      <c r="HHN8" s="484"/>
      <c r="HHO8" s="484"/>
      <c r="HHP8" s="484"/>
      <c r="HHQ8" s="484"/>
      <c r="HHR8" s="484"/>
      <c r="HHS8" s="484"/>
      <c r="HHT8" s="484"/>
      <c r="HHU8" s="484"/>
      <c r="HHV8" s="484"/>
      <c r="HHW8" s="484"/>
      <c r="HHX8" s="484"/>
      <c r="HHY8" s="484"/>
      <c r="HHZ8" s="484"/>
      <c r="HIA8" s="484"/>
      <c r="HIB8" s="484"/>
      <c r="HIC8" s="484"/>
      <c r="HID8" s="484"/>
      <c r="HIE8" s="484"/>
      <c r="HIF8" s="484"/>
      <c r="HIG8" s="484"/>
      <c r="HIH8" s="484"/>
      <c r="HII8" s="484"/>
      <c r="HIJ8" s="484"/>
      <c r="HIK8" s="484"/>
      <c r="HIL8" s="484"/>
      <c r="HIM8" s="484"/>
      <c r="HIN8" s="484"/>
      <c r="HIO8" s="484"/>
      <c r="HIP8" s="484"/>
      <c r="HIQ8" s="484"/>
      <c r="HIR8" s="484"/>
      <c r="HIS8" s="484"/>
      <c r="HIT8" s="484"/>
      <c r="HIU8" s="484"/>
      <c r="HIV8" s="484"/>
      <c r="HIW8" s="484"/>
      <c r="HIX8" s="484"/>
      <c r="HIY8" s="484"/>
      <c r="HIZ8" s="484"/>
      <c r="HJA8" s="484"/>
      <c r="HJB8" s="484"/>
      <c r="HJC8" s="484"/>
      <c r="HJD8" s="484"/>
      <c r="HJE8" s="484"/>
      <c r="HJF8" s="484"/>
      <c r="HJG8" s="484"/>
      <c r="HJH8" s="484"/>
      <c r="HJI8" s="484"/>
      <c r="HJJ8" s="484"/>
      <c r="HJK8" s="484"/>
      <c r="HJL8" s="484"/>
      <c r="HJM8" s="484"/>
      <c r="HJN8" s="484"/>
      <c r="HJO8" s="484"/>
      <c r="HJP8" s="484"/>
      <c r="HJQ8" s="484"/>
      <c r="HJR8" s="484"/>
      <c r="HJS8" s="484"/>
      <c r="HJT8" s="484"/>
      <c r="HJU8" s="484"/>
      <c r="HJV8" s="484"/>
      <c r="HJW8" s="484"/>
      <c r="HJX8" s="484"/>
      <c r="HJY8" s="484"/>
      <c r="HJZ8" s="484"/>
      <c r="HKA8" s="484"/>
      <c r="HKB8" s="484"/>
      <c r="HKC8" s="484"/>
      <c r="HKD8" s="484"/>
      <c r="HKE8" s="484"/>
      <c r="HKF8" s="484"/>
      <c r="HKG8" s="484"/>
      <c r="HKH8" s="484"/>
      <c r="HKI8" s="484"/>
      <c r="HKJ8" s="484"/>
      <c r="HKK8" s="484"/>
      <c r="HKL8" s="484"/>
      <c r="HKM8" s="484"/>
      <c r="HKN8" s="484"/>
      <c r="HKO8" s="484"/>
      <c r="HKP8" s="484"/>
      <c r="HKQ8" s="484"/>
      <c r="HKR8" s="484"/>
      <c r="HKS8" s="484"/>
      <c r="HKT8" s="484"/>
      <c r="HKU8" s="484"/>
      <c r="HKV8" s="484"/>
      <c r="HKW8" s="484"/>
      <c r="HKX8" s="484"/>
      <c r="HKY8" s="484"/>
      <c r="HKZ8" s="484"/>
      <c r="HLA8" s="484"/>
      <c r="HLB8" s="484"/>
      <c r="HLC8" s="484"/>
      <c r="HLD8" s="484"/>
      <c r="HLE8" s="484"/>
      <c r="HLF8" s="484"/>
      <c r="HLG8" s="484"/>
      <c r="HLH8" s="484"/>
      <c r="HLI8" s="484"/>
      <c r="HLJ8" s="484"/>
      <c r="HLK8" s="484"/>
      <c r="HLL8" s="484"/>
      <c r="HLM8" s="484"/>
      <c r="HLN8" s="484"/>
      <c r="HLO8" s="484"/>
      <c r="HLP8" s="484"/>
      <c r="HLQ8" s="484"/>
      <c r="HLR8" s="484"/>
      <c r="HLS8" s="484"/>
      <c r="HLT8" s="484"/>
      <c r="HLU8" s="484"/>
      <c r="HLV8" s="484"/>
      <c r="HLW8" s="484"/>
      <c r="HLX8" s="484"/>
      <c r="HLY8" s="484"/>
      <c r="HLZ8" s="484"/>
      <c r="HMA8" s="484"/>
      <c r="HMB8" s="484"/>
      <c r="HMC8" s="484"/>
      <c r="HMD8" s="484"/>
      <c r="HME8" s="484"/>
      <c r="HMF8" s="484"/>
      <c r="HMG8" s="484"/>
      <c r="HMH8" s="484"/>
      <c r="HMI8" s="484"/>
      <c r="HMJ8" s="484"/>
      <c r="HMK8" s="484"/>
      <c r="HML8" s="484"/>
      <c r="HMM8" s="484"/>
      <c r="HMN8" s="484"/>
      <c r="HMO8" s="484"/>
      <c r="HMP8" s="484"/>
      <c r="HMQ8" s="484"/>
      <c r="HMR8" s="484"/>
      <c r="HMS8" s="484"/>
      <c r="HMT8" s="484"/>
      <c r="HMU8" s="484"/>
      <c r="HMV8" s="484"/>
      <c r="HMW8" s="484"/>
      <c r="HMX8" s="484"/>
      <c r="HMY8" s="484"/>
      <c r="HMZ8" s="484"/>
      <c r="HNA8" s="484"/>
      <c r="HNB8" s="484"/>
      <c r="HNC8" s="484"/>
      <c r="HND8" s="484"/>
      <c r="HNE8" s="484"/>
      <c r="HNF8" s="484"/>
      <c r="HNG8" s="484"/>
      <c r="HNH8" s="484"/>
      <c r="HNI8" s="484"/>
      <c r="HNJ8" s="484"/>
      <c r="HNK8" s="484"/>
      <c r="HNL8" s="484"/>
      <c r="HNM8" s="484"/>
      <c r="HNN8" s="484"/>
      <c r="HNO8" s="484"/>
      <c r="HNP8" s="484"/>
      <c r="HNQ8" s="484"/>
      <c r="HNR8" s="484"/>
      <c r="HNS8" s="484"/>
      <c r="HNT8" s="484"/>
      <c r="HNU8" s="484"/>
      <c r="HNV8" s="484"/>
      <c r="HNW8" s="484"/>
      <c r="HNX8" s="484"/>
      <c r="HNY8" s="484"/>
      <c r="HNZ8" s="484"/>
      <c r="HOA8" s="484"/>
      <c r="HOB8" s="484"/>
      <c r="HOC8" s="484"/>
      <c r="HOD8" s="484"/>
      <c r="HOE8" s="484"/>
      <c r="HOF8" s="484"/>
      <c r="HOG8" s="484"/>
      <c r="HOH8" s="484"/>
      <c r="HOI8" s="484"/>
      <c r="HOJ8" s="484"/>
      <c r="HOK8" s="484"/>
      <c r="HOL8" s="484"/>
      <c r="HOM8" s="484"/>
      <c r="HON8" s="484"/>
      <c r="HOO8" s="484"/>
      <c r="HOP8" s="484"/>
      <c r="HOQ8" s="484"/>
      <c r="HOR8" s="484"/>
      <c r="HOS8" s="484"/>
      <c r="HOT8" s="484"/>
      <c r="HOU8" s="484"/>
      <c r="HOV8" s="484"/>
      <c r="HOW8" s="484"/>
      <c r="HOX8" s="484"/>
      <c r="HOY8" s="484"/>
      <c r="HOZ8" s="484"/>
      <c r="HPA8" s="484"/>
      <c r="HPB8" s="484"/>
      <c r="HPC8" s="484"/>
      <c r="HPD8" s="484"/>
      <c r="HPE8" s="484"/>
      <c r="HPF8" s="484"/>
      <c r="HPG8" s="484"/>
      <c r="HPH8" s="484"/>
      <c r="HPI8" s="484"/>
      <c r="HPJ8" s="484"/>
      <c r="HPK8" s="484"/>
      <c r="HPL8" s="484"/>
      <c r="HPM8" s="484"/>
      <c r="HPN8" s="484"/>
      <c r="HPO8" s="484"/>
      <c r="HPP8" s="484"/>
      <c r="HPQ8" s="484"/>
      <c r="HPR8" s="484"/>
      <c r="HPS8" s="484"/>
      <c r="HPT8" s="484"/>
      <c r="HPU8" s="484"/>
      <c r="HPV8" s="484"/>
      <c r="HPW8" s="484"/>
      <c r="HPX8" s="484"/>
      <c r="HPY8" s="484"/>
      <c r="HPZ8" s="484"/>
      <c r="HQA8" s="484"/>
      <c r="HQB8" s="484"/>
      <c r="HQC8" s="484"/>
      <c r="HQD8" s="484"/>
      <c r="HQE8" s="484"/>
      <c r="HQF8" s="484"/>
      <c r="HQG8" s="484"/>
      <c r="HQH8" s="484"/>
      <c r="HQI8" s="484"/>
      <c r="HQJ8" s="484"/>
      <c r="HQK8" s="484"/>
      <c r="HQL8" s="484"/>
      <c r="HQM8" s="484"/>
      <c r="HQN8" s="484"/>
      <c r="HQO8" s="484"/>
      <c r="HQP8" s="484"/>
      <c r="HQQ8" s="484"/>
      <c r="HQR8" s="484"/>
      <c r="HQS8" s="484"/>
      <c r="HQT8" s="484"/>
      <c r="HQU8" s="484"/>
      <c r="HQV8" s="484"/>
      <c r="HQW8" s="484"/>
      <c r="HQX8" s="484"/>
      <c r="HQY8" s="484"/>
      <c r="HQZ8" s="484"/>
      <c r="HRA8" s="484"/>
      <c r="HRB8" s="484"/>
      <c r="HRC8" s="484"/>
      <c r="HRD8" s="484"/>
      <c r="HRE8" s="484"/>
      <c r="HRF8" s="484"/>
      <c r="HRG8" s="484"/>
      <c r="HRH8" s="484"/>
      <c r="HRI8" s="484"/>
      <c r="HRJ8" s="484"/>
      <c r="HRK8" s="484"/>
      <c r="HRL8" s="484"/>
      <c r="HRM8" s="484"/>
      <c r="HRN8" s="484"/>
      <c r="HRO8" s="484"/>
      <c r="HRP8" s="484"/>
      <c r="HRQ8" s="484"/>
      <c r="HRR8" s="484"/>
      <c r="HRS8" s="484"/>
      <c r="HRT8" s="484"/>
      <c r="HRU8" s="484"/>
      <c r="HRV8" s="484"/>
      <c r="HRW8" s="484"/>
      <c r="HRX8" s="484"/>
      <c r="HRY8" s="484"/>
      <c r="HRZ8" s="484"/>
      <c r="HSA8" s="484"/>
      <c r="HSB8" s="484"/>
      <c r="HSC8" s="484"/>
      <c r="HSD8" s="484"/>
      <c r="HSE8" s="484"/>
      <c r="HSF8" s="484"/>
      <c r="HSG8" s="484"/>
      <c r="HSH8" s="484"/>
      <c r="HSI8" s="484"/>
      <c r="HSJ8" s="484"/>
      <c r="HSK8" s="484"/>
      <c r="HSL8" s="484"/>
      <c r="HSM8" s="484"/>
      <c r="HSN8" s="484"/>
      <c r="HSO8" s="484"/>
      <c r="HSP8" s="484"/>
      <c r="HSQ8" s="484"/>
      <c r="HSR8" s="484"/>
      <c r="HSS8" s="484"/>
      <c r="HST8" s="484"/>
      <c r="HSU8" s="484"/>
      <c r="HSV8" s="484"/>
      <c r="HSW8" s="484"/>
      <c r="HSX8" s="484"/>
      <c r="HSY8" s="484"/>
      <c r="HSZ8" s="484"/>
      <c r="HTA8" s="484"/>
      <c r="HTB8" s="484"/>
      <c r="HTC8" s="484"/>
      <c r="HTD8" s="484"/>
      <c r="HTE8" s="484"/>
      <c r="HTF8" s="484"/>
      <c r="HTG8" s="484"/>
      <c r="HTH8" s="484"/>
      <c r="HTI8" s="484"/>
      <c r="HTJ8" s="484"/>
      <c r="HTK8" s="484"/>
      <c r="HTL8" s="484"/>
      <c r="HTM8" s="484"/>
      <c r="HTN8" s="484"/>
      <c r="HTO8" s="484"/>
      <c r="HTP8" s="484"/>
      <c r="HTQ8" s="484"/>
      <c r="HTR8" s="484"/>
      <c r="HTS8" s="484"/>
      <c r="HTT8" s="484"/>
      <c r="HTU8" s="484"/>
      <c r="HTV8" s="484"/>
      <c r="HTW8" s="484"/>
      <c r="HTX8" s="484"/>
      <c r="HTY8" s="484"/>
      <c r="HTZ8" s="484"/>
      <c r="HUA8" s="484"/>
      <c r="HUB8" s="484"/>
      <c r="HUC8" s="484"/>
      <c r="HUD8" s="484"/>
      <c r="HUE8" s="484"/>
      <c r="HUF8" s="484"/>
      <c r="HUG8" s="484"/>
      <c r="HUH8" s="484"/>
      <c r="HUI8" s="484"/>
      <c r="HUJ8" s="484"/>
      <c r="HUK8" s="484"/>
      <c r="HUL8" s="484"/>
      <c r="HUM8" s="484"/>
      <c r="HUN8" s="484"/>
      <c r="HUO8" s="484"/>
      <c r="HUP8" s="484"/>
      <c r="HUQ8" s="484"/>
      <c r="HUR8" s="484"/>
      <c r="HUS8" s="484"/>
      <c r="HUT8" s="484"/>
      <c r="HUU8" s="484"/>
      <c r="HUV8" s="484"/>
      <c r="HUW8" s="484"/>
      <c r="HUX8" s="484"/>
      <c r="HUY8" s="484"/>
      <c r="HUZ8" s="484"/>
      <c r="HVA8" s="484"/>
      <c r="HVB8" s="484"/>
      <c r="HVC8" s="484"/>
      <c r="HVD8" s="484"/>
      <c r="HVE8" s="484"/>
      <c r="HVF8" s="484"/>
      <c r="HVG8" s="484"/>
      <c r="HVH8" s="484"/>
      <c r="HVI8" s="484"/>
      <c r="HVJ8" s="484"/>
      <c r="HVK8" s="484"/>
      <c r="HVL8" s="484"/>
      <c r="HVM8" s="484"/>
      <c r="HVN8" s="484"/>
      <c r="HVO8" s="484"/>
      <c r="HVP8" s="484"/>
      <c r="HVQ8" s="484"/>
      <c r="HVR8" s="484"/>
      <c r="HVS8" s="484"/>
      <c r="HVT8" s="484"/>
      <c r="HVU8" s="484"/>
      <c r="HVV8" s="484"/>
      <c r="HVW8" s="484"/>
      <c r="HVX8" s="484"/>
      <c r="HVY8" s="484"/>
      <c r="HVZ8" s="484"/>
      <c r="HWA8" s="484"/>
      <c r="HWB8" s="484"/>
      <c r="HWC8" s="484"/>
      <c r="HWD8" s="484"/>
      <c r="HWE8" s="484"/>
      <c r="HWF8" s="484"/>
      <c r="HWG8" s="484"/>
      <c r="HWH8" s="484"/>
      <c r="HWI8" s="484"/>
      <c r="HWJ8" s="484"/>
      <c r="HWK8" s="484"/>
      <c r="HWL8" s="484"/>
      <c r="HWM8" s="484"/>
      <c r="HWN8" s="484"/>
      <c r="HWO8" s="484"/>
      <c r="HWP8" s="484"/>
      <c r="HWQ8" s="484"/>
      <c r="HWR8" s="484"/>
      <c r="HWS8" s="484"/>
      <c r="HWT8" s="484"/>
      <c r="HWU8" s="484"/>
      <c r="HWV8" s="484"/>
      <c r="HWW8" s="484"/>
      <c r="HWX8" s="484"/>
      <c r="HWY8" s="484"/>
      <c r="HWZ8" s="484"/>
      <c r="HXA8" s="484"/>
      <c r="HXB8" s="484"/>
      <c r="HXC8" s="484"/>
      <c r="HXD8" s="484"/>
      <c r="HXE8" s="484"/>
      <c r="HXF8" s="484"/>
      <c r="HXG8" s="484"/>
      <c r="HXH8" s="484"/>
      <c r="HXI8" s="484"/>
      <c r="HXJ8" s="484"/>
      <c r="HXK8" s="484"/>
      <c r="HXL8" s="484"/>
      <c r="HXM8" s="484"/>
      <c r="HXN8" s="484"/>
      <c r="HXO8" s="484"/>
      <c r="HXP8" s="484"/>
      <c r="HXQ8" s="484"/>
      <c r="HXR8" s="484"/>
      <c r="HXS8" s="484"/>
      <c r="HXT8" s="484"/>
      <c r="HXU8" s="484"/>
      <c r="HXV8" s="484"/>
      <c r="HXW8" s="484"/>
      <c r="HXX8" s="484"/>
      <c r="HXY8" s="484"/>
      <c r="HXZ8" s="484"/>
      <c r="HYA8" s="484"/>
      <c r="HYB8" s="484"/>
      <c r="HYC8" s="484"/>
      <c r="HYD8" s="484"/>
      <c r="HYE8" s="484"/>
      <c r="HYF8" s="484"/>
      <c r="HYG8" s="484"/>
      <c r="HYH8" s="484"/>
      <c r="HYI8" s="484"/>
      <c r="HYJ8" s="484"/>
      <c r="HYK8" s="484"/>
      <c r="HYL8" s="484"/>
      <c r="HYM8" s="484"/>
      <c r="HYN8" s="484"/>
      <c r="HYO8" s="484"/>
      <c r="HYP8" s="484"/>
      <c r="HYQ8" s="484"/>
      <c r="HYR8" s="484"/>
      <c r="HYS8" s="484"/>
      <c r="HYT8" s="484"/>
      <c r="HYU8" s="484"/>
      <c r="HYV8" s="484"/>
      <c r="HYW8" s="484"/>
      <c r="HYX8" s="484"/>
      <c r="HYY8" s="484"/>
      <c r="HYZ8" s="484"/>
      <c r="HZA8" s="484"/>
      <c r="HZB8" s="484"/>
      <c r="HZC8" s="484"/>
      <c r="HZD8" s="484"/>
      <c r="HZE8" s="484"/>
      <c r="HZF8" s="484"/>
      <c r="HZG8" s="484"/>
      <c r="HZH8" s="484"/>
      <c r="HZI8" s="484"/>
      <c r="HZJ8" s="484"/>
      <c r="HZK8" s="484"/>
      <c r="HZL8" s="484"/>
      <c r="HZM8" s="484"/>
      <c r="HZN8" s="484"/>
      <c r="HZO8" s="484"/>
      <c r="HZP8" s="484"/>
      <c r="HZQ8" s="484"/>
      <c r="HZR8" s="484"/>
      <c r="HZS8" s="484"/>
      <c r="HZT8" s="484"/>
      <c r="HZU8" s="484"/>
      <c r="HZV8" s="484"/>
      <c r="HZW8" s="484"/>
      <c r="HZX8" s="484"/>
      <c r="HZY8" s="484"/>
      <c r="HZZ8" s="484"/>
      <c r="IAA8" s="484"/>
      <c r="IAB8" s="484"/>
      <c r="IAC8" s="484"/>
      <c r="IAD8" s="484"/>
      <c r="IAE8" s="484"/>
      <c r="IAF8" s="484"/>
      <c r="IAG8" s="484"/>
      <c r="IAH8" s="484"/>
      <c r="IAI8" s="484"/>
      <c r="IAJ8" s="484"/>
      <c r="IAK8" s="484"/>
      <c r="IAL8" s="484"/>
      <c r="IAM8" s="484"/>
      <c r="IAN8" s="484"/>
      <c r="IAO8" s="484"/>
      <c r="IAP8" s="484"/>
      <c r="IAQ8" s="484"/>
      <c r="IAR8" s="484"/>
      <c r="IAS8" s="484"/>
      <c r="IAT8" s="484"/>
      <c r="IAU8" s="484"/>
      <c r="IAV8" s="484"/>
      <c r="IAW8" s="484"/>
      <c r="IAX8" s="484"/>
      <c r="IAY8" s="484"/>
      <c r="IAZ8" s="484"/>
      <c r="IBA8" s="484"/>
      <c r="IBB8" s="484"/>
      <c r="IBC8" s="484"/>
      <c r="IBD8" s="484"/>
      <c r="IBE8" s="484"/>
      <c r="IBF8" s="484"/>
      <c r="IBG8" s="484"/>
      <c r="IBH8" s="484"/>
      <c r="IBI8" s="484"/>
      <c r="IBJ8" s="484"/>
      <c r="IBK8" s="484"/>
      <c r="IBL8" s="484"/>
      <c r="IBM8" s="484"/>
      <c r="IBN8" s="484"/>
      <c r="IBO8" s="484"/>
      <c r="IBP8" s="484"/>
      <c r="IBQ8" s="484"/>
      <c r="IBR8" s="484"/>
      <c r="IBS8" s="484"/>
      <c r="IBT8" s="484"/>
      <c r="IBU8" s="484"/>
      <c r="IBV8" s="484"/>
      <c r="IBW8" s="484"/>
      <c r="IBX8" s="484"/>
      <c r="IBY8" s="484"/>
      <c r="IBZ8" s="484"/>
      <c r="ICA8" s="484"/>
      <c r="ICB8" s="484"/>
      <c r="ICC8" s="484"/>
      <c r="ICD8" s="484"/>
      <c r="ICE8" s="484"/>
      <c r="ICF8" s="484"/>
      <c r="ICG8" s="484"/>
      <c r="ICH8" s="484"/>
      <c r="ICI8" s="484"/>
      <c r="ICJ8" s="484"/>
      <c r="ICK8" s="484"/>
      <c r="ICL8" s="484"/>
      <c r="ICM8" s="484"/>
      <c r="ICN8" s="484"/>
      <c r="ICO8" s="484"/>
      <c r="ICP8" s="484"/>
      <c r="ICQ8" s="484"/>
      <c r="ICR8" s="484"/>
      <c r="ICS8" s="484"/>
      <c r="ICT8" s="484"/>
      <c r="ICU8" s="484"/>
      <c r="ICV8" s="484"/>
      <c r="ICW8" s="484"/>
      <c r="ICX8" s="484"/>
      <c r="ICY8" s="484"/>
      <c r="ICZ8" s="484"/>
      <c r="IDA8" s="484"/>
      <c r="IDB8" s="484"/>
      <c r="IDC8" s="484"/>
      <c r="IDD8" s="484"/>
      <c r="IDE8" s="484"/>
      <c r="IDF8" s="484"/>
      <c r="IDG8" s="484"/>
      <c r="IDH8" s="484"/>
      <c r="IDI8" s="484"/>
      <c r="IDJ8" s="484"/>
      <c r="IDK8" s="484"/>
      <c r="IDL8" s="484"/>
      <c r="IDM8" s="484"/>
      <c r="IDN8" s="484"/>
      <c r="IDO8" s="484"/>
      <c r="IDP8" s="484"/>
      <c r="IDQ8" s="484"/>
      <c r="IDR8" s="484"/>
      <c r="IDS8" s="484"/>
      <c r="IDT8" s="484"/>
      <c r="IDU8" s="484"/>
      <c r="IDV8" s="484"/>
      <c r="IDW8" s="484"/>
      <c r="IDX8" s="484"/>
      <c r="IDY8" s="484"/>
      <c r="IDZ8" s="484"/>
      <c r="IEA8" s="484"/>
      <c r="IEB8" s="484"/>
      <c r="IEC8" s="484"/>
      <c r="IED8" s="484"/>
      <c r="IEE8" s="484"/>
      <c r="IEF8" s="484"/>
      <c r="IEG8" s="484"/>
      <c r="IEH8" s="484"/>
      <c r="IEI8" s="484"/>
      <c r="IEJ8" s="484"/>
      <c r="IEK8" s="484"/>
      <c r="IEL8" s="484"/>
      <c r="IEM8" s="484"/>
      <c r="IEN8" s="484"/>
      <c r="IEO8" s="484"/>
      <c r="IEP8" s="484"/>
      <c r="IEQ8" s="484"/>
      <c r="IER8" s="484"/>
      <c r="IES8" s="484"/>
      <c r="IET8" s="484"/>
      <c r="IEU8" s="484"/>
      <c r="IEV8" s="484"/>
      <c r="IEW8" s="484"/>
      <c r="IEX8" s="484"/>
      <c r="IEY8" s="484"/>
      <c r="IEZ8" s="484"/>
      <c r="IFA8" s="484"/>
      <c r="IFB8" s="484"/>
      <c r="IFC8" s="484"/>
      <c r="IFD8" s="484"/>
      <c r="IFE8" s="484"/>
      <c r="IFF8" s="484"/>
      <c r="IFG8" s="484"/>
      <c r="IFH8" s="484"/>
      <c r="IFI8" s="484"/>
      <c r="IFJ8" s="484"/>
      <c r="IFK8" s="484"/>
      <c r="IFL8" s="484"/>
      <c r="IFM8" s="484"/>
      <c r="IFN8" s="484"/>
      <c r="IFO8" s="484"/>
      <c r="IFP8" s="484"/>
      <c r="IFQ8" s="484"/>
      <c r="IFR8" s="484"/>
      <c r="IFS8" s="484"/>
      <c r="IFT8" s="484"/>
      <c r="IFU8" s="484"/>
      <c r="IFV8" s="484"/>
      <c r="IFW8" s="484"/>
      <c r="IFX8" s="484"/>
      <c r="IFY8" s="484"/>
      <c r="IFZ8" s="484"/>
      <c r="IGA8" s="484"/>
      <c r="IGB8" s="484"/>
      <c r="IGC8" s="484"/>
      <c r="IGD8" s="484"/>
      <c r="IGE8" s="484"/>
      <c r="IGF8" s="484"/>
      <c r="IGG8" s="484"/>
      <c r="IGH8" s="484"/>
      <c r="IGI8" s="484"/>
      <c r="IGJ8" s="484"/>
      <c r="IGK8" s="484"/>
      <c r="IGL8" s="484"/>
      <c r="IGM8" s="484"/>
      <c r="IGN8" s="484"/>
      <c r="IGO8" s="484"/>
      <c r="IGP8" s="484"/>
      <c r="IGQ8" s="484"/>
      <c r="IGR8" s="484"/>
      <c r="IGS8" s="484"/>
      <c r="IGT8" s="484"/>
      <c r="IGU8" s="484"/>
      <c r="IGV8" s="484"/>
      <c r="IGW8" s="484"/>
      <c r="IGX8" s="484"/>
      <c r="IGY8" s="484"/>
      <c r="IGZ8" s="484"/>
      <c r="IHA8" s="484"/>
      <c r="IHB8" s="484"/>
      <c r="IHC8" s="484"/>
      <c r="IHD8" s="484"/>
      <c r="IHE8" s="484"/>
      <c r="IHF8" s="484"/>
      <c r="IHG8" s="484"/>
      <c r="IHH8" s="484"/>
      <c r="IHI8" s="484"/>
      <c r="IHJ8" s="484"/>
      <c r="IHK8" s="484"/>
      <c r="IHL8" s="484"/>
      <c r="IHM8" s="484"/>
      <c r="IHN8" s="484"/>
      <c r="IHO8" s="484"/>
      <c r="IHP8" s="484"/>
      <c r="IHQ8" s="484"/>
      <c r="IHR8" s="484"/>
      <c r="IHS8" s="484"/>
      <c r="IHT8" s="484"/>
      <c r="IHU8" s="484"/>
      <c r="IHV8" s="484"/>
      <c r="IHW8" s="484"/>
      <c r="IHX8" s="484"/>
      <c r="IHY8" s="484"/>
      <c r="IHZ8" s="484"/>
      <c r="IIA8" s="484"/>
      <c r="IIB8" s="484"/>
      <c r="IIC8" s="484"/>
      <c r="IID8" s="484"/>
      <c r="IIE8" s="484"/>
      <c r="IIF8" s="484"/>
      <c r="IIG8" s="484"/>
      <c r="IIH8" s="484"/>
      <c r="III8" s="484"/>
      <c r="IIJ8" s="484"/>
      <c r="IIK8" s="484"/>
      <c r="IIL8" s="484"/>
      <c r="IIM8" s="484"/>
      <c r="IIN8" s="484"/>
      <c r="IIO8" s="484"/>
      <c r="IIP8" s="484"/>
      <c r="IIQ8" s="484"/>
      <c r="IIR8" s="484"/>
      <c r="IIS8" s="484"/>
      <c r="IIT8" s="484"/>
      <c r="IIU8" s="484"/>
      <c r="IIV8" s="484"/>
      <c r="IIW8" s="484"/>
      <c r="IIX8" s="484"/>
      <c r="IIY8" s="484"/>
      <c r="IIZ8" s="484"/>
      <c r="IJA8" s="484"/>
      <c r="IJB8" s="484"/>
      <c r="IJC8" s="484"/>
      <c r="IJD8" s="484"/>
      <c r="IJE8" s="484"/>
      <c r="IJF8" s="484"/>
      <c r="IJG8" s="484"/>
      <c r="IJH8" s="484"/>
      <c r="IJI8" s="484"/>
      <c r="IJJ8" s="484"/>
      <c r="IJK8" s="484"/>
      <c r="IJL8" s="484"/>
      <c r="IJM8" s="484"/>
      <c r="IJN8" s="484"/>
      <c r="IJO8" s="484"/>
      <c r="IJP8" s="484"/>
      <c r="IJQ8" s="484"/>
      <c r="IJR8" s="484"/>
      <c r="IJS8" s="484"/>
      <c r="IJT8" s="484"/>
      <c r="IJU8" s="484"/>
      <c r="IJV8" s="484"/>
      <c r="IJW8" s="484"/>
      <c r="IJX8" s="484"/>
      <c r="IJY8" s="484"/>
      <c r="IJZ8" s="484"/>
      <c r="IKA8" s="484"/>
      <c r="IKB8" s="484"/>
      <c r="IKC8" s="484"/>
      <c r="IKD8" s="484"/>
      <c r="IKE8" s="484"/>
      <c r="IKF8" s="484"/>
      <c r="IKG8" s="484"/>
      <c r="IKH8" s="484"/>
      <c r="IKI8" s="484"/>
      <c r="IKJ8" s="484"/>
      <c r="IKK8" s="484"/>
      <c r="IKL8" s="484"/>
      <c r="IKM8" s="484"/>
      <c r="IKN8" s="484"/>
      <c r="IKO8" s="484"/>
      <c r="IKP8" s="484"/>
      <c r="IKQ8" s="484"/>
      <c r="IKR8" s="484"/>
      <c r="IKS8" s="484"/>
      <c r="IKT8" s="484"/>
      <c r="IKU8" s="484"/>
      <c r="IKV8" s="484"/>
      <c r="IKW8" s="484"/>
      <c r="IKX8" s="484"/>
      <c r="IKY8" s="484"/>
      <c r="IKZ8" s="484"/>
      <c r="ILA8" s="484"/>
      <c r="ILB8" s="484"/>
      <c r="ILC8" s="484"/>
      <c r="ILD8" s="484"/>
      <c r="ILE8" s="484"/>
      <c r="ILF8" s="484"/>
      <c r="ILG8" s="484"/>
      <c r="ILH8" s="484"/>
      <c r="ILI8" s="484"/>
      <c r="ILJ8" s="484"/>
      <c r="ILK8" s="484"/>
      <c r="ILL8" s="484"/>
      <c r="ILM8" s="484"/>
      <c r="ILN8" s="484"/>
      <c r="ILO8" s="484"/>
      <c r="ILP8" s="484"/>
      <c r="ILQ8" s="484"/>
      <c r="ILR8" s="484"/>
      <c r="ILS8" s="484"/>
      <c r="ILT8" s="484"/>
      <c r="ILU8" s="484"/>
      <c r="ILV8" s="484"/>
      <c r="ILW8" s="484"/>
      <c r="ILX8" s="484"/>
      <c r="ILY8" s="484"/>
      <c r="ILZ8" s="484"/>
      <c r="IMA8" s="484"/>
      <c r="IMB8" s="484"/>
      <c r="IMC8" s="484"/>
      <c r="IMD8" s="484"/>
      <c r="IME8" s="484"/>
      <c r="IMF8" s="484"/>
      <c r="IMG8" s="484"/>
      <c r="IMH8" s="484"/>
      <c r="IMI8" s="484"/>
      <c r="IMJ8" s="484"/>
      <c r="IMK8" s="484"/>
      <c r="IML8" s="484"/>
      <c r="IMM8" s="484"/>
      <c r="IMN8" s="484"/>
      <c r="IMO8" s="484"/>
      <c r="IMP8" s="484"/>
      <c r="IMQ8" s="484"/>
      <c r="IMR8" s="484"/>
      <c r="IMS8" s="484"/>
      <c r="IMT8" s="484"/>
      <c r="IMU8" s="484"/>
      <c r="IMV8" s="484"/>
      <c r="IMW8" s="484"/>
      <c r="IMX8" s="484"/>
      <c r="IMY8" s="484"/>
      <c r="IMZ8" s="484"/>
      <c r="INA8" s="484"/>
      <c r="INB8" s="484"/>
      <c r="INC8" s="484"/>
      <c r="IND8" s="484"/>
      <c r="INE8" s="484"/>
      <c r="INF8" s="484"/>
      <c r="ING8" s="484"/>
      <c r="INH8" s="484"/>
      <c r="INI8" s="484"/>
      <c r="INJ8" s="484"/>
      <c r="INK8" s="484"/>
      <c r="INL8" s="484"/>
      <c r="INM8" s="484"/>
      <c r="INN8" s="484"/>
      <c r="INO8" s="484"/>
      <c r="INP8" s="484"/>
      <c r="INQ8" s="484"/>
      <c r="INR8" s="484"/>
      <c r="INS8" s="484"/>
      <c r="INT8" s="484"/>
      <c r="INU8" s="484"/>
      <c r="INV8" s="484"/>
      <c r="INW8" s="484"/>
      <c r="INX8" s="484"/>
      <c r="INY8" s="484"/>
      <c r="INZ8" s="484"/>
      <c r="IOA8" s="484"/>
      <c r="IOB8" s="484"/>
      <c r="IOC8" s="484"/>
      <c r="IOD8" s="484"/>
      <c r="IOE8" s="484"/>
      <c r="IOF8" s="484"/>
      <c r="IOG8" s="484"/>
      <c r="IOH8" s="484"/>
      <c r="IOI8" s="484"/>
      <c r="IOJ8" s="484"/>
      <c r="IOK8" s="484"/>
      <c r="IOL8" s="484"/>
      <c r="IOM8" s="484"/>
      <c r="ION8" s="484"/>
      <c r="IOO8" s="484"/>
      <c r="IOP8" s="484"/>
      <c r="IOQ8" s="484"/>
      <c r="IOR8" s="484"/>
      <c r="IOS8" s="484"/>
      <c r="IOT8" s="484"/>
      <c r="IOU8" s="484"/>
      <c r="IOV8" s="484"/>
      <c r="IOW8" s="484"/>
      <c r="IOX8" s="484"/>
      <c r="IOY8" s="484"/>
      <c r="IOZ8" s="484"/>
      <c r="IPA8" s="484"/>
      <c r="IPB8" s="484"/>
      <c r="IPC8" s="484"/>
      <c r="IPD8" s="484"/>
      <c r="IPE8" s="484"/>
      <c r="IPF8" s="484"/>
      <c r="IPG8" s="484"/>
      <c r="IPH8" s="484"/>
      <c r="IPI8" s="484"/>
      <c r="IPJ8" s="484"/>
      <c r="IPK8" s="484"/>
      <c r="IPL8" s="484"/>
      <c r="IPM8" s="484"/>
      <c r="IPN8" s="484"/>
      <c r="IPO8" s="484"/>
      <c r="IPP8" s="484"/>
      <c r="IPQ8" s="484"/>
      <c r="IPR8" s="484"/>
      <c r="IPS8" s="484"/>
      <c r="IPT8" s="484"/>
      <c r="IPU8" s="484"/>
      <c r="IPV8" s="484"/>
      <c r="IPW8" s="484"/>
      <c r="IPX8" s="484"/>
      <c r="IPY8" s="484"/>
      <c r="IPZ8" s="484"/>
      <c r="IQA8" s="484"/>
      <c r="IQB8" s="484"/>
      <c r="IQC8" s="484"/>
      <c r="IQD8" s="484"/>
      <c r="IQE8" s="484"/>
      <c r="IQF8" s="484"/>
      <c r="IQG8" s="484"/>
      <c r="IQH8" s="484"/>
      <c r="IQI8" s="484"/>
      <c r="IQJ8" s="484"/>
      <c r="IQK8" s="484"/>
      <c r="IQL8" s="484"/>
      <c r="IQM8" s="484"/>
      <c r="IQN8" s="484"/>
      <c r="IQO8" s="484"/>
      <c r="IQP8" s="484"/>
      <c r="IQQ8" s="484"/>
      <c r="IQR8" s="484"/>
      <c r="IQS8" s="484"/>
      <c r="IQT8" s="484"/>
      <c r="IQU8" s="484"/>
      <c r="IQV8" s="484"/>
      <c r="IQW8" s="484"/>
      <c r="IQX8" s="484"/>
      <c r="IQY8" s="484"/>
      <c r="IQZ8" s="484"/>
      <c r="IRA8" s="484"/>
      <c r="IRB8" s="484"/>
      <c r="IRC8" s="484"/>
      <c r="IRD8" s="484"/>
      <c r="IRE8" s="484"/>
      <c r="IRF8" s="484"/>
      <c r="IRG8" s="484"/>
      <c r="IRH8" s="484"/>
      <c r="IRI8" s="484"/>
      <c r="IRJ8" s="484"/>
      <c r="IRK8" s="484"/>
      <c r="IRL8" s="484"/>
      <c r="IRM8" s="484"/>
      <c r="IRN8" s="484"/>
      <c r="IRO8" s="484"/>
      <c r="IRP8" s="484"/>
      <c r="IRQ8" s="484"/>
      <c r="IRR8" s="484"/>
      <c r="IRS8" s="484"/>
      <c r="IRT8" s="484"/>
      <c r="IRU8" s="484"/>
      <c r="IRV8" s="484"/>
      <c r="IRW8" s="484"/>
      <c r="IRX8" s="484"/>
      <c r="IRY8" s="484"/>
      <c r="IRZ8" s="484"/>
      <c r="ISA8" s="484"/>
      <c r="ISB8" s="484"/>
      <c r="ISC8" s="484"/>
      <c r="ISD8" s="484"/>
      <c r="ISE8" s="484"/>
      <c r="ISF8" s="484"/>
      <c r="ISG8" s="484"/>
      <c r="ISH8" s="484"/>
      <c r="ISI8" s="484"/>
      <c r="ISJ8" s="484"/>
      <c r="ISK8" s="484"/>
      <c r="ISL8" s="484"/>
      <c r="ISM8" s="484"/>
      <c r="ISN8" s="484"/>
      <c r="ISO8" s="484"/>
      <c r="ISP8" s="484"/>
      <c r="ISQ8" s="484"/>
      <c r="ISR8" s="484"/>
      <c r="ISS8" s="484"/>
      <c r="IST8" s="484"/>
      <c r="ISU8" s="484"/>
      <c r="ISV8" s="484"/>
      <c r="ISW8" s="484"/>
      <c r="ISX8" s="484"/>
      <c r="ISY8" s="484"/>
      <c r="ISZ8" s="484"/>
      <c r="ITA8" s="484"/>
      <c r="ITB8" s="484"/>
      <c r="ITC8" s="484"/>
      <c r="ITD8" s="484"/>
      <c r="ITE8" s="484"/>
      <c r="ITF8" s="484"/>
      <c r="ITG8" s="484"/>
      <c r="ITH8" s="484"/>
      <c r="ITI8" s="484"/>
      <c r="ITJ8" s="484"/>
      <c r="ITK8" s="484"/>
      <c r="ITL8" s="484"/>
      <c r="ITM8" s="484"/>
      <c r="ITN8" s="484"/>
      <c r="ITO8" s="484"/>
      <c r="ITP8" s="484"/>
      <c r="ITQ8" s="484"/>
      <c r="ITR8" s="484"/>
      <c r="ITS8" s="484"/>
      <c r="ITT8" s="484"/>
      <c r="ITU8" s="484"/>
      <c r="ITV8" s="484"/>
      <c r="ITW8" s="484"/>
      <c r="ITX8" s="484"/>
      <c r="ITY8" s="484"/>
      <c r="ITZ8" s="484"/>
      <c r="IUA8" s="484"/>
      <c r="IUB8" s="484"/>
      <c r="IUC8" s="484"/>
      <c r="IUD8" s="484"/>
      <c r="IUE8" s="484"/>
      <c r="IUF8" s="484"/>
      <c r="IUG8" s="484"/>
      <c r="IUH8" s="484"/>
      <c r="IUI8" s="484"/>
      <c r="IUJ8" s="484"/>
      <c r="IUK8" s="484"/>
      <c r="IUL8" s="484"/>
      <c r="IUM8" s="484"/>
      <c r="IUN8" s="484"/>
      <c r="IUO8" s="484"/>
      <c r="IUP8" s="484"/>
      <c r="IUQ8" s="484"/>
      <c r="IUR8" s="484"/>
      <c r="IUS8" s="484"/>
      <c r="IUT8" s="484"/>
      <c r="IUU8" s="484"/>
      <c r="IUV8" s="484"/>
      <c r="IUW8" s="484"/>
      <c r="IUX8" s="484"/>
      <c r="IUY8" s="484"/>
      <c r="IUZ8" s="484"/>
      <c r="IVA8" s="484"/>
      <c r="IVB8" s="484"/>
      <c r="IVC8" s="484"/>
      <c r="IVD8" s="484"/>
      <c r="IVE8" s="484"/>
      <c r="IVF8" s="484"/>
      <c r="IVG8" s="484"/>
      <c r="IVH8" s="484"/>
      <c r="IVI8" s="484"/>
      <c r="IVJ8" s="484"/>
      <c r="IVK8" s="484"/>
      <c r="IVL8" s="484"/>
      <c r="IVM8" s="484"/>
      <c r="IVN8" s="484"/>
      <c r="IVO8" s="484"/>
      <c r="IVP8" s="484"/>
      <c r="IVQ8" s="484"/>
      <c r="IVR8" s="484"/>
      <c r="IVS8" s="484"/>
      <c r="IVT8" s="484"/>
      <c r="IVU8" s="484"/>
      <c r="IVV8" s="484"/>
      <c r="IVW8" s="484"/>
      <c r="IVX8" s="484"/>
      <c r="IVY8" s="484"/>
      <c r="IVZ8" s="484"/>
      <c r="IWA8" s="484"/>
      <c r="IWB8" s="484"/>
      <c r="IWC8" s="484"/>
      <c r="IWD8" s="484"/>
      <c r="IWE8" s="484"/>
      <c r="IWF8" s="484"/>
      <c r="IWG8" s="484"/>
      <c r="IWH8" s="484"/>
      <c r="IWI8" s="484"/>
      <c r="IWJ8" s="484"/>
      <c r="IWK8" s="484"/>
      <c r="IWL8" s="484"/>
      <c r="IWM8" s="484"/>
      <c r="IWN8" s="484"/>
      <c r="IWO8" s="484"/>
      <c r="IWP8" s="484"/>
      <c r="IWQ8" s="484"/>
      <c r="IWR8" s="484"/>
      <c r="IWS8" s="484"/>
      <c r="IWT8" s="484"/>
      <c r="IWU8" s="484"/>
      <c r="IWV8" s="484"/>
      <c r="IWW8" s="484"/>
      <c r="IWX8" s="484"/>
      <c r="IWY8" s="484"/>
      <c r="IWZ8" s="484"/>
      <c r="IXA8" s="484"/>
      <c r="IXB8" s="484"/>
      <c r="IXC8" s="484"/>
      <c r="IXD8" s="484"/>
      <c r="IXE8" s="484"/>
      <c r="IXF8" s="484"/>
      <c r="IXG8" s="484"/>
      <c r="IXH8" s="484"/>
      <c r="IXI8" s="484"/>
      <c r="IXJ8" s="484"/>
      <c r="IXK8" s="484"/>
      <c r="IXL8" s="484"/>
      <c r="IXM8" s="484"/>
      <c r="IXN8" s="484"/>
      <c r="IXO8" s="484"/>
      <c r="IXP8" s="484"/>
      <c r="IXQ8" s="484"/>
      <c r="IXR8" s="484"/>
      <c r="IXS8" s="484"/>
      <c r="IXT8" s="484"/>
      <c r="IXU8" s="484"/>
      <c r="IXV8" s="484"/>
      <c r="IXW8" s="484"/>
      <c r="IXX8" s="484"/>
      <c r="IXY8" s="484"/>
      <c r="IXZ8" s="484"/>
      <c r="IYA8" s="484"/>
      <c r="IYB8" s="484"/>
      <c r="IYC8" s="484"/>
      <c r="IYD8" s="484"/>
      <c r="IYE8" s="484"/>
      <c r="IYF8" s="484"/>
      <c r="IYG8" s="484"/>
      <c r="IYH8" s="484"/>
      <c r="IYI8" s="484"/>
      <c r="IYJ8" s="484"/>
      <c r="IYK8" s="484"/>
      <c r="IYL8" s="484"/>
      <c r="IYM8" s="484"/>
      <c r="IYN8" s="484"/>
      <c r="IYO8" s="484"/>
      <c r="IYP8" s="484"/>
      <c r="IYQ8" s="484"/>
      <c r="IYR8" s="484"/>
      <c r="IYS8" s="484"/>
      <c r="IYT8" s="484"/>
      <c r="IYU8" s="484"/>
      <c r="IYV8" s="484"/>
      <c r="IYW8" s="484"/>
      <c r="IYX8" s="484"/>
      <c r="IYY8" s="484"/>
      <c r="IYZ8" s="484"/>
      <c r="IZA8" s="484"/>
      <c r="IZB8" s="484"/>
      <c r="IZC8" s="484"/>
      <c r="IZD8" s="484"/>
      <c r="IZE8" s="484"/>
      <c r="IZF8" s="484"/>
      <c r="IZG8" s="484"/>
      <c r="IZH8" s="484"/>
      <c r="IZI8" s="484"/>
      <c r="IZJ8" s="484"/>
      <c r="IZK8" s="484"/>
      <c r="IZL8" s="484"/>
      <c r="IZM8" s="484"/>
      <c r="IZN8" s="484"/>
      <c r="IZO8" s="484"/>
      <c r="IZP8" s="484"/>
      <c r="IZQ8" s="484"/>
      <c r="IZR8" s="484"/>
      <c r="IZS8" s="484"/>
      <c r="IZT8" s="484"/>
      <c r="IZU8" s="484"/>
      <c r="IZV8" s="484"/>
      <c r="IZW8" s="484"/>
      <c r="IZX8" s="484"/>
      <c r="IZY8" s="484"/>
      <c r="IZZ8" s="484"/>
      <c r="JAA8" s="484"/>
      <c r="JAB8" s="484"/>
      <c r="JAC8" s="484"/>
      <c r="JAD8" s="484"/>
      <c r="JAE8" s="484"/>
      <c r="JAF8" s="484"/>
      <c r="JAG8" s="484"/>
      <c r="JAH8" s="484"/>
      <c r="JAI8" s="484"/>
      <c r="JAJ8" s="484"/>
      <c r="JAK8" s="484"/>
      <c r="JAL8" s="484"/>
      <c r="JAM8" s="484"/>
      <c r="JAN8" s="484"/>
      <c r="JAO8" s="484"/>
      <c r="JAP8" s="484"/>
      <c r="JAQ8" s="484"/>
      <c r="JAR8" s="484"/>
      <c r="JAS8" s="484"/>
      <c r="JAT8" s="484"/>
      <c r="JAU8" s="484"/>
      <c r="JAV8" s="484"/>
      <c r="JAW8" s="484"/>
      <c r="JAX8" s="484"/>
      <c r="JAY8" s="484"/>
      <c r="JAZ8" s="484"/>
      <c r="JBA8" s="484"/>
      <c r="JBB8" s="484"/>
      <c r="JBC8" s="484"/>
      <c r="JBD8" s="484"/>
      <c r="JBE8" s="484"/>
      <c r="JBF8" s="484"/>
      <c r="JBG8" s="484"/>
      <c r="JBH8" s="484"/>
      <c r="JBI8" s="484"/>
      <c r="JBJ8" s="484"/>
      <c r="JBK8" s="484"/>
      <c r="JBL8" s="484"/>
      <c r="JBM8" s="484"/>
      <c r="JBN8" s="484"/>
      <c r="JBO8" s="484"/>
      <c r="JBP8" s="484"/>
      <c r="JBQ8" s="484"/>
      <c r="JBR8" s="484"/>
      <c r="JBS8" s="484"/>
      <c r="JBT8" s="484"/>
      <c r="JBU8" s="484"/>
      <c r="JBV8" s="484"/>
      <c r="JBW8" s="484"/>
      <c r="JBX8" s="484"/>
      <c r="JBY8" s="484"/>
      <c r="JBZ8" s="484"/>
      <c r="JCA8" s="484"/>
      <c r="JCB8" s="484"/>
      <c r="JCC8" s="484"/>
      <c r="JCD8" s="484"/>
      <c r="JCE8" s="484"/>
      <c r="JCF8" s="484"/>
      <c r="JCG8" s="484"/>
      <c r="JCH8" s="484"/>
      <c r="JCI8" s="484"/>
      <c r="JCJ8" s="484"/>
      <c r="JCK8" s="484"/>
      <c r="JCL8" s="484"/>
      <c r="JCM8" s="484"/>
      <c r="JCN8" s="484"/>
      <c r="JCO8" s="484"/>
      <c r="JCP8" s="484"/>
      <c r="JCQ8" s="484"/>
      <c r="JCR8" s="484"/>
      <c r="JCS8" s="484"/>
      <c r="JCT8" s="484"/>
      <c r="JCU8" s="484"/>
      <c r="JCV8" s="484"/>
      <c r="JCW8" s="484"/>
      <c r="JCX8" s="484"/>
      <c r="JCY8" s="484"/>
      <c r="JCZ8" s="484"/>
      <c r="JDA8" s="484"/>
      <c r="JDB8" s="484"/>
      <c r="JDC8" s="484"/>
      <c r="JDD8" s="484"/>
      <c r="JDE8" s="484"/>
      <c r="JDF8" s="484"/>
      <c r="JDG8" s="484"/>
      <c r="JDH8" s="484"/>
      <c r="JDI8" s="484"/>
      <c r="JDJ8" s="484"/>
      <c r="JDK8" s="484"/>
      <c r="JDL8" s="484"/>
      <c r="JDM8" s="484"/>
      <c r="JDN8" s="484"/>
      <c r="JDO8" s="484"/>
      <c r="JDP8" s="484"/>
      <c r="JDQ8" s="484"/>
      <c r="JDR8" s="484"/>
      <c r="JDS8" s="484"/>
      <c r="JDT8" s="484"/>
      <c r="JDU8" s="484"/>
      <c r="JDV8" s="484"/>
      <c r="JDW8" s="484"/>
      <c r="JDX8" s="484"/>
      <c r="JDY8" s="484"/>
      <c r="JDZ8" s="484"/>
      <c r="JEA8" s="484"/>
      <c r="JEB8" s="484"/>
      <c r="JEC8" s="484"/>
      <c r="JED8" s="484"/>
      <c r="JEE8" s="484"/>
      <c r="JEF8" s="484"/>
      <c r="JEG8" s="484"/>
      <c r="JEH8" s="484"/>
      <c r="JEI8" s="484"/>
      <c r="JEJ8" s="484"/>
      <c r="JEK8" s="484"/>
      <c r="JEL8" s="484"/>
      <c r="JEM8" s="484"/>
      <c r="JEN8" s="484"/>
      <c r="JEO8" s="484"/>
      <c r="JEP8" s="484"/>
      <c r="JEQ8" s="484"/>
      <c r="JER8" s="484"/>
      <c r="JES8" s="484"/>
      <c r="JET8" s="484"/>
      <c r="JEU8" s="484"/>
      <c r="JEV8" s="484"/>
      <c r="JEW8" s="484"/>
      <c r="JEX8" s="484"/>
      <c r="JEY8" s="484"/>
      <c r="JEZ8" s="484"/>
      <c r="JFA8" s="484"/>
      <c r="JFB8" s="484"/>
      <c r="JFC8" s="484"/>
      <c r="JFD8" s="484"/>
      <c r="JFE8" s="484"/>
      <c r="JFF8" s="484"/>
      <c r="JFG8" s="484"/>
      <c r="JFH8" s="484"/>
      <c r="JFI8" s="484"/>
      <c r="JFJ8" s="484"/>
      <c r="JFK8" s="484"/>
      <c r="JFL8" s="484"/>
      <c r="JFM8" s="484"/>
      <c r="JFN8" s="484"/>
      <c r="JFO8" s="484"/>
      <c r="JFP8" s="484"/>
      <c r="JFQ8" s="484"/>
      <c r="JFR8" s="484"/>
      <c r="JFS8" s="484"/>
      <c r="JFT8" s="484"/>
      <c r="JFU8" s="484"/>
      <c r="JFV8" s="484"/>
      <c r="JFW8" s="484"/>
      <c r="JFX8" s="484"/>
      <c r="JFY8" s="484"/>
      <c r="JFZ8" s="484"/>
      <c r="JGA8" s="484"/>
      <c r="JGB8" s="484"/>
      <c r="JGC8" s="484"/>
      <c r="JGD8" s="484"/>
      <c r="JGE8" s="484"/>
      <c r="JGF8" s="484"/>
      <c r="JGG8" s="484"/>
      <c r="JGH8" s="484"/>
      <c r="JGI8" s="484"/>
      <c r="JGJ8" s="484"/>
      <c r="JGK8" s="484"/>
      <c r="JGL8" s="484"/>
      <c r="JGM8" s="484"/>
      <c r="JGN8" s="484"/>
      <c r="JGO8" s="484"/>
      <c r="JGP8" s="484"/>
      <c r="JGQ8" s="484"/>
      <c r="JGR8" s="484"/>
      <c r="JGS8" s="484"/>
      <c r="JGT8" s="484"/>
      <c r="JGU8" s="484"/>
      <c r="JGV8" s="484"/>
      <c r="JGW8" s="484"/>
      <c r="JGX8" s="484"/>
      <c r="JGY8" s="484"/>
      <c r="JGZ8" s="484"/>
      <c r="JHA8" s="484"/>
      <c r="JHB8" s="484"/>
      <c r="JHC8" s="484"/>
      <c r="JHD8" s="484"/>
      <c r="JHE8" s="484"/>
      <c r="JHF8" s="484"/>
      <c r="JHG8" s="484"/>
      <c r="JHH8" s="484"/>
      <c r="JHI8" s="484"/>
      <c r="JHJ8" s="484"/>
      <c r="JHK8" s="484"/>
      <c r="JHL8" s="484"/>
      <c r="JHM8" s="484"/>
      <c r="JHN8" s="484"/>
      <c r="JHO8" s="484"/>
      <c r="JHP8" s="484"/>
      <c r="JHQ8" s="484"/>
      <c r="JHR8" s="484"/>
      <c r="JHS8" s="484"/>
      <c r="JHT8" s="484"/>
      <c r="JHU8" s="484"/>
      <c r="JHV8" s="484"/>
      <c r="JHW8" s="484"/>
      <c r="JHX8" s="484"/>
      <c r="JHY8" s="484"/>
      <c r="JHZ8" s="484"/>
      <c r="JIA8" s="484"/>
      <c r="JIB8" s="484"/>
      <c r="JIC8" s="484"/>
      <c r="JID8" s="484"/>
      <c r="JIE8" s="484"/>
      <c r="JIF8" s="484"/>
      <c r="JIG8" s="484"/>
      <c r="JIH8" s="484"/>
      <c r="JII8" s="484"/>
      <c r="JIJ8" s="484"/>
      <c r="JIK8" s="484"/>
      <c r="JIL8" s="484"/>
      <c r="JIM8" s="484"/>
      <c r="JIN8" s="484"/>
      <c r="JIO8" s="484"/>
      <c r="JIP8" s="484"/>
      <c r="JIQ8" s="484"/>
      <c r="JIR8" s="484"/>
      <c r="JIS8" s="484"/>
      <c r="JIT8" s="484"/>
      <c r="JIU8" s="484"/>
      <c r="JIV8" s="484"/>
      <c r="JIW8" s="484"/>
      <c r="JIX8" s="484"/>
      <c r="JIY8" s="484"/>
      <c r="JIZ8" s="484"/>
      <c r="JJA8" s="484"/>
      <c r="JJB8" s="484"/>
      <c r="JJC8" s="484"/>
      <c r="JJD8" s="484"/>
      <c r="JJE8" s="484"/>
      <c r="JJF8" s="484"/>
      <c r="JJG8" s="484"/>
      <c r="JJH8" s="484"/>
      <c r="JJI8" s="484"/>
      <c r="JJJ8" s="484"/>
      <c r="JJK8" s="484"/>
      <c r="JJL8" s="484"/>
      <c r="JJM8" s="484"/>
      <c r="JJN8" s="484"/>
      <c r="JJO8" s="484"/>
      <c r="JJP8" s="484"/>
      <c r="JJQ8" s="484"/>
      <c r="JJR8" s="484"/>
      <c r="JJS8" s="484"/>
      <c r="JJT8" s="484"/>
      <c r="JJU8" s="484"/>
      <c r="JJV8" s="484"/>
      <c r="JJW8" s="484"/>
      <c r="JJX8" s="484"/>
      <c r="JJY8" s="484"/>
      <c r="JJZ8" s="484"/>
      <c r="JKA8" s="484"/>
      <c r="JKB8" s="484"/>
      <c r="JKC8" s="484"/>
      <c r="JKD8" s="484"/>
      <c r="JKE8" s="484"/>
      <c r="JKF8" s="484"/>
      <c r="JKG8" s="484"/>
      <c r="JKH8" s="484"/>
      <c r="JKI8" s="484"/>
      <c r="JKJ8" s="484"/>
      <c r="JKK8" s="484"/>
      <c r="JKL8" s="484"/>
      <c r="JKM8" s="484"/>
      <c r="JKN8" s="484"/>
      <c r="JKO8" s="484"/>
      <c r="JKP8" s="484"/>
      <c r="JKQ8" s="484"/>
      <c r="JKR8" s="484"/>
      <c r="JKS8" s="484"/>
      <c r="JKT8" s="484"/>
      <c r="JKU8" s="484"/>
      <c r="JKV8" s="484"/>
      <c r="JKW8" s="484"/>
      <c r="JKX8" s="484"/>
      <c r="JKY8" s="484"/>
      <c r="JKZ8" s="484"/>
      <c r="JLA8" s="484"/>
      <c r="JLB8" s="484"/>
      <c r="JLC8" s="484"/>
      <c r="JLD8" s="484"/>
      <c r="JLE8" s="484"/>
      <c r="JLF8" s="484"/>
      <c r="JLG8" s="484"/>
      <c r="JLH8" s="484"/>
      <c r="JLI8" s="484"/>
      <c r="JLJ8" s="484"/>
      <c r="JLK8" s="484"/>
      <c r="JLL8" s="484"/>
      <c r="JLM8" s="484"/>
      <c r="JLN8" s="484"/>
      <c r="JLO8" s="484"/>
      <c r="JLP8" s="484"/>
      <c r="JLQ8" s="484"/>
      <c r="JLR8" s="484"/>
      <c r="JLS8" s="484"/>
      <c r="JLT8" s="484"/>
      <c r="JLU8" s="484"/>
      <c r="JLV8" s="484"/>
      <c r="JLW8" s="484"/>
      <c r="JLX8" s="484"/>
      <c r="JLY8" s="484"/>
      <c r="JLZ8" s="484"/>
      <c r="JMA8" s="484"/>
      <c r="JMB8" s="484"/>
      <c r="JMC8" s="484"/>
      <c r="JMD8" s="484"/>
      <c r="JME8" s="484"/>
      <c r="JMF8" s="484"/>
      <c r="JMG8" s="484"/>
      <c r="JMH8" s="484"/>
      <c r="JMI8" s="484"/>
      <c r="JMJ8" s="484"/>
      <c r="JMK8" s="484"/>
      <c r="JML8" s="484"/>
      <c r="JMM8" s="484"/>
      <c r="JMN8" s="484"/>
      <c r="JMO8" s="484"/>
      <c r="JMP8" s="484"/>
      <c r="JMQ8" s="484"/>
      <c r="JMR8" s="484"/>
      <c r="JMS8" s="484"/>
      <c r="JMT8" s="484"/>
      <c r="JMU8" s="484"/>
      <c r="JMV8" s="484"/>
      <c r="JMW8" s="484"/>
      <c r="JMX8" s="484"/>
      <c r="JMY8" s="484"/>
      <c r="JMZ8" s="484"/>
      <c r="JNA8" s="484"/>
      <c r="JNB8" s="484"/>
      <c r="JNC8" s="484"/>
      <c r="JND8" s="484"/>
      <c r="JNE8" s="484"/>
      <c r="JNF8" s="484"/>
      <c r="JNG8" s="484"/>
      <c r="JNH8" s="484"/>
      <c r="JNI8" s="484"/>
      <c r="JNJ8" s="484"/>
      <c r="JNK8" s="484"/>
      <c r="JNL8" s="484"/>
      <c r="JNM8" s="484"/>
      <c r="JNN8" s="484"/>
      <c r="JNO8" s="484"/>
      <c r="JNP8" s="484"/>
      <c r="JNQ8" s="484"/>
      <c r="JNR8" s="484"/>
      <c r="JNS8" s="484"/>
      <c r="JNT8" s="484"/>
      <c r="JNU8" s="484"/>
      <c r="JNV8" s="484"/>
      <c r="JNW8" s="484"/>
      <c r="JNX8" s="484"/>
      <c r="JNY8" s="484"/>
      <c r="JNZ8" s="484"/>
      <c r="JOA8" s="484"/>
      <c r="JOB8" s="484"/>
      <c r="JOC8" s="484"/>
      <c r="JOD8" s="484"/>
      <c r="JOE8" s="484"/>
      <c r="JOF8" s="484"/>
      <c r="JOG8" s="484"/>
      <c r="JOH8" s="484"/>
      <c r="JOI8" s="484"/>
      <c r="JOJ8" s="484"/>
      <c r="JOK8" s="484"/>
      <c r="JOL8" s="484"/>
      <c r="JOM8" s="484"/>
      <c r="JON8" s="484"/>
      <c r="JOO8" s="484"/>
      <c r="JOP8" s="484"/>
      <c r="JOQ8" s="484"/>
      <c r="JOR8" s="484"/>
      <c r="JOS8" s="484"/>
      <c r="JOT8" s="484"/>
      <c r="JOU8" s="484"/>
      <c r="JOV8" s="484"/>
      <c r="JOW8" s="484"/>
      <c r="JOX8" s="484"/>
      <c r="JOY8" s="484"/>
      <c r="JOZ8" s="484"/>
      <c r="JPA8" s="484"/>
      <c r="JPB8" s="484"/>
      <c r="JPC8" s="484"/>
      <c r="JPD8" s="484"/>
      <c r="JPE8" s="484"/>
      <c r="JPF8" s="484"/>
      <c r="JPG8" s="484"/>
      <c r="JPH8" s="484"/>
      <c r="JPI8" s="484"/>
      <c r="JPJ8" s="484"/>
      <c r="JPK8" s="484"/>
      <c r="JPL8" s="484"/>
      <c r="JPM8" s="484"/>
      <c r="JPN8" s="484"/>
      <c r="JPO8" s="484"/>
      <c r="JPP8" s="484"/>
      <c r="JPQ8" s="484"/>
      <c r="JPR8" s="484"/>
      <c r="JPS8" s="484"/>
      <c r="JPT8" s="484"/>
      <c r="JPU8" s="484"/>
      <c r="JPV8" s="484"/>
      <c r="JPW8" s="484"/>
      <c r="JPX8" s="484"/>
      <c r="JPY8" s="484"/>
      <c r="JPZ8" s="484"/>
      <c r="JQA8" s="484"/>
      <c r="JQB8" s="484"/>
      <c r="JQC8" s="484"/>
      <c r="JQD8" s="484"/>
      <c r="JQE8" s="484"/>
      <c r="JQF8" s="484"/>
      <c r="JQG8" s="484"/>
      <c r="JQH8" s="484"/>
      <c r="JQI8" s="484"/>
      <c r="JQJ8" s="484"/>
      <c r="JQK8" s="484"/>
      <c r="JQL8" s="484"/>
      <c r="JQM8" s="484"/>
      <c r="JQN8" s="484"/>
      <c r="JQO8" s="484"/>
      <c r="JQP8" s="484"/>
      <c r="JQQ8" s="484"/>
      <c r="JQR8" s="484"/>
      <c r="JQS8" s="484"/>
      <c r="JQT8" s="484"/>
      <c r="JQU8" s="484"/>
      <c r="JQV8" s="484"/>
      <c r="JQW8" s="484"/>
      <c r="JQX8" s="484"/>
      <c r="JQY8" s="484"/>
      <c r="JQZ8" s="484"/>
      <c r="JRA8" s="484"/>
      <c r="JRB8" s="484"/>
      <c r="JRC8" s="484"/>
      <c r="JRD8" s="484"/>
      <c r="JRE8" s="484"/>
      <c r="JRF8" s="484"/>
      <c r="JRG8" s="484"/>
      <c r="JRH8" s="484"/>
      <c r="JRI8" s="484"/>
      <c r="JRJ8" s="484"/>
      <c r="JRK8" s="484"/>
      <c r="JRL8" s="484"/>
      <c r="JRM8" s="484"/>
      <c r="JRN8" s="484"/>
      <c r="JRO8" s="484"/>
      <c r="JRP8" s="484"/>
      <c r="JRQ8" s="484"/>
      <c r="JRR8" s="484"/>
      <c r="JRS8" s="484"/>
      <c r="JRT8" s="484"/>
      <c r="JRU8" s="484"/>
      <c r="JRV8" s="484"/>
      <c r="JRW8" s="484"/>
      <c r="JRX8" s="484"/>
      <c r="JRY8" s="484"/>
      <c r="JRZ8" s="484"/>
      <c r="JSA8" s="484"/>
      <c r="JSB8" s="484"/>
      <c r="JSC8" s="484"/>
      <c r="JSD8" s="484"/>
      <c r="JSE8" s="484"/>
      <c r="JSF8" s="484"/>
      <c r="JSG8" s="484"/>
      <c r="JSH8" s="484"/>
      <c r="JSI8" s="484"/>
      <c r="JSJ8" s="484"/>
      <c r="JSK8" s="484"/>
      <c r="JSL8" s="484"/>
      <c r="JSM8" s="484"/>
      <c r="JSN8" s="484"/>
      <c r="JSO8" s="484"/>
      <c r="JSP8" s="484"/>
      <c r="JSQ8" s="484"/>
      <c r="JSR8" s="484"/>
      <c r="JSS8" s="484"/>
      <c r="JST8" s="484"/>
      <c r="JSU8" s="484"/>
      <c r="JSV8" s="484"/>
      <c r="JSW8" s="484"/>
      <c r="JSX8" s="484"/>
      <c r="JSY8" s="484"/>
      <c r="JSZ8" s="484"/>
      <c r="JTA8" s="484"/>
      <c r="JTB8" s="484"/>
      <c r="JTC8" s="484"/>
      <c r="JTD8" s="484"/>
      <c r="JTE8" s="484"/>
      <c r="JTF8" s="484"/>
      <c r="JTG8" s="484"/>
      <c r="JTH8" s="484"/>
      <c r="JTI8" s="484"/>
      <c r="JTJ8" s="484"/>
      <c r="JTK8" s="484"/>
      <c r="JTL8" s="484"/>
      <c r="JTM8" s="484"/>
      <c r="JTN8" s="484"/>
      <c r="JTO8" s="484"/>
      <c r="JTP8" s="484"/>
      <c r="JTQ8" s="484"/>
      <c r="JTR8" s="484"/>
      <c r="JTS8" s="484"/>
      <c r="JTT8" s="484"/>
      <c r="JTU8" s="484"/>
      <c r="JTV8" s="484"/>
      <c r="JTW8" s="484"/>
      <c r="JTX8" s="484"/>
      <c r="JTY8" s="484"/>
      <c r="JTZ8" s="484"/>
      <c r="JUA8" s="484"/>
      <c r="JUB8" s="484"/>
      <c r="JUC8" s="484"/>
      <c r="JUD8" s="484"/>
      <c r="JUE8" s="484"/>
      <c r="JUF8" s="484"/>
      <c r="JUG8" s="484"/>
      <c r="JUH8" s="484"/>
      <c r="JUI8" s="484"/>
      <c r="JUJ8" s="484"/>
      <c r="JUK8" s="484"/>
      <c r="JUL8" s="484"/>
      <c r="JUM8" s="484"/>
      <c r="JUN8" s="484"/>
      <c r="JUO8" s="484"/>
      <c r="JUP8" s="484"/>
      <c r="JUQ8" s="484"/>
      <c r="JUR8" s="484"/>
      <c r="JUS8" s="484"/>
      <c r="JUT8" s="484"/>
      <c r="JUU8" s="484"/>
      <c r="JUV8" s="484"/>
      <c r="JUW8" s="484"/>
      <c r="JUX8" s="484"/>
      <c r="JUY8" s="484"/>
      <c r="JUZ8" s="484"/>
      <c r="JVA8" s="484"/>
      <c r="JVB8" s="484"/>
      <c r="JVC8" s="484"/>
      <c r="JVD8" s="484"/>
      <c r="JVE8" s="484"/>
      <c r="JVF8" s="484"/>
      <c r="JVG8" s="484"/>
      <c r="JVH8" s="484"/>
      <c r="JVI8" s="484"/>
      <c r="JVJ8" s="484"/>
      <c r="JVK8" s="484"/>
      <c r="JVL8" s="484"/>
      <c r="JVM8" s="484"/>
      <c r="JVN8" s="484"/>
      <c r="JVO8" s="484"/>
      <c r="JVP8" s="484"/>
      <c r="JVQ8" s="484"/>
      <c r="JVR8" s="484"/>
      <c r="JVS8" s="484"/>
      <c r="JVT8" s="484"/>
      <c r="JVU8" s="484"/>
      <c r="JVV8" s="484"/>
      <c r="JVW8" s="484"/>
      <c r="JVX8" s="484"/>
      <c r="JVY8" s="484"/>
      <c r="JVZ8" s="484"/>
      <c r="JWA8" s="484"/>
      <c r="JWB8" s="484"/>
      <c r="JWC8" s="484"/>
      <c r="JWD8" s="484"/>
      <c r="JWE8" s="484"/>
      <c r="JWF8" s="484"/>
      <c r="JWG8" s="484"/>
      <c r="JWH8" s="484"/>
      <c r="JWI8" s="484"/>
      <c r="JWJ8" s="484"/>
      <c r="JWK8" s="484"/>
      <c r="JWL8" s="484"/>
      <c r="JWM8" s="484"/>
      <c r="JWN8" s="484"/>
      <c r="JWO8" s="484"/>
      <c r="JWP8" s="484"/>
      <c r="JWQ8" s="484"/>
      <c r="JWR8" s="484"/>
      <c r="JWS8" s="484"/>
      <c r="JWT8" s="484"/>
      <c r="JWU8" s="484"/>
      <c r="JWV8" s="484"/>
      <c r="JWW8" s="484"/>
      <c r="JWX8" s="484"/>
      <c r="JWY8" s="484"/>
      <c r="JWZ8" s="484"/>
      <c r="JXA8" s="484"/>
      <c r="JXB8" s="484"/>
      <c r="JXC8" s="484"/>
      <c r="JXD8" s="484"/>
      <c r="JXE8" s="484"/>
      <c r="JXF8" s="484"/>
      <c r="JXG8" s="484"/>
      <c r="JXH8" s="484"/>
      <c r="JXI8" s="484"/>
      <c r="JXJ8" s="484"/>
      <c r="JXK8" s="484"/>
      <c r="JXL8" s="484"/>
      <c r="JXM8" s="484"/>
      <c r="JXN8" s="484"/>
      <c r="JXO8" s="484"/>
      <c r="JXP8" s="484"/>
      <c r="JXQ8" s="484"/>
      <c r="JXR8" s="484"/>
      <c r="JXS8" s="484"/>
      <c r="JXT8" s="484"/>
      <c r="JXU8" s="484"/>
      <c r="JXV8" s="484"/>
      <c r="JXW8" s="484"/>
      <c r="JXX8" s="484"/>
      <c r="JXY8" s="484"/>
      <c r="JXZ8" s="484"/>
      <c r="JYA8" s="484"/>
      <c r="JYB8" s="484"/>
      <c r="JYC8" s="484"/>
      <c r="JYD8" s="484"/>
      <c r="JYE8" s="484"/>
      <c r="JYF8" s="484"/>
      <c r="JYG8" s="484"/>
      <c r="JYH8" s="484"/>
      <c r="JYI8" s="484"/>
      <c r="JYJ8" s="484"/>
      <c r="JYK8" s="484"/>
      <c r="JYL8" s="484"/>
      <c r="JYM8" s="484"/>
      <c r="JYN8" s="484"/>
      <c r="JYO8" s="484"/>
      <c r="JYP8" s="484"/>
      <c r="JYQ8" s="484"/>
      <c r="JYR8" s="484"/>
      <c r="JYS8" s="484"/>
      <c r="JYT8" s="484"/>
      <c r="JYU8" s="484"/>
      <c r="JYV8" s="484"/>
      <c r="JYW8" s="484"/>
      <c r="JYX8" s="484"/>
      <c r="JYY8" s="484"/>
      <c r="JYZ8" s="484"/>
      <c r="JZA8" s="484"/>
      <c r="JZB8" s="484"/>
      <c r="JZC8" s="484"/>
      <c r="JZD8" s="484"/>
      <c r="JZE8" s="484"/>
      <c r="JZF8" s="484"/>
      <c r="JZG8" s="484"/>
      <c r="JZH8" s="484"/>
      <c r="JZI8" s="484"/>
      <c r="JZJ8" s="484"/>
      <c r="JZK8" s="484"/>
      <c r="JZL8" s="484"/>
      <c r="JZM8" s="484"/>
      <c r="JZN8" s="484"/>
      <c r="JZO8" s="484"/>
      <c r="JZP8" s="484"/>
      <c r="JZQ8" s="484"/>
      <c r="JZR8" s="484"/>
      <c r="JZS8" s="484"/>
      <c r="JZT8" s="484"/>
      <c r="JZU8" s="484"/>
      <c r="JZV8" s="484"/>
      <c r="JZW8" s="484"/>
      <c r="JZX8" s="484"/>
      <c r="JZY8" s="484"/>
      <c r="JZZ8" s="484"/>
      <c r="KAA8" s="484"/>
      <c r="KAB8" s="484"/>
      <c r="KAC8" s="484"/>
      <c r="KAD8" s="484"/>
      <c r="KAE8" s="484"/>
      <c r="KAF8" s="484"/>
      <c r="KAG8" s="484"/>
      <c r="KAH8" s="484"/>
      <c r="KAI8" s="484"/>
      <c r="KAJ8" s="484"/>
      <c r="KAK8" s="484"/>
      <c r="KAL8" s="484"/>
      <c r="KAM8" s="484"/>
      <c r="KAN8" s="484"/>
      <c r="KAO8" s="484"/>
      <c r="KAP8" s="484"/>
      <c r="KAQ8" s="484"/>
      <c r="KAR8" s="484"/>
      <c r="KAS8" s="484"/>
      <c r="KAT8" s="484"/>
      <c r="KAU8" s="484"/>
      <c r="KAV8" s="484"/>
      <c r="KAW8" s="484"/>
      <c r="KAX8" s="484"/>
      <c r="KAY8" s="484"/>
      <c r="KAZ8" s="484"/>
      <c r="KBA8" s="484"/>
      <c r="KBB8" s="484"/>
      <c r="KBC8" s="484"/>
      <c r="KBD8" s="484"/>
      <c r="KBE8" s="484"/>
      <c r="KBF8" s="484"/>
      <c r="KBG8" s="484"/>
      <c r="KBH8" s="484"/>
      <c r="KBI8" s="484"/>
      <c r="KBJ8" s="484"/>
      <c r="KBK8" s="484"/>
      <c r="KBL8" s="484"/>
      <c r="KBM8" s="484"/>
      <c r="KBN8" s="484"/>
      <c r="KBO8" s="484"/>
      <c r="KBP8" s="484"/>
      <c r="KBQ8" s="484"/>
      <c r="KBR8" s="484"/>
      <c r="KBS8" s="484"/>
      <c r="KBT8" s="484"/>
      <c r="KBU8" s="484"/>
      <c r="KBV8" s="484"/>
      <c r="KBW8" s="484"/>
      <c r="KBX8" s="484"/>
      <c r="KBY8" s="484"/>
      <c r="KBZ8" s="484"/>
      <c r="KCA8" s="484"/>
      <c r="KCB8" s="484"/>
      <c r="KCC8" s="484"/>
      <c r="KCD8" s="484"/>
      <c r="KCE8" s="484"/>
      <c r="KCF8" s="484"/>
      <c r="KCG8" s="484"/>
      <c r="KCH8" s="484"/>
      <c r="KCI8" s="484"/>
      <c r="KCJ8" s="484"/>
      <c r="KCK8" s="484"/>
      <c r="KCL8" s="484"/>
      <c r="KCM8" s="484"/>
      <c r="KCN8" s="484"/>
      <c r="KCO8" s="484"/>
      <c r="KCP8" s="484"/>
      <c r="KCQ8" s="484"/>
      <c r="KCR8" s="484"/>
      <c r="KCS8" s="484"/>
      <c r="KCT8" s="484"/>
      <c r="KCU8" s="484"/>
      <c r="KCV8" s="484"/>
      <c r="KCW8" s="484"/>
      <c r="KCX8" s="484"/>
      <c r="KCY8" s="484"/>
      <c r="KCZ8" s="484"/>
      <c r="KDA8" s="484"/>
      <c r="KDB8" s="484"/>
      <c r="KDC8" s="484"/>
      <c r="KDD8" s="484"/>
      <c r="KDE8" s="484"/>
      <c r="KDF8" s="484"/>
      <c r="KDG8" s="484"/>
      <c r="KDH8" s="484"/>
      <c r="KDI8" s="484"/>
      <c r="KDJ8" s="484"/>
      <c r="KDK8" s="484"/>
      <c r="KDL8" s="484"/>
      <c r="KDM8" s="484"/>
      <c r="KDN8" s="484"/>
      <c r="KDO8" s="484"/>
      <c r="KDP8" s="484"/>
      <c r="KDQ8" s="484"/>
      <c r="KDR8" s="484"/>
      <c r="KDS8" s="484"/>
      <c r="KDT8" s="484"/>
      <c r="KDU8" s="484"/>
      <c r="KDV8" s="484"/>
      <c r="KDW8" s="484"/>
      <c r="KDX8" s="484"/>
      <c r="KDY8" s="484"/>
      <c r="KDZ8" s="484"/>
      <c r="KEA8" s="484"/>
      <c r="KEB8" s="484"/>
      <c r="KEC8" s="484"/>
      <c r="KED8" s="484"/>
      <c r="KEE8" s="484"/>
      <c r="KEF8" s="484"/>
      <c r="KEG8" s="484"/>
      <c r="KEH8" s="484"/>
      <c r="KEI8" s="484"/>
      <c r="KEJ8" s="484"/>
      <c r="KEK8" s="484"/>
      <c r="KEL8" s="484"/>
      <c r="KEM8" s="484"/>
      <c r="KEN8" s="484"/>
      <c r="KEO8" s="484"/>
      <c r="KEP8" s="484"/>
      <c r="KEQ8" s="484"/>
      <c r="KER8" s="484"/>
      <c r="KES8" s="484"/>
      <c r="KET8" s="484"/>
      <c r="KEU8" s="484"/>
      <c r="KEV8" s="484"/>
      <c r="KEW8" s="484"/>
      <c r="KEX8" s="484"/>
      <c r="KEY8" s="484"/>
      <c r="KEZ8" s="484"/>
      <c r="KFA8" s="484"/>
      <c r="KFB8" s="484"/>
      <c r="KFC8" s="484"/>
      <c r="KFD8" s="484"/>
      <c r="KFE8" s="484"/>
      <c r="KFF8" s="484"/>
      <c r="KFG8" s="484"/>
      <c r="KFH8" s="484"/>
      <c r="KFI8" s="484"/>
      <c r="KFJ8" s="484"/>
      <c r="KFK8" s="484"/>
      <c r="KFL8" s="484"/>
      <c r="KFM8" s="484"/>
      <c r="KFN8" s="484"/>
      <c r="KFO8" s="484"/>
      <c r="KFP8" s="484"/>
      <c r="KFQ8" s="484"/>
      <c r="KFR8" s="484"/>
      <c r="KFS8" s="484"/>
      <c r="KFT8" s="484"/>
      <c r="KFU8" s="484"/>
      <c r="KFV8" s="484"/>
      <c r="KFW8" s="484"/>
      <c r="KFX8" s="484"/>
      <c r="KFY8" s="484"/>
      <c r="KFZ8" s="484"/>
      <c r="KGA8" s="484"/>
      <c r="KGB8" s="484"/>
      <c r="KGC8" s="484"/>
      <c r="KGD8" s="484"/>
      <c r="KGE8" s="484"/>
      <c r="KGF8" s="484"/>
      <c r="KGG8" s="484"/>
      <c r="KGH8" s="484"/>
      <c r="KGI8" s="484"/>
      <c r="KGJ8" s="484"/>
      <c r="KGK8" s="484"/>
      <c r="KGL8" s="484"/>
      <c r="KGM8" s="484"/>
      <c r="KGN8" s="484"/>
      <c r="KGO8" s="484"/>
      <c r="KGP8" s="484"/>
      <c r="KGQ8" s="484"/>
      <c r="KGR8" s="484"/>
      <c r="KGS8" s="484"/>
      <c r="KGT8" s="484"/>
      <c r="KGU8" s="484"/>
      <c r="KGV8" s="484"/>
      <c r="KGW8" s="484"/>
      <c r="KGX8" s="484"/>
      <c r="KGY8" s="484"/>
      <c r="KGZ8" s="484"/>
      <c r="KHA8" s="484"/>
      <c r="KHB8" s="484"/>
      <c r="KHC8" s="484"/>
      <c r="KHD8" s="484"/>
      <c r="KHE8" s="484"/>
      <c r="KHF8" s="484"/>
      <c r="KHG8" s="484"/>
      <c r="KHH8" s="484"/>
      <c r="KHI8" s="484"/>
      <c r="KHJ8" s="484"/>
      <c r="KHK8" s="484"/>
      <c r="KHL8" s="484"/>
      <c r="KHM8" s="484"/>
      <c r="KHN8" s="484"/>
      <c r="KHO8" s="484"/>
      <c r="KHP8" s="484"/>
      <c r="KHQ8" s="484"/>
      <c r="KHR8" s="484"/>
      <c r="KHS8" s="484"/>
      <c r="KHT8" s="484"/>
      <c r="KHU8" s="484"/>
      <c r="KHV8" s="484"/>
      <c r="KHW8" s="484"/>
      <c r="KHX8" s="484"/>
      <c r="KHY8" s="484"/>
      <c r="KHZ8" s="484"/>
      <c r="KIA8" s="484"/>
      <c r="KIB8" s="484"/>
      <c r="KIC8" s="484"/>
      <c r="KID8" s="484"/>
      <c r="KIE8" s="484"/>
      <c r="KIF8" s="484"/>
      <c r="KIG8" s="484"/>
      <c r="KIH8" s="484"/>
      <c r="KII8" s="484"/>
      <c r="KIJ8" s="484"/>
      <c r="KIK8" s="484"/>
      <c r="KIL8" s="484"/>
      <c r="KIM8" s="484"/>
      <c r="KIN8" s="484"/>
      <c r="KIO8" s="484"/>
      <c r="KIP8" s="484"/>
      <c r="KIQ8" s="484"/>
      <c r="KIR8" s="484"/>
      <c r="KIS8" s="484"/>
      <c r="KIT8" s="484"/>
      <c r="KIU8" s="484"/>
      <c r="KIV8" s="484"/>
      <c r="KIW8" s="484"/>
      <c r="KIX8" s="484"/>
      <c r="KIY8" s="484"/>
      <c r="KIZ8" s="484"/>
      <c r="KJA8" s="484"/>
      <c r="KJB8" s="484"/>
      <c r="KJC8" s="484"/>
      <c r="KJD8" s="484"/>
      <c r="KJE8" s="484"/>
      <c r="KJF8" s="484"/>
      <c r="KJG8" s="484"/>
      <c r="KJH8" s="484"/>
      <c r="KJI8" s="484"/>
      <c r="KJJ8" s="484"/>
      <c r="KJK8" s="484"/>
      <c r="KJL8" s="484"/>
      <c r="KJM8" s="484"/>
      <c r="KJN8" s="484"/>
      <c r="KJO8" s="484"/>
      <c r="KJP8" s="484"/>
      <c r="KJQ8" s="484"/>
      <c r="KJR8" s="484"/>
      <c r="KJS8" s="484"/>
      <c r="KJT8" s="484"/>
      <c r="KJU8" s="484"/>
      <c r="KJV8" s="484"/>
      <c r="KJW8" s="484"/>
      <c r="KJX8" s="484"/>
      <c r="KJY8" s="484"/>
      <c r="KJZ8" s="484"/>
      <c r="KKA8" s="484"/>
      <c r="KKB8" s="484"/>
      <c r="KKC8" s="484"/>
      <c r="KKD8" s="484"/>
      <c r="KKE8" s="484"/>
      <c r="KKF8" s="484"/>
      <c r="KKG8" s="484"/>
      <c r="KKH8" s="484"/>
      <c r="KKI8" s="484"/>
      <c r="KKJ8" s="484"/>
      <c r="KKK8" s="484"/>
      <c r="KKL8" s="484"/>
      <c r="KKM8" s="484"/>
      <c r="KKN8" s="484"/>
      <c r="KKO8" s="484"/>
      <c r="KKP8" s="484"/>
      <c r="KKQ8" s="484"/>
      <c r="KKR8" s="484"/>
      <c r="KKS8" s="484"/>
      <c r="KKT8" s="484"/>
      <c r="KKU8" s="484"/>
      <c r="KKV8" s="484"/>
      <c r="KKW8" s="484"/>
      <c r="KKX8" s="484"/>
      <c r="KKY8" s="484"/>
      <c r="KKZ8" s="484"/>
      <c r="KLA8" s="484"/>
      <c r="KLB8" s="484"/>
      <c r="KLC8" s="484"/>
      <c r="KLD8" s="484"/>
      <c r="KLE8" s="484"/>
      <c r="KLF8" s="484"/>
      <c r="KLG8" s="484"/>
      <c r="KLH8" s="484"/>
      <c r="KLI8" s="484"/>
      <c r="KLJ8" s="484"/>
      <c r="KLK8" s="484"/>
      <c r="KLL8" s="484"/>
      <c r="KLM8" s="484"/>
      <c r="KLN8" s="484"/>
      <c r="KLO8" s="484"/>
      <c r="KLP8" s="484"/>
      <c r="KLQ8" s="484"/>
      <c r="KLR8" s="484"/>
      <c r="KLS8" s="484"/>
      <c r="KLT8" s="484"/>
      <c r="KLU8" s="484"/>
      <c r="KLV8" s="484"/>
      <c r="KLW8" s="484"/>
      <c r="KLX8" s="484"/>
      <c r="KLY8" s="484"/>
      <c r="KLZ8" s="484"/>
      <c r="KMA8" s="484"/>
      <c r="KMB8" s="484"/>
      <c r="KMC8" s="484"/>
      <c r="KMD8" s="484"/>
      <c r="KME8" s="484"/>
      <c r="KMF8" s="484"/>
      <c r="KMG8" s="484"/>
      <c r="KMH8" s="484"/>
      <c r="KMI8" s="484"/>
      <c r="KMJ8" s="484"/>
      <c r="KMK8" s="484"/>
      <c r="KML8" s="484"/>
      <c r="KMM8" s="484"/>
      <c r="KMN8" s="484"/>
      <c r="KMO8" s="484"/>
      <c r="KMP8" s="484"/>
      <c r="KMQ8" s="484"/>
      <c r="KMR8" s="484"/>
      <c r="KMS8" s="484"/>
      <c r="KMT8" s="484"/>
      <c r="KMU8" s="484"/>
      <c r="KMV8" s="484"/>
      <c r="KMW8" s="484"/>
      <c r="KMX8" s="484"/>
      <c r="KMY8" s="484"/>
      <c r="KMZ8" s="484"/>
      <c r="KNA8" s="484"/>
      <c r="KNB8" s="484"/>
      <c r="KNC8" s="484"/>
      <c r="KND8" s="484"/>
      <c r="KNE8" s="484"/>
      <c r="KNF8" s="484"/>
      <c r="KNG8" s="484"/>
      <c r="KNH8" s="484"/>
      <c r="KNI8" s="484"/>
      <c r="KNJ8" s="484"/>
      <c r="KNK8" s="484"/>
      <c r="KNL8" s="484"/>
      <c r="KNM8" s="484"/>
      <c r="KNN8" s="484"/>
      <c r="KNO8" s="484"/>
      <c r="KNP8" s="484"/>
      <c r="KNQ8" s="484"/>
      <c r="KNR8" s="484"/>
      <c r="KNS8" s="484"/>
      <c r="KNT8" s="484"/>
      <c r="KNU8" s="484"/>
      <c r="KNV8" s="484"/>
      <c r="KNW8" s="484"/>
      <c r="KNX8" s="484"/>
      <c r="KNY8" s="484"/>
      <c r="KNZ8" s="484"/>
      <c r="KOA8" s="484"/>
      <c r="KOB8" s="484"/>
      <c r="KOC8" s="484"/>
      <c r="KOD8" s="484"/>
      <c r="KOE8" s="484"/>
      <c r="KOF8" s="484"/>
      <c r="KOG8" s="484"/>
      <c r="KOH8" s="484"/>
      <c r="KOI8" s="484"/>
      <c r="KOJ8" s="484"/>
      <c r="KOK8" s="484"/>
      <c r="KOL8" s="484"/>
      <c r="KOM8" s="484"/>
      <c r="KON8" s="484"/>
      <c r="KOO8" s="484"/>
      <c r="KOP8" s="484"/>
      <c r="KOQ8" s="484"/>
      <c r="KOR8" s="484"/>
      <c r="KOS8" s="484"/>
      <c r="KOT8" s="484"/>
      <c r="KOU8" s="484"/>
      <c r="KOV8" s="484"/>
      <c r="KOW8" s="484"/>
      <c r="KOX8" s="484"/>
      <c r="KOY8" s="484"/>
      <c r="KOZ8" s="484"/>
      <c r="KPA8" s="484"/>
      <c r="KPB8" s="484"/>
      <c r="KPC8" s="484"/>
      <c r="KPD8" s="484"/>
      <c r="KPE8" s="484"/>
      <c r="KPF8" s="484"/>
      <c r="KPG8" s="484"/>
      <c r="KPH8" s="484"/>
      <c r="KPI8" s="484"/>
      <c r="KPJ8" s="484"/>
      <c r="KPK8" s="484"/>
      <c r="KPL8" s="484"/>
      <c r="KPM8" s="484"/>
      <c r="KPN8" s="484"/>
      <c r="KPO8" s="484"/>
      <c r="KPP8" s="484"/>
      <c r="KPQ8" s="484"/>
      <c r="KPR8" s="484"/>
      <c r="KPS8" s="484"/>
      <c r="KPT8" s="484"/>
      <c r="KPU8" s="484"/>
      <c r="KPV8" s="484"/>
      <c r="KPW8" s="484"/>
      <c r="KPX8" s="484"/>
      <c r="KPY8" s="484"/>
      <c r="KPZ8" s="484"/>
      <c r="KQA8" s="484"/>
      <c r="KQB8" s="484"/>
      <c r="KQC8" s="484"/>
      <c r="KQD8" s="484"/>
      <c r="KQE8" s="484"/>
      <c r="KQF8" s="484"/>
      <c r="KQG8" s="484"/>
      <c r="KQH8" s="484"/>
      <c r="KQI8" s="484"/>
      <c r="KQJ8" s="484"/>
      <c r="KQK8" s="484"/>
      <c r="KQL8" s="484"/>
      <c r="KQM8" s="484"/>
      <c r="KQN8" s="484"/>
      <c r="KQO8" s="484"/>
      <c r="KQP8" s="484"/>
      <c r="KQQ8" s="484"/>
      <c r="KQR8" s="484"/>
      <c r="KQS8" s="484"/>
      <c r="KQT8" s="484"/>
      <c r="KQU8" s="484"/>
      <c r="KQV8" s="484"/>
      <c r="KQW8" s="484"/>
      <c r="KQX8" s="484"/>
      <c r="KQY8" s="484"/>
      <c r="KQZ8" s="484"/>
      <c r="KRA8" s="484"/>
      <c r="KRB8" s="484"/>
      <c r="KRC8" s="484"/>
      <c r="KRD8" s="484"/>
      <c r="KRE8" s="484"/>
      <c r="KRF8" s="484"/>
      <c r="KRG8" s="484"/>
      <c r="KRH8" s="484"/>
      <c r="KRI8" s="484"/>
      <c r="KRJ8" s="484"/>
      <c r="KRK8" s="484"/>
      <c r="KRL8" s="484"/>
      <c r="KRM8" s="484"/>
      <c r="KRN8" s="484"/>
      <c r="KRO8" s="484"/>
      <c r="KRP8" s="484"/>
      <c r="KRQ8" s="484"/>
      <c r="KRR8" s="484"/>
      <c r="KRS8" s="484"/>
      <c r="KRT8" s="484"/>
      <c r="KRU8" s="484"/>
      <c r="KRV8" s="484"/>
      <c r="KRW8" s="484"/>
      <c r="KRX8" s="484"/>
      <c r="KRY8" s="484"/>
      <c r="KRZ8" s="484"/>
      <c r="KSA8" s="484"/>
      <c r="KSB8" s="484"/>
      <c r="KSC8" s="484"/>
      <c r="KSD8" s="484"/>
      <c r="KSE8" s="484"/>
      <c r="KSF8" s="484"/>
      <c r="KSG8" s="484"/>
      <c r="KSH8" s="484"/>
      <c r="KSI8" s="484"/>
      <c r="KSJ8" s="484"/>
      <c r="KSK8" s="484"/>
      <c r="KSL8" s="484"/>
      <c r="KSM8" s="484"/>
      <c r="KSN8" s="484"/>
      <c r="KSO8" s="484"/>
      <c r="KSP8" s="484"/>
      <c r="KSQ8" s="484"/>
      <c r="KSR8" s="484"/>
      <c r="KSS8" s="484"/>
      <c r="KST8" s="484"/>
      <c r="KSU8" s="484"/>
      <c r="KSV8" s="484"/>
      <c r="KSW8" s="484"/>
      <c r="KSX8" s="484"/>
      <c r="KSY8" s="484"/>
      <c r="KSZ8" s="484"/>
      <c r="KTA8" s="484"/>
      <c r="KTB8" s="484"/>
      <c r="KTC8" s="484"/>
      <c r="KTD8" s="484"/>
      <c r="KTE8" s="484"/>
      <c r="KTF8" s="484"/>
      <c r="KTG8" s="484"/>
      <c r="KTH8" s="484"/>
      <c r="KTI8" s="484"/>
      <c r="KTJ8" s="484"/>
      <c r="KTK8" s="484"/>
      <c r="KTL8" s="484"/>
      <c r="KTM8" s="484"/>
      <c r="KTN8" s="484"/>
      <c r="KTO8" s="484"/>
      <c r="KTP8" s="484"/>
      <c r="KTQ8" s="484"/>
      <c r="KTR8" s="484"/>
      <c r="KTS8" s="484"/>
      <c r="KTT8" s="484"/>
      <c r="KTU8" s="484"/>
      <c r="KTV8" s="484"/>
      <c r="KTW8" s="484"/>
      <c r="KTX8" s="484"/>
      <c r="KTY8" s="484"/>
      <c r="KTZ8" s="484"/>
      <c r="KUA8" s="484"/>
      <c r="KUB8" s="484"/>
      <c r="KUC8" s="484"/>
      <c r="KUD8" s="484"/>
      <c r="KUE8" s="484"/>
      <c r="KUF8" s="484"/>
      <c r="KUG8" s="484"/>
      <c r="KUH8" s="484"/>
      <c r="KUI8" s="484"/>
      <c r="KUJ8" s="484"/>
      <c r="KUK8" s="484"/>
      <c r="KUL8" s="484"/>
      <c r="KUM8" s="484"/>
      <c r="KUN8" s="484"/>
      <c r="KUO8" s="484"/>
      <c r="KUP8" s="484"/>
      <c r="KUQ8" s="484"/>
      <c r="KUR8" s="484"/>
      <c r="KUS8" s="484"/>
      <c r="KUT8" s="484"/>
      <c r="KUU8" s="484"/>
      <c r="KUV8" s="484"/>
      <c r="KUW8" s="484"/>
      <c r="KUX8" s="484"/>
      <c r="KUY8" s="484"/>
      <c r="KUZ8" s="484"/>
      <c r="KVA8" s="484"/>
      <c r="KVB8" s="484"/>
      <c r="KVC8" s="484"/>
      <c r="KVD8" s="484"/>
      <c r="KVE8" s="484"/>
      <c r="KVF8" s="484"/>
      <c r="KVG8" s="484"/>
      <c r="KVH8" s="484"/>
      <c r="KVI8" s="484"/>
      <c r="KVJ8" s="484"/>
      <c r="KVK8" s="484"/>
      <c r="KVL8" s="484"/>
      <c r="KVM8" s="484"/>
      <c r="KVN8" s="484"/>
      <c r="KVO8" s="484"/>
      <c r="KVP8" s="484"/>
      <c r="KVQ8" s="484"/>
      <c r="KVR8" s="484"/>
      <c r="KVS8" s="484"/>
      <c r="KVT8" s="484"/>
      <c r="KVU8" s="484"/>
      <c r="KVV8" s="484"/>
      <c r="KVW8" s="484"/>
      <c r="KVX8" s="484"/>
      <c r="KVY8" s="484"/>
      <c r="KVZ8" s="484"/>
      <c r="KWA8" s="484"/>
      <c r="KWB8" s="484"/>
      <c r="KWC8" s="484"/>
      <c r="KWD8" s="484"/>
      <c r="KWE8" s="484"/>
      <c r="KWF8" s="484"/>
      <c r="KWG8" s="484"/>
      <c r="KWH8" s="484"/>
      <c r="KWI8" s="484"/>
      <c r="KWJ8" s="484"/>
      <c r="KWK8" s="484"/>
      <c r="KWL8" s="484"/>
      <c r="KWM8" s="484"/>
      <c r="KWN8" s="484"/>
      <c r="KWO8" s="484"/>
      <c r="KWP8" s="484"/>
      <c r="KWQ8" s="484"/>
      <c r="KWR8" s="484"/>
      <c r="KWS8" s="484"/>
      <c r="KWT8" s="484"/>
      <c r="KWU8" s="484"/>
      <c r="KWV8" s="484"/>
      <c r="KWW8" s="484"/>
      <c r="KWX8" s="484"/>
      <c r="KWY8" s="484"/>
      <c r="KWZ8" s="484"/>
      <c r="KXA8" s="484"/>
      <c r="KXB8" s="484"/>
      <c r="KXC8" s="484"/>
      <c r="KXD8" s="484"/>
      <c r="KXE8" s="484"/>
      <c r="KXF8" s="484"/>
      <c r="KXG8" s="484"/>
      <c r="KXH8" s="484"/>
      <c r="KXI8" s="484"/>
      <c r="KXJ8" s="484"/>
      <c r="KXK8" s="484"/>
      <c r="KXL8" s="484"/>
      <c r="KXM8" s="484"/>
      <c r="KXN8" s="484"/>
      <c r="KXO8" s="484"/>
      <c r="KXP8" s="484"/>
      <c r="KXQ8" s="484"/>
      <c r="KXR8" s="484"/>
      <c r="KXS8" s="484"/>
      <c r="KXT8" s="484"/>
      <c r="KXU8" s="484"/>
      <c r="KXV8" s="484"/>
      <c r="KXW8" s="484"/>
      <c r="KXX8" s="484"/>
      <c r="KXY8" s="484"/>
      <c r="KXZ8" s="484"/>
      <c r="KYA8" s="484"/>
      <c r="KYB8" s="484"/>
      <c r="KYC8" s="484"/>
      <c r="KYD8" s="484"/>
      <c r="KYE8" s="484"/>
      <c r="KYF8" s="484"/>
      <c r="KYG8" s="484"/>
      <c r="KYH8" s="484"/>
      <c r="KYI8" s="484"/>
      <c r="KYJ8" s="484"/>
      <c r="KYK8" s="484"/>
      <c r="KYL8" s="484"/>
      <c r="KYM8" s="484"/>
      <c r="KYN8" s="484"/>
      <c r="KYO8" s="484"/>
      <c r="KYP8" s="484"/>
      <c r="KYQ8" s="484"/>
      <c r="KYR8" s="484"/>
      <c r="KYS8" s="484"/>
      <c r="KYT8" s="484"/>
      <c r="KYU8" s="484"/>
      <c r="KYV8" s="484"/>
      <c r="KYW8" s="484"/>
      <c r="KYX8" s="484"/>
      <c r="KYY8" s="484"/>
      <c r="KYZ8" s="484"/>
      <c r="KZA8" s="484"/>
      <c r="KZB8" s="484"/>
      <c r="KZC8" s="484"/>
      <c r="KZD8" s="484"/>
      <c r="KZE8" s="484"/>
      <c r="KZF8" s="484"/>
      <c r="KZG8" s="484"/>
      <c r="KZH8" s="484"/>
      <c r="KZI8" s="484"/>
      <c r="KZJ8" s="484"/>
      <c r="KZK8" s="484"/>
      <c r="KZL8" s="484"/>
      <c r="KZM8" s="484"/>
      <c r="KZN8" s="484"/>
      <c r="KZO8" s="484"/>
      <c r="KZP8" s="484"/>
      <c r="KZQ8" s="484"/>
      <c r="KZR8" s="484"/>
      <c r="KZS8" s="484"/>
      <c r="KZT8" s="484"/>
      <c r="KZU8" s="484"/>
      <c r="KZV8" s="484"/>
      <c r="KZW8" s="484"/>
      <c r="KZX8" s="484"/>
      <c r="KZY8" s="484"/>
      <c r="KZZ8" s="484"/>
      <c r="LAA8" s="484"/>
      <c r="LAB8" s="484"/>
      <c r="LAC8" s="484"/>
      <c r="LAD8" s="484"/>
      <c r="LAE8" s="484"/>
      <c r="LAF8" s="484"/>
      <c r="LAG8" s="484"/>
      <c r="LAH8" s="484"/>
      <c r="LAI8" s="484"/>
      <c r="LAJ8" s="484"/>
      <c r="LAK8" s="484"/>
      <c r="LAL8" s="484"/>
      <c r="LAM8" s="484"/>
      <c r="LAN8" s="484"/>
      <c r="LAO8" s="484"/>
      <c r="LAP8" s="484"/>
      <c r="LAQ8" s="484"/>
      <c r="LAR8" s="484"/>
      <c r="LAS8" s="484"/>
      <c r="LAT8" s="484"/>
      <c r="LAU8" s="484"/>
      <c r="LAV8" s="484"/>
      <c r="LAW8" s="484"/>
      <c r="LAX8" s="484"/>
      <c r="LAY8" s="484"/>
      <c r="LAZ8" s="484"/>
      <c r="LBA8" s="484"/>
      <c r="LBB8" s="484"/>
      <c r="LBC8" s="484"/>
      <c r="LBD8" s="484"/>
      <c r="LBE8" s="484"/>
      <c r="LBF8" s="484"/>
      <c r="LBG8" s="484"/>
      <c r="LBH8" s="484"/>
      <c r="LBI8" s="484"/>
      <c r="LBJ8" s="484"/>
      <c r="LBK8" s="484"/>
      <c r="LBL8" s="484"/>
      <c r="LBM8" s="484"/>
      <c r="LBN8" s="484"/>
      <c r="LBO8" s="484"/>
      <c r="LBP8" s="484"/>
      <c r="LBQ8" s="484"/>
      <c r="LBR8" s="484"/>
      <c r="LBS8" s="484"/>
      <c r="LBT8" s="484"/>
      <c r="LBU8" s="484"/>
      <c r="LBV8" s="484"/>
      <c r="LBW8" s="484"/>
      <c r="LBX8" s="484"/>
      <c r="LBY8" s="484"/>
      <c r="LBZ8" s="484"/>
      <c r="LCA8" s="484"/>
      <c r="LCB8" s="484"/>
      <c r="LCC8" s="484"/>
      <c r="LCD8" s="484"/>
      <c r="LCE8" s="484"/>
      <c r="LCF8" s="484"/>
      <c r="LCG8" s="484"/>
      <c r="LCH8" s="484"/>
      <c r="LCI8" s="484"/>
      <c r="LCJ8" s="484"/>
      <c r="LCK8" s="484"/>
      <c r="LCL8" s="484"/>
      <c r="LCM8" s="484"/>
      <c r="LCN8" s="484"/>
      <c r="LCO8" s="484"/>
      <c r="LCP8" s="484"/>
      <c r="LCQ8" s="484"/>
      <c r="LCR8" s="484"/>
      <c r="LCS8" s="484"/>
      <c r="LCT8" s="484"/>
      <c r="LCU8" s="484"/>
      <c r="LCV8" s="484"/>
      <c r="LCW8" s="484"/>
      <c r="LCX8" s="484"/>
      <c r="LCY8" s="484"/>
      <c r="LCZ8" s="484"/>
      <c r="LDA8" s="484"/>
      <c r="LDB8" s="484"/>
      <c r="LDC8" s="484"/>
      <c r="LDD8" s="484"/>
      <c r="LDE8" s="484"/>
      <c r="LDF8" s="484"/>
      <c r="LDG8" s="484"/>
      <c r="LDH8" s="484"/>
      <c r="LDI8" s="484"/>
      <c r="LDJ8" s="484"/>
      <c r="LDK8" s="484"/>
      <c r="LDL8" s="484"/>
      <c r="LDM8" s="484"/>
      <c r="LDN8" s="484"/>
      <c r="LDO8" s="484"/>
      <c r="LDP8" s="484"/>
      <c r="LDQ8" s="484"/>
      <c r="LDR8" s="484"/>
      <c r="LDS8" s="484"/>
      <c r="LDT8" s="484"/>
      <c r="LDU8" s="484"/>
      <c r="LDV8" s="484"/>
      <c r="LDW8" s="484"/>
      <c r="LDX8" s="484"/>
      <c r="LDY8" s="484"/>
      <c r="LDZ8" s="484"/>
      <c r="LEA8" s="484"/>
      <c r="LEB8" s="484"/>
      <c r="LEC8" s="484"/>
      <c r="LED8" s="484"/>
      <c r="LEE8" s="484"/>
      <c r="LEF8" s="484"/>
      <c r="LEG8" s="484"/>
      <c r="LEH8" s="484"/>
      <c r="LEI8" s="484"/>
      <c r="LEJ8" s="484"/>
      <c r="LEK8" s="484"/>
      <c r="LEL8" s="484"/>
      <c r="LEM8" s="484"/>
      <c r="LEN8" s="484"/>
      <c r="LEO8" s="484"/>
      <c r="LEP8" s="484"/>
      <c r="LEQ8" s="484"/>
      <c r="LER8" s="484"/>
      <c r="LES8" s="484"/>
      <c r="LET8" s="484"/>
      <c r="LEU8" s="484"/>
      <c r="LEV8" s="484"/>
      <c r="LEW8" s="484"/>
      <c r="LEX8" s="484"/>
      <c r="LEY8" s="484"/>
      <c r="LEZ8" s="484"/>
      <c r="LFA8" s="484"/>
      <c r="LFB8" s="484"/>
      <c r="LFC8" s="484"/>
      <c r="LFD8" s="484"/>
      <c r="LFE8" s="484"/>
      <c r="LFF8" s="484"/>
      <c r="LFG8" s="484"/>
      <c r="LFH8" s="484"/>
      <c r="LFI8" s="484"/>
      <c r="LFJ8" s="484"/>
      <c r="LFK8" s="484"/>
      <c r="LFL8" s="484"/>
      <c r="LFM8" s="484"/>
      <c r="LFN8" s="484"/>
      <c r="LFO8" s="484"/>
      <c r="LFP8" s="484"/>
      <c r="LFQ8" s="484"/>
      <c r="LFR8" s="484"/>
      <c r="LFS8" s="484"/>
      <c r="LFT8" s="484"/>
      <c r="LFU8" s="484"/>
      <c r="LFV8" s="484"/>
      <c r="LFW8" s="484"/>
      <c r="LFX8" s="484"/>
      <c r="LFY8" s="484"/>
      <c r="LFZ8" s="484"/>
      <c r="LGA8" s="484"/>
      <c r="LGB8" s="484"/>
      <c r="LGC8" s="484"/>
      <c r="LGD8" s="484"/>
      <c r="LGE8" s="484"/>
      <c r="LGF8" s="484"/>
      <c r="LGG8" s="484"/>
      <c r="LGH8" s="484"/>
      <c r="LGI8" s="484"/>
      <c r="LGJ8" s="484"/>
      <c r="LGK8" s="484"/>
      <c r="LGL8" s="484"/>
      <c r="LGM8" s="484"/>
      <c r="LGN8" s="484"/>
      <c r="LGO8" s="484"/>
      <c r="LGP8" s="484"/>
      <c r="LGQ8" s="484"/>
      <c r="LGR8" s="484"/>
      <c r="LGS8" s="484"/>
      <c r="LGT8" s="484"/>
      <c r="LGU8" s="484"/>
      <c r="LGV8" s="484"/>
      <c r="LGW8" s="484"/>
      <c r="LGX8" s="484"/>
      <c r="LGY8" s="484"/>
      <c r="LGZ8" s="484"/>
      <c r="LHA8" s="484"/>
      <c r="LHB8" s="484"/>
      <c r="LHC8" s="484"/>
      <c r="LHD8" s="484"/>
      <c r="LHE8" s="484"/>
      <c r="LHF8" s="484"/>
      <c r="LHG8" s="484"/>
      <c r="LHH8" s="484"/>
      <c r="LHI8" s="484"/>
      <c r="LHJ8" s="484"/>
      <c r="LHK8" s="484"/>
      <c r="LHL8" s="484"/>
      <c r="LHM8" s="484"/>
      <c r="LHN8" s="484"/>
      <c r="LHO8" s="484"/>
      <c r="LHP8" s="484"/>
      <c r="LHQ8" s="484"/>
      <c r="LHR8" s="484"/>
      <c r="LHS8" s="484"/>
      <c r="LHT8" s="484"/>
      <c r="LHU8" s="484"/>
      <c r="LHV8" s="484"/>
      <c r="LHW8" s="484"/>
      <c r="LHX8" s="484"/>
      <c r="LHY8" s="484"/>
      <c r="LHZ8" s="484"/>
      <c r="LIA8" s="484"/>
      <c r="LIB8" s="484"/>
      <c r="LIC8" s="484"/>
      <c r="LID8" s="484"/>
      <c r="LIE8" s="484"/>
      <c r="LIF8" s="484"/>
      <c r="LIG8" s="484"/>
      <c r="LIH8" s="484"/>
      <c r="LII8" s="484"/>
      <c r="LIJ8" s="484"/>
      <c r="LIK8" s="484"/>
      <c r="LIL8" s="484"/>
      <c r="LIM8" s="484"/>
      <c r="LIN8" s="484"/>
      <c r="LIO8" s="484"/>
      <c r="LIP8" s="484"/>
      <c r="LIQ8" s="484"/>
      <c r="LIR8" s="484"/>
      <c r="LIS8" s="484"/>
      <c r="LIT8" s="484"/>
      <c r="LIU8" s="484"/>
      <c r="LIV8" s="484"/>
      <c r="LIW8" s="484"/>
      <c r="LIX8" s="484"/>
      <c r="LIY8" s="484"/>
      <c r="LIZ8" s="484"/>
      <c r="LJA8" s="484"/>
      <c r="LJB8" s="484"/>
      <c r="LJC8" s="484"/>
      <c r="LJD8" s="484"/>
      <c r="LJE8" s="484"/>
      <c r="LJF8" s="484"/>
      <c r="LJG8" s="484"/>
      <c r="LJH8" s="484"/>
      <c r="LJI8" s="484"/>
      <c r="LJJ8" s="484"/>
      <c r="LJK8" s="484"/>
      <c r="LJL8" s="484"/>
      <c r="LJM8" s="484"/>
      <c r="LJN8" s="484"/>
      <c r="LJO8" s="484"/>
      <c r="LJP8" s="484"/>
      <c r="LJQ8" s="484"/>
      <c r="LJR8" s="484"/>
      <c r="LJS8" s="484"/>
      <c r="LJT8" s="484"/>
      <c r="LJU8" s="484"/>
      <c r="LJV8" s="484"/>
      <c r="LJW8" s="484"/>
      <c r="LJX8" s="484"/>
      <c r="LJY8" s="484"/>
      <c r="LJZ8" s="484"/>
      <c r="LKA8" s="484"/>
      <c r="LKB8" s="484"/>
      <c r="LKC8" s="484"/>
      <c r="LKD8" s="484"/>
      <c r="LKE8" s="484"/>
      <c r="LKF8" s="484"/>
      <c r="LKG8" s="484"/>
      <c r="LKH8" s="484"/>
      <c r="LKI8" s="484"/>
      <c r="LKJ8" s="484"/>
      <c r="LKK8" s="484"/>
      <c r="LKL8" s="484"/>
      <c r="LKM8" s="484"/>
      <c r="LKN8" s="484"/>
      <c r="LKO8" s="484"/>
      <c r="LKP8" s="484"/>
      <c r="LKQ8" s="484"/>
      <c r="LKR8" s="484"/>
      <c r="LKS8" s="484"/>
      <c r="LKT8" s="484"/>
      <c r="LKU8" s="484"/>
      <c r="LKV8" s="484"/>
      <c r="LKW8" s="484"/>
      <c r="LKX8" s="484"/>
      <c r="LKY8" s="484"/>
      <c r="LKZ8" s="484"/>
      <c r="LLA8" s="484"/>
      <c r="LLB8" s="484"/>
      <c r="LLC8" s="484"/>
      <c r="LLD8" s="484"/>
      <c r="LLE8" s="484"/>
      <c r="LLF8" s="484"/>
      <c r="LLG8" s="484"/>
      <c r="LLH8" s="484"/>
      <c r="LLI8" s="484"/>
      <c r="LLJ8" s="484"/>
      <c r="LLK8" s="484"/>
      <c r="LLL8" s="484"/>
      <c r="LLM8" s="484"/>
      <c r="LLN8" s="484"/>
      <c r="LLO8" s="484"/>
      <c r="LLP8" s="484"/>
      <c r="LLQ8" s="484"/>
      <c r="LLR8" s="484"/>
      <c r="LLS8" s="484"/>
      <c r="LLT8" s="484"/>
      <c r="LLU8" s="484"/>
      <c r="LLV8" s="484"/>
      <c r="LLW8" s="484"/>
      <c r="LLX8" s="484"/>
      <c r="LLY8" s="484"/>
      <c r="LLZ8" s="484"/>
      <c r="LMA8" s="484"/>
      <c r="LMB8" s="484"/>
      <c r="LMC8" s="484"/>
      <c r="LMD8" s="484"/>
      <c r="LME8" s="484"/>
      <c r="LMF8" s="484"/>
      <c r="LMG8" s="484"/>
      <c r="LMH8" s="484"/>
      <c r="LMI8" s="484"/>
      <c r="LMJ8" s="484"/>
      <c r="LMK8" s="484"/>
      <c r="LML8" s="484"/>
      <c r="LMM8" s="484"/>
      <c r="LMN8" s="484"/>
      <c r="LMO8" s="484"/>
      <c r="LMP8" s="484"/>
      <c r="LMQ8" s="484"/>
      <c r="LMR8" s="484"/>
      <c r="LMS8" s="484"/>
      <c r="LMT8" s="484"/>
      <c r="LMU8" s="484"/>
      <c r="LMV8" s="484"/>
      <c r="LMW8" s="484"/>
      <c r="LMX8" s="484"/>
      <c r="LMY8" s="484"/>
      <c r="LMZ8" s="484"/>
      <c r="LNA8" s="484"/>
      <c r="LNB8" s="484"/>
      <c r="LNC8" s="484"/>
      <c r="LND8" s="484"/>
      <c r="LNE8" s="484"/>
      <c r="LNF8" s="484"/>
      <c r="LNG8" s="484"/>
      <c r="LNH8" s="484"/>
      <c r="LNI8" s="484"/>
      <c r="LNJ8" s="484"/>
      <c r="LNK8" s="484"/>
      <c r="LNL8" s="484"/>
      <c r="LNM8" s="484"/>
      <c r="LNN8" s="484"/>
      <c r="LNO8" s="484"/>
      <c r="LNP8" s="484"/>
      <c r="LNQ8" s="484"/>
      <c r="LNR8" s="484"/>
      <c r="LNS8" s="484"/>
      <c r="LNT8" s="484"/>
      <c r="LNU8" s="484"/>
      <c r="LNV8" s="484"/>
      <c r="LNW8" s="484"/>
      <c r="LNX8" s="484"/>
      <c r="LNY8" s="484"/>
      <c r="LNZ8" s="484"/>
      <c r="LOA8" s="484"/>
      <c r="LOB8" s="484"/>
      <c r="LOC8" s="484"/>
      <c r="LOD8" s="484"/>
      <c r="LOE8" s="484"/>
      <c r="LOF8" s="484"/>
      <c r="LOG8" s="484"/>
      <c r="LOH8" s="484"/>
      <c r="LOI8" s="484"/>
      <c r="LOJ8" s="484"/>
      <c r="LOK8" s="484"/>
      <c r="LOL8" s="484"/>
      <c r="LOM8" s="484"/>
      <c r="LON8" s="484"/>
      <c r="LOO8" s="484"/>
      <c r="LOP8" s="484"/>
      <c r="LOQ8" s="484"/>
      <c r="LOR8" s="484"/>
      <c r="LOS8" s="484"/>
      <c r="LOT8" s="484"/>
      <c r="LOU8" s="484"/>
      <c r="LOV8" s="484"/>
      <c r="LOW8" s="484"/>
      <c r="LOX8" s="484"/>
      <c r="LOY8" s="484"/>
      <c r="LOZ8" s="484"/>
      <c r="LPA8" s="484"/>
      <c r="LPB8" s="484"/>
      <c r="LPC8" s="484"/>
      <c r="LPD8" s="484"/>
      <c r="LPE8" s="484"/>
      <c r="LPF8" s="484"/>
      <c r="LPG8" s="484"/>
      <c r="LPH8" s="484"/>
      <c r="LPI8" s="484"/>
      <c r="LPJ8" s="484"/>
      <c r="LPK8" s="484"/>
      <c r="LPL8" s="484"/>
      <c r="LPM8" s="484"/>
      <c r="LPN8" s="484"/>
      <c r="LPO8" s="484"/>
      <c r="LPP8" s="484"/>
      <c r="LPQ8" s="484"/>
      <c r="LPR8" s="484"/>
      <c r="LPS8" s="484"/>
      <c r="LPT8" s="484"/>
      <c r="LPU8" s="484"/>
      <c r="LPV8" s="484"/>
      <c r="LPW8" s="484"/>
      <c r="LPX8" s="484"/>
      <c r="LPY8" s="484"/>
      <c r="LPZ8" s="484"/>
      <c r="LQA8" s="484"/>
      <c r="LQB8" s="484"/>
      <c r="LQC8" s="484"/>
      <c r="LQD8" s="484"/>
      <c r="LQE8" s="484"/>
      <c r="LQF8" s="484"/>
      <c r="LQG8" s="484"/>
      <c r="LQH8" s="484"/>
      <c r="LQI8" s="484"/>
      <c r="LQJ8" s="484"/>
      <c r="LQK8" s="484"/>
      <c r="LQL8" s="484"/>
      <c r="LQM8" s="484"/>
      <c r="LQN8" s="484"/>
      <c r="LQO8" s="484"/>
      <c r="LQP8" s="484"/>
      <c r="LQQ8" s="484"/>
      <c r="LQR8" s="484"/>
      <c r="LQS8" s="484"/>
      <c r="LQT8" s="484"/>
      <c r="LQU8" s="484"/>
      <c r="LQV8" s="484"/>
      <c r="LQW8" s="484"/>
      <c r="LQX8" s="484"/>
      <c r="LQY8" s="484"/>
      <c r="LQZ8" s="484"/>
      <c r="LRA8" s="484"/>
      <c r="LRB8" s="484"/>
      <c r="LRC8" s="484"/>
      <c r="LRD8" s="484"/>
      <c r="LRE8" s="484"/>
      <c r="LRF8" s="484"/>
      <c r="LRG8" s="484"/>
      <c r="LRH8" s="484"/>
      <c r="LRI8" s="484"/>
      <c r="LRJ8" s="484"/>
      <c r="LRK8" s="484"/>
      <c r="LRL8" s="484"/>
      <c r="LRM8" s="484"/>
      <c r="LRN8" s="484"/>
      <c r="LRO8" s="484"/>
      <c r="LRP8" s="484"/>
      <c r="LRQ8" s="484"/>
      <c r="LRR8" s="484"/>
      <c r="LRS8" s="484"/>
      <c r="LRT8" s="484"/>
      <c r="LRU8" s="484"/>
      <c r="LRV8" s="484"/>
      <c r="LRW8" s="484"/>
      <c r="LRX8" s="484"/>
      <c r="LRY8" s="484"/>
      <c r="LRZ8" s="484"/>
      <c r="LSA8" s="484"/>
      <c r="LSB8" s="484"/>
      <c r="LSC8" s="484"/>
      <c r="LSD8" s="484"/>
      <c r="LSE8" s="484"/>
      <c r="LSF8" s="484"/>
      <c r="LSG8" s="484"/>
      <c r="LSH8" s="484"/>
      <c r="LSI8" s="484"/>
      <c r="LSJ8" s="484"/>
      <c r="LSK8" s="484"/>
      <c r="LSL8" s="484"/>
      <c r="LSM8" s="484"/>
      <c r="LSN8" s="484"/>
      <c r="LSO8" s="484"/>
      <c r="LSP8" s="484"/>
      <c r="LSQ8" s="484"/>
      <c r="LSR8" s="484"/>
      <c r="LSS8" s="484"/>
      <c r="LST8" s="484"/>
      <c r="LSU8" s="484"/>
      <c r="LSV8" s="484"/>
      <c r="LSW8" s="484"/>
      <c r="LSX8" s="484"/>
      <c r="LSY8" s="484"/>
      <c r="LSZ8" s="484"/>
      <c r="LTA8" s="484"/>
      <c r="LTB8" s="484"/>
      <c r="LTC8" s="484"/>
      <c r="LTD8" s="484"/>
      <c r="LTE8" s="484"/>
      <c r="LTF8" s="484"/>
      <c r="LTG8" s="484"/>
      <c r="LTH8" s="484"/>
      <c r="LTI8" s="484"/>
      <c r="LTJ8" s="484"/>
      <c r="LTK8" s="484"/>
      <c r="LTL8" s="484"/>
      <c r="LTM8" s="484"/>
      <c r="LTN8" s="484"/>
      <c r="LTO8" s="484"/>
      <c r="LTP8" s="484"/>
      <c r="LTQ8" s="484"/>
      <c r="LTR8" s="484"/>
      <c r="LTS8" s="484"/>
      <c r="LTT8" s="484"/>
      <c r="LTU8" s="484"/>
      <c r="LTV8" s="484"/>
      <c r="LTW8" s="484"/>
      <c r="LTX8" s="484"/>
      <c r="LTY8" s="484"/>
      <c r="LTZ8" s="484"/>
      <c r="LUA8" s="484"/>
      <c r="LUB8" s="484"/>
      <c r="LUC8" s="484"/>
      <c r="LUD8" s="484"/>
      <c r="LUE8" s="484"/>
      <c r="LUF8" s="484"/>
      <c r="LUG8" s="484"/>
      <c r="LUH8" s="484"/>
      <c r="LUI8" s="484"/>
      <c r="LUJ8" s="484"/>
      <c r="LUK8" s="484"/>
      <c r="LUL8" s="484"/>
      <c r="LUM8" s="484"/>
      <c r="LUN8" s="484"/>
      <c r="LUO8" s="484"/>
      <c r="LUP8" s="484"/>
      <c r="LUQ8" s="484"/>
      <c r="LUR8" s="484"/>
      <c r="LUS8" s="484"/>
      <c r="LUT8" s="484"/>
      <c r="LUU8" s="484"/>
      <c r="LUV8" s="484"/>
      <c r="LUW8" s="484"/>
      <c r="LUX8" s="484"/>
      <c r="LUY8" s="484"/>
      <c r="LUZ8" s="484"/>
      <c r="LVA8" s="484"/>
      <c r="LVB8" s="484"/>
      <c r="LVC8" s="484"/>
      <c r="LVD8" s="484"/>
      <c r="LVE8" s="484"/>
      <c r="LVF8" s="484"/>
      <c r="LVG8" s="484"/>
      <c r="LVH8" s="484"/>
      <c r="LVI8" s="484"/>
      <c r="LVJ8" s="484"/>
      <c r="LVK8" s="484"/>
      <c r="LVL8" s="484"/>
      <c r="LVM8" s="484"/>
      <c r="LVN8" s="484"/>
      <c r="LVO8" s="484"/>
      <c r="LVP8" s="484"/>
      <c r="LVQ8" s="484"/>
      <c r="LVR8" s="484"/>
      <c r="LVS8" s="484"/>
      <c r="LVT8" s="484"/>
      <c r="LVU8" s="484"/>
      <c r="LVV8" s="484"/>
      <c r="LVW8" s="484"/>
      <c r="LVX8" s="484"/>
      <c r="LVY8" s="484"/>
      <c r="LVZ8" s="484"/>
      <c r="LWA8" s="484"/>
      <c r="LWB8" s="484"/>
      <c r="LWC8" s="484"/>
      <c r="LWD8" s="484"/>
      <c r="LWE8" s="484"/>
      <c r="LWF8" s="484"/>
      <c r="LWG8" s="484"/>
      <c r="LWH8" s="484"/>
      <c r="LWI8" s="484"/>
      <c r="LWJ8" s="484"/>
      <c r="LWK8" s="484"/>
      <c r="LWL8" s="484"/>
      <c r="LWM8" s="484"/>
      <c r="LWN8" s="484"/>
      <c r="LWO8" s="484"/>
      <c r="LWP8" s="484"/>
      <c r="LWQ8" s="484"/>
      <c r="LWR8" s="484"/>
      <c r="LWS8" s="484"/>
      <c r="LWT8" s="484"/>
      <c r="LWU8" s="484"/>
      <c r="LWV8" s="484"/>
      <c r="LWW8" s="484"/>
      <c r="LWX8" s="484"/>
      <c r="LWY8" s="484"/>
      <c r="LWZ8" s="484"/>
      <c r="LXA8" s="484"/>
      <c r="LXB8" s="484"/>
      <c r="LXC8" s="484"/>
      <c r="LXD8" s="484"/>
      <c r="LXE8" s="484"/>
      <c r="LXF8" s="484"/>
      <c r="LXG8" s="484"/>
      <c r="LXH8" s="484"/>
      <c r="LXI8" s="484"/>
      <c r="LXJ8" s="484"/>
      <c r="LXK8" s="484"/>
      <c r="LXL8" s="484"/>
      <c r="LXM8" s="484"/>
      <c r="LXN8" s="484"/>
      <c r="LXO8" s="484"/>
      <c r="LXP8" s="484"/>
      <c r="LXQ8" s="484"/>
      <c r="LXR8" s="484"/>
      <c r="LXS8" s="484"/>
      <c r="LXT8" s="484"/>
      <c r="LXU8" s="484"/>
      <c r="LXV8" s="484"/>
      <c r="LXW8" s="484"/>
      <c r="LXX8" s="484"/>
      <c r="LXY8" s="484"/>
      <c r="LXZ8" s="484"/>
      <c r="LYA8" s="484"/>
      <c r="LYB8" s="484"/>
      <c r="LYC8" s="484"/>
      <c r="LYD8" s="484"/>
      <c r="LYE8" s="484"/>
      <c r="LYF8" s="484"/>
      <c r="LYG8" s="484"/>
      <c r="LYH8" s="484"/>
      <c r="LYI8" s="484"/>
      <c r="LYJ8" s="484"/>
      <c r="LYK8" s="484"/>
      <c r="LYL8" s="484"/>
      <c r="LYM8" s="484"/>
      <c r="LYN8" s="484"/>
      <c r="LYO8" s="484"/>
      <c r="LYP8" s="484"/>
      <c r="LYQ8" s="484"/>
      <c r="LYR8" s="484"/>
      <c r="LYS8" s="484"/>
      <c r="LYT8" s="484"/>
      <c r="LYU8" s="484"/>
      <c r="LYV8" s="484"/>
      <c r="LYW8" s="484"/>
      <c r="LYX8" s="484"/>
      <c r="LYY8" s="484"/>
      <c r="LYZ8" s="484"/>
      <c r="LZA8" s="484"/>
      <c r="LZB8" s="484"/>
      <c r="LZC8" s="484"/>
      <c r="LZD8" s="484"/>
      <c r="LZE8" s="484"/>
      <c r="LZF8" s="484"/>
      <c r="LZG8" s="484"/>
      <c r="LZH8" s="484"/>
      <c r="LZI8" s="484"/>
      <c r="LZJ8" s="484"/>
      <c r="LZK8" s="484"/>
      <c r="LZL8" s="484"/>
      <c r="LZM8" s="484"/>
      <c r="LZN8" s="484"/>
      <c r="LZO8" s="484"/>
      <c r="LZP8" s="484"/>
      <c r="LZQ8" s="484"/>
      <c r="LZR8" s="484"/>
      <c r="LZS8" s="484"/>
      <c r="LZT8" s="484"/>
      <c r="LZU8" s="484"/>
      <c r="LZV8" s="484"/>
      <c r="LZW8" s="484"/>
      <c r="LZX8" s="484"/>
      <c r="LZY8" s="484"/>
      <c r="LZZ8" s="484"/>
      <c r="MAA8" s="484"/>
      <c r="MAB8" s="484"/>
      <c r="MAC8" s="484"/>
      <c r="MAD8" s="484"/>
      <c r="MAE8" s="484"/>
      <c r="MAF8" s="484"/>
      <c r="MAG8" s="484"/>
      <c r="MAH8" s="484"/>
      <c r="MAI8" s="484"/>
      <c r="MAJ8" s="484"/>
      <c r="MAK8" s="484"/>
      <c r="MAL8" s="484"/>
      <c r="MAM8" s="484"/>
      <c r="MAN8" s="484"/>
      <c r="MAO8" s="484"/>
      <c r="MAP8" s="484"/>
      <c r="MAQ8" s="484"/>
      <c r="MAR8" s="484"/>
      <c r="MAS8" s="484"/>
      <c r="MAT8" s="484"/>
      <c r="MAU8" s="484"/>
      <c r="MAV8" s="484"/>
      <c r="MAW8" s="484"/>
      <c r="MAX8" s="484"/>
      <c r="MAY8" s="484"/>
      <c r="MAZ8" s="484"/>
      <c r="MBA8" s="484"/>
      <c r="MBB8" s="484"/>
      <c r="MBC8" s="484"/>
      <c r="MBD8" s="484"/>
      <c r="MBE8" s="484"/>
      <c r="MBF8" s="484"/>
      <c r="MBG8" s="484"/>
      <c r="MBH8" s="484"/>
      <c r="MBI8" s="484"/>
      <c r="MBJ8" s="484"/>
      <c r="MBK8" s="484"/>
      <c r="MBL8" s="484"/>
      <c r="MBM8" s="484"/>
      <c r="MBN8" s="484"/>
      <c r="MBO8" s="484"/>
      <c r="MBP8" s="484"/>
      <c r="MBQ8" s="484"/>
      <c r="MBR8" s="484"/>
      <c r="MBS8" s="484"/>
      <c r="MBT8" s="484"/>
      <c r="MBU8" s="484"/>
      <c r="MBV8" s="484"/>
      <c r="MBW8" s="484"/>
      <c r="MBX8" s="484"/>
      <c r="MBY8" s="484"/>
      <c r="MBZ8" s="484"/>
      <c r="MCA8" s="484"/>
      <c r="MCB8" s="484"/>
      <c r="MCC8" s="484"/>
      <c r="MCD8" s="484"/>
      <c r="MCE8" s="484"/>
      <c r="MCF8" s="484"/>
      <c r="MCG8" s="484"/>
      <c r="MCH8" s="484"/>
      <c r="MCI8" s="484"/>
      <c r="MCJ8" s="484"/>
      <c r="MCK8" s="484"/>
      <c r="MCL8" s="484"/>
      <c r="MCM8" s="484"/>
      <c r="MCN8" s="484"/>
      <c r="MCO8" s="484"/>
      <c r="MCP8" s="484"/>
      <c r="MCQ8" s="484"/>
      <c r="MCR8" s="484"/>
      <c r="MCS8" s="484"/>
      <c r="MCT8" s="484"/>
      <c r="MCU8" s="484"/>
      <c r="MCV8" s="484"/>
      <c r="MCW8" s="484"/>
      <c r="MCX8" s="484"/>
      <c r="MCY8" s="484"/>
      <c r="MCZ8" s="484"/>
      <c r="MDA8" s="484"/>
      <c r="MDB8" s="484"/>
      <c r="MDC8" s="484"/>
      <c r="MDD8" s="484"/>
      <c r="MDE8" s="484"/>
      <c r="MDF8" s="484"/>
      <c r="MDG8" s="484"/>
      <c r="MDH8" s="484"/>
      <c r="MDI8" s="484"/>
      <c r="MDJ8" s="484"/>
      <c r="MDK8" s="484"/>
      <c r="MDL8" s="484"/>
      <c r="MDM8" s="484"/>
      <c r="MDN8" s="484"/>
      <c r="MDO8" s="484"/>
      <c r="MDP8" s="484"/>
      <c r="MDQ8" s="484"/>
      <c r="MDR8" s="484"/>
      <c r="MDS8" s="484"/>
      <c r="MDT8" s="484"/>
      <c r="MDU8" s="484"/>
      <c r="MDV8" s="484"/>
      <c r="MDW8" s="484"/>
      <c r="MDX8" s="484"/>
      <c r="MDY8" s="484"/>
      <c r="MDZ8" s="484"/>
      <c r="MEA8" s="484"/>
      <c r="MEB8" s="484"/>
      <c r="MEC8" s="484"/>
      <c r="MED8" s="484"/>
      <c r="MEE8" s="484"/>
      <c r="MEF8" s="484"/>
      <c r="MEG8" s="484"/>
      <c r="MEH8" s="484"/>
      <c r="MEI8" s="484"/>
      <c r="MEJ8" s="484"/>
      <c r="MEK8" s="484"/>
      <c r="MEL8" s="484"/>
      <c r="MEM8" s="484"/>
      <c r="MEN8" s="484"/>
      <c r="MEO8" s="484"/>
      <c r="MEP8" s="484"/>
      <c r="MEQ8" s="484"/>
      <c r="MER8" s="484"/>
      <c r="MES8" s="484"/>
      <c r="MET8" s="484"/>
      <c r="MEU8" s="484"/>
      <c r="MEV8" s="484"/>
      <c r="MEW8" s="484"/>
      <c r="MEX8" s="484"/>
      <c r="MEY8" s="484"/>
      <c r="MEZ8" s="484"/>
      <c r="MFA8" s="484"/>
      <c r="MFB8" s="484"/>
      <c r="MFC8" s="484"/>
      <c r="MFD8" s="484"/>
      <c r="MFE8" s="484"/>
      <c r="MFF8" s="484"/>
      <c r="MFG8" s="484"/>
      <c r="MFH8" s="484"/>
      <c r="MFI8" s="484"/>
      <c r="MFJ8" s="484"/>
      <c r="MFK8" s="484"/>
      <c r="MFL8" s="484"/>
      <c r="MFM8" s="484"/>
      <c r="MFN8" s="484"/>
      <c r="MFO8" s="484"/>
      <c r="MFP8" s="484"/>
      <c r="MFQ8" s="484"/>
      <c r="MFR8" s="484"/>
      <c r="MFS8" s="484"/>
      <c r="MFT8" s="484"/>
      <c r="MFU8" s="484"/>
      <c r="MFV8" s="484"/>
      <c r="MFW8" s="484"/>
      <c r="MFX8" s="484"/>
      <c r="MFY8" s="484"/>
      <c r="MFZ8" s="484"/>
      <c r="MGA8" s="484"/>
      <c r="MGB8" s="484"/>
      <c r="MGC8" s="484"/>
      <c r="MGD8" s="484"/>
      <c r="MGE8" s="484"/>
      <c r="MGF8" s="484"/>
      <c r="MGG8" s="484"/>
      <c r="MGH8" s="484"/>
      <c r="MGI8" s="484"/>
      <c r="MGJ8" s="484"/>
      <c r="MGK8" s="484"/>
      <c r="MGL8" s="484"/>
      <c r="MGM8" s="484"/>
      <c r="MGN8" s="484"/>
      <c r="MGO8" s="484"/>
      <c r="MGP8" s="484"/>
      <c r="MGQ8" s="484"/>
      <c r="MGR8" s="484"/>
      <c r="MGS8" s="484"/>
      <c r="MGT8" s="484"/>
      <c r="MGU8" s="484"/>
      <c r="MGV8" s="484"/>
      <c r="MGW8" s="484"/>
      <c r="MGX8" s="484"/>
      <c r="MGY8" s="484"/>
      <c r="MGZ8" s="484"/>
      <c r="MHA8" s="484"/>
      <c r="MHB8" s="484"/>
      <c r="MHC8" s="484"/>
      <c r="MHD8" s="484"/>
      <c r="MHE8" s="484"/>
      <c r="MHF8" s="484"/>
      <c r="MHG8" s="484"/>
      <c r="MHH8" s="484"/>
      <c r="MHI8" s="484"/>
      <c r="MHJ8" s="484"/>
      <c r="MHK8" s="484"/>
      <c r="MHL8" s="484"/>
      <c r="MHM8" s="484"/>
      <c r="MHN8" s="484"/>
      <c r="MHO8" s="484"/>
      <c r="MHP8" s="484"/>
      <c r="MHQ8" s="484"/>
      <c r="MHR8" s="484"/>
      <c r="MHS8" s="484"/>
      <c r="MHT8" s="484"/>
      <c r="MHU8" s="484"/>
      <c r="MHV8" s="484"/>
      <c r="MHW8" s="484"/>
      <c r="MHX8" s="484"/>
      <c r="MHY8" s="484"/>
      <c r="MHZ8" s="484"/>
      <c r="MIA8" s="484"/>
      <c r="MIB8" s="484"/>
      <c r="MIC8" s="484"/>
      <c r="MID8" s="484"/>
      <c r="MIE8" s="484"/>
      <c r="MIF8" s="484"/>
      <c r="MIG8" s="484"/>
      <c r="MIH8" s="484"/>
      <c r="MII8" s="484"/>
      <c r="MIJ8" s="484"/>
      <c r="MIK8" s="484"/>
      <c r="MIL8" s="484"/>
      <c r="MIM8" s="484"/>
      <c r="MIN8" s="484"/>
      <c r="MIO8" s="484"/>
      <c r="MIP8" s="484"/>
      <c r="MIQ8" s="484"/>
      <c r="MIR8" s="484"/>
      <c r="MIS8" s="484"/>
      <c r="MIT8" s="484"/>
      <c r="MIU8" s="484"/>
      <c r="MIV8" s="484"/>
      <c r="MIW8" s="484"/>
      <c r="MIX8" s="484"/>
      <c r="MIY8" s="484"/>
      <c r="MIZ8" s="484"/>
      <c r="MJA8" s="484"/>
      <c r="MJB8" s="484"/>
      <c r="MJC8" s="484"/>
      <c r="MJD8" s="484"/>
      <c r="MJE8" s="484"/>
      <c r="MJF8" s="484"/>
      <c r="MJG8" s="484"/>
      <c r="MJH8" s="484"/>
      <c r="MJI8" s="484"/>
      <c r="MJJ8" s="484"/>
      <c r="MJK8" s="484"/>
      <c r="MJL8" s="484"/>
      <c r="MJM8" s="484"/>
      <c r="MJN8" s="484"/>
      <c r="MJO8" s="484"/>
      <c r="MJP8" s="484"/>
      <c r="MJQ8" s="484"/>
      <c r="MJR8" s="484"/>
      <c r="MJS8" s="484"/>
      <c r="MJT8" s="484"/>
      <c r="MJU8" s="484"/>
      <c r="MJV8" s="484"/>
      <c r="MJW8" s="484"/>
      <c r="MJX8" s="484"/>
      <c r="MJY8" s="484"/>
      <c r="MJZ8" s="484"/>
      <c r="MKA8" s="484"/>
      <c r="MKB8" s="484"/>
      <c r="MKC8" s="484"/>
      <c r="MKD8" s="484"/>
      <c r="MKE8" s="484"/>
      <c r="MKF8" s="484"/>
      <c r="MKG8" s="484"/>
      <c r="MKH8" s="484"/>
      <c r="MKI8" s="484"/>
      <c r="MKJ8" s="484"/>
      <c r="MKK8" s="484"/>
      <c r="MKL8" s="484"/>
      <c r="MKM8" s="484"/>
      <c r="MKN8" s="484"/>
      <c r="MKO8" s="484"/>
      <c r="MKP8" s="484"/>
      <c r="MKQ8" s="484"/>
      <c r="MKR8" s="484"/>
      <c r="MKS8" s="484"/>
      <c r="MKT8" s="484"/>
      <c r="MKU8" s="484"/>
      <c r="MKV8" s="484"/>
      <c r="MKW8" s="484"/>
      <c r="MKX8" s="484"/>
      <c r="MKY8" s="484"/>
      <c r="MKZ8" s="484"/>
      <c r="MLA8" s="484"/>
      <c r="MLB8" s="484"/>
      <c r="MLC8" s="484"/>
      <c r="MLD8" s="484"/>
      <c r="MLE8" s="484"/>
      <c r="MLF8" s="484"/>
      <c r="MLG8" s="484"/>
      <c r="MLH8" s="484"/>
      <c r="MLI8" s="484"/>
      <c r="MLJ8" s="484"/>
      <c r="MLK8" s="484"/>
      <c r="MLL8" s="484"/>
      <c r="MLM8" s="484"/>
      <c r="MLN8" s="484"/>
      <c r="MLO8" s="484"/>
      <c r="MLP8" s="484"/>
      <c r="MLQ8" s="484"/>
      <c r="MLR8" s="484"/>
      <c r="MLS8" s="484"/>
      <c r="MLT8" s="484"/>
      <c r="MLU8" s="484"/>
      <c r="MLV8" s="484"/>
      <c r="MLW8" s="484"/>
      <c r="MLX8" s="484"/>
      <c r="MLY8" s="484"/>
      <c r="MLZ8" s="484"/>
      <c r="MMA8" s="484"/>
      <c r="MMB8" s="484"/>
      <c r="MMC8" s="484"/>
      <c r="MMD8" s="484"/>
      <c r="MME8" s="484"/>
      <c r="MMF8" s="484"/>
      <c r="MMG8" s="484"/>
      <c r="MMH8" s="484"/>
      <c r="MMI8" s="484"/>
      <c r="MMJ8" s="484"/>
      <c r="MMK8" s="484"/>
      <c r="MML8" s="484"/>
      <c r="MMM8" s="484"/>
      <c r="MMN8" s="484"/>
      <c r="MMO8" s="484"/>
      <c r="MMP8" s="484"/>
      <c r="MMQ8" s="484"/>
      <c r="MMR8" s="484"/>
      <c r="MMS8" s="484"/>
      <c r="MMT8" s="484"/>
      <c r="MMU8" s="484"/>
      <c r="MMV8" s="484"/>
      <c r="MMW8" s="484"/>
      <c r="MMX8" s="484"/>
      <c r="MMY8" s="484"/>
      <c r="MMZ8" s="484"/>
      <c r="MNA8" s="484"/>
      <c r="MNB8" s="484"/>
      <c r="MNC8" s="484"/>
      <c r="MND8" s="484"/>
      <c r="MNE8" s="484"/>
      <c r="MNF8" s="484"/>
      <c r="MNG8" s="484"/>
      <c r="MNH8" s="484"/>
      <c r="MNI8" s="484"/>
      <c r="MNJ8" s="484"/>
      <c r="MNK8" s="484"/>
      <c r="MNL8" s="484"/>
      <c r="MNM8" s="484"/>
      <c r="MNN8" s="484"/>
      <c r="MNO8" s="484"/>
      <c r="MNP8" s="484"/>
      <c r="MNQ8" s="484"/>
      <c r="MNR8" s="484"/>
      <c r="MNS8" s="484"/>
      <c r="MNT8" s="484"/>
      <c r="MNU8" s="484"/>
      <c r="MNV8" s="484"/>
      <c r="MNW8" s="484"/>
      <c r="MNX8" s="484"/>
      <c r="MNY8" s="484"/>
      <c r="MNZ8" s="484"/>
      <c r="MOA8" s="484"/>
      <c r="MOB8" s="484"/>
      <c r="MOC8" s="484"/>
      <c r="MOD8" s="484"/>
      <c r="MOE8" s="484"/>
      <c r="MOF8" s="484"/>
      <c r="MOG8" s="484"/>
      <c r="MOH8" s="484"/>
      <c r="MOI8" s="484"/>
      <c r="MOJ8" s="484"/>
      <c r="MOK8" s="484"/>
      <c r="MOL8" s="484"/>
      <c r="MOM8" s="484"/>
      <c r="MON8" s="484"/>
      <c r="MOO8" s="484"/>
      <c r="MOP8" s="484"/>
      <c r="MOQ8" s="484"/>
      <c r="MOR8" s="484"/>
      <c r="MOS8" s="484"/>
      <c r="MOT8" s="484"/>
      <c r="MOU8" s="484"/>
      <c r="MOV8" s="484"/>
      <c r="MOW8" s="484"/>
      <c r="MOX8" s="484"/>
      <c r="MOY8" s="484"/>
      <c r="MOZ8" s="484"/>
      <c r="MPA8" s="484"/>
      <c r="MPB8" s="484"/>
      <c r="MPC8" s="484"/>
      <c r="MPD8" s="484"/>
      <c r="MPE8" s="484"/>
      <c r="MPF8" s="484"/>
      <c r="MPG8" s="484"/>
      <c r="MPH8" s="484"/>
      <c r="MPI8" s="484"/>
      <c r="MPJ8" s="484"/>
      <c r="MPK8" s="484"/>
      <c r="MPL8" s="484"/>
      <c r="MPM8" s="484"/>
      <c r="MPN8" s="484"/>
      <c r="MPO8" s="484"/>
      <c r="MPP8" s="484"/>
      <c r="MPQ8" s="484"/>
      <c r="MPR8" s="484"/>
      <c r="MPS8" s="484"/>
      <c r="MPT8" s="484"/>
      <c r="MPU8" s="484"/>
      <c r="MPV8" s="484"/>
      <c r="MPW8" s="484"/>
      <c r="MPX8" s="484"/>
      <c r="MPY8" s="484"/>
      <c r="MPZ8" s="484"/>
      <c r="MQA8" s="484"/>
      <c r="MQB8" s="484"/>
      <c r="MQC8" s="484"/>
      <c r="MQD8" s="484"/>
      <c r="MQE8" s="484"/>
      <c r="MQF8" s="484"/>
      <c r="MQG8" s="484"/>
      <c r="MQH8" s="484"/>
      <c r="MQI8" s="484"/>
      <c r="MQJ8" s="484"/>
      <c r="MQK8" s="484"/>
      <c r="MQL8" s="484"/>
      <c r="MQM8" s="484"/>
      <c r="MQN8" s="484"/>
      <c r="MQO8" s="484"/>
      <c r="MQP8" s="484"/>
      <c r="MQQ8" s="484"/>
      <c r="MQR8" s="484"/>
      <c r="MQS8" s="484"/>
      <c r="MQT8" s="484"/>
      <c r="MQU8" s="484"/>
      <c r="MQV8" s="484"/>
      <c r="MQW8" s="484"/>
      <c r="MQX8" s="484"/>
      <c r="MQY8" s="484"/>
      <c r="MQZ8" s="484"/>
      <c r="MRA8" s="484"/>
      <c r="MRB8" s="484"/>
      <c r="MRC8" s="484"/>
      <c r="MRD8" s="484"/>
      <c r="MRE8" s="484"/>
      <c r="MRF8" s="484"/>
      <c r="MRG8" s="484"/>
      <c r="MRH8" s="484"/>
      <c r="MRI8" s="484"/>
      <c r="MRJ8" s="484"/>
      <c r="MRK8" s="484"/>
      <c r="MRL8" s="484"/>
      <c r="MRM8" s="484"/>
      <c r="MRN8" s="484"/>
      <c r="MRO8" s="484"/>
      <c r="MRP8" s="484"/>
      <c r="MRQ8" s="484"/>
      <c r="MRR8" s="484"/>
      <c r="MRS8" s="484"/>
      <c r="MRT8" s="484"/>
      <c r="MRU8" s="484"/>
      <c r="MRV8" s="484"/>
      <c r="MRW8" s="484"/>
      <c r="MRX8" s="484"/>
      <c r="MRY8" s="484"/>
      <c r="MRZ8" s="484"/>
      <c r="MSA8" s="484"/>
      <c r="MSB8" s="484"/>
      <c r="MSC8" s="484"/>
      <c r="MSD8" s="484"/>
      <c r="MSE8" s="484"/>
      <c r="MSF8" s="484"/>
      <c r="MSG8" s="484"/>
      <c r="MSH8" s="484"/>
      <c r="MSI8" s="484"/>
      <c r="MSJ8" s="484"/>
      <c r="MSK8" s="484"/>
      <c r="MSL8" s="484"/>
      <c r="MSM8" s="484"/>
      <c r="MSN8" s="484"/>
      <c r="MSO8" s="484"/>
      <c r="MSP8" s="484"/>
      <c r="MSQ8" s="484"/>
      <c r="MSR8" s="484"/>
      <c r="MSS8" s="484"/>
      <c r="MST8" s="484"/>
      <c r="MSU8" s="484"/>
      <c r="MSV8" s="484"/>
      <c r="MSW8" s="484"/>
      <c r="MSX8" s="484"/>
      <c r="MSY8" s="484"/>
      <c r="MSZ8" s="484"/>
      <c r="MTA8" s="484"/>
      <c r="MTB8" s="484"/>
      <c r="MTC8" s="484"/>
      <c r="MTD8" s="484"/>
      <c r="MTE8" s="484"/>
      <c r="MTF8" s="484"/>
      <c r="MTG8" s="484"/>
      <c r="MTH8" s="484"/>
      <c r="MTI8" s="484"/>
      <c r="MTJ8" s="484"/>
      <c r="MTK8" s="484"/>
      <c r="MTL8" s="484"/>
      <c r="MTM8" s="484"/>
      <c r="MTN8" s="484"/>
      <c r="MTO8" s="484"/>
      <c r="MTP8" s="484"/>
      <c r="MTQ8" s="484"/>
      <c r="MTR8" s="484"/>
      <c r="MTS8" s="484"/>
      <c r="MTT8" s="484"/>
      <c r="MTU8" s="484"/>
      <c r="MTV8" s="484"/>
      <c r="MTW8" s="484"/>
      <c r="MTX8" s="484"/>
      <c r="MTY8" s="484"/>
      <c r="MTZ8" s="484"/>
      <c r="MUA8" s="484"/>
      <c r="MUB8" s="484"/>
      <c r="MUC8" s="484"/>
      <c r="MUD8" s="484"/>
      <c r="MUE8" s="484"/>
      <c r="MUF8" s="484"/>
      <c r="MUG8" s="484"/>
      <c r="MUH8" s="484"/>
      <c r="MUI8" s="484"/>
      <c r="MUJ8" s="484"/>
      <c r="MUK8" s="484"/>
      <c r="MUL8" s="484"/>
      <c r="MUM8" s="484"/>
      <c r="MUN8" s="484"/>
      <c r="MUO8" s="484"/>
      <c r="MUP8" s="484"/>
      <c r="MUQ8" s="484"/>
      <c r="MUR8" s="484"/>
      <c r="MUS8" s="484"/>
      <c r="MUT8" s="484"/>
      <c r="MUU8" s="484"/>
      <c r="MUV8" s="484"/>
      <c r="MUW8" s="484"/>
      <c r="MUX8" s="484"/>
      <c r="MUY8" s="484"/>
      <c r="MUZ8" s="484"/>
      <c r="MVA8" s="484"/>
      <c r="MVB8" s="484"/>
      <c r="MVC8" s="484"/>
      <c r="MVD8" s="484"/>
      <c r="MVE8" s="484"/>
      <c r="MVF8" s="484"/>
      <c r="MVG8" s="484"/>
      <c r="MVH8" s="484"/>
      <c r="MVI8" s="484"/>
      <c r="MVJ8" s="484"/>
      <c r="MVK8" s="484"/>
      <c r="MVL8" s="484"/>
      <c r="MVM8" s="484"/>
      <c r="MVN8" s="484"/>
      <c r="MVO8" s="484"/>
      <c r="MVP8" s="484"/>
      <c r="MVQ8" s="484"/>
      <c r="MVR8" s="484"/>
      <c r="MVS8" s="484"/>
      <c r="MVT8" s="484"/>
      <c r="MVU8" s="484"/>
      <c r="MVV8" s="484"/>
      <c r="MVW8" s="484"/>
      <c r="MVX8" s="484"/>
      <c r="MVY8" s="484"/>
      <c r="MVZ8" s="484"/>
      <c r="MWA8" s="484"/>
      <c r="MWB8" s="484"/>
      <c r="MWC8" s="484"/>
      <c r="MWD8" s="484"/>
      <c r="MWE8" s="484"/>
      <c r="MWF8" s="484"/>
      <c r="MWG8" s="484"/>
      <c r="MWH8" s="484"/>
      <c r="MWI8" s="484"/>
      <c r="MWJ8" s="484"/>
      <c r="MWK8" s="484"/>
      <c r="MWL8" s="484"/>
      <c r="MWM8" s="484"/>
      <c r="MWN8" s="484"/>
      <c r="MWO8" s="484"/>
      <c r="MWP8" s="484"/>
      <c r="MWQ8" s="484"/>
      <c r="MWR8" s="484"/>
      <c r="MWS8" s="484"/>
      <c r="MWT8" s="484"/>
      <c r="MWU8" s="484"/>
      <c r="MWV8" s="484"/>
      <c r="MWW8" s="484"/>
      <c r="MWX8" s="484"/>
      <c r="MWY8" s="484"/>
      <c r="MWZ8" s="484"/>
      <c r="MXA8" s="484"/>
      <c r="MXB8" s="484"/>
      <c r="MXC8" s="484"/>
      <c r="MXD8" s="484"/>
      <c r="MXE8" s="484"/>
      <c r="MXF8" s="484"/>
      <c r="MXG8" s="484"/>
      <c r="MXH8" s="484"/>
      <c r="MXI8" s="484"/>
      <c r="MXJ8" s="484"/>
      <c r="MXK8" s="484"/>
      <c r="MXL8" s="484"/>
      <c r="MXM8" s="484"/>
      <c r="MXN8" s="484"/>
      <c r="MXO8" s="484"/>
      <c r="MXP8" s="484"/>
      <c r="MXQ8" s="484"/>
      <c r="MXR8" s="484"/>
      <c r="MXS8" s="484"/>
      <c r="MXT8" s="484"/>
      <c r="MXU8" s="484"/>
      <c r="MXV8" s="484"/>
      <c r="MXW8" s="484"/>
      <c r="MXX8" s="484"/>
      <c r="MXY8" s="484"/>
      <c r="MXZ8" s="484"/>
      <c r="MYA8" s="484"/>
      <c r="MYB8" s="484"/>
      <c r="MYC8" s="484"/>
      <c r="MYD8" s="484"/>
      <c r="MYE8" s="484"/>
      <c r="MYF8" s="484"/>
      <c r="MYG8" s="484"/>
      <c r="MYH8" s="484"/>
      <c r="MYI8" s="484"/>
      <c r="MYJ8" s="484"/>
      <c r="MYK8" s="484"/>
      <c r="MYL8" s="484"/>
      <c r="MYM8" s="484"/>
      <c r="MYN8" s="484"/>
      <c r="MYO8" s="484"/>
      <c r="MYP8" s="484"/>
      <c r="MYQ8" s="484"/>
      <c r="MYR8" s="484"/>
      <c r="MYS8" s="484"/>
      <c r="MYT8" s="484"/>
      <c r="MYU8" s="484"/>
      <c r="MYV8" s="484"/>
      <c r="MYW8" s="484"/>
      <c r="MYX8" s="484"/>
      <c r="MYY8" s="484"/>
      <c r="MYZ8" s="484"/>
      <c r="MZA8" s="484"/>
      <c r="MZB8" s="484"/>
      <c r="MZC8" s="484"/>
      <c r="MZD8" s="484"/>
      <c r="MZE8" s="484"/>
      <c r="MZF8" s="484"/>
      <c r="MZG8" s="484"/>
      <c r="MZH8" s="484"/>
      <c r="MZI8" s="484"/>
      <c r="MZJ8" s="484"/>
      <c r="MZK8" s="484"/>
      <c r="MZL8" s="484"/>
      <c r="MZM8" s="484"/>
      <c r="MZN8" s="484"/>
      <c r="MZO8" s="484"/>
      <c r="MZP8" s="484"/>
      <c r="MZQ8" s="484"/>
      <c r="MZR8" s="484"/>
      <c r="MZS8" s="484"/>
      <c r="MZT8" s="484"/>
      <c r="MZU8" s="484"/>
      <c r="MZV8" s="484"/>
      <c r="MZW8" s="484"/>
      <c r="MZX8" s="484"/>
      <c r="MZY8" s="484"/>
      <c r="MZZ8" s="484"/>
      <c r="NAA8" s="484"/>
      <c r="NAB8" s="484"/>
      <c r="NAC8" s="484"/>
      <c r="NAD8" s="484"/>
      <c r="NAE8" s="484"/>
      <c r="NAF8" s="484"/>
      <c r="NAG8" s="484"/>
      <c r="NAH8" s="484"/>
      <c r="NAI8" s="484"/>
      <c r="NAJ8" s="484"/>
      <c r="NAK8" s="484"/>
      <c r="NAL8" s="484"/>
      <c r="NAM8" s="484"/>
      <c r="NAN8" s="484"/>
      <c r="NAO8" s="484"/>
      <c r="NAP8" s="484"/>
      <c r="NAQ8" s="484"/>
      <c r="NAR8" s="484"/>
      <c r="NAS8" s="484"/>
      <c r="NAT8" s="484"/>
      <c r="NAU8" s="484"/>
      <c r="NAV8" s="484"/>
      <c r="NAW8" s="484"/>
      <c r="NAX8" s="484"/>
      <c r="NAY8" s="484"/>
      <c r="NAZ8" s="484"/>
      <c r="NBA8" s="484"/>
      <c r="NBB8" s="484"/>
      <c r="NBC8" s="484"/>
      <c r="NBD8" s="484"/>
      <c r="NBE8" s="484"/>
      <c r="NBF8" s="484"/>
      <c r="NBG8" s="484"/>
      <c r="NBH8" s="484"/>
      <c r="NBI8" s="484"/>
      <c r="NBJ8" s="484"/>
      <c r="NBK8" s="484"/>
      <c r="NBL8" s="484"/>
      <c r="NBM8" s="484"/>
      <c r="NBN8" s="484"/>
      <c r="NBO8" s="484"/>
      <c r="NBP8" s="484"/>
      <c r="NBQ8" s="484"/>
      <c r="NBR8" s="484"/>
      <c r="NBS8" s="484"/>
      <c r="NBT8" s="484"/>
      <c r="NBU8" s="484"/>
      <c r="NBV8" s="484"/>
      <c r="NBW8" s="484"/>
      <c r="NBX8" s="484"/>
      <c r="NBY8" s="484"/>
      <c r="NBZ8" s="484"/>
      <c r="NCA8" s="484"/>
      <c r="NCB8" s="484"/>
      <c r="NCC8" s="484"/>
      <c r="NCD8" s="484"/>
      <c r="NCE8" s="484"/>
      <c r="NCF8" s="484"/>
      <c r="NCG8" s="484"/>
      <c r="NCH8" s="484"/>
      <c r="NCI8" s="484"/>
      <c r="NCJ8" s="484"/>
      <c r="NCK8" s="484"/>
      <c r="NCL8" s="484"/>
      <c r="NCM8" s="484"/>
      <c r="NCN8" s="484"/>
      <c r="NCO8" s="484"/>
      <c r="NCP8" s="484"/>
      <c r="NCQ8" s="484"/>
      <c r="NCR8" s="484"/>
      <c r="NCS8" s="484"/>
      <c r="NCT8" s="484"/>
      <c r="NCU8" s="484"/>
      <c r="NCV8" s="484"/>
      <c r="NCW8" s="484"/>
      <c r="NCX8" s="484"/>
      <c r="NCY8" s="484"/>
      <c r="NCZ8" s="484"/>
      <c r="NDA8" s="484"/>
      <c r="NDB8" s="484"/>
      <c r="NDC8" s="484"/>
      <c r="NDD8" s="484"/>
      <c r="NDE8" s="484"/>
      <c r="NDF8" s="484"/>
      <c r="NDG8" s="484"/>
      <c r="NDH8" s="484"/>
      <c r="NDI8" s="484"/>
      <c r="NDJ8" s="484"/>
      <c r="NDK8" s="484"/>
      <c r="NDL8" s="484"/>
      <c r="NDM8" s="484"/>
      <c r="NDN8" s="484"/>
      <c r="NDO8" s="484"/>
      <c r="NDP8" s="484"/>
      <c r="NDQ8" s="484"/>
      <c r="NDR8" s="484"/>
      <c r="NDS8" s="484"/>
      <c r="NDT8" s="484"/>
      <c r="NDU8" s="484"/>
      <c r="NDV8" s="484"/>
      <c r="NDW8" s="484"/>
      <c r="NDX8" s="484"/>
      <c r="NDY8" s="484"/>
      <c r="NDZ8" s="484"/>
      <c r="NEA8" s="484"/>
      <c r="NEB8" s="484"/>
      <c r="NEC8" s="484"/>
      <c r="NED8" s="484"/>
      <c r="NEE8" s="484"/>
      <c r="NEF8" s="484"/>
      <c r="NEG8" s="484"/>
      <c r="NEH8" s="484"/>
      <c r="NEI8" s="484"/>
      <c r="NEJ8" s="484"/>
      <c r="NEK8" s="484"/>
      <c r="NEL8" s="484"/>
      <c r="NEM8" s="484"/>
      <c r="NEN8" s="484"/>
      <c r="NEO8" s="484"/>
      <c r="NEP8" s="484"/>
      <c r="NEQ8" s="484"/>
      <c r="NER8" s="484"/>
      <c r="NES8" s="484"/>
      <c r="NET8" s="484"/>
      <c r="NEU8" s="484"/>
      <c r="NEV8" s="484"/>
      <c r="NEW8" s="484"/>
      <c r="NEX8" s="484"/>
      <c r="NEY8" s="484"/>
      <c r="NEZ8" s="484"/>
      <c r="NFA8" s="484"/>
      <c r="NFB8" s="484"/>
      <c r="NFC8" s="484"/>
      <c r="NFD8" s="484"/>
      <c r="NFE8" s="484"/>
      <c r="NFF8" s="484"/>
      <c r="NFG8" s="484"/>
      <c r="NFH8" s="484"/>
      <c r="NFI8" s="484"/>
      <c r="NFJ8" s="484"/>
      <c r="NFK8" s="484"/>
      <c r="NFL8" s="484"/>
      <c r="NFM8" s="484"/>
      <c r="NFN8" s="484"/>
      <c r="NFO8" s="484"/>
      <c r="NFP8" s="484"/>
      <c r="NFQ8" s="484"/>
      <c r="NFR8" s="484"/>
      <c r="NFS8" s="484"/>
      <c r="NFT8" s="484"/>
      <c r="NFU8" s="484"/>
      <c r="NFV8" s="484"/>
      <c r="NFW8" s="484"/>
      <c r="NFX8" s="484"/>
      <c r="NFY8" s="484"/>
      <c r="NFZ8" s="484"/>
      <c r="NGA8" s="484"/>
      <c r="NGB8" s="484"/>
      <c r="NGC8" s="484"/>
      <c r="NGD8" s="484"/>
      <c r="NGE8" s="484"/>
      <c r="NGF8" s="484"/>
      <c r="NGG8" s="484"/>
      <c r="NGH8" s="484"/>
      <c r="NGI8" s="484"/>
      <c r="NGJ8" s="484"/>
      <c r="NGK8" s="484"/>
      <c r="NGL8" s="484"/>
      <c r="NGM8" s="484"/>
      <c r="NGN8" s="484"/>
      <c r="NGO8" s="484"/>
      <c r="NGP8" s="484"/>
      <c r="NGQ8" s="484"/>
      <c r="NGR8" s="484"/>
      <c r="NGS8" s="484"/>
      <c r="NGT8" s="484"/>
      <c r="NGU8" s="484"/>
      <c r="NGV8" s="484"/>
      <c r="NGW8" s="484"/>
      <c r="NGX8" s="484"/>
      <c r="NGY8" s="484"/>
      <c r="NGZ8" s="484"/>
      <c r="NHA8" s="484"/>
      <c r="NHB8" s="484"/>
      <c r="NHC8" s="484"/>
      <c r="NHD8" s="484"/>
      <c r="NHE8" s="484"/>
      <c r="NHF8" s="484"/>
      <c r="NHG8" s="484"/>
      <c r="NHH8" s="484"/>
      <c r="NHI8" s="484"/>
      <c r="NHJ8" s="484"/>
      <c r="NHK8" s="484"/>
      <c r="NHL8" s="484"/>
      <c r="NHM8" s="484"/>
      <c r="NHN8" s="484"/>
      <c r="NHO8" s="484"/>
      <c r="NHP8" s="484"/>
      <c r="NHQ8" s="484"/>
      <c r="NHR8" s="484"/>
      <c r="NHS8" s="484"/>
      <c r="NHT8" s="484"/>
      <c r="NHU8" s="484"/>
      <c r="NHV8" s="484"/>
      <c r="NHW8" s="484"/>
      <c r="NHX8" s="484"/>
      <c r="NHY8" s="484"/>
      <c r="NHZ8" s="484"/>
      <c r="NIA8" s="484"/>
      <c r="NIB8" s="484"/>
      <c r="NIC8" s="484"/>
      <c r="NID8" s="484"/>
      <c r="NIE8" s="484"/>
      <c r="NIF8" s="484"/>
      <c r="NIG8" s="484"/>
      <c r="NIH8" s="484"/>
      <c r="NII8" s="484"/>
      <c r="NIJ8" s="484"/>
      <c r="NIK8" s="484"/>
      <c r="NIL8" s="484"/>
      <c r="NIM8" s="484"/>
      <c r="NIN8" s="484"/>
      <c r="NIO8" s="484"/>
      <c r="NIP8" s="484"/>
      <c r="NIQ8" s="484"/>
      <c r="NIR8" s="484"/>
      <c r="NIS8" s="484"/>
      <c r="NIT8" s="484"/>
      <c r="NIU8" s="484"/>
      <c r="NIV8" s="484"/>
      <c r="NIW8" s="484"/>
      <c r="NIX8" s="484"/>
      <c r="NIY8" s="484"/>
      <c r="NIZ8" s="484"/>
      <c r="NJA8" s="484"/>
      <c r="NJB8" s="484"/>
      <c r="NJC8" s="484"/>
      <c r="NJD8" s="484"/>
      <c r="NJE8" s="484"/>
      <c r="NJF8" s="484"/>
      <c r="NJG8" s="484"/>
      <c r="NJH8" s="484"/>
      <c r="NJI8" s="484"/>
      <c r="NJJ8" s="484"/>
      <c r="NJK8" s="484"/>
      <c r="NJL8" s="484"/>
      <c r="NJM8" s="484"/>
      <c r="NJN8" s="484"/>
      <c r="NJO8" s="484"/>
      <c r="NJP8" s="484"/>
      <c r="NJQ8" s="484"/>
      <c r="NJR8" s="484"/>
      <c r="NJS8" s="484"/>
      <c r="NJT8" s="484"/>
      <c r="NJU8" s="484"/>
      <c r="NJV8" s="484"/>
      <c r="NJW8" s="484"/>
      <c r="NJX8" s="484"/>
      <c r="NJY8" s="484"/>
      <c r="NJZ8" s="484"/>
      <c r="NKA8" s="484"/>
      <c r="NKB8" s="484"/>
      <c r="NKC8" s="484"/>
      <c r="NKD8" s="484"/>
      <c r="NKE8" s="484"/>
      <c r="NKF8" s="484"/>
      <c r="NKG8" s="484"/>
      <c r="NKH8" s="484"/>
      <c r="NKI8" s="484"/>
      <c r="NKJ8" s="484"/>
      <c r="NKK8" s="484"/>
      <c r="NKL8" s="484"/>
      <c r="NKM8" s="484"/>
      <c r="NKN8" s="484"/>
      <c r="NKO8" s="484"/>
      <c r="NKP8" s="484"/>
      <c r="NKQ8" s="484"/>
      <c r="NKR8" s="484"/>
      <c r="NKS8" s="484"/>
      <c r="NKT8" s="484"/>
      <c r="NKU8" s="484"/>
      <c r="NKV8" s="484"/>
      <c r="NKW8" s="484"/>
      <c r="NKX8" s="484"/>
      <c r="NKY8" s="484"/>
      <c r="NKZ8" s="484"/>
      <c r="NLA8" s="484"/>
      <c r="NLB8" s="484"/>
      <c r="NLC8" s="484"/>
      <c r="NLD8" s="484"/>
      <c r="NLE8" s="484"/>
      <c r="NLF8" s="484"/>
      <c r="NLG8" s="484"/>
      <c r="NLH8" s="484"/>
      <c r="NLI8" s="484"/>
      <c r="NLJ8" s="484"/>
      <c r="NLK8" s="484"/>
      <c r="NLL8" s="484"/>
      <c r="NLM8" s="484"/>
      <c r="NLN8" s="484"/>
      <c r="NLO8" s="484"/>
      <c r="NLP8" s="484"/>
      <c r="NLQ8" s="484"/>
      <c r="NLR8" s="484"/>
      <c r="NLS8" s="484"/>
      <c r="NLT8" s="484"/>
      <c r="NLU8" s="484"/>
      <c r="NLV8" s="484"/>
      <c r="NLW8" s="484"/>
      <c r="NLX8" s="484"/>
      <c r="NLY8" s="484"/>
      <c r="NLZ8" s="484"/>
      <c r="NMA8" s="484"/>
      <c r="NMB8" s="484"/>
      <c r="NMC8" s="484"/>
      <c r="NMD8" s="484"/>
      <c r="NME8" s="484"/>
      <c r="NMF8" s="484"/>
      <c r="NMG8" s="484"/>
      <c r="NMH8" s="484"/>
      <c r="NMI8" s="484"/>
      <c r="NMJ8" s="484"/>
      <c r="NMK8" s="484"/>
      <c r="NML8" s="484"/>
      <c r="NMM8" s="484"/>
      <c r="NMN8" s="484"/>
      <c r="NMO8" s="484"/>
      <c r="NMP8" s="484"/>
      <c r="NMQ8" s="484"/>
      <c r="NMR8" s="484"/>
      <c r="NMS8" s="484"/>
      <c r="NMT8" s="484"/>
      <c r="NMU8" s="484"/>
      <c r="NMV8" s="484"/>
      <c r="NMW8" s="484"/>
      <c r="NMX8" s="484"/>
      <c r="NMY8" s="484"/>
      <c r="NMZ8" s="484"/>
      <c r="NNA8" s="484"/>
      <c r="NNB8" s="484"/>
      <c r="NNC8" s="484"/>
      <c r="NND8" s="484"/>
      <c r="NNE8" s="484"/>
      <c r="NNF8" s="484"/>
      <c r="NNG8" s="484"/>
      <c r="NNH8" s="484"/>
      <c r="NNI8" s="484"/>
      <c r="NNJ8" s="484"/>
      <c r="NNK8" s="484"/>
      <c r="NNL8" s="484"/>
      <c r="NNM8" s="484"/>
      <c r="NNN8" s="484"/>
      <c r="NNO8" s="484"/>
      <c r="NNP8" s="484"/>
      <c r="NNQ8" s="484"/>
      <c r="NNR8" s="484"/>
      <c r="NNS8" s="484"/>
      <c r="NNT8" s="484"/>
      <c r="NNU8" s="484"/>
      <c r="NNV8" s="484"/>
      <c r="NNW8" s="484"/>
      <c r="NNX8" s="484"/>
      <c r="NNY8" s="484"/>
      <c r="NNZ8" s="484"/>
      <c r="NOA8" s="484"/>
      <c r="NOB8" s="484"/>
      <c r="NOC8" s="484"/>
      <c r="NOD8" s="484"/>
      <c r="NOE8" s="484"/>
      <c r="NOF8" s="484"/>
      <c r="NOG8" s="484"/>
      <c r="NOH8" s="484"/>
      <c r="NOI8" s="484"/>
      <c r="NOJ8" s="484"/>
      <c r="NOK8" s="484"/>
      <c r="NOL8" s="484"/>
      <c r="NOM8" s="484"/>
      <c r="NON8" s="484"/>
      <c r="NOO8" s="484"/>
      <c r="NOP8" s="484"/>
      <c r="NOQ8" s="484"/>
      <c r="NOR8" s="484"/>
      <c r="NOS8" s="484"/>
      <c r="NOT8" s="484"/>
      <c r="NOU8" s="484"/>
      <c r="NOV8" s="484"/>
      <c r="NOW8" s="484"/>
      <c r="NOX8" s="484"/>
      <c r="NOY8" s="484"/>
      <c r="NOZ8" s="484"/>
      <c r="NPA8" s="484"/>
      <c r="NPB8" s="484"/>
      <c r="NPC8" s="484"/>
      <c r="NPD8" s="484"/>
      <c r="NPE8" s="484"/>
      <c r="NPF8" s="484"/>
      <c r="NPG8" s="484"/>
      <c r="NPH8" s="484"/>
      <c r="NPI8" s="484"/>
      <c r="NPJ8" s="484"/>
      <c r="NPK8" s="484"/>
      <c r="NPL8" s="484"/>
      <c r="NPM8" s="484"/>
      <c r="NPN8" s="484"/>
      <c r="NPO8" s="484"/>
      <c r="NPP8" s="484"/>
      <c r="NPQ8" s="484"/>
      <c r="NPR8" s="484"/>
      <c r="NPS8" s="484"/>
      <c r="NPT8" s="484"/>
      <c r="NPU8" s="484"/>
      <c r="NPV8" s="484"/>
      <c r="NPW8" s="484"/>
      <c r="NPX8" s="484"/>
      <c r="NPY8" s="484"/>
      <c r="NPZ8" s="484"/>
      <c r="NQA8" s="484"/>
      <c r="NQB8" s="484"/>
      <c r="NQC8" s="484"/>
      <c r="NQD8" s="484"/>
      <c r="NQE8" s="484"/>
      <c r="NQF8" s="484"/>
      <c r="NQG8" s="484"/>
      <c r="NQH8" s="484"/>
      <c r="NQI8" s="484"/>
      <c r="NQJ8" s="484"/>
      <c r="NQK8" s="484"/>
      <c r="NQL8" s="484"/>
      <c r="NQM8" s="484"/>
      <c r="NQN8" s="484"/>
      <c r="NQO8" s="484"/>
      <c r="NQP8" s="484"/>
      <c r="NQQ8" s="484"/>
      <c r="NQR8" s="484"/>
      <c r="NQS8" s="484"/>
      <c r="NQT8" s="484"/>
      <c r="NQU8" s="484"/>
      <c r="NQV8" s="484"/>
      <c r="NQW8" s="484"/>
      <c r="NQX8" s="484"/>
      <c r="NQY8" s="484"/>
      <c r="NQZ8" s="484"/>
      <c r="NRA8" s="484"/>
      <c r="NRB8" s="484"/>
      <c r="NRC8" s="484"/>
      <c r="NRD8" s="484"/>
      <c r="NRE8" s="484"/>
      <c r="NRF8" s="484"/>
      <c r="NRG8" s="484"/>
      <c r="NRH8" s="484"/>
      <c r="NRI8" s="484"/>
      <c r="NRJ8" s="484"/>
      <c r="NRK8" s="484"/>
      <c r="NRL8" s="484"/>
      <c r="NRM8" s="484"/>
      <c r="NRN8" s="484"/>
      <c r="NRO8" s="484"/>
      <c r="NRP8" s="484"/>
      <c r="NRQ8" s="484"/>
      <c r="NRR8" s="484"/>
      <c r="NRS8" s="484"/>
      <c r="NRT8" s="484"/>
      <c r="NRU8" s="484"/>
      <c r="NRV8" s="484"/>
      <c r="NRW8" s="484"/>
      <c r="NRX8" s="484"/>
      <c r="NRY8" s="484"/>
      <c r="NRZ8" s="484"/>
      <c r="NSA8" s="484"/>
      <c r="NSB8" s="484"/>
      <c r="NSC8" s="484"/>
      <c r="NSD8" s="484"/>
      <c r="NSE8" s="484"/>
      <c r="NSF8" s="484"/>
      <c r="NSG8" s="484"/>
      <c r="NSH8" s="484"/>
      <c r="NSI8" s="484"/>
      <c r="NSJ8" s="484"/>
      <c r="NSK8" s="484"/>
      <c r="NSL8" s="484"/>
      <c r="NSM8" s="484"/>
      <c r="NSN8" s="484"/>
      <c r="NSO8" s="484"/>
      <c r="NSP8" s="484"/>
      <c r="NSQ8" s="484"/>
      <c r="NSR8" s="484"/>
      <c r="NSS8" s="484"/>
      <c r="NST8" s="484"/>
      <c r="NSU8" s="484"/>
      <c r="NSV8" s="484"/>
      <c r="NSW8" s="484"/>
      <c r="NSX8" s="484"/>
      <c r="NSY8" s="484"/>
      <c r="NSZ8" s="484"/>
      <c r="NTA8" s="484"/>
      <c r="NTB8" s="484"/>
      <c r="NTC8" s="484"/>
      <c r="NTD8" s="484"/>
      <c r="NTE8" s="484"/>
      <c r="NTF8" s="484"/>
      <c r="NTG8" s="484"/>
      <c r="NTH8" s="484"/>
      <c r="NTI8" s="484"/>
      <c r="NTJ8" s="484"/>
      <c r="NTK8" s="484"/>
      <c r="NTL8" s="484"/>
      <c r="NTM8" s="484"/>
      <c r="NTN8" s="484"/>
      <c r="NTO8" s="484"/>
      <c r="NTP8" s="484"/>
      <c r="NTQ8" s="484"/>
      <c r="NTR8" s="484"/>
      <c r="NTS8" s="484"/>
      <c r="NTT8" s="484"/>
      <c r="NTU8" s="484"/>
      <c r="NTV8" s="484"/>
      <c r="NTW8" s="484"/>
      <c r="NTX8" s="484"/>
      <c r="NTY8" s="484"/>
      <c r="NTZ8" s="484"/>
      <c r="NUA8" s="484"/>
      <c r="NUB8" s="484"/>
      <c r="NUC8" s="484"/>
      <c r="NUD8" s="484"/>
      <c r="NUE8" s="484"/>
      <c r="NUF8" s="484"/>
      <c r="NUG8" s="484"/>
      <c r="NUH8" s="484"/>
      <c r="NUI8" s="484"/>
      <c r="NUJ8" s="484"/>
      <c r="NUK8" s="484"/>
      <c r="NUL8" s="484"/>
      <c r="NUM8" s="484"/>
      <c r="NUN8" s="484"/>
      <c r="NUO8" s="484"/>
      <c r="NUP8" s="484"/>
      <c r="NUQ8" s="484"/>
      <c r="NUR8" s="484"/>
      <c r="NUS8" s="484"/>
      <c r="NUT8" s="484"/>
      <c r="NUU8" s="484"/>
      <c r="NUV8" s="484"/>
      <c r="NUW8" s="484"/>
      <c r="NUX8" s="484"/>
      <c r="NUY8" s="484"/>
      <c r="NUZ8" s="484"/>
      <c r="NVA8" s="484"/>
      <c r="NVB8" s="484"/>
      <c r="NVC8" s="484"/>
      <c r="NVD8" s="484"/>
      <c r="NVE8" s="484"/>
      <c r="NVF8" s="484"/>
      <c r="NVG8" s="484"/>
      <c r="NVH8" s="484"/>
      <c r="NVI8" s="484"/>
      <c r="NVJ8" s="484"/>
      <c r="NVK8" s="484"/>
      <c r="NVL8" s="484"/>
      <c r="NVM8" s="484"/>
      <c r="NVN8" s="484"/>
      <c r="NVO8" s="484"/>
      <c r="NVP8" s="484"/>
      <c r="NVQ8" s="484"/>
      <c r="NVR8" s="484"/>
      <c r="NVS8" s="484"/>
      <c r="NVT8" s="484"/>
      <c r="NVU8" s="484"/>
      <c r="NVV8" s="484"/>
      <c r="NVW8" s="484"/>
      <c r="NVX8" s="484"/>
      <c r="NVY8" s="484"/>
      <c r="NVZ8" s="484"/>
      <c r="NWA8" s="484"/>
      <c r="NWB8" s="484"/>
      <c r="NWC8" s="484"/>
      <c r="NWD8" s="484"/>
      <c r="NWE8" s="484"/>
      <c r="NWF8" s="484"/>
      <c r="NWG8" s="484"/>
      <c r="NWH8" s="484"/>
      <c r="NWI8" s="484"/>
      <c r="NWJ8" s="484"/>
      <c r="NWK8" s="484"/>
      <c r="NWL8" s="484"/>
      <c r="NWM8" s="484"/>
      <c r="NWN8" s="484"/>
      <c r="NWO8" s="484"/>
      <c r="NWP8" s="484"/>
      <c r="NWQ8" s="484"/>
      <c r="NWR8" s="484"/>
      <c r="NWS8" s="484"/>
      <c r="NWT8" s="484"/>
      <c r="NWU8" s="484"/>
      <c r="NWV8" s="484"/>
      <c r="NWW8" s="484"/>
      <c r="NWX8" s="484"/>
      <c r="NWY8" s="484"/>
      <c r="NWZ8" s="484"/>
      <c r="NXA8" s="484"/>
      <c r="NXB8" s="484"/>
      <c r="NXC8" s="484"/>
      <c r="NXD8" s="484"/>
      <c r="NXE8" s="484"/>
      <c r="NXF8" s="484"/>
      <c r="NXG8" s="484"/>
      <c r="NXH8" s="484"/>
      <c r="NXI8" s="484"/>
      <c r="NXJ8" s="484"/>
      <c r="NXK8" s="484"/>
      <c r="NXL8" s="484"/>
      <c r="NXM8" s="484"/>
      <c r="NXN8" s="484"/>
      <c r="NXO8" s="484"/>
      <c r="NXP8" s="484"/>
      <c r="NXQ8" s="484"/>
      <c r="NXR8" s="484"/>
      <c r="NXS8" s="484"/>
      <c r="NXT8" s="484"/>
      <c r="NXU8" s="484"/>
      <c r="NXV8" s="484"/>
      <c r="NXW8" s="484"/>
      <c r="NXX8" s="484"/>
      <c r="NXY8" s="484"/>
      <c r="NXZ8" s="484"/>
      <c r="NYA8" s="484"/>
      <c r="NYB8" s="484"/>
      <c r="NYC8" s="484"/>
      <c r="NYD8" s="484"/>
      <c r="NYE8" s="484"/>
      <c r="NYF8" s="484"/>
      <c r="NYG8" s="484"/>
      <c r="NYH8" s="484"/>
      <c r="NYI8" s="484"/>
      <c r="NYJ8" s="484"/>
      <c r="NYK8" s="484"/>
      <c r="NYL8" s="484"/>
      <c r="NYM8" s="484"/>
      <c r="NYN8" s="484"/>
      <c r="NYO8" s="484"/>
      <c r="NYP8" s="484"/>
      <c r="NYQ8" s="484"/>
      <c r="NYR8" s="484"/>
      <c r="NYS8" s="484"/>
      <c r="NYT8" s="484"/>
      <c r="NYU8" s="484"/>
      <c r="NYV8" s="484"/>
      <c r="NYW8" s="484"/>
      <c r="NYX8" s="484"/>
      <c r="NYY8" s="484"/>
      <c r="NYZ8" s="484"/>
      <c r="NZA8" s="484"/>
      <c r="NZB8" s="484"/>
      <c r="NZC8" s="484"/>
      <c r="NZD8" s="484"/>
      <c r="NZE8" s="484"/>
      <c r="NZF8" s="484"/>
      <c r="NZG8" s="484"/>
      <c r="NZH8" s="484"/>
      <c r="NZI8" s="484"/>
      <c r="NZJ8" s="484"/>
      <c r="NZK8" s="484"/>
      <c r="NZL8" s="484"/>
      <c r="NZM8" s="484"/>
      <c r="NZN8" s="484"/>
      <c r="NZO8" s="484"/>
      <c r="NZP8" s="484"/>
      <c r="NZQ8" s="484"/>
      <c r="NZR8" s="484"/>
      <c r="NZS8" s="484"/>
      <c r="NZT8" s="484"/>
      <c r="NZU8" s="484"/>
      <c r="NZV8" s="484"/>
      <c r="NZW8" s="484"/>
      <c r="NZX8" s="484"/>
      <c r="NZY8" s="484"/>
      <c r="NZZ8" s="484"/>
      <c r="OAA8" s="484"/>
      <c r="OAB8" s="484"/>
      <c r="OAC8" s="484"/>
      <c r="OAD8" s="484"/>
      <c r="OAE8" s="484"/>
      <c r="OAF8" s="484"/>
      <c r="OAG8" s="484"/>
      <c r="OAH8" s="484"/>
      <c r="OAI8" s="484"/>
      <c r="OAJ8" s="484"/>
      <c r="OAK8" s="484"/>
      <c r="OAL8" s="484"/>
      <c r="OAM8" s="484"/>
      <c r="OAN8" s="484"/>
      <c r="OAO8" s="484"/>
      <c r="OAP8" s="484"/>
      <c r="OAQ8" s="484"/>
      <c r="OAR8" s="484"/>
      <c r="OAS8" s="484"/>
      <c r="OAT8" s="484"/>
      <c r="OAU8" s="484"/>
      <c r="OAV8" s="484"/>
      <c r="OAW8" s="484"/>
      <c r="OAX8" s="484"/>
      <c r="OAY8" s="484"/>
      <c r="OAZ8" s="484"/>
      <c r="OBA8" s="484"/>
      <c r="OBB8" s="484"/>
      <c r="OBC8" s="484"/>
      <c r="OBD8" s="484"/>
      <c r="OBE8" s="484"/>
      <c r="OBF8" s="484"/>
      <c r="OBG8" s="484"/>
      <c r="OBH8" s="484"/>
      <c r="OBI8" s="484"/>
      <c r="OBJ8" s="484"/>
      <c r="OBK8" s="484"/>
      <c r="OBL8" s="484"/>
      <c r="OBM8" s="484"/>
      <c r="OBN8" s="484"/>
      <c r="OBO8" s="484"/>
      <c r="OBP8" s="484"/>
      <c r="OBQ8" s="484"/>
      <c r="OBR8" s="484"/>
      <c r="OBS8" s="484"/>
      <c r="OBT8" s="484"/>
      <c r="OBU8" s="484"/>
      <c r="OBV8" s="484"/>
      <c r="OBW8" s="484"/>
      <c r="OBX8" s="484"/>
      <c r="OBY8" s="484"/>
      <c r="OBZ8" s="484"/>
      <c r="OCA8" s="484"/>
      <c r="OCB8" s="484"/>
      <c r="OCC8" s="484"/>
      <c r="OCD8" s="484"/>
      <c r="OCE8" s="484"/>
      <c r="OCF8" s="484"/>
      <c r="OCG8" s="484"/>
      <c r="OCH8" s="484"/>
      <c r="OCI8" s="484"/>
      <c r="OCJ8" s="484"/>
      <c r="OCK8" s="484"/>
      <c r="OCL8" s="484"/>
      <c r="OCM8" s="484"/>
      <c r="OCN8" s="484"/>
      <c r="OCO8" s="484"/>
      <c r="OCP8" s="484"/>
      <c r="OCQ8" s="484"/>
      <c r="OCR8" s="484"/>
      <c r="OCS8" s="484"/>
      <c r="OCT8" s="484"/>
      <c r="OCU8" s="484"/>
      <c r="OCV8" s="484"/>
      <c r="OCW8" s="484"/>
      <c r="OCX8" s="484"/>
      <c r="OCY8" s="484"/>
      <c r="OCZ8" s="484"/>
      <c r="ODA8" s="484"/>
      <c r="ODB8" s="484"/>
      <c r="ODC8" s="484"/>
      <c r="ODD8" s="484"/>
      <c r="ODE8" s="484"/>
      <c r="ODF8" s="484"/>
      <c r="ODG8" s="484"/>
      <c r="ODH8" s="484"/>
      <c r="ODI8" s="484"/>
      <c r="ODJ8" s="484"/>
      <c r="ODK8" s="484"/>
      <c r="ODL8" s="484"/>
      <c r="ODM8" s="484"/>
      <c r="ODN8" s="484"/>
      <c r="ODO8" s="484"/>
      <c r="ODP8" s="484"/>
      <c r="ODQ8" s="484"/>
      <c r="ODR8" s="484"/>
      <c r="ODS8" s="484"/>
      <c r="ODT8" s="484"/>
      <c r="ODU8" s="484"/>
      <c r="ODV8" s="484"/>
      <c r="ODW8" s="484"/>
      <c r="ODX8" s="484"/>
      <c r="ODY8" s="484"/>
      <c r="ODZ8" s="484"/>
      <c r="OEA8" s="484"/>
      <c r="OEB8" s="484"/>
      <c r="OEC8" s="484"/>
      <c r="OED8" s="484"/>
      <c r="OEE8" s="484"/>
      <c r="OEF8" s="484"/>
      <c r="OEG8" s="484"/>
      <c r="OEH8" s="484"/>
      <c r="OEI8" s="484"/>
      <c r="OEJ8" s="484"/>
      <c r="OEK8" s="484"/>
      <c r="OEL8" s="484"/>
      <c r="OEM8" s="484"/>
      <c r="OEN8" s="484"/>
      <c r="OEO8" s="484"/>
      <c r="OEP8" s="484"/>
      <c r="OEQ8" s="484"/>
      <c r="OER8" s="484"/>
      <c r="OES8" s="484"/>
      <c r="OET8" s="484"/>
      <c r="OEU8" s="484"/>
      <c r="OEV8" s="484"/>
      <c r="OEW8" s="484"/>
      <c r="OEX8" s="484"/>
      <c r="OEY8" s="484"/>
      <c r="OEZ8" s="484"/>
      <c r="OFA8" s="484"/>
      <c r="OFB8" s="484"/>
      <c r="OFC8" s="484"/>
      <c r="OFD8" s="484"/>
      <c r="OFE8" s="484"/>
      <c r="OFF8" s="484"/>
      <c r="OFG8" s="484"/>
      <c r="OFH8" s="484"/>
      <c r="OFI8" s="484"/>
      <c r="OFJ8" s="484"/>
      <c r="OFK8" s="484"/>
      <c r="OFL8" s="484"/>
      <c r="OFM8" s="484"/>
      <c r="OFN8" s="484"/>
      <c r="OFO8" s="484"/>
      <c r="OFP8" s="484"/>
      <c r="OFQ8" s="484"/>
      <c r="OFR8" s="484"/>
      <c r="OFS8" s="484"/>
      <c r="OFT8" s="484"/>
      <c r="OFU8" s="484"/>
      <c r="OFV8" s="484"/>
      <c r="OFW8" s="484"/>
      <c r="OFX8" s="484"/>
      <c r="OFY8" s="484"/>
      <c r="OFZ8" s="484"/>
      <c r="OGA8" s="484"/>
      <c r="OGB8" s="484"/>
      <c r="OGC8" s="484"/>
      <c r="OGD8" s="484"/>
      <c r="OGE8" s="484"/>
      <c r="OGF8" s="484"/>
      <c r="OGG8" s="484"/>
      <c r="OGH8" s="484"/>
      <c r="OGI8" s="484"/>
      <c r="OGJ8" s="484"/>
      <c r="OGK8" s="484"/>
      <c r="OGL8" s="484"/>
      <c r="OGM8" s="484"/>
      <c r="OGN8" s="484"/>
      <c r="OGO8" s="484"/>
      <c r="OGP8" s="484"/>
      <c r="OGQ8" s="484"/>
      <c r="OGR8" s="484"/>
      <c r="OGS8" s="484"/>
      <c r="OGT8" s="484"/>
      <c r="OGU8" s="484"/>
      <c r="OGV8" s="484"/>
      <c r="OGW8" s="484"/>
      <c r="OGX8" s="484"/>
      <c r="OGY8" s="484"/>
      <c r="OGZ8" s="484"/>
      <c r="OHA8" s="484"/>
      <c r="OHB8" s="484"/>
      <c r="OHC8" s="484"/>
      <c r="OHD8" s="484"/>
      <c r="OHE8" s="484"/>
      <c r="OHF8" s="484"/>
      <c r="OHG8" s="484"/>
      <c r="OHH8" s="484"/>
      <c r="OHI8" s="484"/>
      <c r="OHJ8" s="484"/>
      <c r="OHK8" s="484"/>
      <c r="OHL8" s="484"/>
      <c r="OHM8" s="484"/>
      <c r="OHN8" s="484"/>
      <c r="OHO8" s="484"/>
      <c r="OHP8" s="484"/>
      <c r="OHQ8" s="484"/>
      <c r="OHR8" s="484"/>
      <c r="OHS8" s="484"/>
      <c r="OHT8" s="484"/>
      <c r="OHU8" s="484"/>
      <c r="OHV8" s="484"/>
      <c r="OHW8" s="484"/>
      <c r="OHX8" s="484"/>
      <c r="OHY8" s="484"/>
      <c r="OHZ8" s="484"/>
      <c r="OIA8" s="484"/>
      <c r="OIB8" s="484"/>
      <c r="OIC8" s="484"/>
      <c r="OID8" s="484"/>
      <c r="OIE8" s="484"/>
      <c r="OIF8" s="484"/>
      <c r="OIG8" s="484"/>
      <c r="OIH8" s="484"/>
      <c r="OII8" s="484"/>
      <c r="OIJ8" s="484"/>
      <c r="OIK8" s="484"/>
      <c r="OIL8" s="484"/>
      <c r="OIM8" s="484"/>
      <c r="OIN8" s="484"/>
      <c r="OIO8" s="484"/>
      <c r="OIP8" s="484"/>
      <c r="OIQ8" s="484"/>
      <c r="OIR8" s="484"/>
      <c r="OIS8" s="484"/>
      <c r="OIT8" s="484"/>
      <c r="OIU8" s="484"/>
      <c r="OIV8" s="484"/>
      <c r="OIW8" s="484"/>
      <c r="OIX8" s="484"/>
      <c r="OIY8" s="484"/>
      <c r="OIZ8" s="484"/>
      <c r="OJA8" s="484"/>
      <c r="OJB8" s="484"/>
      <c r="OJC8" s="484"/>
      <c r="OJD8" s="484"/>
      <c r="OJE8" s="484"/>
      <c r="OJF8" s="484"/>
      <c r="OJG8" s="484"/>
      <c r="OJH8" s="484"/>
      <c r="OJI8" s="484"/>
      <c r="OJJ8" s="484"/>
      <c r="OJK8" s="484"/>
      <c r="OJL8" s="484"/>
      <c r="OJM8" s="484"/>
      <c r="OJN8" s="484"/>
      <c r="OJO8" s="484"/>
      <c r="OJP8" s="484"/>
      <c r="OJQ8" s="484"/>
      <c r="OJR8" s="484"/>
      <c r="OJS8" s="484"/>
      <c r="OJT8" s="484"/>
      <c r="OJU8" s="484"/>
      <c r="OJV8" s="484"/>
      <c r="OJW8" s="484"/>
      <c r="OJX8" s="484"/>
      <c r="OJY8" s="484"/>
      <c r="OJZ8" s="484"/>
      <c r="OKA8" s="484"/>
      <c r="OKB8" s="484"/>
      <c r="OKC8" s="484"/>
      <c r="OKD8" s="484"/>
      <c r="OKE8" s="484"/>
      <c r="OKF8" s="484"/>
      <c r="OKG8" s="484"/>
      <c r="OKH8" s="484"/>
      <c r="OKI8" s="484"/>
      <c r="OKJ8" s="484"/>
      <c r="OKK8" s="484"/>
      <c r="OKL8" s="484"/>
      <c r="OKM8" s="484"/>
      <c r="OKN8" s="484"/>
      <c r="OKO8" s="484"/>
      <c r="OKP8" s="484"/>
      <c r="OKQ8" s="484"/>
      <c r="OKR8" s="484"/>
      <c r="OKS8" s="484"/>
      <c r="OKT8" s="484"/>
      <c r="OKU8" s="484"/>
      <c r="OKV8" s="484"/>
      <c r="OKW8" s="484"/>
      <c r="OKX8" s="484"/>
      <c r="OKY8" s="484"/>
      <c r="OKZ8" s="484"/>
      <c r="OLA8" s="484"/>
      <c r="OLB8" s="484"/>
      <c r="OLC8" s="484"/>
      <c r="OLD8" s="484"/>
      <c r="OLE8" s="484"/>
      <c r="OLF8" s="484"/>
      <c r="OLG8" s="484"/>
      <c r="OLH8" s="484"/>
      <c r="OLI8" s="484"/>
      <c r="OLJ8" s="484"/>
      <c r="OLK8" s="484"/>
      <c r="OLL8" s="484"/>
      <c r="OLM8" s="484"/>
      <c r="OLN8" s="484"/>
      <c r="OLO8" s="484"/>
      <c r="OLP8" s="484"/>
      <c r="OLQ8" s="484"/>
      <c r="OLR8" s="484"/>
      <c r="OLS8" s="484"/>
      <c r="OLT8" s="484"/>
      <c r="OLU8" s="484"/>
      <c r="OLV8" s="484"/>
      <c r="OLW8" s="484"/>
      <c r="OLX8" s="484"/>
      <c r="OLY8" s="484"/>
      <c r="OLZ8" s="484"/>
      <c r="OMA8" s="484"/>
      <c r="OMB8" s="484"/>
      <c r="OMC8" s="484"/>
      <c r="OMD8" s="484"/>
      <c r="OME8" s="484"/>
      <c r="OMF8" s="484"/>
      <c r="OMG8" s="484"/>
      <c r="OMH8" s="484"/>
      <c r="OMI8" s="484"/>
      <c r="OMJ8" s="484"/>
      <c r="OMK8" s="484"/>
      <c r="OML8" s="484"/>
      <c r="OMM8" s="484"/>
      <c r="OMN8" s="484"/>
      <c r="OMO8" s="484"/>
      <c r="OMP8" s="484"/>
      <c r="OMQ8" s="484"/>
      <c r="OMR8" s="484"/>
      <c r="OMS8" s="484"/>
      <c r="OMT8" s="484"/>
      <c r="OMU8" s="484"/>
      <c r="OMV8" s="484"/>
      <c r="OMW8" s="484"/>
      <c r="OMX8" s="484"/>
      <c r="OMY8" s="484"/>
      <c r="OMZ8" s="484"/>
      <c r="ONA8" s="484"/>
      <c r="ONB8" s="484"/>
      <c r="ONC8" s="484"/>
      <c r="OND8" s="484"/>
      <c r="ONE8" s="484"/>
      <c r="ONF8" s="484"/>
      <c r="ONG8" s="484"/>
      <c r="ONH8" s="484"/>
      <c r="ONI8" s="484"/>
      <c r="ONJ8" s="484"/>
      <c r="ONK8" s="484"/>
      <c r="ONL8" s="484"/>
      <c r="ONM8" s="484"/>
      <c r="ONN8" s="484"/>
      <c r="ONO8" s="484"/>
      <c r="ONP8" s="484"/>
      <c r="ONQ8" s="484"/>
      <c r="ONR8" s="484"/>
      <c r="ONS8" s="484"/>
      <c r="ONT8" s="484"/>
      <c r="ONU8" s="484"/>
      <c r="ONV8" s="484"/>
      <c r="ONW8" s="484"/>
      <c r="ONX8" s="484"/>
      <c r="ONY8" s="484"/>
      <c r="ONZ8" s="484"/>
      <c r="OOA8" s="484"/>
      <c r="OOB8" s="484"/>
      <c r="OOC8" s="484"/>
      <c r="OOD8" s="484"/>
      <c r="OOE8" s="484"/>
      <c r="OOF8" s="484"/>
      <c r="OOG8" s="484"/>
      <c r="OOH8" s="484"/>
      <c r="OOI8" s="484"/>
      <c r="OOJ8" s="484"/>
      <c r="OOK8" s="484"/>
      <c r="OOL8" s="484"/>
      <c r="OOM8" s="484"/>
      <c r="OON8" s="484"/>
      <c r="OOO8" s="484"/>
      <c r="OOP8" s="484"/>
      <c r="OOQ8" s="484"/>
      <c r="OOR8" s="484"/>
      <c r="OOS8" s="484"/>
      <c r="OOT8" s="484"/>
      <c r="OOU8" s="484"/>
      <c r="OOV8" s="484"/>
      <c r="OOW8" s="484"/>
      <c r="OOX8" s="484"/>
      <c r="OOY8" s="484"/>
      <c r="OOZ8" s="484"/>
      <c r="OPA8" s="484"/>
      <c r="OPB8" s="484"/>
      <c r="OPC8" s="484"/>
      <c r="OPD8" s="484"/>
      <c r="OPE8" s="484"/>
      <c r="OPF8" s="484"/>
      <c r="OPG8" s="484"/>
      <c r="OPH8" s="484"/>
      <c r="OPI8" s="484"/>
      <c r="OPJ8" s="484"/>
      <c r="OPK8" s="484"/>
      <c r="OPL8" s="484"/>
      <c r="OPM8" s="484"/>
      <c r="OPN8" s="484"/>
      <c r="OPO8" s="484"/>
      <c r="OPP8" s="484"/>
      <c r="OPQ8" s="484"/>
      <c r="OPR8" s="484"/>
      <c r="OPS8" s="484"/>
      <c r="OPT8" s="484"/>
      <c r="OPU8" s="484"/>
      <c r="OPV8" s="484"/>
      <c r="OPW8" s="484"/>
      <c r="OPX8" s="484"/>
      <c r="OPY8" s="484"/>
      <c r="OPZ8" s="484"/>
      <c r="OQA8" s="484"/>
      <c r="OQB8" s="484"/>
      <c r="OQC8" s="484"/>
      <c r="OQD8" s="484"/>
      <c r="OQE8" s="484"/>
      <c r="OQF8" s="484"/>
      <c r="OQG8" s="484"/>
      <c r="OQH8" s="484"/>
      <c r="OQI8" s="484"/>
      <c r="OQJ8" s="484"/>
      <c r="OQK8" s="484"/>
      <c r="OQL8" s="484"/>
      <c r="OQM8" s="484"/>
      <c r="OQN8" s="484"/>
      <c r="OQO8" s="484"/>
      <c r="OQP8" s="484"/>
      <c r="OQQ8" s="484"/>
      <c r="OQR8" s="484"/>
      <c r="OQS8" s="484"/>
      <c r="OQT8" s="484"/>
      <c r="OQU8" s="484"/>
      <c r="OQV8" s="484"/>
      <c r="OQW8" s="484"/>
      <c r="OQX8" s="484"/>
      <c r="OQY8" s="484"/>
      <c r="OQZ8" s="484"/>
      <c r="ORA8" s="484"/>
      <c r="ORB8" s="484"/>
      <c r="ORC8" s="484"/>
      <c r="ORD8" s="484"/>
      <c r="ORE8" s="484"/>
      <c r="ORF8" s="484"/>
      <c r="ORG8" s="484"/>
      <c r="ORH8" s="484"/>
      <c r="ORI8" s="484"/>
      <c r="ORJ8" s="484"/>
      <c r="ORK8" s="484"/>
      <c r="ORL8" s="484"/>
      <c r="ORM8" s="484"/>
      <c r="ORN8" s="484"/>
      <c r="ORO8" s="484"/>
      <c r="ORP8" s="484"/>
      <c r="ORQ8" s="484"/>
      <c r="ORR8" s="484"/>
      <c r="ORS8" s="484"/>
      <c r="ORT8" s="484"/>
      <c r="ORU8" s="484"/>
      <c r="ORV8" s="484"/>
      <c r="ORW8" s="484"/>
      <c r="ORX8" s="484"/>
      <c r="ORY8" s="484"/>
      <c r="ORZ8" s="484"/>
      <c r="OSA8" s="484"/>
      <c r="OSB8" s="484"/>
      <c r="OSC8" s="484"/>
      <c r="OSD8" s="484"/>
      <c r="OSE8" s="484"/>
      <c r="OSF8" s="484"/>
      <c r="OSG8" s="484"/>
      <c r="OSH8" s="484"/>
      <c r="OSI8" s="484"/>
      <c r="OSJ8" s="484"/>
      <c r="OSK8" s="484"/>
      <c r="OSL8" s="484"/>
      <c r="OSM8" s="484"/>
      <c r="OSN8" s="484"/>
      <c r="OSO8" s="484"/>
      <c r="OSP8" s="484"/>
      <c r="OSQ8" s="484"/>
      <c r="OSR8" s="484"/>
      <c r="OSS8" s="484"/>
      <c r="OST8" s="484"/>
      <c r="OSU8" s="484"/>
      <c r="OSV8" s="484"/>
      <c r="OSW8" s="484"/>
      <c r="OSX8" s="484"/>
      <c r="OSY8" s="484"/>
      <c r="OSZ8" s="484"/>
      <c r="OTA8" s="484"/>
      <c r="OTB8" s="484"/>
      <c r="OTC8" s="484"/>
      <c r="OTD8" s="484"/>
      <c r="OTE8" s="484"/>
      <c r="OTF8" s="484"/>
      <c r="OTG8" s="484"/>
      <c r="OTH8" s="484"/>
      <c r="OTI8" s="484"/>
      <c r="OTJ8" s="484"/>
      <c r="OTK8" s="484"/>
      <c r="OTL8" s="484"/>
      <c r="OTM8" s="484"/>
      <c r="OTN8" s="484"/>
      <c r="OTO8" s="484"/>
      <c r="OTP8" s="484"/>
      <c r="OTQ8" s="484"/>
      <c r="OTR8" s="484"/>
      <c r="OTS8" s="484"/>
      <c r="OTT8" s="484"/>
      <c r="OTU8" s="484"/>
      <c r="OTV8" s="484"/>
      <c r="OTW8" s="484"/>
      <c r="OTX8" s="484"/>
      <c r="OTY8" s="484"/>
      <c r="OTZ8" s="484"/>
      <c r="OUA8" s="484"/>
      <c r="OUB8" s="484"/>
      <c r="OUC8" s="484"/>
      <c r="OUD8" s="484"/>
      <c r="OUE8" s="484"/>
      <c r="OUF8" s="484"/>
      <c r="OUG8" s="484"/>
      <c r="OUH8" s="484"/>
      <c r="OUI8" s="484"/>
      <c r="OUJ8" s="484"/>
      <c r="OUK8" s="484"/>
      <c r="OUL8" s="484"/>
      <c r="OUM8" s="484"/>
      <c r="OUN8" s="484"/>
      <c r="OUO8" s="484"/>
      <c r="OUP8" s="484"/>
      <c r="OUQ8" s="484"/>
      <c r="OUR8" s="484"/>
      <c r="OUS8" s="484"/>
      <c r="OUT8" s="484"/>
      <c r="OUU8" s="484"/>
      <c r="OUV8" s="484"/>
      <c r="OUW8" s="484"/>
      <c r="OUX8" s="484"/>
      <c r="OUY8" s="484"/>
      <c r="OUZ8" s="484"/>
      <c r="OVA8" s="484"/>
      <c r="OVB8" s="484"/>
      <c r="OVC8" s="484"/>
      <c r="OVD8" s="484"/>
      <c r="OVE8" s="484"/>
      <c r="OVF8" s="484"/>
      <c r="OVG8" s="484"/>
      <c r="OVH8" s="484"/>
      <c r="OVI8" s="484"/>
      <c r="OVJ8" s="484"/>
      <c r="OVK8" s="484"/>
      <c r="OVL8" s="484"/>
      <c r="OVM8" s="484"/>
      <c r="OVN8" s="484"/>
      <c r="OVO8" s="484"/>
      <c r="OVP8" s="484"/>
      <c r="OVQ8" s="484"/>
      <c r="OVR8" s="484"/>
      <c r="OVS8" s="484"/>
      <c r="OVT8" s="484"/>
      <c r="OVU8" s="484"/>
      <c r="OVV8" s="484"/>
      <c r="OVW8" s="484"/>
      <c r="OVX8" s="484"/>
      <c r="OVY8" s="484"/>
      <c r="OVZ8" s="484"/>
      <c r="OWA8" s="484"/>
      <c r="OWB8" s="484"/>
      <c r="OWC8" s="484"/>
      <c r="OWD8" s="484"/>
      <c r="OWE8" s="484"/>
      <c r="OWF8" s="484"/>
      <c r="OWG8" s="484"/>
      <c r="OWH8" s="484"/>
      <c r="OWI8" s="484"/>
      <c r="OWJ8" s="484"/>
      <c r="OWK8" s="484"/>
      <c r="OWL8" s="484"/>
      <c r="OWM8" s="484"/>
      <c r="OWN8" s="484"/>
      <c r="OWO8" s="484"/>
      <c r="OWP8" s="484"/>
      <c r="OWQ8" s="484"/>
      <c r="OWR8" s="484"/>
      <c r="OWS8" s="484"/>
      <c r="OWT8" s="484"/>
      <c r="OWU8" s="484"/>
      <c r="OWV8" s="484"/>
      <c r="OWW8" s="484"/>
      <c r="OWX8" s="484"/>
      <c r="OWY8" s="484"/>
      <c r="OWZ8" s="484"/>
      <c r="OXA8" s="484"/>
      <c r="OXB8" s="484"/>
      <c r="OXC8" s="484"/>
      <c r="OXD8" s="484"/>
      <c r="OXE8" s="484"/>
      <c r="OXF8" s="484"/>
      <c r="OXG8" s="484"/>
      <c r="OXH8" s="484"/>
      <c r="OXI8" s="484"/>
      <c r="OXJ8" s="484"/>
      <c r="OXK8" s="484"/>
      <c r="OXL8" s="484"/>
      <c r="OXM8" s="484"/>
      <c r="OXN8" s="484"/>
      <c r="OXO8" s="484"/>
      <c r="OXP8" s="484"/>
      <c r="OXQ8" s="484"/>
      <c r="OXR8" s="484"/>
      <c r="OXS8" s="484"/>
      <c r="OXT8" s="484"/>
      <c r="OXU8" s="484"/>
      <c r="OXV8" s="484"/>
      <c r="OXW8" s="484"/>
      <c r="OXX8" s="484"/>
      <c r="OXY8" s="484"/>
      <c r="OXZ8" s="484"/>
      <c r="OYA8" s="484"/>
      <c r="OYB8" s="484"/>
      <c r="OYC8" s="484"/>
      <c r="OYD8" s="484"/>
      <c r="OYE8" s="484"/>
      <c r="OYF8" s="484"/>
      <c r="OYG8" s="484"/>
      <c r="OYH8" s="484"/>
      <c r="OYI8" s="484"/>
      <c r="OYJ8" s="484"/>
      <c r="OYK8" s="484"/>
      <c r="OYL8" s="484"/>
      <c r="OYM8" s="484"/>
      <c r="OYN8" s="484"/>
      <c r="OYO8" s="484"/>
      <c r="OYP8" s="484"/>
      <c r="OYQ8" s="484"/>
      <c r="OYR8" s="484"/>
      <c r="OYS8" s="484"/>
      <c r="OYT8" s="484"/>
      <c r="OYU8" s="484"/>
      <c r="OYV8" s="484"/>
      <c r="OYW8" s="484"/>
      <c r="OYX8" s="484"/>
      <c r="OYY8" s="484"/>
      <c r="OYZ8" s="484"/>
      <c r="OZA8" s="484"/>
      <c r="OZB8" s="484"/>
      <c r="OZC8" s="484"/>
      <c r="OZD8" s="484"/>
      <c r="OZE8" s="484"/>
      <c r="OZF8" s="484"/>
      <c r="OZG8" s="484"/>
      <c r="OZH8" s="484"/>
      <c r="OZI8" s="484"/>
      <c r="OZJ8" s="484"/>
      <c r="OZK8" s="484"/>
      <c r="OZL8" s="484"/>
      <c r="OZM8" s="484"/>
      <c r="OZN8" s="484"/>
      <c r="OZO8" s="484"/>
      <c r="OZP8" s="484"/>
      <c r="OZQ8" s="484"/>
      <c r="OZR8" s="484"/>
      <c r="OZS8" s="484"/>
      <c r="OZT8" s="484"/>
      <c r="OZU8" s="484"/>
      <c r="OZV8" s="484"/>
      <c r="OZW8" s="484"/>
      <c r="OZX8" s="484"/>
      <c r="OZY8" s="484"/>
      <c r="OZZ8" s="484"/>
      <c r="PAA8" s="484"/>
      <c r="PAB8" s="484"/>
      <c r="PAC8" s="484"/>
      <c r="PAD8" s="484"/>
      <c r="PAE8" s="484"/>
      <c r="PAF8" s="484"/>
      <c r="PAG8" s="484"/>
      <c r="PAH8" s="484"/>
      <c r="PAI8" s="484"/>
      <c r="PAJ8" s="484"/>
      <c r="PAK8" s="484"/>
      <c r="PAL8" s="484"/>
      <c r="PAM8" s="484"/>
      <c r="PAN8" s="484"/>
      <c r="PAO8" s="484"/>
      <c r="PAP8" s="484"/>
      <c r="PAQ8" s="484"/>
      <c r="PAR8" s="484"/>
      <c r="PAS8" s="484"/>
      <c r="PAT8" s="484"/>
      <c r="PAU8" s="484"/>
      <c r="PAV8" s="484"/>
      <c r="PAW8" s="484"/>
      <c r="PAX8" s="484"/>
      <c r="PAY8" s="484"/>
      <c r="PAZ8" s="484"/>
      <c r="PBA8" s="484"/>
      <c r="PBB8" s="484"/>
      <c r="PBC8" s="484"/>
      <c r="PBD8" s="484"/>
      <c r="PBE8" s="484"/>
      <c r="PBF8" s="484"/>
      <c r="PBG8" s="484"/>
      <c r="PBH8" s="484"/>
      <c r="PBI8" s="484"/>
      <c r="PBJ8" s="484"/>
      <c r="PBK8" s="484"/>
      <c r="PBL8" s="484"/>
      <c r="PBM8" s="484"/>
      <c r="PBN8" s="484"/>
      <c r="PBO8" s="484"/>
      <c r="PBP8" s="484"/>
      <c r="PBQ8" s="484"/>
      <c r="PBR8" s="484"/>
      <c r="PBS8" s="484"/>
      <c r="PBT8" s="484"/>
      <c r="PBU8" s="484"/>
      <c r="PBV8" s="484"/>
      <c r="PBW8" s="484"/>
      <c r="PBX8" s="484"/>
      <c r="PBY8" s="484"/>
      <c r="PBZ8" s="484"/>
      <c r="PCA8" s="484"/>
      <c r="PCB8" s="484"/>
      <c r="PCC8" s="484"/>
      <c r="PCD8" s="484"/>
      <c r="PCE8" s="484"/>
      <c r="PCF8" s="484"/>
      <c r="PCG8" s="484"/>
      <c r="PCH8" s="484"/>
      <c r="PCI8" s="484"/>
      <c r="PCJ8" s="484"/>
      <c r="PCK8" s="484"/>
      <c r="PCL8" s="484"/>
      <c r="PCM8" s="484"/>
      <c r="PCN8" s="484"/>
      <c r="PCO8" s="484"/>
      <c r="PCP8" s="484"/>
      <c r="PCQ8" s="484"/>
      <c r="PCR8" s="484"/>
      <c r="PCS8" s="484"/>
      <c r="PCT8" s="484"/>
      <c r="PCU8" s="484"/>
      <c r="PCV8" s="484"/>
      <c r="PCW8" s="484"/>
      <c r="PCX8" s="484"/>
      <c r="PCY8" s="484"/>
      <c r="PCZ8" s="484"/>
      <c r="PDA8" s="484"/>
      <c r="PDB8" s="484"/>
      <c r="PDC8" s="484"/>
      <c r="PDD8" s="484"/>
      <c r="PDE8" s="484"/>
      <c r="PDF8" s="484"/>
      <c r="PDG8" s="484"/>
      <c r="PDH8" s="484"/>
      <c r="PDI8" s="484"/>
      <c r="PDJ8" s="484"/>
      <c r="PDK8" s="484"/>
      <c r="PDL8" s="484"/>
      <c r="PDM8" s="484"/>
      <c r="PDN8" s="484"/>
      <c r="PDO8" s="484"/>
      <c r="PDP8" s="484"/>
      <c r="PDQ8" s="484"/>
      <c r="PDR8" s="484"/>
      <c r="PDS8" s="484"/>
      <c r="PDT8" s="484"/>
      <c r="PDU8" s="484"/>
      <c r="PDV8" s="484"/>
      <c r="PDW8" s="484"/>
      <c r="PDX8" s="484"/>
      <c r="PDY8" s="484"/>
      <c r="PDZ8" s="484"/>
      <c r="PEA8" s="484"/>
      <c r="PEB8" s="484"/>
      <c r="PEC8" s="484"/>
      <c r="PED8" s="484"/>
      <c r="PEE8" s="484"/>
      <c r="PEF8" s="484"/>
      <c r="PEG8" s="484"/>
      <c r="PEH8" s="484"/>
      <c r="PEI8" s="484"/>
      <c r="PEJ8" s="484"/>
      <c r="PEK8" s="484"/>
      <c r="PEL8" s="484"/>
      <c r="PEM8" s="484"/>
      <c r="PEN8" s="484"/>
      <c r="PEO8" s="484"/>
      <c r="PEP8" s="484"/>
      <c r="PEQ8" s="484"/>
      <c r="PER8" s="484"/>
      <c r="PES8" s="484"/>
      <c r="PET8" s="484"/>
      <c r="PEU8" s="484"/>
      <c r="PEV8" s="484"/>
      <c r="PEW8" s="484"/>
      <c r="PEX8" s="484"/>
      <c r="PEY8" s="484"/>
      <c r="PEZ8" s="484"/>
      <c r="PFA8" s="484"/>
      <c r="PFB8" s="484"/>
      <c r="PFC8" s="484"/>
      <c r="PFD8" s="484"/>
      <c r="PFE8" s="484"/>
      <c r="PFF8" s="484"/>
      <c r="PFG8" s="484"/>
      <c r="PFH8" s="484"/>
      <c r="PFI8" s="484"/>
      <c r="PFJ8" s="484"/>
      <c r="PFK8" s="484"/>
      <c r="PFL8" s="484"/>
      <c r="PFM8" s="484"/>
      <c r="PFN8" s="484"/>
      <c r="PFO8" s="484"/>
      <c r="PFP8" s="484"/>
      <c r="PFQ8" s="484"/>
      <c r="PFR8" s="484"/>
      <c r="PFS8" s="484"/>
      <c r="PFT8" s="484"/>
      <c r="PFU8" s="484"/>
      <c r="PFV8" s="484"/>
      <c r="PFW8" s="484"/>
      <c r="PFX8" s="484"/>
      <c r="PFY8" s="484"/>
      <c r="PFZ8" s="484"/>
      <c r="PGA8" s="484"/>
      <c r="PGB8" s="484"/>
      <c r="PGC8" s="484"/>
      <c r="PGD8" s="484"/>
      <c r="PGE8" s="484"/>
      <c r="PGF8" s="484"/>
      <c r="PGG8" s="484"/>
      <c r="PGH8" s="484"/>
      <c r="PGI8" s="484"/>
      <c r="PGJ8" s="484"/>
      <c r="PGK8" s="484"/>
      <c r="PGL8" s="484"/>
      <c r="PGM8" s="484"/>
      <c r="PGN8" s="484"/>
      <c r="PGO8" s="484"/>
      <c r="PGP8" s="484"/>
      <c r="PGQ8" s="484"/>
      <c r="PGR8" s="484"/>
      <c r="PGS8" s="484"/>
      <c r="PGT8" s="484"/>
      <c r="PGU8" s="484"/>
      <c r="PGV8" s="484"/>
      <c r="PGW8" s="484"/>
      <c r="PGX8" s="484"/>
      <c r="PGY8" s="484"/>
      <c r="PGZ8" s="484"/>
      <c r="PHA8" s="484"/>
      <c r="PHB8" s="484"/>
      <c r="PHC8" s="484"/>
      <c r="PHD8" s="484"/>
      <c r="PHE8" s="484"/>
      <c r="PHF8" s="484"/>
      <c r="PHG8" s="484"/>
      <c r="PHH8" s="484"/>
      <c r="PHI8" s="484"/>
      <c r="PHJ8" s="484"/>
      <c r="PHK8" s="484"/>
      <c r="PHL8" s="484"/>
      <c r="PHM8" s="484"/>
      <c r="PHN8" s="484"/>
      <c r="PHO8" s="484"/>
      <c r="PHP8" s="484"/>
      <c r="PHQ8" s="484"/>
      <c r="PHR8" s="484"/>
      <c r="PHS8" s="484"/>
      <c r="PHT8" s="484"/>
      <c r="PHU8" s="484"/>
      <c r="PHV8" s="484"/>
      <c r="PHW8" s="484"/>
      <c r="PHX8" s="484"/>
      <c r="PHY8" s="484"/>
      <c r="PHZ8" s="484"/>
      <c r="PIA8" s="484"/>
      <c r="PIB8" s="484"/>
      <c r="PIC8" s="484"/>
      <c r="PID8" s="484"/>
      <c r="PIE8" s="484"/>
      <c r="PIF8" s="484"/>
      <c r="PIG8" s="484"/>
      <c r="PIH8" s="484"/>
      <c r="PII8" s="484"/>
      <c r="PIJ8" s="484"/>
      <c r="PIK8" s="484"/>
      <c r="PIL8" s="484"/>
      <c r="PIM8" s="484"/>
      <c r="PIN8" s="484"/>
      <c r="PIO8" s="484"/>
      <c r="PIP8" s="484"/>
      <c r="PIQ8" s="484"/>
      <c r="PIR8" s="484"/>
      <c r="PIS8" s="484"/>
      <c r="PIT8" s="484"/>
      <c r="PIU8" s="484"/>
      <c r="PIV8" s="484"/>
      <c r="PIW8" s="484"/>
      <c r="PIX8" s="484"/>
      <c r="PIY8" s="484"/>
      <c r="PIZ8" s="484"/>
      <c r="PJA8" s="484"/>
      <c r="PJB8" s="484"/>
      <c r="PJC8" s="484"/>
      <c r="PJD8" s="484"/>
      <c r="PJE8" s="484"/>
      <c r="PJF8" s="484"/>
      <c r="PJG8" s="484"/>
      <c r="PJH8" s="484"/>
      <c r="PJI8" s="484"/>
      <c r="PJJ8" s="484"/>
      <c r="PJK8" s="484"/>
      <c r="PJL8" s="484"/>
      <c r="PJM8" s="484"/>
      <c r="PJN8" s="484"/>
      <c r="PJO8" s="484"/>
      <c r="PJP8" s="484"/>
      <c r="PJQ8" s="484"/>
      <c r="PJR8" s="484"/>
      <c r="PJS8" s="484"/>
      <c r="PJT8" s="484"/>
      <c r="PJU8" s="484"/>
      <c r="PJV8" s="484"/>
      <c r="PJW8" s="484"/>
      <c r="PJX8" s="484"/>
      <c r="PJY8" s="484"/>
      <c r="PJZ8" s="484"/>
      <c r="PKA8" s="484"/>
      <c r="PKB8" s="484"/>
      <c r="PKC8" s="484"/>
      <c r="PKD8" s="484"/>
      <c r="PKE8" s="484"/>
      <c r="PKF8" s="484"/>
      <c r="PKG8" s="484"/>
      <c r="PKH8" s="484"/>
      <c r="PKI8" s="484"/>
      <c r="PKJ8" s="484"/>
      <c r="PKK8" s="484"/>
      <c r="PKL8" s="484"/>
      <c r="PKM8" s="484"/>
      <c r="PKN8" s="484"/>
      <c r="PKO8" s="484"/>
      <c r="PKP8" s="484"/>
      <c r="PKQ8" s="484"/>
      <c r="PKR8" s="484"/>
      <c r="PKS8" s="484"/>
      <c r="PKT8" s="484"/>
      <c r="PKU8" s="484"/>
      <c r="PKV8" s="484"/>
      <c r="PKW8" s="484"/>
      <c r="PKX8" s="484"/>
      <c r="PKY8" s="484"/>
      <c r="PKZ8" s="484"/>
      <c r="PLA8" s="484"/>
      <c r="PLB8" s="484"/>
      <c r="PLC8" s="484"/>
      <c r="PLD8" s="484"/>
      <c r="PLE8" s="484"/>
      <c r="PLF8" s="484"/>
      <c r="PLG8" s="484"/>
      <c r="PLH8" s="484"/>
      <c r="PLI8" s="484"/>
      <c r="PLJ8" s="484"/>
      <c r="PLK8" s="484"/>
      <c r="PLL8" s="484"/>
      <c r="PLM8" s="484"/>
      <c r="PLN8" s="484"/>
      <c r="PLO8" s="484"/>
      <c r="PLP8" s="484"/>
      <c r="PLQ8" s="484"/>
      <c r="PLR8" s="484"/>
      <c r="PLS8" s="484"/>
      <c r="PLT8" s="484"/>
      <c r="PLU8" s="484"/>
      <c r="PLV8" s="484"/>
      <c r="PLW8" s="484"/>
      <c r="PLX8" s="484"/>
      <c r="PLY8" s="484"/>
      <c r="PLZ8" s="484"/>
      <c r="PMA8" s="484"/>
      <c r="PMB8" s="484"/>
      <c r="PMC8" s="484"/>
      <c r="PMD8" s="484"/>
      <c r="PME8" s="484"/>
      <c r="PMF8" s="484"/>
      <c r="PMG8" s="484"/>
      <c r="PMH8" s="484"/>
      <c r="PMI8" s="484"/>
      <c r="PMJ8" s="484"/>
      <c r="PMK8" s="484"/>
      <c r="PML8" s="484"/>
      <c r="PMM8" s="484"/>
      <c r="PMN8" s="484"/>
      <c r="PMO8" s="484"/>
      <c r="PMP8" s="484"/>
      <c r="PMQ8" s="484"/>
      <c r="PMR8" s="484"/>
      <c r="PMS8" s="484"/>
      <c r="PMT8" s="484"/>
      <c r="PMU8" s="484"/>
      <c r="PMV8" s="484"/>
      <c r="PMW8" s="484"/>
      <c r="PMX8" s="484"/>
      <c r="PMY8" s="484"/>
      <c r="PMZ8" s="484"/>
      <c r="PNA8" s="484"/>
      <c r="PNB8" s="484"/>
      <c r="PNC8" s="484"/>
      <c r="PND8" s="484"/>
      <c r="PNE8" s="484"/>
      <c r="PNF8" s="484"/>
      <c r="PNG8" s="484"/>
      <c r="PNH8" s="484"/>
      <c r="PNI8" s="484"/>
      <c r="PNJ8" s="484"/>
      <c r="PNK8" s="484"/>
      <c r="PNL8" s="484"/>
      <c r="PNM8" s="484"/>
      <c r="PNN8" s="484"/>
      <c r="PNO8" s="484"/>
      <c r="PNP8" s="484"/>
      <c r="PNQ8" s="484"/>
      <c r="PNR8" s="484"/>
      <c r="PNS8" s="484"/>
      <c r="PNT8" s="484"/>
      <c r="PNU8" s="484"/>
      <c r="PNV8" s="484"/>
      <c r="PNW8" s="484"/>
      <c r="PNX8" s="484"/>
      <c r="PNY8" s="484"/>
      <c r="PNZ8" s="484"/>
      <c r="POA8" s="484"/>
      <c r="POB8" s="484"/>
      <c r="POC8" s="484"/>
      <c r="POD8" s="484"/>
      <c r="POE8" s="484"/>
      <c r="POF8" s="484"/>
      <c r="POG8" s="484"/>
      <c r="POH8" s="484"/>
      <c r="POI8" s="484"/>
      <c r="POJ8" s="484"/>
      <c r="POK8" s="484"/>
      <c r="POL8" s="484"/>
      <c r="POM8" s="484"/>
      <c r="PON8" s="484"/>
      <c r="POO8" s="484"/>
      <c r="POP8" s="484"/>
      <c r="POQ8" s="484"/>
      <c r="POR8" s="484"/>
      <c r="POS8" s="484"/>
      <c r="POT8" s="484"/>
      <c r="POU8" s="484"/>
      <c r="POV8" s="484"/>
      <c r="POW8" s="484"/>
      <c r="POX8" s="484"/>
      <c r="POY8" s="484"/>
      <c r="POZ8" s="484"/>
      <c r="PPA8" s="484"/>
      <c r="PPB8" s="484"/>
      <c r="PPC8" s="484"/>
      <c r="PPD8" s="484"/>
      <c r="PPE8" s="484"/>
      <c r="PPF8" s="484"/>
      <c r="PPG8" s="484"/>
      <c r="PPH8" s="484"/>
      <c r="PPI8" s="484"/>
      <c r="PPJ8" s="484"/>
      <c r="PPK8" s="484"/>
      <c r="PPL8" s="484"/>
      <c r="PPM8" s="484"/>
      <c r="PPN8" s="484"/>
      <c r="PPO8" s="484"/>
      <c r="PPP8" s="484"/>
      <c r="PPQ8" s="484"/>
      <c r="PPR8" s="484"/>
      <c r="PPS8" s="484"/>
      <c r="PPT8" s="484"/>
      <c r="PPU8" s="484"/>
      <c r="PPV8" s="484"/>
      <c r="PPW8" s="484"/>
      <c r="PPX8" s="484"/>
      <c r="PPY8" s="484"/>
      <c r="PPZ8" s="484"/>
      <c r="PQA8" s="484"/>
      <c r="PQB8" s="484"/>
      <c r="PQC8" s="484"/>
      <c r="PQD8" s="484"/>
      <c r="PQE8" s="484"/>
      <c r="PQF8" s="484"/>
      <c r="PQG8" s="484"/>
      <c r="PQH8" s="484"/>
      <c r="PQI8" s="484"/>
      <c r="PQJ8" s="484"/>
      <c r="PQK8" s="484"/>
      <c r="PQL8" s="484"/>
      <c r="PQM8" s="484"/>
      <c r="PQN8" s="484"/>
      <c r="PQO8" s="484"/>
      <c r="PQP8" s="484"/>
      <c r="PQQ8" s="484"/>
      <c r="PQR8" s="484"/>
      <c r="PQS8" s="484"/>
      <c r="PQT8" s="484"/>
      <c r="PQU8" s="484"/>
      <c r="PQV8" s="484"/>
      <c r="PQW8" s="484"/>
      <c r="PQX8" s="484"/>
      <c r="PQY8" s="484"/>
      <c r="PQZ8" s="484"/>
      <c r="PRA8" s="484"/>
      <c r="PRB8" s="484"/>
      <c r="PRC8" s="484"/>
      <c r="PRD8" s="484"/>
      <c r="PRE8" s="484"/>
      <c r="PRF8" s="484"/>
      <c r="PRG8" s="484"/>
      <c r="PRH8" s="484"/>
      <c r="PRI8" s="484"/>
      <c r="PRJ8" s="484"/>
      <c r="PRK8" s="484"/>
      <c r="PRL8" s="484"/>
      <c r="PRM8" s="484"/>
      <c r="PRN8" s="484"/>
      <c r="PRO8" s="484"/>
      <c r="PRP8" s="484"/>
      <c r="PRQ8" s="484"/>
      <c r="PRR8" s="484"/>
      <c r="PRS8" s="484"/>
      <c r="PRT8" s="484"/>
      <c r="PRU8" s="484"/>
      <c r="PRV8" s="484"/>
      <c r="PRW8" s="484"/>
      <c r="PRX8" s="484"/>
      <c r="PRY8" s="484"/>
      <c r="PRZ8" s="484"/>
      <c r="PSA8" s="484"/>
      <c r="PSB8" s="484"/>
      <c r="PSC8" s="484"/>
      <c r="PSD8" s="484"/>
      <c r="PSE8" s="484"/>
      <c r="PSF8" s="484"/>
      <c r="PSG8" s="484"/>
      <c r="PSH8" s="484"/>
      <c r="PSI8" s="484"/>
      <c r="PSJ8" s="484"/>
      <c r="PSK8" s="484"/>
      <c r="PSL8" s="484"/>
      <c r="PSM8" s="484"/>
      <c r="PSN8" s="484"/>
      <c r="PSO8" s="484"/>
      <c r="PSP8" s="484"/>
      <c r="PSQ8" s="484"/>
      <c r="PSR8" s="484"/>
      <c r="PSS8" s="484"/>
      <c r="PST8" s="484"/>
      <c r="PSU8" s="484"/>
      <c r="PSV8" s="484"/>
      <c r="PSW8" s="484"/>
      <c r="PSX8" s="484"/>
      <c r="PSY8" s="484"/>
      <c r="PSZ8" s="484"/>
      <c r="PTA8" s="484"/>
      <c r="PTB8" s="484"/>
      <c r="PTC8" s="484"/>
      <c r="PTD8" s="484"/>
      <c r="PTE8" s="484"/>
      <c r="PTF8" s="484"/>
      <c r="PTG8" s="484"/>
      <c r="PTH8" s="484"/>
      <c r="PTI8" s="484"/>
      <c r="PTJ8" s="484"/>
      <c r="PTK8" s="484"/>
      <c r="PTL8" s="484"/>
      <c r="PTM8" s="484"/>
      <c r="PTN8" s="484"/>
      <c r="PTO8" s="484"/>
      <c r="PTP8" s="484"/>
      <c r="PTQ8" s="484"/>
      <c r="PTR8" s="484"/>
      <c r="PTS8" s="484"/>
      <c r="PTT8" s="484"/>
      <c r="PTU8" s="484"/>
      <c r="PTV8" s="484"/>
      <c r="PTW8" s="484"/>
      <c r="PTX8" s="484"/>
      <c r="PTY8" s="484"/>
      <c r="PTZ8" s="484"/>
      <c r="PUA8" s="484"/>
      <c r="PUB8" s="484"/>
      <c r="PUC8" s="484"/>
      <c r="PUD8" s="484"/>
      <c r="PUE8" s="484"/>
      <c r="PUF8" s="484"/>
      <c r="PUG8" s="484"/>
      <c r="PUH8" s="484"/>
      <c r="PUI8" s="484"/>
      <c r="PUJ8" s="484"/>
      <c r="PUK8" s="484"/>
      <c r="PUL8" s="484"/>
      <c r="PUM8" s="484"/>
      <c r="PUN8" s="484"/>
      <c r="PUO8" s="484"/>
      <c r="PUP8" s="484"/>
      <c r="PUQ8" s="484"/>
      <c r="PUR8" s="484"/>
      <c r="PUS8" s="484"/>
      <c r="PUT8" s="484"/>
      <c r="PUU8" s="484"/>
      <c r="PUV8" s="484"/>
      <c r="PUW8" s="484"/>
      <c r="PUX8" s="484"/>
      <c r="PUY8" s="484"/>
      <c r="PUZ8" s="484"/>
      <c r="PVA8" s="484"/>
      <c r="PVB8" s="484"/>
      <c r="PVC8" s="484"/>
      <c r="PVD8" s="484"/>
      <c r="PVE8" s="484"/>
      <c r="PVF8" s="484"/>
      <c r="PVG8" s="484"/>
      <c r="PVH8" s="484"/>
      <c r="PVI8" s="484"/>
      <c r="PVJ8" s="484"/>
      <c r="PVK8" s="484"/>
      <c r="PVL8" s="484"/>
      <c r="PVM8" s="484"/>
      <c r="PVN8" s="484"/>
      <c r="PVO8" s="484"/>
      <c r="PVP8" s="484"/>
      <c r="PVQ8" s="484"/>
      <c r="PVR8" s="484"/>
      <c r="PVS8" s="484"/>
      <c r="PVT8" s="484"/>
      <c r="PVU8" s="484"/>
      <c r="PVV8" s="484"/>
      <c r="PVW8" s="484"/>
      <c r="PVX8" s="484"/>
      <c r="PVY8" s="484"/>
      <c r="PVZ8" s="484"/>
      <c r="PWA8" s="484"/>
      <c r="PWB8" s="484"/>
      <c r="PWC8" s="484"/>
      <c r="PWD8" s="484"/>
      <c r="PWE8" s="484"/>
      <c r="PWF8" s="484"/>
      <c r="PWG8" s="484"/>
      <c r="PWH8" s="484"/>
      <c r="PWI8" s="484"/>
      <c r="PWJ8" s="484"/>
      <c r="PWK8" s="484"/>
      <c r="PWL8" s="484"/>
      <c r="PWM8" s="484"/>
      <c r="PWN8" s="484"/>
      <c r="PWO8" s="484"/>
      <c r="PWP8" s="484"/>
      <c r="PWQ8" s="484"/>
      <c r="PWR8" s="484"/>
      <c r="PWS8" s="484"/>
      <c r="PWT8" s="484"/>
      <c r="PWU8" s="484"/>
      <c r="PWV8" s="484"/>
      <c r="PWW8" s="484"/>
      <c r="PWX8" s="484"/>
      <c r="PWY8" s="484"/>
      <c r="PWZ8" s="484"/>
      <c r="PXA8" s="484"/>
      <c r="PXB8" s="484"/>
      <c r="PXC8" s="484"/>
      <c r="PXD8" s="484"/>
      <c r="PXE8" s="484"/>
      <c r="PXF8" s="484"/>
      <c r="PXG8" s="484"/>
      <c r="PXH8" s="484"/>
      <c r="PXI8" s="484"/>
      <c r="PXJ8" s="484"/>
      <c r="PXK8" s="484"/>
      <c r="PXL8" s="484"/>
      <c r="PXM8" s="484"/>
      <c r="PXN8" s="484"/>
      <c r="PXO8" s="484"/>
      <c r="PXP8" s="484"/>
      <c r="PXQ8" s="484"/>
      <c r="PXR8" s="484"/>
      <c r="PXS8" s="484"/>
      <c r="PXT8" s="484"/>
      <c r="PXU8" s="484"/>
      <c r="PXV8" s="484"/>
      <c r="PXW8" s="484"/>
      <c r="PXX8" s="484"/>
      <c r="PXY8" s="484"/>
      <c r="PXZ8" s="484"/>
      <c r="PYA8" s="484"/>
      <c r="PYB8" s="484"/>
      <c r="PYC8" s="484"/>
      <c r="PYD8" s="484"/>
      <c r="PYE8" s="484"/>
      <c r="PYF8" s="484"/>
      <c r="PYG8" s="484"/>
      <c r="PYH8" s="484"/>
      <c r="PYI8" s="484"/>
      <c r="PYJ8" s="484"/>
      <c r="PYK8" s="484"/>
      <c r="PYL8" s="484"/>
      <c r="PYM8" s="484"/>
      <c r="PYN8" s="484"/>
      <c r="PYO8" s="484"/>
      <c r="PYP8" s="484"/>
      <c r="PYQ8" s="484"/>
      <c r="PYR8" s="484"/>
      <c r="PYS8" s="484"/>
      <c r="PYT8" s="484"/>
      <c r="PYU8" s="484"/>
      <c r="PYV8" s="484"/>
      <c r="PYW8" s="484"/>
      <c r="PYX8" s="484"/>
      <c r="PYY8" s="484"/>
      <c r="PYZ8" s="484"/>
      <c r="PZA8" s="484"/>
      <c r="PZB8" s="484"/>
      <c r="PZC8" s="484"/>
      <c r="PZD8" s="484"/>
      <c r="PZE8" s="484"/>
      <c r="PZF8" s="484"/>
      <c r="PZG8" s="484"/>
      <c r="PZH8" s="484"/>
      <c r="PZI8" s="484"/>
      <c r="PZJ8" s="484"/>
      <c r="PZK8" s="484"/>
      <c r="PZL8" s="484"/>
      <c r="PZM8" s="484"/>
      <c r="PZN8" s="484"/>
      <c r="PZO8" s="484"/>
      <c r="PZP8" s="484"/>
      <c r="PZQ8" s="484"/>
      <c r="PZR8" s="484"/>
      <c r="PZS8" s="484"/>
      <c r="PZT8" s="484"/>
      <c r="PZU8" s="484"/>
      <c r="PZV8" s="484"/>
      <c r="PZW8" s="484"/>
      <c r="PZX8" s="484"/>
      <c r="PZY8" s="484"/>
      <c r="PZZ8" s="484"/>
      <c r="QAA8" s="484"/>
      <c r="QAB8" s="484"/>
      <c r="QAC8" s="484"/>
      <c r="QAD8" s="484"/>
      <c r="QAE8" s="484"/>
      <c r="QAF8" s="484"/>
      <c r="QAG8" s="484"/>
      <c r="QAH8" s="484"/>
      <c r="QAI8" s="484"/>
      <c r="QAJ8" s="484"/>
      <c r="QAK8" s="484"/>
      <c r="QAL8" s="484"/>
      <c r="QAM8" s="484"/>
      <c r="QAN8" s="484"/>
      <c r="QAO8" s="484"/>
      <c r="QAP8" s="484"/>
      <c r="QAQ8" s="484"/>
      <c r="QAR8" s="484"/>
      <c r="QAS8" s="484"/>
      <c r="QAT8" s="484"/>
      <c r="QAU8" s="484"/>
      <c r="QAV8" s="484"/>
      <c r="QAW8" s="484"/>
      <c r="QAX8" s="484"/>
      <c r="QAY8" s="484"/>
      <c r="QAZ8" s="484"/>
      <c r="QBA8" s="484"/>
      <c r="QBB8" s="484"/>
      <c r="QBC8" s="484"/>
      <c r="QBD8" s="484"/>
      <c r="QBE8" s="484"/>
      <c r="QBF8" s="484"/>
      <c r="QBG8" s="484"/>
      <c r="QBH8" s="484"/>
      <c r="QBI8" s="484"/>
      <c r="QBJ8" s="484"/>
      <c r="QBK8" s="484"/>
      <c r="QBL8" s="484"/>
      <c r="QBM8" s="484"/>
      <c r="QBN8" s="484"/>
      <c r="QBO8" s="484"/>
      <c r="QBP8" s="484"/>
      <c r="QBQ8" s="484"/>
      <c r="QBR8" s="484"/>
      <c r="QBS8" s="484"/>
      <c r="QBT8" s="484"/>
      <c r="QBU8" s="484"/>
      <c r="QBV8" s="484"/>
      <c r="QBW8" s="484"/>
      <c r="QBX8" s="484"/>
      <c r="QBY8" s="484"/>
      <c r="QBZ8" s="484"/>
      <c r="QCA8" s="484"/>
      <c r="QCB8" s="484"/>
      <c r="QCC8" s="484"/>
      <c r="QCD8" s="484"/>
      <c r="QCE8" s="484"/>
      <c r="QCF8" s="484"/>
      <c r="QCG8" s="484"/>
      <c r="QCH8" s="484"/>
      <c r="QCI8" s="484"/>
      <c r="QCJ8" s="484"/>
      <c r="QCK8" s="484"/>
      <c r="QCL8" s="484"/>
      <c r="QCM8" s="484"/>
      <c r="QCN8" s="484"/>
      <c r="QCO8" s="484"/>
      <c r="QCP8" s="484"/>
      <c r="QCQ8" s="484"/>
      <c r="QCR8" s="484"/>
      <c r="QCS8" s="484"/>
      <c r="QCT8" s="484"/>
      <c r="QCU8" s="484"/>
      <c r="QCV8" s="484"/>
      <c r="QCW8" s="484"/>
      <c r="QCX8" s="484"/>
      <c r="QCY8" s="484"/>
      <c r="QCZ8" s="484"/>
      <c r="QDA8" s="484"/>
      <c r="QDB8" s="484"/>
      <c r="QDC8" s="484"/>
      <c r="QDD8" s="484"/>
      <c r="QDE8" s="484"/>
      <c r="QDF8" s="484"/>
      <c r="QDG8" s="484"/>
      <c r="QDH8" s="484"/>
      <c r="QDI8" s="484"/>
      <c r="QDJ8" s="484"/>
      <c r="QDK8" s="484"/>
      <c r="QDL8" s="484"/>
      <c r="QDM8" s="484"/>
      <c r="QDN8" s="484"/>
      <c r="QDO8" s="484"/>
      <c r="QDP8" s="484"/>
      <c r="QDQ8" s="484"/>
      <c r="QDR8" s="484"/>
      <c r="QDS8" s="484"/>
      <c r="QDT8" s="484"/>
      <c r="QDU8" s="484"/>
      <c r="QDV8" s="484"/>
      <c r="QDW8" s="484"/>
      <c r="QDX8" s="484"/>
      <c r="QDY8" s="484"/>
      <c r="QDZ8" s="484"/>
      <c r="QEA8" s="484"/>
      <c r="QEB8" s="484"/>
      <c r="QEC8" s="484"/>
      <c r="QED8" s="484"/>
      <c r="QEE8" s="484"/>
      <c r="QEF8" s="484"/>
      <c r="QEG8" s="484"/>
      <c r="QEH8" s="484"/>
      <c r="QEI8" s="484"/>
      <c r="QEJ8" s="484"/>
      <c r="QEK8" s="484"/>
      <c r="QEL8" s="484"/>
      <c r="QEM8" s="484"/>
      <c r="QEN8" s="484"/>
      <c r="QEO8" s="484"/>
      <c r="QEP8" s="484"/>
      <c r="QEQ8" s="484"/>
      <c r="QER8" s="484"/>
      <c r="QES8" s="484"/>
      <c r="QET8" s="484"/>
      <c r="QEU8" s="484"/>
      <c r="QEV8" s="484"/>
      <c r="QEW8" s="484"/>
      <c r="QEX8" s="484"/>
      <c r="QEY8" s="484"/>
      <c r="QEZ8" s="484"/>
      <c r="QFA8" s="484"/>
      <c r="QFB8" s="484"/>
      <c r="QFC8" s="484"/>
      <c r="QFD8" s="484"/>
      <c r="QFE8" s="484"/>
      <c r="QFF8" s="484"/>
      <c r="QFG8" s="484"/>
      <c r="QFH8" s="484"/>
      <c r="QFI8" s="484"/>
      <c r="QFJ8" s="484"/>
      <c r="QFK8" s="484"/>
      <c r="QFL8" s="484"/>
      <c r="QFM8" s="484"/>
      <c r="QFN8" s="484"/>
      <c r="QFO8" s="484"/>
      <c r="QFP8" s="484"/>
      <c r="QFQ8" s="484"/>
      <c r="QFR8" s="484"/>
      <c r="QFS8" s="484"/>
      <c r="QFT8" s="484"/>
      <c r="QFU8" s="484"/>
      <c r="QFV8" s="484"/>
      <c r="QFW8" s="484"/>
      <c r="QFX8" s="484"/>
      <c r="QFY8" s="484"/>
      <c r="QFZ8" s="484"/>
      <c r="QGA8" s="484"/>
      <c r="QGB8" s="484"/>
      <c r="QGC8" s="484"/>
      <c r="QGD8" s="484"/>
      <c r="QGE8" s="484"/>
      <c r="QGF8" s="484"/>
      <c r="QGG8" s="484"/>
      <c r="QGH8" s="484"/>
      <c r="QGI8" s="484"/>
      <c r="QGJ8" s="484"/>
      <c r="QGK8" s="484"/>
      <c r="QGL8" s="484"/>
      <c r="QGM8" s="484"/>
      <c r="QGN8" s="484"/>
      <c r="QGO8" s="484"/>
      <c r="QGP8" s="484"/>
      <c r="QGQ8" s="484"/>
      <c r="QGR8" s="484"/>
      <c r="QGS8" s="484"/>
      <c r="QGT8" s="484"/>
      <c r="QGU8" s="484"/>
      <c r="QGV8" s="484"/>
      <c r="QGW8" s="484"/>
      <c r="QGX8" s="484"/>
      <c r="QGY8" s="484"/>
      <c r="QGZ8" s="484"/>
      <c r="QHA8" s="484"/>
      <c r="QHB8" s="484"/>
      <c r="QHC8" s="484"/>
      <c r="QHD8" s="484"/>
      <c r="QHE8" s="484"/>
      <c r="QHF8" s="484"/>
      <c r="QHG8" s="484"/>
      <c r="QHH8" s="484"/>
      <c r="QHI8" s="484"/>
      <c r="QHJ8" s="484"/>
      <c r="QHK8" s="484"/>
      <c r="QHL8" s="484"/>
      <c r="QHM8" s="484"/>
      <c r="QHN8" s="484"/>
      <c r="QHO8" s="484"/>
      <c r="QHP8" s="484"/>
      <c r="QHQ8" s="484"/>
      <c r="QHR8" s="484"/>
      <c r="QHS8" s="484"/>
      <c r="QHT8" s="484"/>
      <c r="QHU8" s="484"/>
      <c r="QHV8" s="484"/>
      <c r="QHW8" s="484"/>
      <c r="QHX8" s="484"/>
      <c r="QHY8" s="484"/>
      <c r="QHZ8" s="484"/>
      <c r="QIA8" s="484"/>
      <c r="QIB8" s="484"/>
      <c r="QIC8" s="484"/>
      <c r="QID8" s="484"/>
      <c r="QIE8" s="484"/>
      <c r="QIF8" s="484"/>
      <c r="QIG8" s="484"/>
      <c r="QIH8" s="484"/>
      <c r="QII8" s="484"/>
      <c r="QIJ8" s="484"/>
      <c r="QIK8" s="484"/>
      <c r="QIL8" s="484"/>
      <c r="QIM8" s="484"/>
      <c r="QIN8" s="484"/>
      <c r="QIO8" s="484"/>
      <c r="QIP8" s="484"/>
      <c r="QIQ8" s="484"/>
      <c r="QIR8" s="484"/>
      <c r="QIS8" s="484"/>
      <c r="QIT8" s="484"/>
      <c r="QIU8" s="484"/>
      <c r="QIV8" s="484"/>
      <c r="QIW8" s="484"/>
      <c r="QIX8" s="484"/>
      <c r="QIY8" s="484"/>
      <c r="QIZ8" s="484"/>
      <c r="QJA8" s="484"/>
      <c r="QJB8" s="484"/>
      <c r="QJC8" s="484"/>
      <c r="QJD8" s="484"/>
      <c r="QJE8" s="484"/>
      <c r="QJF8" s="484"/>
      <c r="QJG8" s="484"/>
      <c r="QJH8" s="484"/>
      <c r="QJI8" s="484"/>
      <c r="QJJ8" s="484"/>
      <c r="QJK8" s="484"/>
      <c r="QJL8" s="484"/>
      <c r="QJM8" s="484"/>
      <c r="QJN8" s="484"/>
      <c r="QJO8" s="484"/>
      <c r="QJP8" s="484"/>
      <c r="QJQ8" s="484"/>
      <c r="QJR8" s="484"/>
      <c r="QJS8" s="484"/>
      <c r="QJT8" s="484"/>
      <c r="QJU8" s="484"/>
      <c r="QJV8" s="484"/>
      <c r="QJW8" s="484"/>
      <c r="QJX8" s="484"/>
      <c r="QJY8" s="484"/>
      <c r="QJZ8" s="484"/>
      <c r="QKA8" s="484"/>
      <c r="QKB8" s="484"/>
      <c r="QKC8" s="484"/>
      <c r="QKD8" s="484"/>
      <c r="QKE8" s="484"/>
      <c r="QKF8" s="484"/>
      <c r="QKG8" s="484"/>
      <c r="QKH8" s="484"/>
      <c r="QKI8" s="484"/>
      <c r="QKJ8" s="484"/>
      <c r="QKK8" s="484"/>
      <c r="QKL8" s="484"/>
      <c r="QKM8" s="484"/>
      <c r="QKN8" s="484"/>
      <c r="QKO8" s="484"/>
      <c r="QKP8" s="484"/>
      <c r="QKQ8" s="484"/>
      <c r="QKR8" s="484"/>
      <c r="QKS8" s="484"/>
      <c r="QKT8" s="484"/>
      <c r="QKU8" s="484"/>
      <c r="QKV8" s="484"/>
      <c r="QKW8" s="484"/>
      <c r="QKX8" s="484"/>
      <c r="QKY8" s="484"/>
      <c r="QKZ8" s="484"/>
      <c r="QLA8" s="484"/>
      <c r="QLB8" s="484"/>
      <c r="QLC8" s="484"/>
      <c r="QLD8" s="484"/>
      <c r="QLE8" s="484"/>
      <c r="QLF8" s="484"/>
      <c r="QLG8" s="484"/>
      <c r="QLH8" s="484"/>
      <c r="QLI8" s="484"/>
      <c r="QLJ8" s="484"/>
      <c r="QLK8" s="484"/>
      <c r="QLL8" s="484"/>
      <c r="QLM8" s="484"/>
      <c r="QLN8" s="484"/>
      <c r="QLO8" s="484"/>
      <c r="QLP8" s="484"/>
      <c r="QLQ8" s="484"/>
      <c r="QLR8" s="484"/>
      <c r="QLS8" s="484"/>
      <c r="QLT8" s="484"/>
      <c r="QLU8" s="484"/>
      <c r="QLV8" s="484"/>
      <c r="QLW8" s="484"/>
      <c r="QLX8" s="484"/>
      <c r="QLY8" s="484"/>
      <c r="QLZ8" s="484"/>
      <c r="QMA8" s="484"/>
      <c r="QMB8" s="484"/>
      <c r="QMC8" s="484"/>
      <c r="QMD8" s="484"/>
      <c r="QME8" s="484"/>
      <c r="QMF8" s="484"/>
      <c r="QMG8" s="484"/>
      <c r="QMH8" s="484"/>
      <c r="QMI8" s="484"/>
      <c r="QMJ8" s="484"/>
      <c r="QMK8" s="484"/>
      <c r="QML8" s="484"/>
      <c r="QMM8" s="484"/>
      <c r="QMN8" s="484"/>
      <c r="QMO8" s="484"/>
      <c r="QMP8" s="484"/>
      <c r="QMQ8" s="484"/>
      <c r="QMR8" s="484"/>
      <c r="QMS8" s="484"/>
      <c r="QMT8" s="484"/>
      <c r="QMU8" s="484"/>
      <c r="QMV8" s="484"/>
      <c r="QMW8" s="484"/>
      <c r="QMX8" s="484"/>
      <c r="QMY8" s="484"/>
      <c r="QMZ8" s="484"/>
      <c r="QNA8" s="484"/>
      <c r="QNB8" s="484"/>
      <c r="QNC8" s="484"/>
      <c r="QND8" s="484"/>
      <c r="QNE8" s="484"/>
      <c r="QNF8" s="484"/>
      <c r="QNG8" s="484"/>
      <c r="QNH8" s="484"/>
      <c r="QNI8" s="484"/>
      <c r="QNJ8" s="484"/>
      <c r="QNK8" s="484"/>
      <c r="QNL8" s="484"/>
      <c r="QNM8" s="484"/>
      <c r="QNN8" s="484"/>
      <c r="QNO8" s="484"/>
      <c r="QNP8" s="484"/>
      <c r="QNQ8" s="484"/>
      <c r="QNR8" s="484"/>
      <c r="QNS8" s="484"/>
      <c r="QNT8" s="484"/>
      <c r="QNU8" s="484"/>
      <c r="QNV8" s="484"/>
      <c r="QNW8" s="484"/>
      <c r="QNX8" s="484"/>
      <c r="QNY8" s="484"/>
      <c r="QNZ8" s="484"/>
      <c r="QOA8" s="484"/>
      <c r="QOB8" s="484"/>
      <c r="QOC8" s="484"/>
      <c r="QOD8" s="484"/>
      <c r="QOE8" s="484"/>
      <c r="QOF8" s="484"/>
      <c r="QOG8" s="484"/>
      <c r="QOH8" s="484"/>
      <c r="QOI8" s="484"/>
      <c r="QOJ8" s="484"/>
      <c r="QOK8" s="484"/>
      <c r="QOL8" s="484"/>
      <c r="QOM8" s="484"/>
      <c r="QON8" s="484"/>
      <c r="QOO8" s="484"/>
      <c r="QOP8" s="484"/>
      <c r="QOQ8" s="484"/>
      <c r="QOR8" s="484"/>
      <c r="QOS8" s="484"/>
      <c r="QOT8" s="484"/>
      <c r="QOU8" s="484"/>
      <c r="QOV8" s="484"/>
      <c r="QOW8" s="484"/>
      <c r="QOX8" s="484"/>
      <c r="QOY8" s="484"/>
      <c r="QOZ8" s="484"/>
      <c r="QPA8" s="484"/>
      <c r="QPB8" s="484"/>
      <c r="QPC8" s="484"/>
      <c r="QPD8" s="484"/>
      <c r="QPE8" s="484"/>
      <c r="QPF8" s="484"/>
      <c r="QPG8" s="484"/>
      <c r="QPH8" s="484"/>
      <c r="QPI8" s="484"/>
      <c r="QPJ8" s="484"/>
      <c r="QPK8" s="484"/>
      <c r="QPL8" s="484"/>
      <c r="QPM8" s="484"/>
      <c r="QPN8" s="484"/>
      <c r="QPO8" s="484"/>
      <c r="QPP8" s="484"/>
      <c r="QPQ8" s="484"/>
      <c r="QPR8" s="484"/>
      <c r="QPS8" s="484"/>
      <c r="QPT8" s="484"/>
      <c r="QPU8" s="484"/>
      <c r="QPV8" s="484"/>
      <c r="QPW8" s="484"/>
      <c r="QPX8" s="484"/>
      <c r="QPY8" s="484"/>
      <c r="QPZ8" s="484"/>
      <c r="QQA8" s="484"/>
      <c r="QQB8" s="484"/>
      <c r="QQC8" s="484"/>
      <c r="QQD8" s="484"/>
      <c r="QQE8" s="484"/>
      <c r="QQF8" s="484"/>
      <c r="QQG8" s="484"/>
      <c r="QQH8" s="484"/>
      <c r="QQI8" s="484"/>
      <c r="QQJ8" s="484"/>
      <c r="QQK8" s="484"/>
      <c r="QQL8" s="484"/>
      <c r="QQM8" s="484"/>
      <c r="QQN8" s="484"/>
      <c r="QQO8" s="484"/>
      <c r="QQP8" s="484"/>
      <c r="QQQ8" s="484"/>
      <c r="QQR8" s="484"/>
      <c r="QQS8" s="484"/>
      <c r="QQT8" s="484"/>
      <c r="QQU8" s="484"/>
      <c r="QQV8" s="484"/>
      <c r="QQW8" s="484"/>
      <c r="QQX8" s="484"/>
      <c r="QQY8" s="484"/>
      <c r="QQZ8" s="484"/>
      <c r="QRA8" s="484"/>
      <c r="QRB8" s="484"/>
      <c r="QRC8" s="484"/>
      <c r="QRD8" s="484"/>
      <c r="QRE8" s="484"/>
      <c r="QRF8" s="484"/>
      <c r="QRG8" s="484"/>
      <c r="QRH8" s="484"/>
      <c r="QRI8" s="484"/>
      <c r="QRJ8" s="484"/>
      <c r="QRK8" s="484"/>
      <c r="QRL8" s="484"/>
      <c r="QRM8" s="484"/>
      <c r="QRN8" s="484"/>
      <c r="QRO8" s="484"/>
      <c r="QRP8" s="484"/>
      <c r="QRQ8" s="484"/>
      <c r="QRR8" s="484"/>
      <c r="QRS8" s="484"/>
      <c r="QRT8" s="484"/>
      <c r="QRU8" s="484"/>
      <c r="QRV8" s="484"/>
      <c r="QRW8" s="484"/>
      <c r="QRX8" s="484"/>
      <c r="QRY8" s="484"/>
      <c r="QRZ8" s="484"/>
      <c r="QSA8" s="484"/>
      <c r="QSB8" s="484"/>
      <c r="QSC8" s="484"/>
      <c r="QSD8" s="484"/>
      <c r="QSE8" s="484"/>
      <c r="QSF8" s="484"/>
      <c r="QSG8" s="484"/>
      <c r="QSH8" s="484"/>
      <c r="QSI8" s="484"/>
      <c r="QSJ8" s="484"/>
      <c r="QSK8" s="484"/>
      <c r="QSL8" s="484"/>
      <c r="QSM8" s="484"/>
      <c r="QSN8" s="484"/>
      <c r="QSO8" s="484"/>
      <c r="QSP8" s="484"/>
      <c r="QSQ8" s="484"/>
      <c r="QSR8" s="484"/>
      <c r="QSS8" s="484"/>
      <c r="QST8" s="484"/>
      <c r="QSU8" s="484"/>
      <c r="QSV8" s="484"/>
      <c r="QSW8" s="484"/>
      <c r="QSX8" s="484"/>
      <c r="QSY8" s="484"/>
      <c r="QSZ8" s="484"/>
      <c r="QTA8" s="484"/>
      <c r="QTB8" s="484"/>
      <c r="QTC8" s="484"/>
      <c r="QTD8" s="484"/>
      <c r="QTE8" s="484"/>
      <c r="QTF8" s="484"/>
      <c r="QTG8" s="484"/>
      <c r="QTH8" s="484"/>
      <c r="QTI8" s="484"/>
      <c r="QTJ8" s="484"/>
      <c r="QTK8" s="484"/>
      <c r="QTL8" s="484"/>
      <c r="QTM8" s="484"/>
      <c r="QTN8" s="484"/>
      <c r="QTO8" s="484"/>
      <c r="QTP8" s="484"/>
      <c r="QTQ8" s="484"/>
      <c r="QTR8" s="484"/>
      <c r="QTS8" s="484"/>
      <c r="QTT8" s="484"/>
      <c r="QTU8" s="484"/>
      <c r="QTV8" s="484"/>
      <c r="QTW8" s="484"/>
      <c r="QTX8" s="484"/>
      <c r="QTY8" s="484"/>
      <c r="QTZ8" s="484"/>
      <c r="QUA8" s="484"/>
      <c r="QUB8" s="484"/>
      <c r="QUC8" s="484"/>
      <c r="QUD8" s="484"/>
      <c r="QUE8" s="484"/>
      <c r="QUF8" s="484"/>
      <c r="QUG8" s="484"/>
      <c r="QUH8" s="484"/>
      <c r="QUI8" s="484"/>
      <c r="QUJ8" s="484"/>
      <c r="QUK8" s="484"/>
      <c r="QUL8" s="484"/>
      <c r="QUM8" s="484"/>
      <c r="QUN8" s="484"/>
      <c r="QUO8" s="484"/>
      <c r="QUP8" s="484"/>
      <c r="QUQ8" s="484"/>
      <c r="QUR8" s="484"/>
      <c r="QUS8" s="484"/>
      <c r="QUT8" s="484"/>
      <c r="QUU8" s="484"/>
      <c r="QUV8" s="484"/>
      <c r="QUW8" s="484"/>
      <c r="QUX8" s="484"/>
      <c r="QUY8" s="484"/>
      <c r="QUZ8" s="484"/>
      <c r="QVA8" s="484"/>
      <c r="QVB8" s="484"/>
      <c r="QVC8" s="484"/>
      <c r="QVD8" s="484"/>
      <c r="QVE8" s="484"/>
      <c r="QVF8" s="484"/>
      <c r="QVG8" s="484"/>
      <c r="QVH8" s="484"/>
      <c r="QVI8" s="484"/>
      <c r="QVJ8" s="484"/>
      <c r="QVK8" s="484"/>
      <c r="QVL8" s="484"/>
      <c r="QVM8" s="484"/>
      <c r="QVN8" s="484"/>
      <c r="QVO8" s="484"/>
      <c r="QVP8" s="484"/>
      <c r="QVQ8" s="484"/>
      <c r="QVR8" s="484"/>
      <c r="QVS8" s="484"/>
      <c r="QVT8" s="484"/>
      <c r="QVU8" s="484"/>
      <c r="QVV8" s="484"/>
      <c r="QVW8" s="484"/>
      <c r="QVX8" s="484"/>
      <c r="QVY8" s="484"/>
      <c r="QVZ8" s="484"/>
      <c r="QWA8" s="484"/>
      <c r="QWB8" s="484"/>
      <c r="QWC8" s="484"/>
      <c r="QWD8" s="484"/>
      <c r="QWE8" s="484"/>
      <c r="QWF8" s="484"/>
      <c r="QWG8" s="484"/>
      <c r="QWH8" s="484"/>
      <c r="QWI8" s="484"/>
      <c r="QWJ8" s="484"/>
      <c r="QWK8" s="484"/>
      <c r="QWL8" s="484"/>
      <c r="QWM8" s="484"/>
      <c r="QWN8" s="484"/>
      <c r="QWO8" s="484"/>
      <c r="QWP8" s="484"/>
      <c r="QWQ8" s="484"/>
      <c r="QWR8" s="484"/>
      <c r="QWS8" s="484"/>
      <c r="QWT8" s="484"/>
      <c r="QWU8" s="484"/>
      <c r="QWV8" s="484"/>
      <c r="QWW8" s="484"/>
      <c r="QWX8" s="484"/>
      <c r="QWY8" s="484"/>
      <c r="QWZ8" s="484"/>
      <c r="QXA8" s="484"/>
      <c r="QXB8" s="484"/>
      <c r="QXC8" s="484"/>
      <c r="QXD8" s="484"/>
      <c r="QXE8" s="484"/>
      <c r="QXF8" s="484"/>
      <c r="QXG8" s="484"/>
      <c r="QXH8" s="484"/>
      <c r="QXI8" s="484"/>
      <c r="QXJ8" s="484"/>
      <c r="QXK8" s="484"/>
      <c r="QXL8" s="484"/>
      <c r="QXM8" s="484"/>
      <c r="QXN8" s="484"/>
      <c r="QXO8" s="484"/>
      <c r="QXP8" s="484"/>
      <c r="QXQ8" s="484"/>
      <c r="QXR8" s="484"/>
      <c r="QXS8" s="484"/>
      <c r="QXT8" s="484"/>
      <c r="QXU8" s="484"/>
      <c r="QXV8" s="484"/>
      <c r="QXW8" s="484"/>
      <c r="QXX8" s="484"/>
      <c r="QXY8" s="484"/>
      <c r="QXZ8" s="484"/>
      <c r="QYA8" s="484"/>
      <c r="QYB8" s="484"/>
      <c r="QYC8" s="484"/>
      <c r="QYD8" s="484"/>
      <c r="QYE8" s="484"/>
      <c r="QYF8" s="484"/>
      <c r="QYG8" s="484"/>
      <c r="QYH8" s="484"/>
      <c r="QYI8" s="484"/>
      <c r="QYJ8" s="484"/>
      <c r="QYK8" s="484"/>
      <c r="QYL8" s="484"/>
      <c r="QYM8" s="484"/>
      <c r="QYN8" s="484"/>
      <c r="QYO8" s="484"/>
      <c r="QYP8" s="484"/>
      <c r="QYQ8" s="484"/>
      <c r="QYR8" s="484"/>
      <c r="QYS8" s="484"/>
      <c r="QYT8" s="484"/>
      <c r="QYU8" s="484"/>
      <c r="QYV8" s="484"/>
      <c r="QYW8" s="484"/>
      <c r="QYX8" s="484"/>
      <c r="QYY8" s="484"/>
      <c r="QYZ8" s="484"/>
      <c r="QZA8" s="484"/>
      <c r="QZB8" s="484"/>
      <c r="QZC8" s="484"/>
      <c r="QZD8" s="484"/>
      <c r="QZE8" s="484"/>
      <c r="QZF8" s="484"/>
      <c r="QZG8" s="484"/>
      <c r="QZH8" s="484"/>
      <c r="QZI8" s="484"/>
      <c r="QZJ8" s="484"/>
      <c r="QZK8" s="484"/>
      <c r="QZL8" s="484"/>
      <c r="QZM8" s="484"/>
      <c r="QZN8" s="484"/>
      <c r="QZO8" s="484"/>
      <c r="QZP8" s="484"/>
      <c r="QZQ8" s="484"/>
      <c r="QZR8" s="484"/>
      <c r="QZS8" s="484"/>
      <c r="QZT8" s="484"/>
      <c r="QZU8" s="484"/>
      <c r="QZV8" s="484"/>
      <c r="QZW8" s="484"/>
      <c r="QZX8" s="484"/>
      <c r="QZY8" s="484"/>
      <c r="QZZ8" s="484"/>
      <c r="RAA8" s="484"/>
      <c r="RAB8" s="484"/>
      <c r="RAC8" s="484"/>
      <c r="RAD8" s="484"/>
      <c r="RAE8" s="484"/>
      <c r="RAF8" s="484"/>
      <c r="RAG8" s="484"/>
      <c r="RAH8" s="484"/>
      <c r="RAI8" s="484"/>
      <c r="RAJ8" s="484"/>
      <c r="RAK8" s="484"/>
      <c r="RAL8" s="484"/>
      <c r="RAM8" s="484"/>
      <c r="RAN8" s="484"/>
      <c r="RAO8" s="484"/>
      <c r="RAP8" s="484"/>
      <c r="RAQ8" s="484"/>
      <c r="RAR8" s="484"/>
      <c r="RAS8" s="484"/>
      <c r="RAT8" s="484"/>
      <c r="RAU8" s="484"/>
      <c r="RAV8" s="484"/>
      <c r="RAW8" s="484"/>
      <c r="RAX8" s="484"/>
      <c r="RAY8" s="484"/>
      <c r="RAZ8" s="484"/>
      <c r="RBA8" s="484"/>
      <c r="RBB8" s="484"/>
      <c r="RBC8" s="484"/>
      <c r="RBD8" s="484"/>
      <c r="RBE8" s="484"/>
      <c r="RBF8" s="484"/>
      <c r="RBG8" s="484"/>
      <c r="RBH8" s="484"/>
      <c r="RBI8" s="484"/>
      <c r="RBJ8" s="484"/>
      <c r="RBK8" s="484"/>
      <c r="RBL8" s="484"/>
      <c r="RBM8" s="484"/>
      <c r="RBN8" s="484"/>
      <c r="RBO8" s="484"/>
      <c r="RBP8" s="484"/>
      <c r="RBQ8" s="484"/>
      <c r="RBR8" s="484"/>
      <c r="RBS8" s="484"/>
      <c r="RBT8" s="484"/>
      <c r="RBU8" s="484"/>
      <c r="RBV8" s="484"/>
      <c r="RBW8" s="484"/>
      <c r="RBX8" s="484"/>
      <c r="RBY8" s="484"/>
      <c r="RBZ8" s="484"/>
      <c r="RCA8" s="484"/>
      <c r="RCB8" s="484"/>
      <c r="RCC8" s="484"/>
      <c r="RCD8" s="484"/>
      <c r="RCE8" s="484"/>
      <c r="RCF8" s="484"/>
      <c r="RCG8" s="484"/>
      <c r="RCH8" s="484"/>
      <c r="RCI8" s="484"/>
      <c r="RCJ8" s="484"/>
      <c r="RCK8" s="484"/>
      <c r="RCL8" s="484"/>
      <c r="RCM8" s="484"/>
      <c r="RCN8" s="484"/>
      <c r="RCO8" s="484"/>
      <c r="RCP8" s="484"/>
      <c r="RCQ8" s="484"/>
      <c r="RCR8" s="484"/>
      <c r="RCS8" s="484"/>
      <c r="RCT8" s="484"/>
      <c r="RCU8" s="484"/>
      <c r="RCV8" s="484"/>
      <c r="RCW8" s="484"/>
      <c r="RCX8" s="484"/>
      <c r="RCY8" s="484"/>
      <c r="RCZ8" s="484"/>
      <c r="RDA8" s="484"/>
      <c r="RDB8" s="484"/>
      <c r="RDC8" s="484"/>
      <c r="RDD8" s="484"/>
      <c r="RDE8" s="484"/>
      <c r="RDF8" s="484"/>
      <c r="RDG8" s="484"/>
      <c r="RDH8" s="484"/>
      <c r="RDI8" s="484"/>
      <c r="RDJ8" s="484"/>
      <c r="RDK8" s="484"/>
      <c r="RDL8" s="484"/>
      <c r="RDM8" s="484"/>
      <c r="RDN8" s="484"/>
      <c r="RDO8" s="484"/>
      <c r="RDP8" s="484"/>
      <c r="RDQ8" s="484"/>
      <c r="RDR8" s="484"/>
      <c r="RDS8" s="484"/>
      <c r="RDT8" s="484"/>
      <c r="RDU8" s="484"/>
      <c r="RDV8" s="484"/>
      <c r="RDW8" s="484"/>
      <c r="RDX8" s="484"/>
      <c r="RDY8" s="484"/>
      <c r="RDZ8" s="484"/>
      <c r="REA8" s="484"/>
      <c r="REB8" s="484"/>
      <c r="REC8" s="484"/>
      <c r="RED8" s="484"/>
      <c r="REE8" s="484"/>
      <c r="REF8" s="484"/>
      <c r="REG8" s="484"/>
      <c r="REH8" s="484"/>
      <c r="REI8" s="484"/>
      <c r="REJ8" s="484"/>
      <c r="REK8" s="484"/>
      <c r="REL8" s="484"/>
      <c r="REM8" s="484"/>
      <c r="REN8" s="484"/>
      <c r="REO8" s="484"/>
      <c r="REP8" s="484"/>
      <c r="REQ8" s="484"/>
      <c r="RER8" s="484"/>
      <c r="RES8" s="484"/>
      <c r="RET8" s="484"/>
      <c r="REU8" s="484"/>
      <c r="REV8" s="484"/>
      <c r="REW8" s="484"/>
      <c r="REX8" s="484"/>
      <c r="REY8" s="484"/>
      <c r="REZ8" s="484"/>
      <c r="RFA8" s="484"/>
      <c r="RFB8" s="484"/>
      <c r="RFC8" s="484"/>
      <c r="RFD8" s="484"/>
      <c r="RFE8" s="484"/>
      <c r="RFF8" s="484"/>
      <c r="RFG8" s="484"/>
      <c r="RFH8" s="484"/>
      <c r="RFI8" s="484"/>
      <c r="RFJ8" s="484"/>
      <c r="RFK8" s="484"/>
      <c r="RFL8" s="484"/>
      <c r="RFM8" s="484"/>
      <c r="RFN8" s="484"/>
      <c r="RFO8" s="484"/>
      <c r="RFP8" s="484"/>
      <c r="RFQ8" s="484"/>
      <c r="RFR8" s="484"/>
      <c r="RFS8" s="484"/>
      <c r="RFT8" s="484"/>
      <c r="RFU8" s="484"/>
      <c r="RFV8" s="484"/>
      <c r="RFW8" s="484"/>
      <c r="RFX8" s="484"/>
      <c r="RFY8" s="484"/>
      <c r="RFZ8" s="484"/>
      <c r="RGA8" s="484"/>
      <c r="RGB8" s="484"/>
      <c r="RGC8" s="484"/>
      <c r="RGD8" s="484"/>
      <c r="RGE8" s="484"/>
      <c r="RGF8" s="484"/>
      <c r="RGG8" s="484"/>
      <c r="RGH8" s="484"/>
      <c r="RGI8" s="484"/>
      <c r="RGJ8" s="484"/>
      <c r="RGK8" s="484"/>
      <c r="RGL8" s="484"/>
      <c r="RGM8" s="484"/>
      <c r="RGN8" s="484"/>
      <c r="RGO8" s="484"/>
      <c r="RGP8" s="484"/>
      <c r="RGQ8" s="484"/>
      <c r="RGR8" s="484"/>
      <c r="RGS8" s="484"/>
      <c r="RGT8" s="484"/>
      <c r="RGU8" s="484"/>
      <c r="RGV8" s="484"/>
      <c r="RGW8" s="484"/>
      <c r="RGX8" s="484"/>
      <c r="RGY8" s="484"/>
      <c r="RGZ8" s="484"/>
      <c r="RHA8" s="484"/>
      <c r="RHB8" s="484"/>
      <c r="RHC8" s="484"/>
      <c r="RHD8" s="484"/>
      <c r="RHE8" s="484"/>
      <c r="RHF8" s="484"/>
      <c r="RHG8" s="484"/>
      <c r="RHH8" s="484"/>
      <c r="RHI8" s="484"/>
      <c r="RHJ8" s="484"/>
      <c r="RHK8" s="484"/>
      <c r="RHL8" s="484"/>
      <c r="RHM8" s="484"/>
      <c r="RHN8" s="484"/>
      <c r="RHO8" s="484"/>
      <c r="RHP8" s="484"/>
      <c r="RHQ8" s="484"/>
      <c r="RHR8" s="484"/>
      <c r="RHS8" s="484"/>
      <c r="RHT8" s="484"/>
      <c r="RHU8" s="484"/>
      <c r="RHV8" s="484"/>
      <c r="RHW8" s="484"/>
      <c r="RHX8" s="484"/>
      <c r="RHY8" s="484"/>
      <c r="RHZ8" s="484"/>
      <c r="RIA8" s="484"/>
      <c r="RIB8" s="484"/>
      <c r="RIC8" s="484"/>
      <c r="RID8" s="484"/>
      <c r="RIE8" s="484"/>
      <c r="RIF8" s="484"/>
      <c r="RIG8" s="484"/>
      <c r="RIH8" s="484"/>
      <c r="RII8" s="484"/>
      <c r="RIJ8" s="484"/>
      <c r="RIK8" s="484"/>
      <c r="RIL8" s="484"/>
      <c r="RIM8" s="484"/>
      <c r="RIN8" s="484"/>
      <c r="RIO8" s="484"/>
      <c r="RIP8" s="484"/>
      <c r="RIQ8" s="484"/>
      <c r="RIR8" s="484"/>
      <c r="RIS8" s="484"/>
      <c r="RIT8" s="484"/>
      <c r="RIU8" s="484"/>
      <c r="RIV8" s="484"/>
      <c r="RIW8" s="484"/>
      <c r="RIX8" s="484"/>
      <c r="RIY8" s="484"/>
      <c r="RIZ8" s="484"/>
      <c r="RJA8" s="484"/>
      <c r="RJB8" s="484"/>
      <c r="RJC8" s="484"/>
      <c r="RJD8" s="484"/>
      <c r="RJE8" s="484"/>
      <c r="RJF8" s="484"/>
      <c r="RJG8" s="484"/>
      <c r="RJH8" s="484"/>
      <c r="RJI8" s="484"/>
      <c r="RJJ8" s="484"/>
      <c r="RJK8" s="484"/>
      <c r="RJL8" s="484"/>
      <c r="RJM8" s="484"/>
      <c r="RJN8" s="484"/>
      <c r="RJO8" s="484"/>
      <c r="RJP8" s="484"/>
      <c r="RJQ8" s="484"/>
      <c r="RJR8" s="484"/>
      <c r="RJS8" s="484"/>
      <c r="RJT8" s="484"/>
      <c r="RJU8" s="484"/>
      <c r="RJV8" s="484"/>
      <c r="RJW8" s="484"/>
      <c r="RJX8" s="484"/>
      <c r="RJY8" s="484"/>
      <c r="RJZ8" s="484"/>
      <c r="RKA8" s="484"/>
      <c r="RKB8" s="484"/>
      <c r="RKC8" s="484"/>
      <c r="RKD8" s="484"/>
      <c r="RKE8" s="484"/>
      <c r="RKF8" s="484"/>
      <c r="RKG8" s="484"/>
      <c r="RKH8" s="484"/>
      <c r="RKI8" s="484"/>
      <c r="RKJ8" s="484"/>
      <c r="RKK8" s="484"/>
      <c r="RKL8" s="484"/>
      <c r="RKM8" s="484"/>
      <c r="RKN8" s="484"/>
      <c r="RKO8" s="484"/>
      <c r="RKP8" s="484"/>
      <c r="RKQ8" s="484"/>
      <c r="RKR8" s="484"/>
      <c r="RKS8" s="484"/>
      <c r="RKT8" s="484"/>
      <c r="RKU8" s="484"/>
      <c r="RKV8" s="484"/>
      <c r="RKW8" s="484"/>
      <c r="RKX8" s="484"/>
      <c r="RKY8" s="484"/>
      <c r="RKZ8" s="484"/>
      <c r="RLA8" s="484"/>
      <c r="RLB8" s="484"/>
      <c r="RLC8" s="484"/>
      <c r="RLD8" s="484"/>
      <c r="RLE8" s="484"/>
      <c r="RLF8" s="484"/>
      <c r="RLG8" s="484"/>
      <c r="RLH8" s="484"/>
      <c r="RLI8" s="484"/>
      <c r="RLJ8" s="484"/>
      <c r="RLK8" s="484"/>
      <c r="RLL8" s="484"/>
      <c r="RLM8" s="484"/>
      <c r="RLN8" s="484"/>
      <c r="RLO8" s="484"/>
      <c r="RLP8" s="484"/>
      <c r="RLQ8" s="484"/>
      <c r="RLR8" s="484"/>
      <c r="RLS8" s="484"/>
      <c r="RLT8" s="484"/>
      <c r="RLU8" s="484"/>
      <c r="RLV8" s="484"/>
      <c r="RLW8" s="484"/>
      <c r="RLX8" s="484"/>
      <c r="RLY8" s="484"/>
      <c r="RLZ8" s="484"/>
      <c r="RMA8" s="484"/>
      <c r="RMB8" s="484"/>
      <c r="RMC8" s="484"/>
      <c r="RMD8" s="484"/>
      <c r="RME8" s="484"/>
      <c r="RMF8" s="484"/>
      <c r="RMG8" s="484"/>
      <c r="RMH8" s="484"/>
      <c r="RMI8" s="484"/>
      <c r="RMJ8" s="484"/>
      <c r="RMK8" s="484"/>
      <c r="RML8" s="484"/>
      <c r="RMM8" s="484"/>
      <c r="RMN8" s="484"/>
      <c r="RMO8" s="484"/>
      <c r="RMP8" s="484"/>
      <c r="RMQ8" s="484"/>
      <c r="RMR8" s="484"/>
      <c r="RMS8" s="484"/>
      <c r="RMT8" s="484"/>
      <c r="RMU8" s="484"/>
      <c r="RMV8" s="484"/>
      <c r="RMW8" s="484"/>
      <c r="RMX8" s="484"/>
      <c r="RMY8" s="484"/>
      <c r="RMZ8" s="484"/>
      <c r="RNA8" s="484"/>
      <c r="RNB8" s="484"/>
      <c r="RNC8" s="484"/>
      <c r="RND8" s="484"/>
      <c r="RNE8" s="484"/>
      <c r="RNF8" s="484"/>
      <c r="RNG8" s="484"/>
      <c r="RNH8" s="484"/>
      <c r="RNI8" s="484"/>
      <c r="RNJ8" s="484"/>
      <c r="RNK8" s="484"/>
      <c r="RNL8" s="484"/>
      <c r="RNM8" s="484"/>
      <c r="RNN8" s="484"/>
      <c r="RNO8" s="484"/>
      <c r="RNP8" s="484"/>
      <c r="RNQ8" s="484"/>
      <c r="RNR8" s="484"/>
      <c r="RNS8" s="484"/>
      <c r="RNT8" s="484"/>
      <c r="RNU8" s="484"/>
      <c r="RNV8" s="484"/>
      <c r="RNW8" s="484"/>
      <c r="RNX8" s="484"/>
      <c r="RNY8" s="484"/>
      <c r="RNZ8" s="484"/>
      <c r="ROA8" s="484"/>
      <c r="ROB8" s="484"/>
      <c r="ROC8" s="484"/>
      <c r="ROD8" s="484"/>
      <c r="ROE8" s="484"/>
      <c r="ROF8" s="484"/>
      <c r="ROG8" s="484"/>
      <c r="ROH8" s="484"/>
      <c r="ROI8" s="484"/>
      <c r="ROJ8" s="484"/>
      <c r="ROK8" s="484"/>
      <c r="ROL8" s="484"/>
      <c r="ROM8" s="484"/>
      <c r="RON8" s="484"/>
      <c r="ROO8" s="484"/>
      <c r="ROP8" s="484"/>
      <c r="ROQ8" s="484"/>
      <c r="ROR8" s="484"/>
      <c r="ROS8" s="484"/>
      <c r="ROT8" s="484"/>
      <c r="ROU8" s="484"/>
      <c r="ROV8" s="484"/>
      <c r="ROW8" s="484"/>
      <c r="ROX8" s="484"/>
      <c r="ROY8" s="484"/>
      <c r="ROZ8" s="484"/>
      <c r="RPA8" s="484"/>
      <c r="RPB8" s="484"/>
      <c r="RPC8" s="484"/>
      <c r="RPD8" s="484"/>
      <c r="RPE8" s="484"/>
      <c r="RPF8" s="484"/>
      <c r="RPG8" s="484"/>
      <c r="RPH8" s="484"/>
      <c r="RPI8" s="484"/>
      <c r="RPJ8" s="484"/>
      <c r="RPK8" s="484"/>
      <c r="RPL8" s="484"/>
      <c r="RPM8" s="484"/>
      <c r="RPN8" s="484"/>
      <c r="RPO8" s="484"/>
      <c r="RPP8" s="484"/>
      <c r="RPQ8" s="484"/>
      <c r="RPR8" s="484"/>
      <c r="RPS8" s="484"/>
      <c r="RPT8" s="484"/>
      <c r="RPU8" s="484"/>
      <c r="RPV8" s="484"/>
      <c r="RPW8" s="484"/>
      <c r="RPX8" s="484"/>
      <c r="RPY8" s="484"/>
      <c r="RPZ8" s="484"/>
      <c r="RQA8" s="484"/>
      <c r="RQB8" s="484"/>
      <c r="RQC8" s="484"/>
      <c r="RQD8" s="484"/>
      <c r="RQE8" s="484"/>
      <c r="RQF8" s="484"/>
      <c r="RQG8" s="484"/>
      <c r="RQH8" s="484"/>
      <c r="RQI8" s="484"/>
      <c r="RQJ8" s="484"/>
      <c r="RQK8" s="484"/>
      <c r="RQL8" s="484"/>
      <c r="RQM8" s="484"/>
      <c r="RQN8" s="484"/>
      <c r="RQO8" s="484"/>
      <c r="RQP8" s="484"/>
      <c r="RQQ8" s="484"/>
      <c r="RQR8" s="484"/>
      <c r="RQS8" s="484"/>
      <c r="RQT8" s="484"/>
      <c r="RQU8" s="484"/>
      <c r="RQV8" s="484"/>
      <c r="RQW8" s="484"/>
      <c r="RQX8" s="484"/>
      <c r="RQY8" s="484"/>
      <c r="RQZ8" s="484"/>
      <c r="RRA8" s="484"/>
      <c r="RRB8" s="484"/>
      <c r="RRC8" s="484"/>
      <c r="RRD8" s="484"/>
      <c r="RRE8" s="484"/>
      <c r="RRF8" s="484"/>
      <c r="RRG8" s="484"/>
      <c r="RRH8" s="484"/>
      <c r="RRI8" s="484"/>
      <c r="RRJ8" s="484"/>
      <c r="RRK8" s="484"/>
      <c r="RRL8" s="484"/>
      <c r="RRM8" s="484"/>
      <c r="RRN8" s="484"/>
      <c r="RRO8" s="484"/>
      <c r="RRP8" s="484"/>
      <c r="RRQ8" s="484"/>
      <c r="RRR8" s="484"/>
      <c r="RRS8" s="484"/>
      <c r="RRT8" s="484"/>
      <c r="RRU8" s="484"/>
      <c r="RRV8" s="484"/>
      <c r="RRW8" s="484"/>
      <c r="RRX8" s="484"/>
      <c r="RRY8" s="484"/>
      <c r="RRZ8" s="484"/>
      <c r="RSA8" s="484"/>
      <c r="RSB8" s="484"/>
      <c r="RSC8" s="484"/>
      <c r="RSD8" s="484"/>
      <c r="RSE8" s="484"/>
      <c r="RSF8" s="484"/>
      <c r="RSG8" s="484"/>
      <c r="RSH8" s="484"/>
      <c r="RSI8" s="484"/>
      <c r="RSJ8" s="484"/>
      <c r="RSK8" s="484"/>
      <c r="RSL8" s="484"/>
      <c r="RSM8" s="484"/>
      <c r="RSN8" s="484"/>
      <c r="RSO8" s="484"/>
      <c r="RSP8" s="484"/>
      <c r="RSQ8" s="484"/>
      <c r="RSR8" s="484"/>
      <c r="RSS8" s="484"/>
      <c r="RST8" s="484"/>
      <c r="RSU8" s="484"/>
      <c r="RSV8" s="484"/>
      <c r="RSW8" s="484"/>
      <c r="RSX8" s="484"/>
      <c r="RSY8" s="484"/>
      <c r="RSZ8" s="484"/>
      <c r="RTA8" s="484"/>
      <c r="RTB8" s="484"/>
      <c r="RTC8" s="484"/>
      <c r="RTD8" s="484"/>
      <c r="RTE8" s="484"/>
      <c r="RTF8" s="484"/>
      <c r="RTG8" s="484"/>
      <c r="RTH8" s="484"/>
      <c r="RTI8" s="484"/>
      <c r="RTJ8" s="484"/>
      <c r="RTK8" s="484"/>
      <c r="RTL8" s="484"/>
      <c r="RTM8" s="484"/>
      <c r="RTN8" s="484"/>
      <c r="RTO8" s="484"/>
      <c r="RTP8" s="484"/>
      <c r="RTQ8" s="484"/>
      <c r="RTR8" s="484"/>
      <c r="RTS8" s="484"/>
      <c r="RTT8" s="484"/>
      <c r="RTU8" s="484"/>
      <c r="RTV8" s="484"/>
      <c r="RTW8" s="484"/>
      <c r="RTX8" s="484"/>
      <c r="RTY8" s="484"/>
      <c r="RTZ8" s="484"/>
      <c r="RUA8" s="484"/>
      <c r="RUB8" s="484"/>
      <c r="RUC8" s="484"/>
      <c r="RUD8" s="484"/>
      <c r="RUE8" s="484"/>
      <c r="RUF8" s="484"/>
      <c r="RUG8" s="484"/>
      <c r="RUH8" s="484"/>
      <c r="RUI8" s="484"/>
      <c r="RUJ8" s="484"/>
      <c r="RUK8" s="484"/>
      <c r="RUL8" s="484"/>
      <c r="RUM8" s="484"/>
      <c r="RUN8" s="484"/>
      <c r="RUO8" s="484"/>
      <c r="RUP8" s="484"/>
      <c r="RUQ8" s="484"/>
      <c r="RUR8" s="484"/>
      <c r="RUS8" s="484"/>
      <c r="RUT8" s="484"/>
      <c r="RUU8" s="484"/>
      <c r="RUV8" s="484"/>
      <c r="RUW8" s="484"/>
      <c r="RUX8" s="484"/>
      <c r="RUY8" s="484"/>
      <c r="RUZ8" s="484"/>
      <c r="RVA8" s="484"/>
      <c r="RVB8" s="484"/>
      <c r="RVC8" s="484"/>
      <c r="RVD8" s="484"/>
      <c r="RVE8" s="484"/>
      <c r="RVF8" s="484"/>
      <c r="RVG8" s="484"/>
      <c r="RVH8" s="484"/>
      <c r="RVI8" s="484"/>
      <c r="RVJ8" s="484"/>
      <c r="RVK8" s="484"/>
      <c r="RVL8" s="484"/>
      <c r="RVM8" s="484"/>
      <c r="RVN8" s="484"/>
      <c r="RVO8" s="484"/>
      <c r="RVP8" s="484"/>
      <c r="RVQ8" s="484"/>
      <c r="RVR8" s="484"/>
      <c r="RVS8" s="484"/>
      <c r="RVT8" s="484"/>
      <c r="RVU8" s="484"/>
      <c r="RVV8" s="484"/>
      <c r="RVW8" s="484"/>
      <c r="RVX8" s="484"/>
      <c r="RVY8" s="484"/>
      <c r="RVZ8" s="484"/>
      <c r="RWA8" s="484"/>
      <c r="RWB8" s="484"/>
      <c r="RWC8" s="484"/>
      <c r="RWD8" s="484"/>
      <c r="RWE8" s="484"/>
      <c r="RWF8" s="484"/>
      <c r="RWG8" s="484"/>
      <c r="RWH8" s="484"/>
      <c r="RWI8" s="484"/>
      <c r="RWJ8" s="484"/>
      <c r="RWK8" s="484"/>
      <c r="RWL8" s="484"/>
      <c r="RWM8" s="484"/>
      <c r="RWN8" s="484"/>
      <c r="RWO8" s="484"/>
      <c r="RWP8" s="484"/>
      <c r="RWQ8" s="484"/>
      <c r="RWR8" s="484"/>
      <c r="RWS8" s="484"/>
      <c r="RWT8" s="484"/>
      <c r="RWU8" s="484"/>
      <c r="RWV8" s="484"/>
      <c r="RWW8" s="484"/>
      <c r="RWX8" s="484"/>
      <c r="RWY8" s="484"/>
      <c r="RWZ8" s="484"/>
      <c r="RXA8" s="484"/>
      <c r="RXB8" s="484"/>
      <c r="RXC8" s="484"/>
      <c r="RXD8" s="484"/>
      <c r="RXE8" s="484"/>
      <c r="RXF8" s="484"/>
      <c r="RXG8" s="484"/>
      <c r="RXH8" s="484"/>
      <c r="RXI8" s="484"/>
      <c r="RXJ8" s="484"/>
      <c r="RXK8" s="484"/>
      <c r="RXL8" s="484"/>
      <c r="RXM8" s="484"/>
      <c r="RXN8" s="484"/>
      <c r="RXO8" s="484"/>
      <c r="RXP8" s="484"/>
      <c r="RXQ8" s="484"/>
      <c r="RXR8" s="484"/>
      <c r="RXS8" s="484"/>
      <c r="RXT8" s="484"/>
      <c r="RXU8" s="484"/>
      <c r="RXV8" s="484"/>
      <c r="RXW8" s="484"/>
      <c r="RXX8" s="484"/>
      <c r="RXY8" s="484"/>
      <c r="RXZ8" s="484"/>
      <c r="RYA8" s="484"/>
      <c r="RYB8" s="484"/>
      <c r="RYC8" s="484"/>
      <c r="RYD8" s="484"/>
      <c r="RYE8" s="484"/>
      <c r="RYF8" s="484"/>
      <c r="RYG8" s="484"/>
      <c r="RYH8" s="484"/>
      <c r="RYI8" s="484"/>
      <c r="RYJ8" s="484"/>
      <c r="RYK8" s="484"/>
      <c r="RYL8" s="484"/>
      <c r="RYM8" s="484"/>
      <c r="RYN8" s="484"/>
      <c r="RYO8" s="484"/>
      <c r="RYP8" s="484"/>
      <c r="RYQ8" s="484"/>
      <c r="RYR8" s="484"/>
      <c r="RYS8" s="484"/>
      <c r="RYT8" s="484"/>
      <c r="RYU8" s="484"/>
      <c r="RYV8" s="484"/>
      <c r="RYW8" s="484"/>
      <c r="RYX8" s="484"/>
      <c r="RYY8" s="484"/>
      <c r="RYZ8" s="484"/>
      <c r="RZA8" s="484"/>
      <c r="RZB8" s="484"/>
      <c r="RZC8" s="484"/>
      <c r="RZD8" s="484"/>
      <c r="RZE8" s="484"/>
      <c r="RZF8" s="484"/>
      <c r="RZG8" s="484"/>
      <c r="RZH8" s="484"/>
      <c r="RZI8" s="484"/>
      <c r="RZJ8" s="484"/>
      <c r="RZK8" s="484"/>
      <c r="RZL8" s="484"/>
      <c r="RZM8" s="484"/>
      <c r="RZN8" s="484"/>
      <c r="RZO8" s="484"/>
      <c r="RZP8" s="484"/>
      <c r="RZQ8" s="484"/>
      <c r="RZR8" s="484"/>
      <c r="RZS8" s="484"/>
      <c r="RZT8" s="484"/>
      <c r="RZU8" s="484"/>
      <c r="RZV8" s="484"/>
      <c r="RZW8" s="484"/>
      <c r="RZX8" s="484"/>
      <c r="RZY8" s="484"/>
      <c r="RZZ8" s="484"/>
      <c r="SAA8" s="484"/>
      <c r="SAB8" s="484"/>
      <c r="SAC8" s="484"/>
      <c r="SAD8" s="484"/>
      <c r="SAE8" s="484"/>
      <c r="SAF8" s="484"/>
      <c r="SAG8" s="484"/>
      <c r="SAH8" s="484"/>
      <c r="SAI8" s="484"/>
      <c r="SAJ8" s="484"/>
      <c r="SAK8" s="484"/>
      <c r="SAL8" s="484"/>
      <c r="SAM8" s="484"/>
      <c r="SAN8" s="484"/>
      <c r="SAO8" s="484"/>
      <c r="SAP8" s="484"/>
      <c r="SAQ8" s="484"/>
      <c r="SAR8" s="484"/>
      <c r="SAS8" s="484"/>
      <c r="SAT8" s="484"/>
      <c r="SAU8" s="484"/>
      <c r="SAV8" s="484"/>
      <c r="SAW8" s="484"/>
      <c r="SAX8" s="484"/>
      <c r="SAY8" s="484"/>
      <c r="SAZ8" s="484"/>
      <c r="SBA8" s="484"/>
      <c r="SBB8" s="484"/>
      <c r="SBC8" s="484"/>
      <c r="SBD8" s="484"/>
      <c r="SBE8" s="484"/>
      <c r="SBF8" s="484"/>
      <c r="SBG8" s="484"/>
      <c r="SBH8" s="484"/>
      <c r="SBI8" s="484"/>
      <c r="SBJ8" s="484"/>
      <c r="SBK8" s="484"/>
      <c r="SBL8" s="484"/>
      <c r="SBM8" s="484"/>
      <c r="SBN8" s="484"/>
      <c r="SBO8" s="484"/>
      <c r="SBP8" s="484"/>
      <c r="SBQ8" s="484"/>
      <c r="SBR8" s="484"/>
      <c r="SBS8" s="484"/>
      <c r="SBT8" s="484"/>
      <c r="SBU8" s="484"/>
      <c r="SBV8" s="484"/>
      <c r="SBW8" s="484"/>
      <c r="SBX8" s="484"/>
      <c r="SBY8" s="484"/>
      <c r="SBZ8" s="484"/>
      <c r="SCA8" s="484"/>
      <c r="SCB8" s="484"/>
      <c r="SCC8" s="484"/>
      <c r="SCD8" s="484"/>
      <c r="SCE8" s="484"/>
      <c r="SCF8" s="484"/>
      <c r="SCG8" s="484"/>
      <c r="SCH8" s="484"/>
      <c r="SCI8" s="484"/>
      <c r="SCJ8" s="484"/>
      <c r="SCK8" s="484"/>
      <c r="SCL8" s="484"/>
      <c r="SCM8" s="484"/>
      <c r="SCN8" s="484"/>
      <c r="SCO8" s="484"/>
      <c r="SCP8" s="484"/>
      <c r="SCQ8" s="484"/>
      <c r="SCR8" s="484"/>
      <c r="SCS8" s="484"/>
      <c r="SCT8" s="484"/>
      <c r="SCU8" s="484"/>
      <c r="SCV8" s="484"/>
      <c r="SCW8" s="484"/>
      <c r="SCX8" s="484"/>
      <c r="SCY8" s="484"/>
      <c r="SCZ8" s="484"/>
      <c r="SDA8" s="484"/>
      <c r="SDB8" s="484"/>
      <c r="SDC8" s="484"/>
      <c r="SDD8" s="484"/>
      <c r="SDE8" s="484"/>
      <c r="SDF8" s="484"/>
      <c r="SDG8" s="484"/>
      <c r="SDH8" s="484"/>
      <c r="SDI8" s="484"/>
      <c r="SDJ8" s="484"/>
      <c r="SDK8" s="484"/>
      <c r="SDL8" s="484"/>
      <c r="SDM8" s="484"/>
      <c r="SDN8" s="484"/>
      <c r="SDO8" s="484"/>
      <c r="SDP8" s="484"/>
      <c r="SDQ8" s="484"/>
      <c r="SDR8" s="484"/>
      <c r="SDS8" s="484"/>
      <c r="SDT8" s="484"/>
      <c r="SDU8" s="484"/>
      <c r="SDV8" s="484"/>
      <c r="SDW8" s="484"/>
      <c r="SDX8" s="484"/>
      <c r="SDY8" s="484"/>
      <c r="SDZ8" s="484"/>
      <c r="SEA8" s="484"/>
      <c r="SEB8" s="484"/>
      <c r="SEC8" s="484"/>
      <c r="SED8" s="484"/>
      <c r="SEE8" s="484"/>
      <c r="SEF8" s="484"/>
      <c r="SEG8" s="484"/>
      <c r="SEH8" s="484"/>
      <c r="SEI8" s="484"/>
      <c r="SEJ8" s="484"/>
      <c r="SEK8" s="484"/>
      <c r="SEL8" s="484"/>
      <c r="SEM8" s="484"/>
      <c r="SEN8" s="484"/>
      <c r="SEO8" s="484"/>
      <c r="SEP8" s="484"/>
      <c r="SEQ8" s="484"/>
      <c r="SER8" s="484"/>
      <c r="SES8" s="484"/>
      <c r="SET8" s="484"/>
      <c r="SEU8" s="484"/>
      <c r="SEV8" s="484"/>
      <c r="SEW8" s="484"/>
      <c r="SEX8" s="484"/>
      <c r="SEY8" s="484"/>
      <c r="SEZ8" s="484"/>
      <c r="SFA8" s="484"/>
      <c r="SFB8" s="484"/>
      <c r="SFC8" s="484"/>
      <c r="SFD8" s="484"/>
      <c r="SFE8" s="484"/>
      <c r="SFF8" s="484"/>
      <c r="SFG8" s="484"/>
      <c r="SFH8" s="484"/>
      <c r="SFI8" s="484"/>
      <c r="SFJ8" s="484"/>
      <c r="SFK8" s="484"/>
      <c r="SFL8" s="484"/>
      <c r="SFM8" s="484"/>
      <c r="SFN8" s="484"/>
      <c r="SFO8" s="484"/>
      <c r="SFP8" s="484"/>
      <c r="SFQ8" s="484"/>
      <c r="SFR8" s="484"/>
      <c r="SFS8" s="484"/>
      <c r="SFT8" s="484"/>
      <c r="SFU8" s="484"/>
      <c r="SFV8" s="484"/>
      <c r="SFW8" s="484"/>
      <c r="SFX8" s="484"/>
      <c r="SFY8" s="484"/>
      <c r="SFZ8" s="484"/>
      <c r="SGA8" s="484"/>
      <c r="SGB8" s="484"/>
      <c r="SGC8" s="484"/>
      <c r="SGD8" s="484"/>
      <c r="SGE8" s="484"/>
      <c r="SGF8" s="484"/>
      <c r="SGG8" s="484"/>
      <c r="SGH8" s="484"/>
      <c r="SGI8" s="484"/>
      <c r="SGJ8" s="484"/>
      <c r="SGK8" s="484"/>
      <c r="SGL8" s="484"/>
      <c r="SGM8" s="484"/>
      <c r="SGN8" s="484"/>
      <c r="SGO8" s="484"/>
      <c r="SGP8" s="484"/>
      <c r="SGQ8" s="484"/>
      <c r="SGR8" s="484"/>
      <c r="SGS8" s="484"/>
      <c r="SGT8" s="484"/>
      <c r="SGU8" s="484"/>
      <c r="SGV8" s="484"/>
      <c r="SGW8" s="484"/>
      <c r="SGX8" s="484"/>
      <c r="SGY8" s="484"/>
      <c r="SGZ8" s="484"/>
      <c r="SHA8" s="484"/>
      <c r="SHB8" s="484"/>
      <c r="SHC8" s="484"/>
      <c r="SHD8" s="484"/>
      <c r="SHE8" s="484"/>
      <c r="SHF8" s="484"/>
      <c r="SHG8" s="484"/>
      <c r="SHH8" s="484"/>
      <c r="SHI8" s="484"/>
      <c r="SHJ8" s="484"/>
      <c r="SHK8" s="484"/>
      <c r="SHL8" s="484"/>
      <c r="SHM8" s="484"/>
      <c r="SHN8" s="484"/>
      <c r="SHO8" s="484"/>
      <c r="SHP8" s="484"/>
      <c r="SHQ8" s="484"/>
      <c r="SHR8" s="484"/>
      <c r="SHS8" s="484"/>
      <c r="SHT8" s="484"/>
      <c r="SHU8" s="484"/>
      <c r="SHV8" s="484"/>
      <c r="SHW8" s="484"/>
      <c r="SHX8" s="484"/>
      <c r="SHY8" s="484"/>
      <c r="SHZ8" s="484"/>
      <c r="SIA8" s="484"/>
      <c r="SIB8" s="484"/>
      <c r="SIC8" s="484"/>
      <c r="SID8" s="484"/>
      <c r="SIE8" s="484"/>
      <c r="SIF8" s="484"/>
      <c r="SIG8" s="484"/>
      <c r="SIH8" s="484"/>
      <c r="SII8" s="484"/>
      <c r="SIJ8" s="484"/>
      <c r="SIK8" s="484"/>
      <c r="SIL8" s="484"/>
      <c r="SIM8" s="484"/>
      <c r="SIN8" s="484"/>
      <c r="SIO8" s="484"/>
      <c r="SIP8" s="484"/>
      <c r="SIQ8" s="484"/>
      <c r="SIR8" s="484"/>
      <c r="SIS8" s="484"/>
      <c r="SIT8" s="484"/>
      <c r="SIU8" s="484"/>
      <c r="SIV8" s="484"/>
      <c r="SIW8" s="484"/>
      <c r="SIX8" s="484"/>
      <c r="SIY8" s="484"/>
      <c r="SIZ8" s="484"/>
      <c r="SJA8" s="484"/>
      <c r="SJB8" s="484"/>
      <c r="SJC8" s="484"/>
      <c r="SJD8" s="484"/>
      <c r="SJE8" s="484"/>
      <c r="SJF8" s="484"/>
      <c r="SJG8" s="484"/>
      <c r="SJH8" s="484"/>
      <c r="SJI8" s="484"/>
      <c r="SJJ8" s="484"/>
      <c r="SJK8" s="484"/>
      <c r="SJL8" s="484"/>
      <c r="SJM8" s="484"/>
      <c r="SJN8" s="484"/>
      <c r="SJO8" s="484"/>
      <c r="SJP8" s="484"/>
      <c r="SJQ8" s="484"/>
      <c r="SJR8" s="484"/>
      <c r="SJS8" s="484"/>
      <c r="SJT8" s="484"/>
      <c r="SJU8" s="484"/>
      <c r="SJV8" s="484"/>
      <c r="SJW8" s="484"/>
      <c r="SJX8" s="484"/>
      <c r="SJY8" s="484"/>
      <c r="SJZ8" s="484"/>
      <c r="SKA8" s="484"/>
      <c r="SKB8" s="484"/>
      <c r="SKC8" s="484"/>
      <c r="SKD8" s="484"/>
      <c r="SKE8" s="484"/>
      <c r="SKF8" s="484"/>
      <c r="SKG8" s="484"/>
      <c r="SKH8" s="484"/>
      <c r="SKI8" s="484"/>
      <c r="SKJ8" s="484"/>
      <c r="SKK8" s="484"/>
      <c r="SKL8" s="484"/>
      <c r="SKM8" s="484"/>
      <c r="SKN8" s="484"/>
      <c r="SKO8" s="484"/>
      <c r="SKP8" s="484"/>
      <c r="SKQ8" s="484"/>
      <c r="SKR8" s="484"/>
      <c r="SKS8" s="484"/>
      <c r="SKT8" s="484"/>
      <c r="SKU8" s="484"/>
      <c r="SKV8" s="484"/>
      <c r="SKW8" s="484"/>
      <c r="SKX8" s="484"/>
      <c r="SKY8" s="484"/>
      <c r="SKZ8" s="484"/>
      <c r="SLA8" s="484"/>
      <c r="SLB8" s="484"/>
      <c r="SLC8" s="484"/>
      <c r="SLD8" s="484"/>
      <c r="SLE8" s="484"/>
      <c r="SLF8" s="484"/>
      <c r="SLG8" s="484"/>
      <c r="SLH8" s="484"/>
      <c r="SLI8" s="484"/>
      <c r="SLJ8" s="484"/>
      <c r="SLK8" s="484"/>
      <c r="SLL8" s="484"/>
      <c r="SLM8" s="484"/>
      <c r="SLN8" s="484"/>
      <c r="SLO8" s="484"/>
      <c r="SLP8" s="484"/>
      <c r="SLQ8" s="484"/>
      <c r="SLR8" s="484"/>
      <c r="SLS8" s="484"/>
      <c r="SLT8" s="484"/>
      <c r="SLU8" s="484"/>
      <c r="SLV8" s="484"/>
      <c r="SLW8" s="484"/>
      <c r="SLX8" s="484"/>
      <c r="SLY8" s="484"/>
      <c r="SLZ8" s="484"/>
      <c r="SMA8" s="484"/>
      <c r="SMB8" s="484"/>
      <c r="SMC8" s="484"/>
      <c r="SMD8" s="484"/>
      <c r="SME8" s="484"/>
      <c r="SMF8" s="484"/>
      <c r="SMG8" s="484"/>
      <c r="SMH8" s="484"/>
      <c r="SMI8" s="484"/>
      <c r="SMJ8" s="484"/>
      <c r="SMK8" s="484"/>
      <c r="SML8" s="484"/>
      <c r="SMM8" s="484"/>
      <c r="SMN8" s="484"/>
      <c r="SMO8" s="484"/>
      <c r="SMP8" s="484"/>
      <c r="SMQ8" s="484"/>
      <c r="SMR8" s="484"/>
      <c r="SMS8" s="484"/>
      <c r="SMT8" s="484"/>
      <c r="SMU8" s="484"/>
      <c r="SMV8" s="484"/>
      <c r="SMW8" s="484"/>
      <c r="SMX8" s="484"/>
      <c r="SMY8" s="484"/>
      <c r="SMZ8" s="484"/>
      <c r="SNA8" s="484"/>
      <c r="SNB8" s="484"/>
      <c r="SNC8" s="484"/>
      <c r="SND8" s="484"/>
      <c r="SNE8" s="484"/>
      <c r="SNF8" s="484"/>
      <c r="SNG8" s="484"/>
      <c r="SNH8" s="484"/>
      <c r="SNI8" s="484"/>
      <c r="SNJ8" s="484"/>
      <c r="SNK8" s="484"/>
      <c r="SNL8" s="484"/>
      <c r="SNM8" s="484"/>
      <c r="SNN8" s="484"/>
      <c r="SNO8" s="484"/>
      <c r="SNP8" s="484"/>
      <c r="SNQ8" s="484"/>
      <c r="SNR8" s="484"/>
      <c r="SNS8" s="484"/>
      <c r="SNT8" s="484"/>
      <c r="SNU8" s="484"/>
      <c r="SNV8" s="484"/>
      <c r="SNW8" s="484"/>
      <c r="SNX8" s="484"/>
      <c r="SNY8" s="484"/>
      <c r="SNZ8" s="484"/>
      <c r="SOA8" s="484"/>
      <c r="SOB8" s="484"/>
      <c r="SOC8" s="484"/>
      <c r="SOD8" s="484"/>
      <c r="SOE8" s="484"/>
      <c r="SOF8" s="484"/>
      <c r="SOG8" s="484"/>
      <c r="SOH8" s="484"/>
      <c r="SOI8" s="484"/>
      <c r="SOJ8" s="484"/>
      <c r="SOK8" s="484"/>
      <c r="SOL8" s="484"/>
      <c r="SOM8" s="484"/>
      <c r="SON8" s="484"/>
      <c r="SOO8" s="484"/>
      <c r="SOP8" s="484"/>
      <c r="SOQ8" s="484"/>
      <c r="SOR8" s="484"/>
      <c r="SOS8" s="484"/>
      <c r="SOT8" s="484"/>
      <c r="SOU8" s="484"/>
      <c r="SOV8" s="484"/>
      <c r="SOW8" s="484"/>
      <c r="SOX8" s="484"/>
      <c r="SOY8" s="484"/>
      <c r="SOZ8" s="484"/>
      <c r="SPA8" s="484"/>
      <c r="SPB8" s="484"/>
      <c r="SPC8" s="484"/>
      <c r="SPD8" s="484"/>
      <c r="SPE8" s="484"/>
      <c r="SPF8" s="484"/>
      <c r="SPG8" s="484"/>
      <c r="SPH8" s="484"/>
      <c r="SPI8" s="484"/>
      <c r="SPJ8" s="484"/>
      <c r="SPK8" s="484"/>
      <c r="SPL8" s="484"/>
      <c r="SPM8" s="484"/>
      <c r="SPN8" s="484"/>
      <c r="SPO8" s="484"/>
      <c r="SPP8" s="484"/>
      <c r="SPQ8" s="484"/>
      <c r="SPR8" s="484"/>
      <c r="SPS8" s="484"/>
      <c r="SPT8" s="484"/>
      <c r="SPU8" s="484"/>
      <c r="SPV8" s="484"/>
      <c r="SPW8" s="484"/>
      <c r="SPX8" s="484"/>
      <c r="SPY8" s="484"/>
      <c r="SPZ8" s="484"/>
      <c r="SQA8" s="484"/>
      <c r="SQB8" s="484"/>
      <c r="SQC8" s="484"/>
      <c r="SQD8" s="484"/>
      <c r="SQE8" s="484"/>
      <c r="SQF8" s="484"/>
      <c r="SQG8" s="484"/>
      <c r="SQH8" s="484"/>
      <c r="SQI8" s="484"/>
      <c r="SQJ8" s="484"/>
      <c r="SQK8" s="484"/>
      <c r="SQL8" s="484"/>
      <c r="SQM8" s="484"/>
      <c r="SQN8" s="484"/>
      <c r="SQO8" s="484"/>
      <c r="SQP8" s="484"/>
      <c r="SQQ8" s="484"/>
      <c r="SQR8" s="484"/>
      <c r="SQS8" s="484"/>
      <c r="SQT8" s="484"/>
      <c r="SQU8" s="484"/>
      <c r="SQV8" s="484"/>
      <c r="SQW8" s="484"/>
      <c r="SQX8" s="484"/>
      <c r="SQY8" s="484"/>
      <c r="SQZ8" s="484"/>
      <c r="SRA8" s="484"/>
      <c r="SRB8" s="484"/>
      <c r="SRC8" s="484"/>
      <c r="SRD8" s="484"/>
      <c r="SRE8" s="484"/>
      <c r="SRF8" s="484"/>
      <c r="SRG8" s="484"/>
      <c r="SRH8" s="484"/>
      <c r="SRI8" s="484"/>
      <c r="SRJ8" s="484"/>
      <c r="SRK8" s="484"/>
      <c r="SRL8" s="484"/>
      <c r="SRM8" s="484"/>
      <c r="SRN8" s="484"/>
      <c r="SRO8" s="484"/>
      <c r="SRP8" s="484"/>
      <c r="SRQ8" s="484"/>
      <c r="SRR8" s="484"/>
      <c r="SRS8" s="484"/>
      <c r="SRT8" s="484"/>
      <c r="SRU8" s="484"/>
      <c r="SRV8" s="484"/>
      <c r="SRW8" s="484"/>
      <c r="SRX8" s="484"/>
      <c r="SRY8" s="484"/>
      <c r="SRZ8" s="484"/>
      <c r="SSA8" s="484"/>
      <c r="SSB8" s="484"/>
      <c r="SSC8" s="484"/>
      <c r="SSD8" s="484"/>
      <c r="SSE8" s="484"/>
      <c r="SSF8" s="484"/>
      <c r="SSG8" s="484"/>
      <c r="SSH8" s="484"/>
      <c r="SSI8" s="484"/>
      <c r="SSJ8" s="484"/>
      <c r="SSK8" s="484"/>
      <c r="SSL8" s="484"/>
      <c r="SSM8" s="484"/>
      <c r="SSN8" s="484"/>
      <c r="SSO8" s="484"/>
      <c r="SSP8" s="484"/>
      <c r="SSQ8" s="484"/>
      <c r="SSR8" s="484"/>
      <c r="SSS8" s="484"/>
      <c r="SST8" s="484"/>
      <c r="SSU8" s="484"/>
      <c r="SSV8" s="484"/>
      <c r="SSW8" s="484"/>
      <c r="SSX8" s="484"/>
      <c r="SSY8" s="484"/>
      <c r="SSZ8" s="484"/>
      <c r="STA8" s="484"/>
      <c r="STB8" s="484"/>
      <c r="STC8" s="484"/>
      <c r="STD8" s="484"/>
      <c r="STE8" s="484"/>
      <c r="STF8" s="484"/>
      <c r="STG8" s="484"/>
      <c r="STH8" s="484"/>
      <c r="STI8" s="484"/>
      <c r="STJ8" s="484"/>
      <c r="STK8" s="484"/>
      <c r="STL8" s="484"/>
      <c r="STM8" s="484"/>
      <c r="STN8" s="484"/>
      <c r="STO8" s="484"/>
      <c r="STP8" s="484"/>
      <c r="STQ8" s="484"/>
      <c r="STR8" s="484"/>
      <c r="STS8" s="484"/>
      <c r="STT8" s="484"/>
      <c r="STU8" s="484"/>
      <c r="STV8" s="484"/>
      <c r="STW8" s="484"/>
      <c r="STX8" s="484"/>
      <c r="STY8" s="484"/>
      <c r="STZ8" s="484"/>
      <c r="SUA8" s="484"/>
      <c r="SUB8" s="484"/>
      <c r="SUC8" s="484"/>
      <c r="SUD8" s="484"/>
      <c r="SUE8" s="484"/>
      <c r="SUF8" s="484"/>
      <c r="SUG8" s="484"/>
      <c r="SUH8" s="484"/>
      <c r="SUI8" s="484"/>
      <c r="SUJ8" s="484"/>
      <c r="SUK8" s="484"/>
      <c r="SUL8" s="484"/>
      <c r="SUM8" s="484"/>
      <c r="SUN8" s="484"/>
      <c r="SUO8" s="484"/>
      <c r="SUP8" s="484"/>
      <c r="SUQ8" s="484"/>
      <c r="SUR8" s="484"/>
      <c r="SUS8" s="484"/>
      <c r="SUT8" s="484"/>
      <c r="SUU8" s="484"/>
      <c r="SUV8" s="484"/>
      <c r="SUW8" s="484"/>
      <c r="SUX8" s="484"/>
      <c r="SUY8" s="484"/>
      <c r="SUZ8" s="484"/>
      <c r="SVA8" s="484"/>
      <c r="SVB8" s="484"/>
      <c r="SVC8" s="484"/>
      <c r="SVD8" s="484"/>
      <c r="SVE8" s="484"/>
      <c r="SVF8" s="484"/>
      <c r="SVG8" s="484"/>
      <c r="SVH8" s="484"/>
      <c r="SVI8" s="484"/>
      <c r="SVJ8" s="484"/>
      <c r="SVK8" s="484"/>
      <c r="SVL8" s="484"/>
      <c r="SVM8" s="484"/>
      <c r="SVN8" s="484"/>
      <c r="SVO8" s="484"/>
      <c r="SVP8" s="484"/>
      <c r="SVQ8" s="484"/>
      <c r="SVR8" s="484"/>
      <c r="SVS8" s="484"/>
      <c r="SVT8" s="484"/>
      <c r="SVU8" s="484"/>
      <c r="SVV8" s="484"/>
      <c r="SVW8" s="484"/>
      <c r="SVX8" s="484"/>
      <c r="SVY8" s="484"/>
      <c r="SVZ8" s="484"/>
      <c r="SWA8" s="484"/>
      <c r="SWB8" s="484"/>
      <c r="SWC8" s="484"/>
      <c r="SWD8" s="484"/>
      <c r="SWE8" s="484"/>
      <c r="SWF8" s="484"/>
      <c r="SWG8" s="484"/>
      <c r="SWH8" s="484"/>
      <c r="SWI8" s="484"/>
      <c r="SWJ8" s="484"/>
      <c r="SWK8" s="484"/>
      <c r="SWL8" s="484"/>
      <c r="SWM8" s="484"/>
      <c r="SWN8" s="484"/>
      <c r="SWO8" s="484"/>
      <c r="SWP8" s="484"/>
      <c r="SWQ8" s="484"/>
      <c r="SWR8" s="484"/>
      <c r="SWS8" s="484"/>
      <c r="SWT8" s="484"/>
      <c r="SWU8" s="484"/>
      <c r="SWV8" s="484"/>
      <c r="SWW8" s="484"/>
      <c r="SWX8" s="484"/>
      <c r="SWY8" s="484"/>
      <c r="SWZ8" s="484"/>
      <c r="SXA8" s="484"/>
      <c r="SXB8" s="484"/>
      <c r="SXC8" s="484"/>
      <c r="SXD8" s="484"/>
      <c r="SXE8" s="484"/>
      <c r="SXF8" s="484"/>
      <c r="SXG8" s="484"/>
      <c r="SXH8" s="484"/>
      <c r="SXI8" s="484"/>
      <c r="SXJ8" s="484"/>
      <c r="SXK8" s="484"/>
      <c r="SXL8" s="484"/>
      <c r="SXM8" s="484"/>
      <c r="SXN8" s="484"/>
      <c r="SXO8" s="484"/>
      <c r="SXP8" s="484"/>
      <c r="SXQ8" s="484"/>
      <c r="SXR8" s="484"/>
      <c r="SXS8" s="484"/>
      <c r="SXT8" s="484"/>
      <c r="SXU8" s="484"/>
      <c r="SXV8" s="484"/>
      <c r="SXW8" s="484"/>
      <c r="SXX8" s="484"/>
      <c r="SXY8" s="484"/>
      <c r="SXZ8" s="484"/>
      <c r="SYA8" s="484"/>
      <c r="SYB8" s="484"/>
      <c r="SYC8" s="484"/>
      <c r="SYD8" s="484"/>
      <c r="SYE8" s="484"/>
      <c r="SYF8" s="484"/>
      <c r="SYG8" s="484"/>
      <c r="SYH8" s="484"/>
      <c r="SYI8" s="484"/>
      <c r="SYJ8" s="484"/>
      <c r="SYK8" s="484"/>
      <c r="SYL8" s="484"/>
      <c r="SYM8" s="484"/>
      <c r="SYN8" s="484"/>
      <c r="SYO8" s="484"/>
      <c r="SYP8" s="484"/>
      <c r="SYQ8" s="484"/>
      <c r="SYR8" s="484"/>
      <c r="SYS8" s="484"/>
      <c r="SYT8" s="484"/>
      <c r="SYU8" s="484"/>
      <c r="SYV8" s="484"/>
      <c r="SYW8" s="484"/>
      <c r="SYX8" s="484"/>
      <c r="SYY8" s="484"/>
      <c r="SYZ8" s="484"/>
      <c r="SZA8" s="484"/>
      <c r="SZB8" s="484"/>
      <c r="SZC8" s="484"/>
      <c r="SZD8" s="484"/>
      <c r="SZE8" s="484"/>
      <c r="SZF8" s="484"/>
      <c r="SZG8" s="484"/>
      <c r="SZH8" s="484"/>
      <c r="SZI8" s="484"/>
      <c r="SZJ8" s="484"/>
      <c r="SZK8" s="484"/>
      <c r="SZL8" s="484"/>
      <c r="SZM8" s="484"/>
      <c r="SZN8" s="484"/>
      <c r="SZO8" s="484"/>
      <c r="SZP8" s="484"/>
      <c r="SZQ8" s="484"/>
      <c r="SZR8" s="484"/>
      <c r="SZS8" s="484"/>
      <c r="SZT8" s="484"/>
      <c r="SZU8" s="484"/>
      <c r="SZV8" s="484"/>
      <c r="SZW8" s="484"/>
      <c r="SZX8" s="484"/>
      <c r="SZY8" s="484"/>
      <c r="SZZ8" s="484"/>
      <c r="TAA8" s="484"/>
      <c r="TAB8" s="484"/>
      <c r="TAC8" s="484"/>
      <c r="TAD8" s="484"/>
      <c r="TAE8" s="484"/>
      <c r="TAF8" s="484"/>
      <c r="TAG8" s="484"/>
      <c r="TAH8" s="484"/>
      <c r="TAI8" s="484"/>
      <c r="TAJ8" s="484"/>
      <c r="TAK8" s="484"/>
      <c r="TAL8" s="484"/>
      <c r="TAM8" s="484"/>
      <c r="TAN8" s="484"/>
      <c r="TAO8" s="484"/>
      <c r="TAP8" s="484"/>
      <c r="TAQ8" s="484"/>
      <c r="TAR8" s="484"/>
      <c r="TAS8" s="484"/>
      <c r="TAT8" s="484"/>
      <c r="TAU8" s="484"/>
      <c r="TAV8" s="484"/>
      <c r="TAW8" s="484"/>
      <c r="TAX8" s="484"/>
      <c r="TAY8" s="484"/>
      <c r="TAZ8" s="484"/>
      <c r="TBA8" s="484"/>
      <c r="TBB8" s="484"/>
      <c r="TBC8" s="484"/>
      <c r="TBD8" s="484"/>
      <c r="TBE8" s="484"/>
      <c r="TBF8" s="484"/>
      <c r="TBG8" s="484"/>
      <c r="TBH8" s="484"/>
      <c r="TBI8" s="484"/>
      <c r="TBJ8" s="484"/>
      <c r="TBK8" s="484"/>
      <c r="TBL8" s="484"/>
      <c r="TBM8" s="484"/>
      <c r="TBN8" s="484"/>
      <c r="TBO8" s="484"/>
      <c r="TBP8" s="484"/>
      <c r="TBQ8" s="484"/>
      <c r="TBR8" s="484"/>
      <c r="TBS8" s="484"/>
      <c r="TBT8" s="484"/>
      <c r="TBU8" s="484"/>
      <c r="TBV8" s="484"/>
      <c r="TBW8" s="484"/>
      <c r="TBX8" s="484"/>
      <c r="TBY8" s="484"/>
      <c r="TBZ8" s="484"/>
      <c r="TCA8" s="484"/>
      <c r="TCB8" s="484"/>
      <c r="TCC8" s="484"/>
      <c r="TCD8" s="484"/>
      <c r="TCE8" s="484"/>
      <c r="TCF8" s="484"/>
      <c r="TCG8" s="484"/>
      <c r="TCH8" s="484"/>
      <c r="TCI8" s="484"/>
      <c r="TCJ8" s="484"/>
      <c r="TCK8" s="484"/>
      <c r="TCL8" s="484"/>
      <c r="TCM8" s="484"/>
      <c r="TCN8" s="484"/>
      <c r="TCO8" s="484"/>
      <c r="TCP8" s="484"/>
      <c r="TCQ8" s="484"/>
      <c r="TCR8" s="484"/>
      <c r="TCS8" s="484"/>
      <c r="TCT8" s="484"/>
      <c r="TCU8" s="484"/>
      <c r="TCV8" s="484"/>
      <c r="TCW8" s="484"/>
      <c r="TCX8" s="484"/>
      <c r="TCY8" s="484"/>
      <c r="TCZ8" s="484"/>
      <c r="TDA8" s="484"/>
      <c r="TDB8" s="484"/>
      <c r="TDC8" s="484"/>
      <c r="TDD8" s="484"/>
      <c r="TDE8" s="484"/>
      <c r="TDF8" s="484"/>
      <c r="TDG8" s="484"/>
      <c r="TDH8" s="484"/>
      <c r="TDI8" s="484"/>
      <c r="TDJ8" s="484"/>
      <c r="TDK8" s="484"/>
      <c r="TDL8" s="484"/>
      <c r="TDM8" s="484"/>
      <c r="TDN8" s="484"/>
      <c r="TDO8" s="484"/>
      <c r="TDP8" s="484"/>
      <c r="TDQ8" s="484"/>
      <c r="TDR8" s="484"/>
      <c r="TDS8" s="484"/>
      <c r="TDT8" s="484"/>
      <c r="TDU8" s="484"/>
      <c r="TDV8" s="484"/>
      <c r="TDW8" s="484"/>
      <c r="TDX8" s="484"/>
      <c r="TDY8" s="484"/>
      <c r="TDZ8" s="484"/>
      <c r="TEA8" s="484"/>
      <c r="TEB8" s="484"/>
      <c r="TEC8" s="484"/>
      <c r="TED8" s="484"/>
      <c r="TEE8" s="484"/>
      <c r="TEF8" s="484"/>
      <c r="TEG8" s="484"/>
      <c r="TEH8" s="484"/>
      <c r="TEI8" s="484"/>
      <c r="TEJ8" s="484"/>
      <c r="TEK8" s="484"/>
      <c r="TEL8" s="484"/>
      <c r="TEM8" s="484"/>
      <c r="TEN8" s="484"/>
      <c r="TEO8" s="484"/>
      <c r="TEP8" s="484"/>
      <c r="TEQ8" s="484"/>
      <c r="TER8" s="484"/>
      <c r="TES8" s="484"/>
      <c r="TET8" s="484"/>
      <c r="TEU8" s="484"/>
      <c r="TEV8" s="484"/>
      <c r="TEW8" s="484"/>
      <c r="TEX8" s="484"/>
      <c r="TEY8" s="484"/>
      <c r="TEZ8" s="484"/>
      <c r="TFA8" s="484"/>
      <c r="TFB8" s="484"/>
      <c r="TFC8" s="484"/>
      <c r="TFD8" s="484"/>
      <c r="TFE8" s="484"/>
      <c r="TFF8" s="484"/>
      <c r="TFG8" s="484"/>
      <c r="TFH8" s="484"/>
      <c r="TFI8" s="484"/>
      <c r="TFJ8" s="484"/>
      <c r="TFK8" s="484"/>
      <c r="TFL8" s="484"/>
      <c r="TFM8" s="484"/>
      <c r="TFN8" s="484"/>
      <c r="TFO8" s="484"/>
      <c r="TFP8" s="484"/>
      <c r="TFQ8" s="484"/>
      <c r="TFR8" s="484"/>
      <c r="TFS8" s="484"/>
      <c r="TFT8" s="484"/>
      <c r="TFU8" s="484"/>
      <c r="TFV8" s="484"/>
      <c r="TFW8" s="484"/>
      <c r="TFX8" s="484"/>
      <c r="TFY8" s="484"/>
      <c r="TFZ8" s="484"/>
      <c r="TGA8" s="484"/>
      <c r="TGB8" s="484"/>
      <c r="TGC8" s="484"/>
      <c r="TGD8" s="484"/>
      <c r="TGE8" s="484"/>
      <c r="TGF8" s="484"/>
      <c r="TGG8" s="484"/>
      <c r="TGH8" s="484"/>
      <c r="TGI8" s="484"/>
      <c r="TGJ8" s="484"/>
      <c r="TGK8" s="484"/>
      <c r="TGL8" s="484"/>
      <c r="TGM8" s="484"/>
      <c r="TGN8" s="484"/>
      <c r="TGO8" s="484"/>
      <c r="TGP8" s="484"/>
      <c r="TGQ8" s="484"/>
      <c r="TGR8" s="484"/>
      <c r="TGS8" s="484"/>
      <c r="TGT8" s="484"/>
      <c r="TGU8" s="484"/>
      <c r="TGV8" s="484"/>
      <c r="TGW8" s="484"/>
      <c r="TGX8" s="484"/>
      <c r="TGY8" s="484"/>
      <c r="TGZ8" s="484"/>
      <c r="THA8" s="484"/>
      <c r="THB8" s="484"/>
      <c r="THC8" s="484"/>
      <c r="THD8" s="484"/>
      <c r="THE8" s="484"/>
      <c r="THF8" s="484"/>
      <c r="THG8" s="484"/>
      <c r="THH8" s="484"/>
      <c r="THI8" s="484"/>
      <c r="THJ8" s="484"/>
      <c r="THK8" s="484"/>
      <c r="THL8" s="484"/>
      <c r="THM8" s="484"/>
      <c r="THN8" s="484"/>
      <c r="THO8" s="484"/>
      <c r="THP8" s="484"/>
      <c r="THQ8" s="484"/>
      <c r="THR8" s="484"/>
      <c r="THS8" s="484"/>
      <c r="THT8" s="484"/>
      <c r="THU8" s="484"/>
      <c r="THV8" s="484"/>
      <c r="THW8" s="484"/>
      <c r="THX8" s="484"/>
      <c r="THY8" s="484"/>
      <c r="THZ8" s="484"/>
      <c r="TIA8" s="484"/>
      <c r="TIB8" s="484"/>
      <c r="TIC8" s="484"/>
      <c r="TID8" s="484"/>
      <c r="TIE8" s="484"/>
      <c r="TIF8" s="484"/>
      <c r="TIG8" s="484"/>
      <c r="TIH8" s="484"/>
      <c r="TII8" s="484"/>
      <c r="TIJ8" s="484"/>
      <c r="TIK8" s="484"/>
      <c r="TIL8" s="484"/>
      <c r="TIM8" s="484"/>
      <c r="TIN8" s="484"/>
      <c r="TIO8" s="484"/>
      <c r="TIP8" s="484"/>
      <c r="TIQ8" s="484"/>
      <c r="TIR8" s="484"/>
      <c r="TIS8" s="484"/>
      <c r="TIT8" s="484"/>
      <c r="TIU8" s="484"/>
      <c r="TIV8" s="484"/>
      <c r="TIW8" s="484"/>
      <c r="TIX8" s="484"/>
      <c r="TIY8" s="484"/>
      <c r="TIZ8" s="484"/>
      <c r="TJA8" s="484"/>
      <c r="TJB8" s="484"/>
      <c r="TJC8" s="484"/>
      <c r="TJD8" s="484"/>
      <c r="TJE8" s="484"/>
      <c r="TJF8" s="484"/>
      <c r="TJG8" s="484"/>
      <c r="TJH8" s="484"/>
      <c r="TJI8" s="484"/>
      <c r="TJJ8" s="484"/>
      <c r="TJK8" s="484"/>
      <c r="TJL8" s="484"/>
      <c r="TJM8" s="484"/>
      <c r="TJN8" s="484"/>
      <c r="TJO8" s="484"/>
      <c r="TJP8" s="484"/>
      <c r="TJQ8" s="484"/>
      <c r="TJR8" s="484"/>
      <c r="TJS8" s="484"/>
      <c r="TJT8" s="484"/>
      <c r="TJU8" s="484"/>
      <c r="TJV8" s="484"/>
      <c r="TJW8" s="484"/>
      <c r="TJX8" s="484"/>
      <c r="TJY8" s="484"/>
      <c r="TJZ8" s="484"/>
      <c r="TKA8" s="484"/>
      <c r="TKB8" s="484"/>
      <c r="TKC8" s="484"/>
      <c r="TKD8" s="484"/>
      <c r="TKE8" s="484"/>
      <c r="TKF8" s="484"/>
      <c r="TKG8" s="484"/>
      <c r="TKH8" s="484"/>
      <c r="TKI8" s="484"/>
      <c r="TKJ8" s="484"/>
      <c r="TKK8" s="484"/>
      <c r="TKL8" s="484"/>
      <c r="TKM8" s="484"/>
      <c r="TKN8" s="484"/>
      <c r="TKO8" s="484"/>
      <c r="TKP8" s="484"/>
      <c r="TKQ8" s="484"/>
      <c r="TKR8" s="484"/>
      <c r="TKS8" s="484"/>
      <c r="TKT8" s="484"/>
      <c r="TKU8" s="484"/>
      <c r="TKV8" s="484"/>
      <c r="TKW8" s="484"/>
      <c r="TKX8" s="484"/>
      <c r="TKY8" s="484"/>
      <c r="TKZ8" s="484"/>
      <c r="TLA8" s="484"/>
      <c r="TLB8" s="484"/>
      <c r="TLC8" s="484"/>
      <c r="TLD8" s="484"/>
      <c r="TLE8" s="484"/>
      <c r="TLF8" s="484"/>
      <c r="TLG8" s="484"/>
      <c r="TLH8" s="484"/>
      <c r="TLI8" s="484"/>
      <c r="TLJ8" s="484"/>
      <c r="TLK8" s="484"/>
      <c r="TLL8" s="484"/>
      <c r="TLM8" s="484"/>
      <c r="TLN8" s="484"/>
      <c r="TLO8" s="484"/>
      <c r="TLP8" s="484"/>
      <c r="TLQ8" s="484"/>
      <c r="TLR8" s="484"/>
      <c r="TLS8" s="484"/>
      <c r="TLT8" s="484"/>
      <c r="TLU8" s="484"/>
      <c r="TLV8" s="484"/>
      <c r="TLW8" s="484"/>
      <c r="TLX8" s="484"/>
      <c r="TLY8" s="484"/>
      <c r="TLZ8" s="484"/>
      <c r="TMA8" s="484"/>
      <c r="TMB8" s="484"/>
      <c r="TMC8" s="484"/>
      <c r="TMD8" s="484"/>
      <c r="TME8" s="484"/>
      <c r="TMF8" s="484"/>
      <c r="TMG8" s="484"/>
      <c r="TMH8" s="484"/>
      <c r="TMI8" s="484"/>
      <c r="TMJ8" s="484"/>
      <c r="TMK8" s="484"/>
      <c r="TML8" s="484"/>
      <c r="TMM8" s="484"/>
      <c r="TMN8" s="484"/>
      <c r="TMO8" s="484"/>
      <c r="TMP8" s="484"/>
      <c r="TMQ8" s="484"/>
      <c r="TMR8" s="484"/>
      <c r="TMS8" s="484"/>
      <c r="TMT8" s="484"/>
      <c r="TMU8" s="484"/>
      <c r="TMV8" s="484"/>
      <c r="TMW8" s="484"/>
      <c r="TMX8" s="484"/>
      <c r="TMY8" s="484"/>
      <c r="TMZ8" s="484"/>
      <c r="TNA8" s="484"/>
      <c r="TNB8" s="484"/>
      <c r="TNC8" s="484"/>
      <c r="TND8" s="484"/>
      <c r="TNE8" s="484"/>
      <c r="TNF8" s="484"/>
      <c r="TNG8" s="484"/>
      <c r="TNH8" s="484"/>
      <c r="TNI8" s="484"/>
      <c r="TNJ8" s="484"/>
      <c r="TNK8" s="484"/>
      <c r="TNL8" s="484"/>
      <c r="TNM8" s="484"/>
      <c r="TNN8" s="484"/>
      <c r="TNO8" s="484"/>
      <c r="TNP8" s="484"/>
      <c r="TNQ8" s="484"/>
      <c r="TNR8" s="484"/>
      <c r="TNS8" s="484"/>
      <c r="TNT8" s="484"/>
      <c r="TNU8" s="484"/>
      <c r="TNV8" s="484"/>
      <c r="TNW8" s="484"/>
      <c r="TNX8" s="484"/>
      <c r="TNY8" s="484"/>
      <c r="TNZ8" s="484"/>
      <c r="TOA8" s="484"/>
      <c r="TOB8" s="484"/>
      <c r="TOC8" s="484"/>
      <c r="TOD8" s="484"/>
      <c r="TOE8" s="484"/>
      <c r="TOF8" s="484"/>
      <c r="TOG8" s="484"/>
      <c r="TOH8" s="484"/>
      <c r="TOI8" s="484"/>
      <c r="TOJ8" s="484"/>
      <c r="TOK8" s="484"/>
      <c r="TOL8" s="484"/>
      <c r="TOM8" s="484"/>
      <c r="TON8" s="484"/>
      <c r="TOO8" s="484"/>
      <c r="TOP8" s="484"/>
      <c r="TOQ8" s="484"/>
      <c r="TOR8" s="484"/>
      <c r="TOS8" s="484"/>
      <c r="TOT8" s="484"/>
      <c r="TOU8" s="484"/>
      <c r="TOV8" s="484"/>
      <c r="TOW8" s="484"/>
      <c r="TOX8" s="484"/>
      <c r="TOY8" s="484"/>
      <c r="TOZ8" s="484"/>
      <c r="TPA8" s="484"/>
      <c r="TPB8" s="484"/>
      <c r="TPC8" s="484"/>
      <c r="TPD8" s="484"/>
      <c r="TPE8" s="484"/>
      <c r="TPF8" s="484"/>
      <c r="TPG8" s="484"/>
      <c r="TPH8" s="484"/>
      <c r="TPI8" s="484"/>
      <c r="TPJ8" s="484"/>
      <c r="TPK8" s="484"/>
      <c r="TPL8" s="484"/>
      <c r="TPM8" s="484"/>
      <c r="TPN8" s="484"/>
      <c r="TPO8" s="484"/>
      <c r="TPP8" s="484"/>
      <c r="TPQ8" s="484"/>
      <c r="TPR8" s="484"/>
      <c r="TPS8" s="484"/>
      <c r="TPT8" s="484"/>
      <c r="TPU8" s="484"/>
      <c r="TPV8" s="484"/>
      <c r="TPW8" s="484"/>
      <c r="TPX8" s="484"/>
      <c r="TPY8" s="484"/>
      <c r="TPZ8" s="484"/>
      <c r="TQA8" s="484"/>
      <c r="TQB8" s="484"/>
      <c r="TQC8" s="484"/>
      <c r="TQD8" s="484"/>
      <c r="TQE8" s="484"/>
      <c r="TQF8" s="484"/>
      <c r="TQG8" s="484"/>
      <c r="TQH8" s="484"/>
      <c r="TQI8" s="484"/>
      <c r="TQJ8" s="484"/>
      <c r="TQK8" s="484"/>
      <c r="TQL8" s="484"/>
      <c r="TQM8" s="484"/>
      <c r="TQN8" s="484"/>
      <c r="TQO8" s="484"/>
      <c r="TQP8" s="484"/>
      <c r="TQQ8" s="484"/>
      <c r="TQR8" s="484"/>
      <c r="TQS8" s="484"/>
      <c r="TQT8" s="484"/>
      <c r="TQU8" s="484"/>
      <c r="TQV8" s="484"/>
      <c r="TQW8" s="484"/>
      <c r="TQX8" s="484"/>
      <c r="TQY8" s="484"/>
      <c r="TQZ8" s="484"/>
      <c r="TRA8" s="484"/>
      <c r="TRB8" s="484"/>
      <c r="TRC8" s="484"/>
      <c r="TRD8" s="484"/>
      <c r="TRE8" s="484"/>
      <c r="TRF8" s="484"/>
      <c r="TRG8" s="484"/>
      <c r="TRH8" s="484"/>
      <c r="TRI8" s="484"/>
      <c r="TRJ8" s="484"/>
      <c r="TRK8" s="484"/>
      <c r="TRL8" s="484"/>
      <c r="TRM8" s="484"/>
      <c r="TRN8" s="484"/>
      <c r="TRO8" s="484"/>
      <c r="TRP8" s="484"/>
      <c r="TRQ8" s="484"/>
      <c r="TRR8" s="484"/>
      <c r="TRS8" s="484"/>
      <c r="TRT8" s="484"/>
      <c r="TRU8" s="484"/>
      <c r="TRV8" s="484"/>
      <c r="TRW8" s="484"/>
      <c r="TRX8" s="484"/>
      <c r="TRY8" s="484"/>
      <c r="TRZ8" s="484"/>
      <c r="TSA8" s="484"/>
      <c r="TSB8" s="484"/>
      <c r="TSC8" s="484"/>
      <c r="TSD8" s="484"/>
      <c r="TSE8" s="484"/>
      <c r="TSF8" s="484"/>
      <c r="TSG8" s="484"/>
      <c r="TSH8" s="484"/>
      <c r="TSI8" s="484"/>
      <c r="TSJ8" s="484"/>
      <c r="TSK8" s="484"/>
      <c r="TSL8" s="484"/>
      <c r="TSM8" s="484"/>
      <c r="TSN8" s="484"/>
      <c r="TSO8" s="484"/>
      <c r="TSP8" s="484"/>
      <c r="TSQ8" s="484"/>
      <c r="TSR8" s="484"/>
      <c r="TSS8" s="484"/>
      <c r="TST8" s="484"/>
      <c r="TSU8" s="484"/>
      <c r="TSV8" s="484"/>
      <c r="TSW8" s="484"/>
      <c r="TSX8" s="484"/>
      <c r="TSY8" s="484"/>
      <c r="TSZ8" s="484"/>
      <c r="TTA8" s="484"/>
      <c r="TTB8" s="484"/>
      <c r="TTC8" s="484"/>
      <c r="TTD8" s="484"/>
      <c r="TTE8" s="484"/>
      <c r="TTF8" s="484"/>
      <c r="TTG8" s="484"/>
      <c r="TTH8" s="484"/>
      <c r="TTI8" s="484"/>
      <c r="TTJ8" s="484"/>
      <c r="TTK8" s="484"/>
      <c r="TTL8" s="484"/>
      <c r="TTM8" s="484"/>
      <c r="TTN8" s="484"/>
      <c r="TTO8" s="484"/>
      <c r="TTP8" s="484"/>
      <c r="TTQ8" s="484"/>
      <c r="TTR8" s="484"/>
      <c r="TTS8" s="484"/>
      <c r="TTT8" s="484"/>
      <c r="TTU8" s="484"/>
      <c r="TTV8" s="484"/>
      <c r="TTW8" s="484"/>
      <c r="TTX8" s="484"/>
      <c r="TTY8" s="484"/>
      <c r="TTZ8" s="484"/>
      <c r="TUA8" s="484"/>
      <c r="TUB8" s="484"/>
      <c r="TUC8" s="484"/>
      <c r="TUD8" s="484"/>
      <c r="TUE8" s="484"/>
      <c r="TUF8" s="484"/>
      <c r="TUG8" s="484"/>
      <c r="TUH8" s="484"/>
      <c r="TUI8" s="484"/>
      <c r="TUJ8" s="484"/>
      <c r="TUK8" s="484"/>
      <c r="TUL8" s="484"/>
      <c r="TUM8" s="484"/>
      <c r="TUN8" s="484"/>
      <c r="TUO8" s="484"/>
      <c r="TUP8" s="484"/>
      <c r="TUQ8" s="484"/>
      <c r="TUR8" s="484"/>
      <c r="TUS8" s="484"/>
      <c r="TUT8" s="484"/>
      <c r="TUU8" s="484"/>
      <c r="TUV8" s="484"/>
      <c r="TUW8" s="484"/>
      <c r="TUX8" s="484"/>
      <c r="TUY8" s="484"/>
      <c r="TUZ8" s="484"/>
      <c r="TVA8" s="484"/>
      <c r="TVB8" s="484"/>
      <c r="TVC8" s="484"/>
      <c r="TVD8" s="484"/>
      <c r="TVE8" s="484"/>
      <c r="TVF8" s="484"/>
      <c r="TVG8" s="484"/>
      <c r="TVH8" s="484"/>
      <c r="TVI8" s="484"/>
      <c r="TVJ8" s="484"/>
      <c r="TVK8" s="484"/>
      <c r="TVL8" s="484"/>
      <c r="TVM8" s="484"/>
      <c r="TVN8" s="484"/>
      <c r="TVO8" s="484"/>
      <c r="TVP8" s="484"/>
      <c r="TVQ8" s="484"/>
      <c r="TVR8" s="484"/>
      <c r="TVS8" s="484"/>
      <c r="TVT8" s="484"/>
      <c r="TVU8" s="484"/>
      <c r="TVV8" s="484"/>
      <c r="TVW8" s="484"/>
      <c r="TVX8" s="484"/>
      <c r="TVY8" s="484"/>
      <c r="TVZ8" s="484"/>
      <c r="TWA8" s="484"/>
      <c r="TWB8" s="484"/>
      <c r="TWC8" s="484"/>
      <c r="TWD8" s="484"/>
      <c r="TWE8" s="484"/>
      <c r="TWF8" s="484"/>
      <c r="TWG8" s="484"/>
      <c r="TWH8" s="484"/>
      <c r="TWI8" s="484"/>
      <c r="TWJ8" s="484"/>
      <c r="TWK8" s="484"/>
      <c r="TWL8" s="484"/>
      <c r="TWM8" s="484"/>
      <c r="TWN8" s="484"/>
      <c r="TWO8" s="484"/>
      <c r="TWP8" s="484"/>
      <c r="TWQ8" s="484"/>
      <c r="TWR8" s="484"/>
      <c r="TWS8" s="484"/>
      <c r="TWT8" s="484"/>
      <c r="TWU8" s="484"/>
      <c r="TWV8" s="484"/>
      <c r="TWW8" s="484"/>
      <c r="TWX8" s="484"/>
      <c r="TWY8" s="484"/>
      <c r="TWZ8" s="484"/>
      <c r="TXA8" s="484"/>
      <c r="TXB8" s="484"/>
      <c r="TXC8" s="484"/>
      <c r="TXD8" s="484"/>
      <c r="TXE8" s="484"/>
      <c r="TXF8" s="484"/>
      <c r="TXG8" s="484"/>
      <c r="TXH8" s="484"/>
      <c r="TXI8" s="484"/>
      <c r="TXJ8" s="484"/>
      <c r="TXK8" s="484"/>
      <c r="TXL8" s="484"/>
      <c r="TXM8" s="484"/>
      <c r="TXN8" s="484"/>
      <c r="TXO8" s="484"/>
      <c r="TXP8" s="484"/>
      <c r="TXQ8" s="484"/>
      <c r="TXR8" s="484"/>
      <c r="TXS8" s="484"/>
      <c r="TXT8" s="484"/>
      <c r="TXU8" s="484"/>
      <c r="TXV8" s="484"/>
      <c r="TXW8" s="484"/>
      <c r="TXX8" s="484"/>
      <c r="TXY8" s="484"/>
      <c r="TXZ8" s="484"/>
      <c r="TYA8" s="484"/>
      <c r="TYB8" s="484"/>
      <c r="TYC8" s="484"/>
      <c r="TYD8" s="484"/>
      <c r="TYE8" s="484"/>
      <c r="TYF8" s="484"/>
      <c r="TYG8" s="484"/>
      <c r="TYH8" s="484"/>
      <c r="TYI8" s="484"/>
      <c r="TYJ8" s="484"/>
      <c r="TYK8" s="484"/>
      <c r="TYL8" s="484"/>
      <c r="TYM8" s="484"/>
      <c r="TYN8" s="484"/>
      <c r="TYO8" s="484"/>
      <c r="TYP8" s="484"/>
      <c r="TYQ8" s="484"/>
      <c r="TYR8" s="484"/>
      <c r="TYS8" s="484"/>
      <c r="TYT8" s="484"/>
      <c r="TYU8" s="484"/>
      <c r="TYV8" s="484"/>
      <c r="TYW8" s="484"/>
      <c r="TYX8" s="484"/>
      <c r="TYY8" s="484"/>
      <c r="TYZ8" s="484"/>
      <c r="TZA8" s="484"/>
      <c r="TZB8" s="484"/>
      <c r="TZC8" s="484"/>
      <c r="TZD8" s="484"/>
      <c r="TZE8" s="484"/>
      <c r="TZF8" s="484"/>
      <c r="TZG8" s="484"/>
      <c r="TZH8" s="484"/>
      <c r="TZI8" s="484"/>
      <c r="TZJ8" s="484"/>
      <c r="TZK8" s="484"/>
      <c r="TZL8" s="484"/>
      <c r="TZM8" s="484"/>
      <c r="TZN8" s="484"/>
      <c r="TZO8" s="484"/>
      <c r="TZP8" s="484"/>
      <c r="TZQ8" s="484"/>
      <c r="TZR8" s="484"/>
      <c r="TZS8" s="484"/>
      <c r="TZT8" s="484"/>
      <c r="TZU8" s="484"/>
      <c r="TZV8" s="484"/>
      <c r="TZW8" s="484"/>
      <c r="TZX8" s="484"/>
      <c r="TZY8" s="484"/>
      <c r="TZZ8" s="484"/>
      <c r="UAA8" s="484"/>
      <c r="UAB8" s="484"/>
      <c r="UAC8" s="484"/>
      <c r="UAD8" s="484"/>
      <c r="UAE8" s="484"/>
      <c r="UAF8" s="484"/>
      <c r="UAG8" s="484"/>
      <c r="UAH8" s="484"/>
      <c r="UAI8" s="484"/>
      <c r="UAJ8" s="484"/>
      <c r="UAK8" s="484"/>
      <c r="UAL8" s="484"/>
      <c r="UAM8" s="484"/>
      <c r="UAN8" s="484"/>
      <c r="UAO8" s="484"/>
      <c r="UAP8" s="484"/>
      <c r="UAQ8" s="484"/>
      <c r="UAR8" s="484"/>
      <c r="UAS8" s="484"/>
      <c r="UAT8" s="484"/>
      <c r="UAU8" s="484"/>
      <c r="UAV8" s="484"/>
      <c r="UAW8" s="484"/>
      <c r="UAX8" s="484"/>
      <c r="UAY8" s="484"/>
      <c r="UAZ8" s="484"/>
      <c r="UBA8" s="484"/>
      <c r="UBB8" s="484"/>
      <c r="UBC8" s="484"/>
      <c r="UBD8" s="484"/>
      <c r="UBE8" s="484"/>
      <c r="UBF8" s="484"/>
      <c r="UBG8" s="484"/>
      <c r="UBH8" s="484"/>
      <c r="UBI8" s="484"/>
      <c r="UBJ8" s="484"/>
      <c r="UBK8" s="484"/>
      <c r="UBL8" s="484"/>
      <c r="UBM8" s="484"/>
      <c r="UBN8" s="484"/>
      <c r="UBO8" s="484"/>
      <c r="UBP8" s="484"/>
      <c r="UBQ8" s="484"/>
      <c r="UBR8" s="484"/>
      <c r="UBS8" s="484"/>
      <c r="UBT8" s="484"/>
      <c r="UBU8" s="484"/>
      <c r="UBV8" s="484"/>
      <c r="UBW8" s="484"/>
      <c r="UBX8" s="484"/>
      <c r="UBY8" s="484"/>
      <c r="UBZ8" s="484"/>
      <c r="UCA8" s="484"/>
      <c r="UCB8" s="484"/>
      <c r="UCC8" s="484"/>
      <c r="UCD8" s="484"/>
      <c r="UCE8" s="484"/>
      <c r="UCF8" s="484"/>
      <c r="UCG8" s="484"/>
      <c r="UCH8" s="484"/>
      <c r="UCI8" s="484"/>
      <c r="UCJ8" s="484"/>
      <c r="UCK8" s="484"/>
      <c r="UCL8" s="484"/>
      <c r="UCM8" s="484"/>
      <c r="UCN8" s="484"/>
      <c r="UCO8" s="484"/>
      <c r="UCP8" s="484"/>
      <c r="UCQ8" s="484"/>
      <c r="UCR8" s="484"/>
      <c r="UCS8" s="484"/>
      <c r="UCT8" s="484"/>
      <c r="UCU8" s="484"/>
      <c r="UCV8" s="484"/>
      <c r="UCW8" s="484"/>
      <c r="UCX8" s="484"/>
      <c r="UCY8" s="484"/>
      <c r="UCZ8" s="484"/>
      <c r="UDA8" s="484"/>
      <c r="UDB8" s="484"/>
      <c r="UDC8" s="484"/>
      <c r="UDD8" s="484"/>
      <c r="UDE8" s="484"/>
      <c r="UDF8" s="484"/>
      <c r="UDG8" s="484"/>
      <c r="UDH8" s="484"/>
      <c r="UDI8" s="484"/>
      <c r="UDJ8" s="484"/>
      <c r="UDK8" s="484"/>
      <c r="UDL8" s="484"/>
      <c r="UDM8" s="484"/>
      <c r="UDN8" s="484"/>
      <c r="UDO8" s="484"/>
      <c r="UDP8" s="484"/>
      <c r="UDQ8" s="484"/>
      <c r="UDR8" s="484"/>
      <c r="UDS8" s="484"/>
      <c r="UDT8" s="484"/>
      <c r="UDU8" s="484"/>
      <c r="UDV8" s="484"/>
      <c r="UDW8" s="484"/>
      <c r="UDX8" s="484"/>
      <c r="UDY8" s="484"/>
      <c r="UDZ8" s="484"/>
      <c r="UEA8" s="484"/>
      <c r="UEB8" s="484"/>
      <c r="UEC8" s="484"/>
      <c r="UED8" s="484"/>
      <c r="UEE8" s="484"/>
      <c r="UEF8" s="484"/>
      <c r="UEG8" s="484"/>
      <c r="UEH8" s="484"/>
      <c r="UEI8" s="484"/>
      <c r="UEJ8" s="484"/>
      <c r="UEK8" s="484"/>
      <c r="UEL8" s="484"/>
      <c r="UEM8" s="484"/>
      <c r="UEN8" s="484"/>
      <c r="UEO8" s="484"/>
      <c r="UEP8" s="484"/>
      <c r="UEQ8" s="484"/>
      <c r="UER8" s="484"/>
      <c r="UES8" s="484"/>
      <c r="UET8" s="484"/>
      <c r="UEU8" s="484"/>
      <c r="UEV8" s="484"/>
      <c r="UEW8" s="484"/>
      <c r="UEX8" s="484"/>
      <c r="UEY8" s="484"/>
      <c r="UEZ8" s="484"/>
      <c r="UFA8" s="484"/>
      <c r="UFB8" s="484"/>
      <c r="UFC8" s="484"/>
      <c r="UFD8" s="484"/>
      <c r="UFE8" s="484"/>
      <c r="UFF8" s="484"/>
      <c r="UFG8" s="484"/>
      <c r="UFH8" s="484"/>
      <c r="UFI8" s="484"/>
      <c r="UFJ8" s="484"/>
      <c r="UFK8" s="484"/>
      <c r="UFL8" s="484"/>
      <c r="UFM8" s="484"/>
      <c r="UFN8" s="484"/>
      <c r="UFO8" s="484"/>
      <c r="UFP8" s="484"/>
      <c r="UFQ8" s="484"/>
      <c r="UFR8" s="484"/>
      <c r="UFS8" s="484"/>
      <c r="UFT8" s="484"/>
      <c r="UFU8" s="484"/>
      <c r="UFV8" s="484"/>
      <c r="UFW8" s="484"/>
      <c r="UFX8" s="484"/>
      <c r="UFY8" s="484"/>
      <c r="UFZ8" s="484"/>
      <c r="UGA8" s="484"/>
      <c r="UGB8" s="484"/>
      <c r="UGC8" s="484"/>
      <c r="UGD8" s="484"/>
      <c r="UGE8" s="484"/>
      <c r="UGF8" s="484"/>
      <c r="UGG8" s="484"/>
      <c r="UGH8" s="484"/>
      <c r="UGI8" s="484"/>
      <c r="UGJ8" s="484"/>
      <c r="UGK8" s="484"/>
      <c r="UGL8" s="484"/>
      <c r="UGM8" s="484"/>
      <c r="UGN8" s="484"/>
      <c r="UGO8" s="484"/>
      <c r="UGP8" s="484"/>
      <c r="UGQ8" s="484"/>
      <c r="UGR8" s="484"/>
      <c r="UGS8" s="484"/>
      <c r="UGT8" s="484"/>
      <c r="UGU8" s="484"/>
      <c r="UGV8" s="484"/>
      <c r="UGW8" s="484"/>
      <c r="UGX8" s="484"/>
      <c r="UGY8" s="484"/>
      <c r="UGZ8" s="484"/>
      <c r="UHA8" s="484"/>
      <c r="UHB8" s="484"/>
      <c r="UHC8" s="484"/>
      <c r="UHD8" s="484"/>
      <c r="UHE8" s="484"/>
      <c r="UHF8" s="484"/>
      <c r="UHG8" s="484"/>
      <c r="UHH8" s="484"/>
      <c r="UHI8" s="484"/>
      <c r="UHJ8" s="484"/>
      <c r="UHK8" s="484"/>
      <c r="UHL8" s="484"/>
      <c r="UHM8" s="484"/>
      <c r="UHN8" s="484"/>
      <c r="UHO8" s="484"/>
      <c r="UHP8" s="484"/>
      <c r="UHQ8" s="484"/>
      <c r="UHR8" s="484"/>
      <c r="UHS8" s="484"/>
      <c r="UHT8" s="484"/>
      <c r="UHU8" s="484"/>
      <c r="UHV8" s="484"/>
      <c r="UHW8" s="484"/>
      <c r="UHX8" s="484"/>
      <c r="UHY8" s="484"/>
      <c r="UHZ8" s="484"/>
      <c r="UIA8" s="484"/>
      <c r="UIB8" s="484"/>
      <c r="UIC8" s="484"/>
      <c r="UID8" s="484"/>
      <c r="UIE8" s="484"/>
      <c r="UIF8" s="484"/>
      <c r="UIG8" s="484"/>
      <c r="UIH8" s="484"/>
      <c r="UII8" s="484"/>
      <c r="UIJ8" s="484"/>
      <c r="UIK8" s="484"/>
      <c r="UIL8" s="484"/>
      <c r="UIM8" s="484"/>
      <c r="UIN8" s="484"/>
      <c r="UIO8" s="484"/>
      <c r="UIP8" s="484"/>
      <c r="UIQ8" s="484"/>
      <c r="UIR8" s="484"/>
      <c r="UIS8" s="484"/>
      <c r="UIT8" s="484"/>
      <c r="UIU8" s="484"/>
      <c r="UIV8" s="484"/>
      <c r="UIW8" s="484"/>
      <c r="UIX8" s="484"/>
      <c r="UIY8" s="484"/>
      <c r="UIZ8" s="484"/>
      <c r="UJA8" s="484"/>
      <c r="UJB8" s="484"/>
      <c r="UJC8" s="484"/>
      <c r="UJD8" s="484"/>
      <c r="UJE8" s="484"/>
      <c r="UJF8" s="484"/>
      <c r="UJG8" s="484"/>
      <c r="UJH8" s="484"/>
      <c r="UJI8" s="484"/>
      <c r="UJJ8" s="484"/>
      <c r="UJK8" s="484"/>
      <c r="UJL8" s="484"/>
      <c r="UJM8" s="484"/>
      <c r="UJN8" s="484"/>
      <c r="UJO8" s="484"/>
      <c r="UJP8" s="484"/>
      <c r="UJQ8" s="484"/>
      <c r="UJR8" s="484"/>
      <c r="UJS8" s="484"/>
      <c r="UJT8" s="484"/>
      <c r="UJU8" s="484"/>
      <c r="UJV8" s="484"/>
      <c r="UJW8" s="484"/>
      <c r="UJX8" s="484"/>
      <c r="UJY8" s="484"/>
      <c r="UJZ8" s="484"/>
      <c r="UKA8" s="484"/>
      <c r="UKB8" s="484"/>
      <c r="UKC8" s="484"/>
      <c r="UKD8" s="484"/>
      <c r="UKE8" s="484"/>
      <c r="UKF8" s="484"/>
      <c r="UKG8" s="484"/>
      <c r="UKH8" s="484"/>
      <c r="UKI8" s="484"/>
      <c r="UKJ8" s="484"/>
      <c r="UKK8" s="484"/>
      <c r="UKL8" s="484"/>
      <c r="UKM8" s="484"/>
      <c r="UKN8" s="484"/>
      <c r="UKO8" s="484"/>
      <c r="UKP8" s="484"/>
      <c r="UKQ8" s="484"/>
      <c r="UKR8" s="484"/>
      <c r="UKS8" s="484"/>
      <c r="UKT8" s="484"/>
      <c r="UKU8" s="484"/>
      <c r="UKV8" s="484"/>
      <c r="UKW8" s="484"/>
      <c r="UKX8" s="484"/>
      <c r="UKY8" s="484"/>
      <c r="UKZ8" s="484"/>
      <c r="ULA8" s="484"/>
      <c r="ULB8" s="484"/>
      <c r="ULC8" s="484"/>
      <c r="ULD8" s="484"/>
      <c r="ULE8" s="484"/>
      <c r="ULF8" s="484"/>
      <c r="ULG8" s="484"/>
      <c r="ULH8" s="484"/>
      <c r="ULI8" s="484"/>
      <c r="ULJ8" s="484"/>
      <c r="ULK8" s="484"/>
      <c r="ULL8" s="484"/>
      <c r="ULM8" s="484"/>
      <c r="ULN8" s="484"/>
      <c r="ULO8" s="484"/>
      <c r="ULP8" s="484"/>
      <c r="ULQ8" s="484"/>
      <c r="ULR8" s="484"/>
      <c r="ULS8" s="484"/>
      <c r="ULT8" s="484"/>
      <c r="ULU8" s="484"/>
      <c r="ULV8" s="484"/>
      <c r="ULW8" s="484"/>
      <c r="ULX8" s="484"/>
      <c r="ULY8" s="484"/>
      <c r="ULZ8" s="484"/>
      <c r="UMA8" s="484"/>
      <c r="UMB8" s="484"/>
      <c r="UMC8" s="484"/>
      <c r="UMD8" s="484"/>
      <c r="UME8" s="484"/>
      <c r="UMF8" s="484"/>
      <c r="UMG8" s="484"/>
      <c r="UMH8" s="484"/>
      <c r="UMI8" s="484"/>
      <c r="UMJ8" s="484"/>
      <c r="UMK8" s="484"/>
      <c r="UML8" s="484"/>
      <c r="UMM8" s="484"/>
      <c r="UMN8" s="484"/>
      <c r="UMO8" s="484"/>
      <c r="UMP8" s="484"/>
      <c r="UMQ8" s="484"/>
      <c r="UMR8" s="484"/>
      <c r="UMS8" s="484"/>
      <c r="UMT8" s="484"/>
      <c r="UMU8" s="484"/>
      <c r="UMV8" s="484"/>
      <c r="UMW8" s="484"/>
      <c r="UMX8" s="484"/>
      <c r="UMY8" s="484"/>
      <c r="UMZ8" s="484"/>
      <c r="UNA8" s="484"/>
      <c r="UNB8" s="484"/>
      <c r="UNC8" s="484"/>
      <c r="UND8" s="484"/>
      <c r="UNE8" s="484"/>
      <c r="UNF8" s="484"/>
      <c r="UNG8" s="484"/>
      <c r="UNH8" s="484"/>
      <c r="UNI8" s="484"/>
      <c r="UNJ8" s="484"/>
      <c r="UNK8" s="484"/>
      <c r="UNL8" s="484"/>
      <c r="UNM8" s="484"/>
      <c r="UNN8" s="484"/>
      <c r="UNO8" s="484"/>
      <c r="UNP8" s="484"/>
      <c r="UNQ8" s="484"/>
      <c r="UNR8" s="484"/>
      <c r="UNS8" s="484"/>
      <c r="UNT8" s="484"/>
      <c r="UNU8" s="484"/>
      <c r="UNV8" s="484"/>
      <c r="UNW8" s="484"/>
      <c r="UNX8" s="484"/>
      <c r="UNY8" s="484"/>
      <c r="UNZ8" s="484"/>
      <c r="UOA8" s="484"/>
      <c r="UOB8" s="484"/>
      <c r="UOC8" s="484"/>
      <c r="UOD8" s="484"/>
      <c r="UOE8" s="484"/>
      <c r="UOF8" s="484"/>
      <c r="UOG8" s="484"/>
      <c r="UOH8" s="484"/>
      <c r="UOI8" s="484"/>
      <c r="UOJ8" s="484"/>
      <c r="UOK8" s="484"/>
      <c r="UOL8" s="484"/>
      <c r="UOM8" s="484"/>
      <c r="UON8" s="484"/>
      <c r="UOO8" s="484"/>
      <c r="UOP8" s="484"/>
      <c r="UOQ8" s="484"/>
      <c r="UOR8" s="484"/>
      <c r="UOS8" s="484"/>
      <c r="UOT8" s="484"/>
      <c r="UOU8" s="484"/>
      <c r="UOV8" s="484"/>
      <c r="UOW8" s="484"/>
      <c r="UOX8" s="484"/>
      <c r="UOY8" s="484"/>
      <c r="UOZ8" s="484"/>
      <c r="UPA8" s="484"/>
      <c r="UPB8" s="484"/>
      <c r="UPC8" s="484"/>
      <c r="UPD8" s="484"/>
      <c r="UPE8" s="484"/>
      <c r="UPF8" s="484"/>
      <c r="UPG8" s="484"/>
      <c r="UPH8" s="484"/>
      <c r="UPI8" s="484"/>
      <c r="UPJ8" s="484"/>
      <c r="UPK8" s="484"/>
      <c r="UPL8" s="484"/>
      <c r="UPM8" s="484"/>
      <c r="UPN8" s="484"/>
      <c r="UPO8" s="484"/>
      <c r="UPP8" s="484"/>
      <c r="UPQ8" s="484"/>
      <c r="UPR8" s="484"/>
      <c r="UPS8" s="484"/>
      <c r="UPT8" s="484"/>
      <c r="UPU8" s="484"/>
      <c r="UPV8" s="484"/>
      <c r="UPW8" s="484"/>
      <c r="UPX8" s="484"/>
      <c r="UPY8" s="484"/>
      <c r="UPZ8" s="484"/>
      <c r="UQA8" s="484"/>
      <c r="UQB8" s="484"/>
      <c r="UQC8" s="484"/>
      <c r="UQD8" s="484"/>
      <c r="UQE8" s="484"/>
      <c r="UQF8" s="484"/>
      <c r="UQG8" s="484"/>
      <c r="UQH8" s="484"/>
      <c r="UQI8" s="484"/>
      <c r="UQJ8" s="484"/>
      <c r="UQK8" s="484"/>
      <c r="UQL8" s="484"/>
      <c r="UQM8" s="484"/>
      <c r="UQN8" s="484"/>
      <c r="UQO8" s="484"/>
      <c r="UQP8" s="484"/>
      <c r="UQQ8" s="484"/>
      <c r="UQR8" s="484"/>
      <c r="UQS8" s="484"/>
      <c r="UQT8" s="484"/>
      <c r="UQU8" s="484"/>
      <c r="UQV8" s="484"/>
      <c r="UQW8" s="484"/>
      <c r="UQX8" s="484"/>
      <c r="UQY8" s="484"/>
      <c r="UQZ8" s="484"/>
      <c r="URA8" s="484"/>
      <c r="URB8" s="484"/>
      <c r="URC8" s="484"/>
      <c r="URD8" s="484"/>
      <c r="URE8" s="484"/>
      <c r="URF8" s="484"/>
      <c r="URG8" s="484"/>
      <c r="URH8" s="484"/>
      <c r="URI8" s="484"/>
      <c r="URJ8" s="484"/>
      <c r="URK8" s="484"/>
      <c r="URL8" s="484"/>
      <c r="URM8" s="484"/>
      <c r="URN8" s="484"/>
      <c r="URO8" s="484"/>
      <c r="URP8" s="484"/>
      <c r="URQ8" s="484"/>
      <c r="URR8" s="484"/>
      <c r="URS8" s="484"/>
      <c r="URT8" s="484"/>
      <c r="URU8" s="484"/>
      <c r="URV8" s="484"/>
      <c r="URW8" s="484"/>
      <c r="URX8" s="484"/>
      <c r="URY8" s="484"/>
      <c r="URZ8" s="484"/>
      <c r="USA8" s="484"/>
      <c r="USB8" s="484"/>
      <c r="USC8" s="484"/>
      <c r="USD8" s="484"/>
      <c r="USE8" s="484"/>
      <c r="USF8" s="484"/>
      <c r="USG8" s="484"/>
      <c r="USH8" s="484"/>
      <c r="USI8" s="484"/>
      <c r="USJ8" s="484"/>
      <c r="USK8" s="484"/>
      <c r="USL8" s="484"/>
      <c r="USM8" s="484"/>
      <c r="USN8" s="484"/>
      <c r="USO8" s="484"/>
      <c r="USP8" s="484"/>
      <c r="USQ8" s="484"/>
      <c r="USR8" s="484"/>
      <c r="USS8" s="484"/>
      <c r="UST8" s="484"/>
      <c r="USU8" s="484"/>
      <c r="USV8" s="484"/>
      <c r="USW8" s="484"/>
      <c r="USX8" s="484"/>
      <c r="USY8" s="484"/>
      <c r="USZ8" s="484"/>
      <c r="UTA8" s="484"/>
      <c r="UTB8" s="484"/>
      <c r="UTC8" s="484"/>
      <c r="UTD8" s="484"/>
      <c r="UTE8" s="484"/>
      <c r="UTF8" s="484"/>
      <c r="UTG8" s="484"/>
      <c r="UTH8" s="484"/>
      <c r="UTI8" s="484"/>
      <c r="UTJ8" s="484"/>
      <c r="UTK8" s="484"/>
      <c r="UTL8" s="484"/>
      <c r="UTM8" s="484"/>
      <c r="UTN8" s="484"/>
      <c r="UTO8" s="484"/>
      <c r="UTP8" s="484"/>
      <c r="UTQ8" s="484"/>
      <c r="UTR8" s="484"/>
      <c r="UTS8" s="484"/>
      <c r="UTT8" s="484"/>
      <c r="UTU8" s="484"/>
      <c r="UTV8" s="484"/>
      <c r="UTW8" s="484"/>
      <c r="UTX8" s="484"/>
      <c r="UTY8" s="484"/>
      <c r="UTZ8" s="484"/>
      <c r="UUA8" s="484"/>
      <c r="UUB8" s="484"/>
      <c r="UUC8" s="484"/>
      <c r="UUD8" s="484"/>
      <c r="UUE8" s="484"/>
      <c r="UUF8" s="484"/>
      <c r="UUG8" s="484"/>
      <c r="UUH8" s="484"/>
      <c r="UUI8" s="484"/>
      <c r="UUJ8" s="484"/>
      <c r="UUK8" s="484"/>
      <c r="UUL8" s="484"/>
      <c r="UUM8" s="484"/>
      <c r="UUN8" s="484"/>
      <c r="UUO8" s="484"/>
      <c r="UUP8" s="484"/>
      <c r="UUQ8" s="484"/>
      <c r="UUR8" s="484"/>
      <c r="UUS8" s="484"/>
      <c r="UUT8" s="484"/>
      <c r="UUU8" s="484"/>
      <c r="UUV8" s="484"/>
      <c r="UUW8" s="484"/>
      <c r="UUX8" s="484"/>
      <c r="UUY8" s="484"/>
      <c r="UUZ8" s="484"/>
      <c r="UVA8" s="484"/>
      <c r="UVB8" s="484"/>
      <c r="UVC8" s="484"/>
      <c r="UVD8" s="484"/>
      <c r="UVE8" s="484"/>
      <c r="UVF8" s="484"/>
      <c r="UVG8" s="484"/>
      <c r="UVH8" s="484"/>
      <c r="UVI8" s="484"/>
      <c r="UVJ8" s="484"/>
      <c r="UVK8" s="484"/>
      <c r="UVL8" s="484"/>
      <c r="UVM8" s="484"/>
      <c r="UVN8" s="484"/>
      <c r="UVO8" s="484"/>
      <c r="UVP8" s="484"/>
      <c r="UVQ8" s="484"/>
      <c r="UVR8" s="484"/>
      <c r="UVS8" s="484"/>
      <c r="UVT8" s="484"/>
      <c r="UVU8" s="484"/>
      <c r="UVV8" s="484"/>
      <c r="UVW8" s="484"/>
      <c r="UVX8" s="484"/>
      <c r="UVY8" s="484"/>
      <c r="UVZ8" s="484"/>
      <c r="UWA8" s="484"/>
      <c r="UWB8" s="484"/>
      <c r="UWC8" s="484"/>
      <c r="UWD8" s="484"/>
      <c r="UWE8" s="484"/>
      <c r="UWF8" s="484"/>
      <c r="UWG8" s="484"/>
      <c r="UWH8" s="484"/>
      <c r="UWI8" s="484"/>
      <c r="UWJ8" s="484"/>
      <c r="UWK8" s="484"/>
      <c r="UWL8" s="484"/>
      <c r="UWM8" s="484"/>
      <c r="UWN8" s="484"/>
      <c r="UWO8" s="484"/>
      <c r="UWP8" s="484"/>
      <c r="UWQ8" s="484"/>
      <c r="UWR8" s="484"/>
      <c r="UWS8" s="484"/>
      <c r="UWT8" s="484"/>
      <c r="UWU8" s="484"/>
      <c r="UWV8" s="484"/>
      <c r="UWW8" s="484"/>
      <c r="UWX8" s="484"/>
      <c r="UWY8" s="484"/>
      <c r="UWZ8" s="484"/>
      <c r="UXA8" s="484"/>
      <c r="UXB8" s="484"/>
      <c r="UXC8" s="484"/>
      <c r="UXD8" s="484"/>
      <c r="UXE8" s="484"/>
      <c r="UXF8" s="484"/>
      <c r="UXG8" s="484"/>
      <c r="UXH8" s="484"/>
      <c r="UXI8" s="484"/>
      <c r="UXJ8" s="484"/>
      <c r="UXK8" s="484"/>
      <c r="UXL8" s="484"/>
      <c r="UXM8" s="484"/>
      <c r="UXN8" s="484"/>
      <c r="UXO8" s="484"/>
      <c r="UXP8" s="484"/>
      <c r="UXQ8" s="484"/>
      <c r="UXR8" s="484"/>
      <c r="UXS8" s="484"/>
      <c r="UXT8" s="484"/>
      <c r="UXU8" s="484"/>
      <c r="UXV8" s="484"/>
      <c r="UXW8" s="484"/>
      <c r="UXX8" s="484"/>
      <c r="UXY8" s="484"/>
      <c r="UXZ8" s="484"/>
      <c r="UYA8" s="484"/>
      <c r="UYB8" s="484"/>
      <c r="UYC8" s="484"/>
      <c r="UYD8" s="484"/>
      <c r="UYE8" s="484"/>
      <c r="UYF8" s="484"/>
      <c r="UYG8" s="484"/>
      <c r="UYH8" s="484"/>
      <c r="UYI8" s="484"/>
      <c r="UYJ8" s="484"/>
      <c r="UYK8" s="484"/>
      <c r="UYL8" s="484"/>
      <c r="UYM8" s="484"/>
      <c r="UYN8" s="484"/>
      <c r="UYO8" s="484"/>
      <c r="UYP8" s="484"/>
      <c r="UYQ8" s="484"/>
      <c r="UYR8" s="484"/>
      <c r="UYS8" s="484"/>
      <c r="UYT8" s="484"/>
      <c r="UYU8" s="484"/>
      <c r="UYV8" s="484"/>
      <c r="UYW8" s="484"/>
      <c r="UYX8" s="484"/>
      <c r="UYY8" s="484"/>
      <c r="UYZ8" s="484"/>
      <c r="UZA8" s="484"/>
      <c r="UZB8" s="484"/>
      <c r="UZC8" s="484"/>
      <c r="UZD8" s="484"/>
      <c r="UZE8" s="484"/>
      <c r="UZF8" s="484"/>
      <c r="UZG8" s="484"/>
      <c r="UZH8" s="484"/>
      <c r="UZI8" s="484"/>
      <c r="UZJ8" s="484"/>
      <c r="UZK8" s="484"/>
      <c r="UZL8" s="484"/>
      <c r="UZM8" s="484"/>
      <c r="UZN8" s="484"/>
      <c r="UZO8" s="484"/>
      <c r="UZP8" s="484"/>
      <c r="UZQ8" s="484"/>
      <c r="UZR8" s="484"/>
      <c r="UZS8" s="484"/>
      <c r="UZT8" s="484"/>
      <c r="UZU8" s="484"/>
      <c r="UZV8" s="484"/>
      <c r="UZW8" s="484"/>
      <c r="UZX8" s="484"/>
      <c r="UZY8" s="484"/>
      <c r="UZZ8" s="484"/>
      <c r="VAA8" s="484"/>
      <c r="VAB8" s="484"/>
      <c r="VAC8" s="484"/>
      <c r="VAD8" s="484"/>
      <c r="VAE8" s="484"/>
      <c r="VAF8" s="484"/>
      <c r="VAG8" s="484"/>
      <c r="VAH8" s="484"/>
      <c r="VAI8" s="484"/>
      <c r="VAJ8" s="484"/>
      <c r="VAK8" s="484"/>
      <c r="VAL8" s="484"/>
      <c r="VAM8" s="484"/>
      <c r="VAN8" s="484"/>
      <c r="VAO8" s="484"/>
      <c r="VAP8" s="484"/>
      <c r="VAQ8" s="484"/>
      <c r="VAR8" s="484"/>
      <c r="VAS8" s="484"/>
      <c r="VAT8" s="484"/>
      <c r="VAU8" s="484"/>
      <c r="VAV8" s="484"/>
      <c r="VAW8" s="484"/>
      <c r="VAX8" s="484"/>
      <c r="VAY8" s="484"/>
      <c r="VAZ8" s="484"/>
      <c r="VBA8" s="484"/>
      <c r="VBB8" s="484"/>
      <c r="VBC8" s="484"/>
      <c r="VBD8" s="484"/>
      <c r="VBE8" s="484"/>
      <c r="VBF8" s="484"/>
      <c r="VBG8" s="484"/>
      <c r="VBH8" s="484"/>
      <c r="VBI8" s="484"/>
      <c r="VBJ8" s="484"/>
      <c r="VBK8" s="484"/>
      <c r="VBL8" s="484"/>
      <c r="VBM8" s="484"/>
      <c r="VBN8" s="484"/>
      <c r="VBO8" s="484"/>
      <c r="VBP8" s="484"/>
      <c r="VBQ8" s="484"/>
      <c r="VBR8" s="484"/>
      <c r="VBS8" s="484"/>
      <c r="VBT8" s="484"/>
      <c r="VBU8" s="484"/>
      <c r="VBV8" s="484"/>
      <c r="VBW8" s="484"/>
      <c r="VBX8" s="484"/>
      <c r="VBY8" s="484"/>
      <c r="VBZ8" s="484"/>
      <c r="VCA8" s="484"/>
      <c r="VCB8" s="484"/>
      <c r="VCC8" s="484"/>
      <c r="VCD8" s="484"/>
      <c r="VCE8" s="484"/>
      <c r="VCF8" s="484"/>
      <c r="VCG8" s="484"/>
      <c r="VCH8" s="484"/>
      <c r="VCI8" s="484"/>
      <c r="VCJ8" s="484"/>
      <c r="VCK8" s="484"/>
      <c r="VCL8" s="484"/>
      <c r="VCM8" s="484"/>
      <c r="VCN8" s="484"/>
      <c r="VCO8" s="484"/>
      <c r="VCP8" s="484"/>
      <c r="VCQ8" s="484"/>
      <c r="VCR8" s="484"/>
      <c r="VCS8" s="484"/>
      <c r="VCT8" s="484"/>
      <c r="VCU8" s="484"/>
      <c r="VCV8" s="484"/>
      <c r="VCW8" s="484"/>
      <c r="VCX8" s="484"/>
      <c r="VCY8" s="484"/>
      <c r="VCZ8" s="484"/>
      <c r="VDA8" s="484"/>
      <c r="VDB8" s="484"/>
      <c r="VDC8" s="484"/>
      <c r="VDD8" s="484"/>
      <c r="VDE8" s="484"/>
      <c r="VDF8" s="484"/>
      <c r="VDG8" s="484"/>
      <c r="VDH8" s="484"/>
      <c r="VDI8" s="484"/>
      <c r="VDJ8" s="484"/>
      <c r="VDK8" s="484"/>
      <c r="VDL8" s="484"/>
      <c r="VDM8" s="484"/>
      <c r="VDN8" s="484"/>
      <c r="VDO8" s="484"/>
      <c r="VDP8" s="484"/>
      <c r="VDQ8" s="484"/>
      <c r="VDR8" s="484"/>
      <c r="VDS8" s="484"/>
      <c r="VDT8" s="484"/>
      <c r="VDU8" s="484"/>
      <c r="VDV8" s="484"/>
      <c r="VDW8" s="484"/>
      <c r="VDX8" s="484"/>
      <c r="VDY8" s="484"/>
      <c r="VDZ8" s="484"/>
      <c r="VEA8" s="484"/>
      <c r="VEB8" s="484"/>
      <c r="VEC8" s="484"/>
      <c r="VED8" s="484"/>
      <c r="VEE8" s="484"/>
      <c r="VEF8" s="484"/>
      <c r="VEG8" s="484"/>
      <c r="VEH8" s="484"/>
      <c r="VEI8" s="484"/>
      <c r="VEJ8" s="484"/>
      <c r="VEK8" s="484"/>
      <c r="VEL8" s="484"/>
      <c r="VEM8" s="484"/>
      <c r="VEN8" s="484"/>
      <c r="VEO8" s="484"/>
      <c r="VEP8" s="484"/>
      <c r="VEQ8" s="484"/>
      <c r="VER8" s="484"/>
      <c r="VES8" s="484"/>
      <c r="VET8" s="484"/>
      <c r="VEU8" s="484"/>
      <c r="VEV8" s="484"/>
      <c r="VEW8" s="484"/>
      <c r="VEX8" s="484"/>
      <c r="VEY8" s="484"/>
      <c r="VEZ8" s="484"/>
      <c r="VFA8" s="484"/>
      <c r="VFB8" s="484"/>
      <c r="VFC8" s="484"/>
      <c r="VFD8" s="484"/>
      <c r="VFE8" s="484"/>
      <c r="VFF8" s="484"/>
      <c r="VFG8" s="484"/>
      <c r="VFH8" s="484"/>
      <c r="VFI8" s="484"/>
      <c r="VFJ8" s="484"/>
      <c r="VFK8" s="484"/>
      <c r="VFL8" s="484"/>
      <c r="VFM8" s="484"/>
      <c r="VFN8" s="484"/>
      <c r="VFO8" s="484"/>
      <c r="VFP8" s="484"/>
      <c r="VFQ8" s="484"/>
      <c r="VFR8" s="484"/>
      <c r="VFS8" s="484"/>
      <c r="VFT8" s="484"/>
      <c r="VFU8" s="484"/>
      <c r="VFV8" s="484"/>
      <c r="VFW8" s="484"/>
      <c r="VFX8" s="484"/>
      <c r="VFY8" s="484"/>
      <c r="VFZ8" s="484"/>
      <c r="VGA8" s="484"/>
      <c r="VGB8" s="484"/>
      <c r="VGC8" s="484"/>
      <c r="VGD8" s="484"/>
      <c r="VGE8" s="484"/>
      <c r="VGF8" s="484"/>
      <c r="VGG8" s="484"/>
      <c r="VGH8" s="484"/>
      <c r="VGI8" s="484"/>
      <c r="VGJ8" s="484"/>
      <c r="VGK8" s="484"/>
      <c r="VGL8" s="484"/>
      <c r="VGM8" s="484"/>
      <c r="VGN8" s="484"/>
      <c r="VGO8" s="484"/>
      <c r="VGP8" s="484"/>
      <c r="VGQ8" s="484"/>
      <c r="VGR8" s="484"/>
      <c r="VGS8" s="484"/>
      <c r="VGT8" s="484"/>
      <c r="VGU8" s="484"/>
      <c r="VGV8" s="484"/>
      <c r="VGW8" s="484"/>
      <c r="VGX8" s="484"/>
      <c r="VGY8" s="484"/>
      <c r="VGZ8" s="484"/>
      <c r="VHA8" s="484"/>
      <c r="VHB8" s="484"/>
      <c r="VHC8" s="484"/>
      <c r="VHD8" s="484"/>
      <c r="VHE8" s="484"/>
      <c r="VHF8" s="484"/>
      <c r="VHG8" s="484"/>
      <c r="VHH8" s="484"/>
      <c r="VHI8" s="484"/>
      <c r="VHJ8" s="484"/>
      <c r="VHK8" s="484"/>
      <c r="VHL8" s="484"/>
      <c r="VHM8" s="484"/>
      <c r="VHN8" s="484"/>
      <c r="VHO8" s="484"/>
      <c r="VHP8" s="484"/>
      <c r="VHQ8" s="484"/>
      <c r="VHR8" s="484"/>
      <c r="VHS8" s="484"/>
      <c r="VHT8" s="484"/>
      <c r="VHU8" s="484"/>
      <c r="VHV8" s="484"/>
      <c r="VHW8" s="484"/>
      <c r="VHX8" s="484"/>
      <c r="VHY8" s="484"/>
      <c r="VHZ8" s="484"/>
      <c r="VIA8" s="484"/>
      <c r="VIB8" s="484"/>
      <c r="VIC8" s="484"/>
      <c r="VID8" s="484"/>
      <c r="VIE8" s="484"/>
      <c r="VIF8" s="484"/>
      <c r="VIG8" s="484"/>
      <c r="VIH8" s="484"/>
      <c r="VII8" s="484"/>
      <c r="VIJ8" s="484"/>
      <c r="VIK8" s="484"/>
      <c r="VIL8" s="484"/>
      <c r="VIM8" s="484"/>
      <c r="VIN8" s="484"/>
      <c r="VIO8" s="484"/>
      <c r="VIP8" s="484"/>
      <c r="VIQ8" s="484"/>
      <c r="VIR8" s="484"/>
      <c r="VIS8" s="484"/>
      <c r="VIT8" s="484"/>
      <c r="VIU8" s="484"/>
      <c r="VIV8" s="484"/>
      <c r="VIW8" s="484"/>
      <c r="VIX8" s="484"/>
      <c r="VIY8" s="484"/>
      <c r="VIZ8" s="484"/>
      <c r="VJA8" s="484"/>
      <c r="VJB8" s="484"/>
      <c r="VJC8" s="484"/>
      <c r="VJD8" s="484"/>
      <c r="VJE8" s="484"/>
      <c r="VJF8" s="484"/>
      <c r="VJG8" s="484"/>
      <c r="VJH8" s="484"/>
      <c r="VJI8" s="484"/>
      <c r="VJJ8" s="484"/>
      <c r="VJK8" s="484"/>
      <c r="VJL8" s="484"/>
      <c r="VJM8" s="484"/>
      <c r="VJN8" s="484"/>
      <c r="VJO8" s="484"/>
      <c r="VJP8" s="484"/>
      <c r="VJQ8" s="484"/>
      <c r="VJR8" s="484"/>
      <c r="VJS8" s="484"/>
      <c r="VJT8" s="484"/>
      <c r="VJU8" s="484"/>
      <c r="VJV8" s="484"/>
      <c r="VJW8" s="484"/>
      <c r="VJX8" s="484"/>
      <c r="VJY8" s="484"/>
      <c r="VJZ8" s="484"/>
      <c r="VKA8" s="484"/>
      <c r="VKB8" s="484"/>
      <c r="VKC8" s="484"/>
      <c r="VKD8" s="484"/>
      <c r="VKE8" s="484"/>
      <c r="VKF8" s="484"/>
      <c r="VKG8" s="484"/>
      <c r="VKH8" s="484"/>
      <c r="VKI8" s="484"/>
      <c r="VKJ8" s="484"/>
      <c r="VKK8" s="484"/>
      <c r="VKL8" s="484"/>
      <c r="VKM8" s="484"/>
      <c r="VKN8" s="484"/>
      <c r="VKO8" s="484"/>
      <c r="VKP8" s="484"/>
      <c r="VKQ8" s="484"/>
      <c r="VKR8" s="484"/>
      <c r="VKS8" s="484"/>
      <c r="VKT8" s="484"/>
      <c r="VKU8" s="484"/>
      <c r="VKV8" s="484"/>
      <c r="VKW8" s="484"/>
      <c r="VKX8" s="484"/>
      <c r="VKY8" s="484"/>
      <c r="VKZ8" s="484"/>
      <c r="VLA8" s="484"/>
      <c r="VLB8" s="484"/>
      <c r="VLC8" s="484"/>
      <c r="VLD8" s="484"/>
      <c r="VLE8" s="484"/>
      <c r="VLF8" s="484"/>
      <c r="VLG8" s="484"/>
      <c r="VLH8" s="484"/>
      <c r="VLI8" s="484"/>
      <c r="VLJ8" s="484"/>
      <c r="VLK8" s="484"/>
      <c r="VLL8" s="484"/>
      <c r="VLM8" s="484"/>
      <c r="VLN8" s="484"/>
      <c r="VLO8" s="484"/>
      <c r="VLP8" s="484"/>
      <c r="VLQ8" s="484"/>
      <c r="VLR8" s="484"/>
      <c r="VLS8" s="484"/>
      <c r="VLT8" s="484"/>
      <c r="VLU8" s="484"/>
      <c r="VLV8" s="484"/>
      <c r="VLW8" s="484"/>
      <c r="VLX8" s="484"/>
      <c r="VLY8" s="484"/>
      <c r="VLZ8" s="484"/>
      <c r="VMA8" s="484"/>
      <c r="VMB8" s="484"/>
      <c r="VMC8" s="484"/>
      <c r="VMD8" s="484"/>
      <c r="VME8" s="484"/>
      <c r="VMF8" s="484"/>
      <c r="VMG8" s="484"/>
      <c r="VMH8" s="484"/>
      <c r="VMI8" s="484"/>
      <c r="VMJ8" s="484"/>
      <c r="VMK8" s="484"/>
      <c r="VML8" s="484"/>
      <c r="VMM8" s="484"/>
      <c r="VMN8" s="484"/>
      <c r="VMO8" s="484"/>
      <c r="VMP8" s="484"/>
      <c r="VMQ8" s="484"/>
      <c r="VMR8" s="484"/>
      <c r="VMS8" s="484"/>
      <c r="VMT8" s="484"/>
      <c r="VMU8" s="484"/>
      <c r="VMV8" s="484"/>
      <c r="VMW8" s="484"/>
      <c r="VMX8" s="484"/>
      <c r="VMY8" s="484"/>
      <c r="VMZ8" s="484"/>
      <c r="VNA8" s="484"/>
      <c r="VNB8" s="484"/>
      <c r="VNC8" s="484"/>
      <c r="VND8" s="484"/>
      <c r="VNE8" s="484"/>
      <c r="VNF8" s="484"/>
      <c r="VNG8" s="484"/>
      <c r="VNH8" s="484"/>
      <c r="VNI8" s="484"/>
      <c r="VNJ8" s="484"/>
      <c r="VNK8" s="484"/>
      <c r="VNL8" s="484"/>
      <c r="VNM8" s="484"/>
      <c r="VNN8" s="484"/>
      <c r="VNO8" s="484"/>
      <c r="VNP8" s="484"/>
      <c r="VNQ8" s="484"/>
      <c r="VNR8" s="484"/>
      <c r="VNS8" s="484"/>
      <c r="VNT8" s="484"/>
      <c r="VNU8" s="484"/>
      <c r="VNV8" s="484"/>
      <c r="VNW8" s="484"/>
      <c r="VNX8" s="484"/>
      <c r="VNY8" s="484"/>
      <c r="VNZ8" s="484"/>
      <c r="VOA8" s="484"/>
      <c r="VOB8" s="484"/>
      <c r="VOC8" s="484"/>
      <c r="VOD8" s="484"/>
      <c r="VOE8" s="484"/>
      <c r="VOF8" s="484"/>
      <c r="VOG8" s="484"/>
      <c r="VOH8" s="484"/>
      <c r="VOI8" s="484"/>
      <c r="VOJ8" s="484"/>
      <c r="VOK8" s="484"/>
      <c r="VOL8" s="484"/>
      <c r="VOM8" s="484"/>
      <c r="VON8" s="484"/>
      <c r="VOO8" s="484"/>
      <c r="VOP8" s="484"/>
      <c r="VOQ8" s="484"/>
      <c r="VOR8" s="484"/>
      <c r="VOS8" s="484"/>
      <c r="VOT8" s="484"/>
      <c r="VOU8" s="484"/>
      <c r="VOV8" s="484"/>
      <c r="VOW8" s="484"/>
      <c r="VOX8" s="484"/>
      <c r="VOY8" s="484"/>
      <c r="VOZ8" s="484"/>
      <c r="VPA8" s="484"/>
      <c r="VPB8" s="484"/>
      <c r="VPC8" s="484"/>
      <c r="VPD8" s="484"/>
      <c r="VPE8" s="484"/>
      <c r="VPF8" s="484"/>
      <c r="VPG8" s="484"/>
      <c r="VPH8" s="484"/>
      <c r="VPI8" s="484"/>
      <c r="VPJ8" s="484"/>
      <c r="VPK8" s="484"/>
      <c r="VPL8" s="484"/>
      <c r="VPM8" s="484"/>
      <c r="VPN8" s="484"/>
      <c r="VPO8" s="484"/>
      <c r="VPP8" s="484"/>
      <c r="VPQ8" s="484"/>
      <c r="VPR8" s="484"/>
      <c r="VPS8" s="484"/>
      <c r="VPT8" s="484"/>
      <c r="VPU8" s="484"/>
      <c r="VPV8" s="484"/>
      <c r="VPW8" s="484"/>
      <c r="VPX8" s="484"/>
      <c r="VPY8" s="484"/>
      <c r="VPZ8" s="484"/>
      <c r="VQA8" s="484"/>
      <c r="VQB8" s="484"/>
      <c r="VQC8" s="484"/>
      <c r="VQD8" s="484"/>
      <c r="VQE8" s="484"/>
      <c r="VQF8" s="484"/>
      <c r="VQG8" s="484"/>
      <c r="VQH8" s="484"/>
      <c r="VQI8" s="484"/>
      <c r="VQJ8" s="484"/>
      <c r="VQK8" s="484"/>
      <c r="VQL8" s="484"/>
      <c r="VQM8" s="484"/>
      <c r="VQN8" s="484"/>
      <c r="VQO8" s="484"/>
      <c r="VQP8" s="484"/>
      <c r="VQQ8" s="484"/>
      <c r="VQR8" s="484"/>
      <c r="VQS8" s="484"/>
      <c r="VQT8" s="484"/>
      <c r="VQU8" s="484"/>
      <c r="VQV8" s="484"/>
      <c r="VQW8" s="484"/>
      <c r="VQX8" s="484"/>
      <c r="VQY8" s="484"/>
      <c r="VQZ8" s="484"/>
      <c r="VRA8" s="484"/>
      <c r="VRB8" s="484"/>
      <c r="VRC8" s="484"/>
      <c r="VRD8" s="484"/>
      <c r="VRE8" s="484"/>
      <c r="VRF8" s="484"/>
      <c r="VRG8" s="484"/>
      <c r="VRH8" s="484"/>
      <c r="VRI8" s="484"/>
      <c r="VRJ8" s="484"/>
      <c r="VRK8" s="484"/>
      <c r="VRL8" s="484"/>
      <c r="VRM8" s="484"/>
      <c r="VRN8" s="484"/>
      <c r="VRO8" s="484"/>
      <c r="VRP8" s="484"/>
      <c r="VRQ8" s="484"/>
      <c r="VRR8" s="484"/>
      <c r="VRS8" s="484"/>
      <c r="VRT8" s="484"/>
      <c r="VRU8" s="484"/>
      <c r="VRV8" s="484"/>
      <c r="VRW8" s="484"/>
      <c r="VRX8" s="484"/>
      <c r="VRY8" s="484"/>
      <c r="VRZ8" s="484"/>
      <c r="VSA8" s="484"/>
      <c r="VSB8" s="484"/>
      <c r="VSC8" s="484"/>
      <c r="VSD8" s="484"/>
      <c r="VSE8" s="484"/>
      <c r="VSF8" s="484"/>
      <c r="VSG8" s="484"/>
      <c r="VSH8" s="484"/>
      <c r="VSI8" s="484"/>
      <c r="VSJ8" s="484"/>
      <c r="VSK8" s="484"/>
      <c r="VSL8" s="484"/>
      <c r="VSM8" s="484"/>
      <c r="VSN8" s="484"/>
      <c r="VSO8" s="484"/>
      <c r="VSP8" s="484"/>
      <c r="VSQ8" s="484"/>
      <c r="VSR8" s="484"/>
      <c r="VSS8" s="484"/>
      <c r="VST8" s="484"/>
      <c r="VSU8" s="484"/>
      <c r="VSV8" s="484"/>
      <c r="VSW8" s="484"/>
      <c r="VSX8" s="484"/>
      <c r="VSY8" s="484"/>
      <c r="VSZ8" s="484"/>
      <c r="VTA8" s="484"/>
      <c r="VTB8" s="484"/>
      <c r="VTC8" s="484"/>
      <c r="VTD8" s="484"/>
      <c r="VTE8" s="484"/>
      <c r="VTF8" s="484"/>
      <c r="VTG8" s="484"/>
      <c r="VTH8" s="484"/>
      <c r="VTI8" s="484"/>
      <c r="VTJ8" s="484"/>
      <c r="VTK8" s="484"/>
      <c r="VTL8" s="484"/>
      <c r="VTM8" s="484"/>
      <c r="VTN8" s="484"/>
      <c r="VTO8" s="484"/>
      <c r="VTP8" s="484"/>
      <c r="VTQ8" s="484"/>
      <c r="VTR8" s="484"/>
      <c r="VTS8" s="484"/>
      <c r="VTT8" s="484"/>
      <c r="VTU8" s="484"/>
      <c r="VTV8" s="484"/>
      <c r="VTW8" s="484"/>
      <c r="VTX8" s="484"/>
      <c r="VTY8" s="484"/>
      <c r="VTZ8" s="484"/>
      <c r="VUA8" s="484"/>
      <c r="VUB8" s="484"/>
      <c r="VUC8" s="484"/>
      <c r="VUD8" s="484"/>
      <c r="VUE8" s="484"/>
      <c r="VUF8" s="484"/>
      <c r="VUG8" s="484"/>
      <c r="VUH8" s="484"/>
      <c r="VUI8" s="484"/>
      <c r="VUJ8" s="484"/>
      <c r="VUK8" s="484"/>
      <c r="VUL8" s="484"/>
      <c r="VUM8" s="484"/>
      <c r="VUN8" s="484"/>
      <c r="VUO8" s="484"/>
      <c r="VUP8" s="484"/>
      <c r="VUQ8" s="484"/>
      <c r="VUR8" s="484"/>
      <c r="VUS8" s="484"/>
      <c r="VUT8" s="484"/>
      <c r="VUU8" s="484"/>
      <c r="VUV8" s="484"/>
      <c r="VUW8" s="484"/>
      <c r="VUX8" s="484"/>
      <c r="VUY8" s="484"/>
      <c r="VUZ8" s="484"/>
      <c r="VVA8" s="484"/>
      <c r="VVB8" s="484"/>
      <c r="VVC8" s="484"/>
      <c r="VVD8" s="484"/>
      <c r="VVE8" s="484"/>
      <c r="VVF8" s="484"/>
      <c r="VVG8" s="484"/>
      <c r="VVH8" s="484"/>
      <c r="VVI8" s="484"/>
      <c r="VVJ8" s="484"/>
      <c r="VVK8" s="484"/>
      <c r="VVL8" s="484"/>
      <c r="VVM8" s="484"/>
      <c r="VVN8" s="484"/>
      <c r="VVO8" s="484"/>
      <c r="VVP8" s="484"/>
      <c r="VVQ8" s="484"/>
      <c r="VVR8" s="484"/>
      <c r="VVS8" s="484"/>
      <c r="VVT8" s="484"/>
      <c r="VVU8" s="484"/>
      <c r="VVV8" s="484"/>
      <c r="VVW8" s="484"/>
      <c r="VVX8" s="484"/>
      <c r="VVY8" s="484"/>
      <c r="VVZ8" s="484"/>
      <c r="VWA8" s="484"/>
      <c r="VWB8" s="484"/>
      <c r="VWC8" s="484"/>
      <c r="VWD8" s="484"/>
      <c r="VWE8" s="484"/>
      <c r="VWF8" s="484"/>
      <c r="VWG8" s="484"/>
      <c r="VWH8" s="484"/>
      <c r="VWI8" s="484"/>
      <c r="VWJ8" s="484"/>
      <c r="VWK8" s="484"/>
      <c r="VWL8" s="484"/>
      <c r="VWM8" s="484"/>
      <c r="VWN8" s="484"/>
      <c r="VWO8" s="484"/>
      <c r="VWP8" s="484"/>
      <c r="VWQ8" s="484"/>
      <c r="VWR8" s="484"/>
      <c r="VWS8" s="484"/>
      <c r="VWT8" s="484"/>
      <c r="VWU8" s="484"/>
      <c r="VWV8" s="484"/>
      <c r="VWW8" s="484"/>
      <c r="VWX8" s="484"/>
      <c r="VWY8" s="484"/>
      <c r="VWZ8" s="484"/>
      <c r="VXA8" s="484"/>
      <c r="VXB8" s="484"/>
      <c r="VXC8" s="484"/>
      <c r="VXD8" s="484"/>
      <c r="VXE8" s="484"/>
      <c r="VXF8" s="484"/>
      <c r="VXG8" s="484"/>
      <c r="VXH8" s="484"/>
      <c r="VXI8" s="484"/>
      <c r="VXJ8" s="484"/>
      <c r="VXK8" s="484"/>
      <c r="VXL8" s="484"/>
      <c r="VXM8" s="484"/>
      <c r="VXN8" s="484"/>
      <c r="VXO8" s="484"/>
      <c r="VXP8" s="484"/>
      <c r="VXQ8" s="484"/>
      <c r="VXR8" s="484"/>
      <c r="VXS8" s="484"/>
      <c r="VXT8" s="484"/>
      <c r="VXU8" s="484"/>
      <c r="VXV8" s="484"/>
      <c r="VXW8" s="484"/>
      <c r="VXX8" s="484"/>
      <c r="VXY8" s="484"/>
      <c r="VXZ8" s="484"/>
      <c r="VYA8" s="484"/>
      <c r="VYB8" s="484"/>
      <c r="VYC8" s="484"/>
      <c r="VYD8" s="484"/>
      <c r="VYE8" s="484"/>
      <c r="VYF8" s="484"/>
      <c r="VYG8" s="484"/>
      <c r="VYH8" s="484"/>
      <c r="VYI8" s="484"/>
      <c r="VYJ8" s="484"/>
      <c r="VYK8" s="484"/>
      <c r="VYL8" s="484"/>
      <c r="VYM8" s="484"/>
      <c r="VYN8" s="484"/>
      <c r="VYO8" s="484"/>
      <c r="VYP8" s="484"/>
      <c r="VYQ8" s="484"/>
      <c r="VYR8" s="484"/>
      <c r="VYS8" s="484"/>
      <c r="VYT8" s="484"/>
      <c r="VYU8" s="484"/>
      <c r="VYV8" s="484"/>
      <c r="VYW8" s="484"/>
      <c r="VYX8" s="484"/>
      <c r="VYY8" s="484"/>
      <c r="VYZ8" s="484"/>
      <c r="VZA8" s="484"/>
      <c r="VZB8" s="484"/>
      <c r="VZC8" s="484"/>
      <c r="VZD8" s="484"/>
      <c r="VZE8" s="484"/>
      <c r="VZF8" s="484"/>
      <c r="VZG8" s="484"/>
      <c r="VZH8" s="484"/>
      <c r="VZI8" s="484"/>
      <c r="VZJ8" s="484"/>
      <c r="VZK8" s="484"/>
      <c r="VZL8" s="484"/>
      <c r="VZM8" s="484"/>
      <c r="VZN8" s="484"/>
      <c r="VZO8" s="484"/>
      <c r="VZP8" s="484"/>
      <c r="VZQ8" s="484"/>
      <c r="VZR8" s="484"/>
      <c r="VZS8" s="484"/>
      <c r="VZT8" s="484"/>
      <c r="VZU8" s="484"/>
      <c r="VZV8" s="484"/>
      <c r="VZW8" s="484"/>
      <c r="VZX8" s="484"/>
      <c r="VZY8" s="484"/>
      <c r="VZZ8" s="484"/>
      <c r="WAA8" s="484"/>
      <c r="WAB8" s="484"/>
      <c r="WAC8" s="484"/>
      <c r="WAD8" s="484"/>
      <c r="WAE8" s="484"/>
      <c r="WAF8" s="484"/>
      <c r="WAG8" s="484"/>
      <c r="WAH8" s="484"/>
      <c r="WAI8" s="484"/>
      <c r="WAJ8" s="484"/>
      <c r="WAK8" s="484"/>
      <c r="WAL8" s="484"/>
      <c r="WAM8" s="484"/>
      <c r="WAN8" s="484"/>
      <c r="WAO8" s="484"/>
      <c r="WAP8" s="484"/>
      <c r="WAQ8" s="484"/>
      <c r="WAR8" s="484"/>
      <c r="WAS8" s="484"/>
      <c r="WAT8" s="484"/>
      <c r="WAU8" s="484"/>
      <c r="WAV8" s="484"/>
      <c r="WAW8" s="484"/>
      <c r="WAX8" s="484"/>
      <c r="WAY8" s="484"/>
      <c r="WAZ8" s="484"/>
      <c r="WBA8" s="484"/>
      <c r="WBB8" s="484"/>
      <c r="WBC8" s="484"/>
      <c r="WBD8" s="484"/>
      <c r="WBE8" s="484"/>
      <c r="WBF8" s="484"/>
      <c r="WBG8" s="484"/>
      <c r="WBH8" s="484"/>
      <c r="WBI8" s="484"/>
      <c r="WBJ8" s="484"/>
      <c r="WBK8" s="484"/>
      <c r="WBL8" s="484"/>
      <c r="WBM8" s="484"/>
      <c r="WBN8" s="484"/>
      <c r="WBO8" s="484"/>
      <c r="WBP8" s="484"/>
      <c r="WBQ8" s="484"/>
      <c r="WBR8" s="484"/>
      <c r="WBS8" s="484"/>
      <c r="WBT8" s="484"/>
      <c r="WBU8" s="484"/>
      <c r="WBV8" s="484"/>
      <c r="WBW8" s="484"/>
      <c r="WBX8" s="484"/>
      <c r="WBY8" s="484"/>
      <c r="WBZ8" s="484"/>
      <c r="WCA8" s="484"/>
      <c r="WCB8" s="484"/>
      <c r="WCC8" s="484"/>
      <c r="WCD8" s="484"/>
      <c r="WCE8" s="484"/>
      <c r="WCF8" s="484"/>
      <c r="WCG8" s="484"/>
      <c r="WCH8" s="484"/>
      <c r="WCI8" s="484"/>
      <c r="WCJ8" s="484"/>
      <c r="WCK8" s="484"/>
      <c r="WCL8" s="484"/>
      <c r="WCM8" s="484"/>
      <c r="WCN8" s="484"/>
      <c r="WCO8" s="484"/>
      <c r="WCP8" s="484"/>
      <c r="WCQ8" s="484"/>
      <c r="WCR8" s="484"/>
      <c r="WCS8" s="484"/>
      <c r="WCT8" s="484"/>
      <c r="WCU8" s="484"/>
      <c r="WCV8" s="484"/>
      <c r="WCW8" s="484"/>
      <c r="WCX8" s="484"/>
      <c r="WCY8" s="484"/>
      <c r="WCZ8" s="484"/>
      <c r="WDA8" s="484"/>
      <c r="WDB8" s="484"/>
      <c r="WDC8" s="484"/>
      <c r="WDD8" s="484"/>
      <c r="WDE8" s="484"/>
      <c r="WDF8" s="484"/>
      <c r="WDG8" s="484"/>
      <c r="WDH8" s="484"/>
      <c r="WDI8" s="484"/>
      <c r="WDJ8" s="484"/>
      <c r="WDK8" s="484"/>
      <c r="WDL8" s="484"/>
      <c r="WDM8" s="484"/>
      <c r="WDN8" s="484"/>
      <c r="WDO8" s="484"/>
      <c r="WDP8" s="484"/>
      <c r="WDQ8" s="484"/>
      <c r="WDR8" s="484"/>
      <c r="WDS8" s="484"/>
      <c r="WDT8" s="484"/>
      <c r="WDU8" s="484"/>
      <c r="WDV8" s="484"/>
      <c r="WDW8" s="484"/>
      <c r="WDX8" s="484"/>
      <c r="WDY8" s="484"/>
      <c r="WDZ8" s="484"/>
      <c r="WEA8" s="484"/>
      <c r="WEB8" s="484"/>
      <c r="WEC8" s="484"/>
      <c r="WED8" s="484"/>
      <c r="WEE8" s="484"/>
      <c r="WEF8" s="484"/>
      <c r="WEG8" s="484"/>
      <c r="WEH8" s="484"/>
      <c r="WEI8" s="484"/>
      <c r="WEJ8" s="484"/>
      <c r="WEK8" s="484"/>
      <c r="WEL8" s="484"/>
      <c r="WEM8" s="484"/>
      <c r="WEN8" s="484"/>
      <c r="WEO8" s="484"/>
      <c r="WEP8" s="484"/>
      <c r="WEQ8" s="484"/>
      <c r="WER8" s="484"/>
      <c r="WES8" s="484"/>
      <c r="WET8" s="484"/>
      <c r="WEU8" s="484"/>
      <c r="WEV8" s="484"/>
      <c r="WEW8" s="484"/>
      <c r="WEX8" s="484"/>
      <c r="WEY8" s="484"/>
      <c r="WEZ8" s="484"/>
      <c r="WFA8" s="484"/>
      <c r="WFB8" s="484"/>
      <c r="WFC8" s="484"/>
      <c r="WFD8" s="484"/>
      <c r="WFE8" s="484"/>
      <c r="WFF8" s="484"/>
      <c r="WFG8" s="484"/>
      <c r="WFH8" s="484"/>
      <c r="WFI8" s="484"/>
      <c r="WFJ8" s="484"/>
      <c r="WFK8" s="484"/>
      <c r="WFL8" s="484"/>
      <c r="WFM8" s="484"/>
      <c r="WFN8" s="484"/>
      <c r="WFO8" s="484"/>
      <c r="WFP8" s="484"/>
      <c r="WFQ8" s="484"/>
      <c r="WFR8" s="484"/>
      <c r="WFS8" s="484"/>
      <c r="WFT8" s="484"/>
      <c r="WFU8" s="484"/>
      <c r="WFV8" s="484"/>
      <c r="WFW8" s="484"/>
      <c r="WFX8" s="484"/>
      <c r="WFY8" s="484"/>
      <c r="WFZ8" s="484"/>
      <c r="WGA8" s="484"/>
      <c r="WGB8" s="484"/>
      <c r="WGC8" s="484"/>
      <c r="WGD8" s="484"/>
      <c r="WGE8" s="484"/>
      <c r="WGF8" s="484"/>
      <c r="WGG8" s="484"/>
      <c r="WGH8" s="484"/>
      <c r="WGI8" s="484"/>
      <c r="WGJ8" s="484"/>
      <c r="WGK8" s="484"/>
      <c r="WGL8" s="484"/>
      <c r="WGM8" s="484"/>
      <c r="WGN8" s="484"/>
      <c r="WGO8" s="484"/>
      <c r="WGP8" s="484"/>
      <c r="WGQ8" s="484"/>
      <c r="WGR8" s="484"/>
      <c r="WGS8" s="484"/>
      <c r="WGT8" s="484"/>
      <c r="WGU8" s="484"/>
      <c r="WGV8" s="484"/>
      <c r="WGW8" s="484"/>
      <c r="WGX8" s="484"/>
      <c r="WGY8" s="484"/>
      <c r="WGZ8" s="484"/>
      <c r="WHA8" s="484"/>
      <c r="WHB8" s="484"/>
      <c r="WHC8" s="484"/>
      <c r="WHD8" s="484"/>
      <c r="WHE8" s="484"/>
      <c r="WHF8" s="484"/>
      <c r="WHG8" s="484"/>
      <c r="WHH8" s="484"/>
      <c r="WHI8" s="484"/>
      <c r="WHJ8" s="484"/>
      <c r="WHK8" s="484"/>
      <c r="WHL8" s="484"/>
      <c r="WHM8" s="484"/>
      <c r="WHN8" s="484"/>
      <c r="WHO8" s="484"/>
      <c r="WHP8" s="484"/>
      <c r="WHQ8" s="484"/>
      <c r="WHR8" s="484"/>
      <c r="WHS8" s="484"/>
      <c r="WHT8" s="484"/>
      <c r="WHU8" s="484"/>
      <c r="WHV8" s="484"/>
      <c r="WHW8" s="484"/>
      <c r="WHX8" s="484"/>
      <c r="WHY8" s="484"/>
      <c r="WHZ8" s="484"/>
      <c r="WIA8" s="484"/>
      <c r="WIB8" s="484"/>
      <c r="WIC8" s="484"/>
      <c r="WID8" s="484"/>
      <c r="WIE8" s="484"/>
      <c r="WIF8" s="484"/>
      <c r="WIG8" s="484"/>
      <c r="WIH8" s="484"/>
      <c r="WII8" s="484"/>
      <c r="WIJ8" s="484"/>
      <c r="WIK8" s="484"/>
      <c r="WIL8" s="484"/>
      <c r="WIM8" s="484"/>
      <c r="WIN8" s="484"/>
      <c r="WIO8" s="484"/>
      <c r="WIP8" s="484"/>
      <c r="WIQ8" s="484"/>
      <c r="WIR8" s="484"/>
      <c r="WIS8" s="484"/>
      <c r="WIT8" s="484"/>
      <c r="WIU8" s="484"/>
      <c r="WIV8" s="484"/>
      <c r="WIW8" s="484"/>
      <c r="WIX8" s="484"/>
      <c r="WIY8" s="484"/>
      <c r="WIZ8" s="484"/>
      <c r="WJA8" s="484"/>
      <c r="WJB8" s="484"/>
      <c r="WJC8" s="484"/>
      <c r="WJD8" s="484"/>
      <c r="WJE8" s="484"/>
      <c r="WJF8" s="484"/>
      <c r="WJG8" s="484"/>
      <c r="WJH8" s="484"/>
      <c r="WJI8" s="484"/>
      <c r="WJJ8" s="484"/>
      <c r="WJK8" s="484"/>
      <c r="WJL8" s="484"/>
      <c r="WJM8" s="484"/>
      <c r="WJN8" s="484"/>
      <c r="WJO8" s="484"/>
      <c r="WJP8" s="484"/>
      <c r="WJQ8" s="484"/>
      <c r="WJR8" s="484"/>
      <c r="WJS8" s="484"/>
      <c r="WJT8" s="484"/>
      <c r="WJU8" s="484"/>
      <c r="WJV8" s="484"/>
      <c r="WJW8" s="484"/>
      <c r="WJX8" s="484"/>
      <c r="WJY8" s="484"/>
      <c r="WJZ8" s="484"/>
      <c r="WKA8" s="484"/>
      <c r="WKB8" s="484"/>
      <c r="WKC8" s="484"/>
      <c r="WKD8" s="484"/>
      <c r="WKE8" s="484"/>
      <c r="WKF8" s="484"/>
      <c r="WKG8" s="484"/>
      <c r="WKH8" s="484"/>
      <c r="WKI8" s="484"/>
      <c r="WKJ8" s="484"/>
      <c r="WKK8" s="484"/>
      <c r="WKL8" s="484"/>
      <c r="WKM8" s="484"/>
      <c r="WKN8" s="484"/>
      <c r="WKO8" s="484"/>
      <c r="WKP8" s="484"/>
      <c r="WKQ8" s="484"/>
      <c r="WKR8" s="484"/>
      <c r="WKS8" s="484"/>
      <c r="WKT8" s="484"/>
      <c r="WKU8" s="484"/>
      <c r="WKV8" s="484"/>
      <c r="WKW8" s="484"/>
      <c r="WKX8" s="484"/>
      <c r="WKY8" s="484"/>
      <c r="WKZ8" s="484"/>
      <c r="WLA8" s="484"/>
      <c r="WLB8" s="484"/>
      <c r="WLC8" s="484"/>
      <c r="WLD8" s="484"/>
      <c r="WLE8" s="484"/>
      <c r="WLF8" s="484"/>
      <c r="WLG8" s="484"/>
      <c r="WLH8" s="484"/>
      <c r="WLI8" s="484"/>
      <c r="WLJ8" s="484"/>
      <c r="WLK8" s="484"/>
      <c r="WLL8" s="484"/>
      <c r="WLM8" s="484"/>
      <c r="WLN8" s="484"/>
      <c r="WLO8" s="484"/>
      <c r="WLP8" s="484"/>
      <c r="WLQ8" s="484"/>
      <c r="WLR8" s="484"/>
      <c r="WLS8" s="484"/>
      <c r="WLT8" s="484"/>
      <c r="WLU8" s="484"/>
      <c r="WLV8" s="484"/>
      <c r="WLW8" s="484"/>
      <c r="WLX8" s="484"/>
      <c r="WLY8" s="484"/>
      <c r="WLZ8" s="484"/>
      <c r="WMA8" s="484"/>
      <c r="WMB8" s="484"/>
      <c r="WMC8" s="484"/>
      <c r="WMD8" s="484"/>
      <c r="WME8" s="484"/>
      <c r="WMF8" s="484"/>
      <c r="WMG8" s="484"/>
      <c r="WMH8" s="484"/>
      <c r="WMI8" s="484"/>
      <c r="WMJ8" s="484"/>
      <c r="WMK8" s="484"/>
      <c r="WML8" s="484"/>
      <c r="WMM8" s="484"/>
      <c r="WMN8" s="484"/>
      <c r="WMO8" s="484"/>
      <c r="WMP8" s="484"/>
      <c r="WMQ8" s="484"/>
      <c r="WMR8" s="484"/>
      <c r="WMS8" s="484"/>
      <c r="WMT8" s="484"/>
      <c r="WMU8" s="484"/>
      <c r="WMV8" s="484"/>
      <c r="WMW8" s="484"/>
      <c r="WMX8" s="484"/>
      <c r="WMY8" s="484"/>
      <c r="WMZ8" s="484"/>
      <c r="WNA8" s="484"/>
      <c r="WNB8" s="484"/>
      <c r="WNC8" s="484"/>
      <c r="WND8" s="484"/>
      <c r="WNE8" s="484"/>
      <c r="WNF8" s="484"/>
      <c r="WNG8" s="484"/>
      <c r="WNH8" s="484"/>
      <c r="WNI8" s="484"/>
      <c r="WNJ8" s="484"/>
      <c r="WNK8" s="484"/>
      <c r="WNL8" s="484"/>
      <c r="WNM8" s="484"/>
      <c r="WNN8" s="484"/>
      <c r="WNO8" s="484"/>
      <c r="WNP8" s="484"/>
      <c r="WNQ8" s="484"/>
      <c r="WNR8" s="484"/>
      <c r="WNS8" s="484"/>
      <c r="WNT8" s="484"/>
      <c r="WNU8" s="484"/>
      <c r="WNV8" s="484"/>
      <c r="WNW8" s="484"/>
      <c r="WNX8" s="484"/>
      <c r="WNY8" s="484"/>
      <c r="WNZ8" s="484"/>
      <c r="WOA8" s="484"/>
      <c r="WOB8" s="484"/>
      <c r="WOC8" s="484"/>
      <c r="WOD8" s="484"/>
      <c r="WOE8" s="484"/>
      <c r="WOF8" s="484"/>
      <c r="WOG8" s="484"/>
      <c r="WOH8" s="484"/>
      <c r="WOI8" s="484"/>
      <c r="WOJ8" s="484"/>
      <c r="WOK8" s="484"/>
      <c r="WOL8" s="484"/>
      <c r="WOM8" s="484"/>
      <c r="WON8" s="484"/>
      <c r="WOO8" s="484"/>
      <c r="WOP8" s="484"/>
      <c r="WOQ8" s="484"/>
      <c r="WOR8" s="484"/>
      <c r="WOS8" s="484"/>
      <c r="WOT8" s="484"/>
      <c r="WOU8" s="484"/>
      <c r="WOV8" s="484"/>
      <c r="WOW8" s="484"/>
      <c r="WOX8" s="484"/>
      <c r="WOY8" s="484"/>
      <c r="WOZ8" s="484"/>
      <c r="WPA8" s="484"/>
      <c r="WPB8" s="484"/>
      <c r="WPC8" s="484"/>
      <c r="WPD8" s="484"/>
      <c r="WPE8" s="484"/>
      <c r="WPF8" s="484"/>
      <c r="WPG8" s="484"/>
      <c r="WPH8" s="484"/>
      <c r="WPI8" s="484"/>
      <c r="WPJ8" s="484"/>
      <c r="WPK8" s="484"/>
      <c r="WPL8" s="484"/>
      <c r="WPM8" s="484"/>
      <c r="WPN8" s="484"/>
      <c r="WPO8" s="484"/>
      <c r="WPP8" s="484"/>
      <c r="WPQ8" s="484"/>
      <c r="WPR8" s="484"/>
      <c r="WPS8" s="484"/>
      <c r="WPT8" s="484"/>
      <c r="WPU8" s="484"/>
      <c r="WPV8" s="484"/>
      <c r="WPW8" s="484"/>
      <c r="WPX8" s="484"/>
      <c r="WPY8" s="484"/>
      <c r="WPZ8" s="484"/>
      <c r="WQA8" s="484"/>
      <c r="WQB8" s="484"/>
      <c r="WQC8" s="484"/>
      <c r="WQD8" s="484"/>
      <c r="WQE8" s="484"/>
      <c r="WQF8" s="484"/>
      <c r="WQG8" s="484"/>
      <c r="WQH8" s="484"/>
      <c r="WQI8" s="484"/>
      <c r="WQJ8" s="484"/>
      <c r="WQK8" s="484"/>
      <c r="WQL8" s="484"/>
      <c r="WQM8" s="484"/>
      <c r="WQN8" s="484"/>
      <c r="WQO8" s="484"/>
      <c r="WQP8" s="484"/>
      <c r="WQQ8" s="484"/>
      <c r="WQR8" s="484"/>
      <c r="WQS8" s="484"/>
      <c r="WQT8" s="484"/>
      <c r="WQU8" s="484"/>
      <c r="WQV8" s="484"/>
      <c r="WQW8" s="484"/>
      <c r="WQX8" s="484"/>
      <c r="WQY8" s="484"/>
      <c r="WQZ8" s="484"/>
      <c r="WRA8" s="484"/>
      <c r="WRB8" s="484"/>
      <c r="WRC8" s="484"/>
      <c r="WRD8" s="484"/>
      <c r="WRE8" s="484"/>
      <c r="WRF8" s="484"/>
      <c r="WRG8" s="484"/>
      <c r="WRH8" s="484"/>
      <c r="WRI8" s="484"/>
      <c r="WRJ8" s="484"/>
      <c r="WRK8" s="484"/>
      <c r="WRL8" s="484"/>
      <c r="WRM8" s="484"/>
      <c r="WRN8" s="484"/>
      <c r="WRO8" s="484"/>
      <c r="WRP8" s="484"/>
      <c r="WRQ8" s="484"/>
      <c r="WRR8" s="484"/>
      <c r="WRS8" s="484"/>
      <c r="WRT8" s="484"/>
      <c r="WRU8" s="484"/>
      <c r="WRV8" s="484"/>
      <c r="WRW8" s="484"/>
      <c r="WRX8" s="484"/>
      <c r="WRY8" s="484"/>
      <c r="WRZ8" s="484"/>
      <c r="WSA8" s="484"/>
      <c r="WSB8" s="484"/>
      <c r="WSC8" s="484"/>
      <c r="WSD8" s="484"/>
      <c r="WSE8" s="484"/>
      <c r="WSF8" s="484"/>
      <c r="WSG8" s="484"/>
      <c r="WSH8" s="484"/>
      <c r="WSI8" s="484"/>
      <c r="WSJ8" s="484"/>
      <c r="WSK8" s="484"/>
      <c r="WSL8" s="484"/>
      <c r="WSM8" s="484"/>
      <c r="WSN8" s="484"/>
      <c r="WSO8" s="484"/>
      <c r="WSP8" s="484"/>
      <c r="WSQ8" s="484"/>
      <c r="WSR8" s="484"/>
      <c r="WSS8" s="484"/>
      <c r="WST8" s="484"/>
      <c r="WSU8" s="484"/>
      <c r="WSV8" s="484"/>
      <c r="WSW8" s="484"/>
      <c r="WSX8" s="484"/>
      <c r="WSY8" s="484"/>
      <c r="WSZ8" s="484"/>
      <c r="WTA8" s="484"/>
      <c r="WTB8" s="484"/>
      <c r="WTC8" s="484"/>
      <c r="WTD8" s="484"/>
      <c r="WTE8" s="484"/>
      <c r="WTF8" s="484"/>
      <c r="WTG8" s="484"/>
      <c r="WTH8" s="484"/>
      <c r="WTI8" s="484"/>
      <c r="WTJ8" s="484"/>
      <c r="WTK8" s="484"/>
      <c r="WTL8" s="484"/>
      <c r="WTM8" s="484"/>
      <c r="WTN8" s="484"/>
      <c r="WTO8" s="484"/>
      <c r="WTP8" s="484"/>
      <c r="WTQ8" s="484"/>
      <c r="WTR8" s="484"/>
      <c r="WTS8" s="484"/>
      <c r="WTT8" s="484"/>
      <c r="WTU8" s="484"/>
      <c r="WTV8" s="484"/>
      <c r="WTW8" s="484"/>
      <c r="WTX8" s="484"/>
      <c r="WTY8" s="484"/>
      <c r="WTZ8" s="484"/>
      <c r="WUA8" s="484"/>
      <c r="WUB8" s="484"/>
      <c r="WUC8" s="484"/>
      <c r="WUD8" s="484"/>
      <c r="WUE8" s="484"/>
      <c r="WUF8" s="484"/>
      <c r="WUG8" s="484"/>
      <c r="WUH8" s="484"/>
      <c r="WUI8" s="484"/>
      <c r="WUJ8" s="484"/>
      <c r="WUK8" s="484"/>
      <c r="WUL8" s="484"/>
      <c r="WUM8" s="484"/>
      <c r="WUN8" s="484"/>
      <c r="WUO8" s="484"/>
      <c r="WUP8" s="484"/>
      <c r="WUQ8" s="484"/>
      <c r="WUR8" s="484"/>
      <c r="WUS8" s="484"/>
      <c r="WUT8" s="484"/>
      <c r="WUU8" s="484"/>
      <c r="WUV8" s="484"/>
      <c r="WUW8" s="484"/>
      <c r="WUX8" s="484"/>
      <c r="WUY8" s="484"/>
      <c r="WUZ8" s="484"/>
      <c r="WVA8" s="484"/>
      <c r="WVB8" s="484"/>
      <c r="WVC8" s="484"/>
      <c r="WVD8" s="484"/>
      <c r="WVE8" s="484"/>
      <c r="WVF8" s="484"/>
      <c r="WVG8" s="484"/>
      <c r="WVH8" s="484"/>
      <c r="WVI8" s="484"/>
      <c r="WVJ8" s="484"/>
      <c r="WVK8" s="484"/>
      <c r="WVL8" s="484"/>
      <c r="WVM8" s="484"/>
      <c r="WVN8" s="484"/>
      <c r="WVO8" s="484"/>
      <c r="WVP8" s="484"/>
      <c r="WVQ8" s="484"/>
      <c r="WVR8" s="484"/>
      <c r="WVS8" s="484"/>
      <c r="WVT8" s="484"/>
      <c r="WVU8" s="484"/>
      <c r="WVV8" s="484"/>
      <c r="WVW8" s="484"/>
      <c r="WVX8" s="484"/>
      <c r="WVY8" s="484"/>
      <c r="WVZ8" s="484"/>
      <c r="WWA8" s="484"/>
      <c r="WWB8" s="484"/>
      <c r="WWC8" s="484"/>
      <c r="WWD8" s="484"/>
      <c r="WWE8" s="484"/>
      <c r="WWF8" s="484"/>
      <c r="WWG8" s="484"/>
      <c r="WWH8" s="484"/>
      <c r="WWI8" s="484"/>
      <c r="WWJ8" s="484"/>
      <c r="WWK8" s="484"/>
      <c r="WWL8" s="484"/>
      <c r="WWM8" s="484"/>
      <c r="WWN8" s="484"/>
      <c r="WWO8" s="484"/>
      <c r="WWP8" s="484"/>
      <c r="WWQ8" s="484"/>
      <c r="WWR8" s="484"/>
      <c r="WWS8" s="484"/>
      <c r="WWT8" s="484"/>
      <c r="WWU8" s="484"/>
      <c r="WWV8" s="484"/>
      <c r="WWW8" s="484"/>
      <c r="WWX8" s="484"/>
      <c r="WWY8" s="484"/>
      <c r="WWZ8" s="484"/>
      <c r="WXA8" s="484"/>
      <c r="WXB8" s="484"/>
      <c r="WXC8" s="484"/>
      <c r="WXD8" s="484"/>
      <c r="WXE8" s="484"/>
      <c r="WXF8" s="484"/>
      <c r="WXG8" s="484"/>
      <c r="WXH8" s="484"/>
      <c r="WXI8" s="484"/>
      <c r="WXJ8" s="484"/>
      <c r="WXK8" s="484"/>
      <c r="WXL8" s="484"/>
      <c r="WXM8" s="484"/>
      <c r="WXN8" s="484"/>
      <c r="WXO8" s="484"/>
      <c r="WXP8" s="484"/>
      <c r="WXQ8" s="484"/>
      <c r="WXR8" s="484"/>
      <c r="WXS8" s="484"/>
      <c r="WXT8" s="484"/>
      <c r="WXU8" s="484"/>
      <c r="WXV8" s="484"/>
      <c r="WXW8" s="484"/>
      <c r="WXX8" s="484"/>
      <c r="WXY8" s="484"/>
      <c r="WXZ8" s="484"/>
      <c r="WYA8" s="484"/>
      <c r="WYB8" s="484"/>
      <c r="WYC8" s="484"/>
      <c r="WYD8" s="484"/>
      <c r="WYE8" s="484"/>
      <c r="WYF8" s="484"/>
      <c r="WYG8" s="484"/>
      <c r="WYH8" s="484"/>
      <c r="WYI8" s="484"/>
      <c r="WYJ8" s="484"/>
      <c r="WYK8" s="484"/>
      <c r="WYL8" s="484"/>
      <c r="WYM8" s="484"/>
      <c r="WYN8" s="484"/>
      <c r="WYO8" s="484"/>
      <c r="WYP8" s="484"/>
      <c r="WYQ8" s="484"/>
      <c r="WYR8" s="484"/>
      <c r="WYS8" s="484"/>
      <c r="WYT8" s="484"/>
      <c r="WYU8" s="484"/>
      <c r="WYV8" s="484"/>
      <c r="WYW8" s="484"/>
      <c r="WYX8" s="484"/>
      <c r="WYY8" s="484"/>
      <c r="WYZ8" s="484"/>
      <c r="WZA8" s="484"/>
      <c r="WZB8" s="484"/>
      <c r="WZC8" s="484"/>
      <c r="WZD8" s="484"/>
      <c r="WZE8" s="484"/>
      <c r="WZF8" s="484"/>
      <c r="WZG8" s="484"/>
      <c r="WZH8" s="484"/>
      <c r="WZI8" s="484"/>
      <c r="WZJ8" s="484"/>
      <c r="WZK8" s="484"/>
      <c r="WZL8" s="484"/>
      <c r="WZM8" s="484"/>
      <c r="WZN8" s="484"/>
      <c r="WZO8" s="484"/>
      <c r="WZP8" s="484"/>
      <c r="WZQ8" s="484"/>
      <c r="WZR8" s="484"/>
      <c r="WZS8" s="484"/>
      <c r="WZT8" s="484"/>
      <c r="WZU8" s="484"/>
      <c r="WZV8" s="484"/>
      <c r="WZW8" s="484"/>
      <c r="WZX8" s="484"/>
      <c r="WZY8" s="484"/>
      <c r="WZZ8" s="484"/>
      <c r="XAA8" s="484"/>
      <c r="XAB8" s="484"/>
      <c r="XAC8" s="484"/>
      <c r="XAD8" s="484"/>
      <c r="XAE8" s="484"/>
      <c r="XAF8" s="484"/>
      <c r="XAG8" s="484"/>
      <c r="XAH8" s="484"/>
      <c r="XAI8" s="484"/>
      <c r="XAJ8" s="484"/>
      <c r="XAK8" s="484"/>
      <c r="XAL8" s="484"/>
      <c r="XAM8" s="484"/>
      <c r="XAN8" s="484"/>
      <c r="XAO8" s="484"/>
      <c r="XAP8" s="484"/>
      <c r="XAQ8" s="484"/>
      <c r="XAR8" s="484"/>
      <c r="XAS8" s="484"/>
      <c r="XAT8" s="484"/>
      <c r="XAU8" s="484"/>
      <c r="XAV8" s="484"/>
      <c r="XAW8" s="484"/>
      <c r="XAX8" s="484"/>
      <c r="XAY8" s="484"/>
      <c r="XAZ8" s="484"/>
      <c r="XBA8" s="484"/>
      <c r="XBB8" s="484"/>
      <c r="XBC8" s="484"/>
      <c r="XBD8" s="484"/>
      <c r="XBE8" s="484"/>
      <c r="XBF8" s="484"/>
      <c r="XBG8" s="484"/>
      <c r="XBH8" s="484"/>
      <c r="XBI8" s="484"/>
      <c r="XBJ8" s="484"/>
      <c r="XBK8" s="484"/>
      <c r="XBL8" s="484"/>
      <c r="XBM8" s="484"/>
      <c r="XBN8" s="484"/>
      <c r="XBO8" s="484"/>
      <c r="XBP8" s="484"/>
      <c r="XBQ8" s="484"/>
      <c r="XBR8" s="484"/>
      <c r="XBS8" s="484"/>
      <c r="XBT8" s="484"/>
      <c r="XBU8" s="484"/>
      <c r="XBV8" s="484"/>
      <c r="XBW8" s="484"/>
      <c r="XBX8" s="484"/>
      <c r="XBY8" s="484"/>
      <c r="XBZ8" s="484"/>
      <c r="XCA8" s="484"/>
      <c r="XCB8" s="484"/>
      <c r="XCC8" s="484"/>
      <c r="XCD8" s="484"/>
      <c r="XCE8" s="484"/>
      <c r="XCF8" s="484"/>
      <c r="XCG8" s="484"/>
      <c r="XCH8" s="484"/>
      <c r="XCI8" s="484"/>
      <c r="XCJ8" s="484"/>
      <c r="XCK8" s="484"/>
      <c r="XCL8" s="484"/>
      <c r="XCM8" s="484"/>
      <c r="XCN8" s="484"/>
      <c r="XCO8" s="484"/>
      <c r="XCP8" s="484"/>
      <c r="XCQ8" s="484"/>
      <c r="XCR8" s="484"/>
      <c r="XCS8" s="484"/>
      <c r="XCT8" s="484"/>
      <c r="XCU8" s="484"/>
      <c r="XCV8" s="484"/>
      <c r="XCW8" s="484"/>
      <c r="XCX8" s="484"/>
      <c r="XCY8" s="484"/>
      <c r="XCZ8" s="484"/>
      <c r="XDA8" s="484"/>
      <c r="XDB8" s="484"/>
      <c r="XDC8" s="484"/>
      <c r="XDD8" s="484"/>
      <c r="XDE8" s="484"/>
      <c r="XDF8" s="484"/>
      <c r="XDG8" s="484"/>
      <c r="XDH8" s="484"/>
      <c r="XDI8" s="484"/>
      <c r="XDJ8" s="484"/>
      <c r="XDK8" s="484"/>
      <c r="XDL8" s="484"/>
      <c r="XDM8" s="484"/>
      <c r="XDN8" s="484"/>
      <c r="XDO8" s="484"/>
      <c r="XDP8" s="484"/>
      <c r="XDQ8" s="484"/>
      <c r="XDR8" s="484"/>
      <c r="XDS8" s="484"/>
      <c r="XDT8" s="484"/>
      <c r="XDU8" s="484"/>
      <c r="XDV8" s="484"/>
      <c r="XDW8" s="484"/>
      <c r="XDX8" s="484"/>
      <c r="XDY8" s="484"/>
      <c r="XDZ8" s="484"/>
      <c r="XEA8" s="484"/>
      <c r="XEB8" s="484"/>
      <c r="XEC8" s="484"/>
      <c r="XED8" s="484"/>
      <c r="XEE8" s="484"/>
      <c r="XEF8" s="484"/>
      <c r="XEG8" s="484"/>
      <c r="XEH8" s="484"/>
      <c r="XEI8" s="484"/>
      <c r="XEJ8" s="484"/>
      <c r="XEK8" s="484"/>
      <c r="XEL8" s="484"/>
      <c r="XEM8" s="484"/>
      <c r="XEN8" s="484"/>
      <c r="XEO8" s="484"/>
      <c r="XEP8" s="484"/>
      <c r="XEQ8" s="484"/>
      <c r="XER8" s="484"/>
      <c r="XES8" s="484"/>
      <c r="XET8" s="484"/>
      <c r="XEU8" s="484"/>
      <c r="XEV8" s="484"/>
      <c r="XEW8" s="484"/>
      <c r="XEX8" s="484"/>
      <c r="XEY8" s="484"/>
      <c r="XEZ8" s="484"/>
      <c r="XFA8" s="484"/>
      <c r="XFB8" s="484"/>
      <c r="XFC8" s="484"/>
      <c r="XFD8" s="4"/>
    </row>
    <row r="9" spans="1:16384" x14ac:dyDescent="0.25">
      <c r="A9" s="485"/>
      <c r="B9" s="485"/>
      <c r="C9" s="48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c r="AAA9" s="5"/>
      <c r="AAB9" s="5"/>
      <c r="AAC9" s="5"/>
      <c r="AAD9" s="5"/>
      <c r="AAE9" s="5"/>
      <c r="AAF9" s="5"/>
      <c r="AAG9" s="5"/>
      <c r="AAH9" s="5"/>
      <c r="AAI9" s="5"/>
      <c r="AAJ9" s="5"/>
      <c r="AAK9" s="5"/>
      <c r="AAL9" s="5"/>
      <c r="AAM9" s="5"/>
      <c r="AAN9" s="5"/>
      <c r="AAO9" s="5"/>
      <c r="AAP9" s="5"/>
      <c r="AAQ9" s="5"/>
      <c r="AAR9" s="5"/>
      <c r="AAS9" s="5"/>
      <c r="AAT9" s="5"/>
      <c r="AAU9" s="5"/>
      <c r="AAV9" s="5"/>
      <c r="AAW9" s="5"/>
      <c r="AAX9" s="5"/>
      <c r="AAY9" s="5"/>
      <c r="AAZ9" s="5"/>
      <c r="ABA9" s="5"/>
      <c r="ABB9" s="5"/>
      <c r="ABC9" s="5"/>
      <c r="ABD9" s="5"/>
      <c r="ABE9" s="5"/>
      <c r="ABF9" s="5"/>
      <c r="ABG9" s="5"/>
      <c r="ABH9" s="5"/>
      <c r="ABI9" s="5"/>
      <c r="ABJ9" s="5"/>
      <c r="ABK9" s="5"/>
      <c r="ABL9" s="5"/>
      <c r="ABM9" s="5"/>
      <c r="ABN9" s="5"/>
      <c r="ABO9" s="5"/>
      <c r="ABP9" s="5"/>
      <c r="ABQ9" s="5"/>
      <c r="ABR9" s="5"/>
      <c r="ABS9" s="5"/>
      <c r="ABT9" s="5"/>
      <c r="ABU9" s="5"/>
      <c r="ABV9" s="5"/>
      <c r="ABW9" s="5"/>
      <c r="ABX9" s="5"/>
      <c r="ABY9" s="5"/>
      <c r="ABZ9" s="5"/>
      <c r="ACA9" s="5"/>
      <c r="ACB9" s="5"/>
      <c r="ACC9" s="5"/>
      <c r="ACD9" s="5"/>
      <c r="ACE9" s="5"/>
      <c r="ACF9" s="5"/>
      <c r="ACG9" s="5"/>
      <c r="ACH9" s="5"/>
      <c r="ACI9" s="5"/>
      <c r="ACJ9" s="5"/>
      <c r="ACK9" s="5"/>
      <c r="ACL9" s="5"/>
      <c r="ACM9" s="5"/>
      <c r="ACN9" s="5"/>
      <c r="ACO9" s="5"/>
      <c r="ACP9" s="5"/>
      <c r="ACQ9" s="5"/>
      <c r="ACR9" s="5"/>
      <c r="ACS9" s="5"/>
      <c r="ACT9" s="5"/>
      <c r="ACU9" s="5"/>
      <c r="ACV9" s="5"/>
      <c r="ACW9" s="5"/>
      <c r="ACX9" s="5"/>
      <c r="ACY9" s="5"/>
      <c r="ACZ9" s="5"/>
      <c r="ADA9" s="5"/>
      <c r="ADB9" s="5"/>
      <c r="ADC9" s="5"/>
      <c r="ADD9" s="5"/>
      <c r="ADE9" s="5"/>
      <c r="ADF9" s="5"/>
      <c r="ADG9" s="5"/>
      <c r="ADH9" s="5"/>
      <c r="ADI9" s="5"/>
      <c r="ADJ9" s="5"/>
      <c r="ADK9" s="5"/>
      <c r="ADL9" s="5"/>
      <c r="ADM9" s="5"/>
      <c r="ADN9" s="5"/>
      <c r="ADO9" s="5"/>
      <c r="ADP9" s="5"/>
      <c r="ADQ9" s="5"/>
      <c r="ADR9" s="5"/>
      <c r="ADS9" s="5"/>
      <c r="ADT9" s="5"/>
      <c r="ADU9" s="5"/>
      <c r="ADV9" s="5"/>
      <c r="ADW9" s="5"/>
      <c r="ADX9" s="5"/>
      <c r="ADY9" s="5"/>
      <c r="ADZ9" s="5"/>
      <c r="AEA9" s="5"/>
      <c r="AEB9" s="5"/>
      <c r="AEC9" s="5"/>
      <c r="AED9" s="5"/>
      <c r="AEE9" s="5"/>
      <c r="AEF9" s="5"/>
      <c r="AEG9" s="5"/>
      <c r="AEH9" s="5"/>
      <c r="AEI9" s="5"/>
      <c r="AEJ9" s="5"/>
      <c r="AEK9" s="5"/>
      <c r="AEL9" s="5"/>
      <c r="AEM9" s="5"/>
      <c r="AEN9" s="5"/>
      <c r="AEO9" s="5"/>
      <c r="AEP9" s="5"/>
      <c r="AEQ9" s="5"/>
      <c r="AER9" s="5"/>
      <c r="AES9" s="5"/>
      <c r="AET9" s="5"/>
      <c r="AEU9" s="5"/>
      <c r="AEV9" s="5"/>
      <c r="AEW9" s="5"/>
      <c r="AEX9" s="5"/>
      <c r="AEY9" s="5"/>
      <c r="AEZ9" s="5"/>
      <c r="AFA9" s="5"/>
      <c r="AFB9" s="5"/>
      <c r="AFC9" s="5"/>
      <c r="AFD9" s="5"/>
      <c r="AFE9" s="5"/>
      <c r="AFF9" s="5"/>
      <c r="AFG9" s="5"/>
      <c r="AFH9" s="5"/>
      <c r="AFI9" s="5"/>
      <c r="AFJ9" s="5"/>
      <c r="AFK9" s="5"/>
      <c r="AFL9" s="5"/>
      <c r="AFM9" s="5"/>
      <c r="AFN9" s="5"/>
      <c r="AFO9" s="5"/>
      <c r="AFP9" s="5"/>
      <c r="AFQ9" s="5"/>
      <c r="AFR9" s="5"/>
      <c r="AFS9" s="5"/>
      <c r="AFT9" s="5"/>
      <c r="AFU9" s="5"/>
      <c r="AFV9" s="5"/>
      <c r="AFW9" s="5"/>
      <c r="AFX9" s="5"/>
      <c r="AFY9" s="5"/>
      <c r="AFZ9" s="5"/>
      <c r="AGA9" s="5"/>
      <c r="AGB9" s="5"/>
      <c r="AGC9" s="5"/>
      <c r="AGD9" s="5"/>
      <c r="AGE9" s="5"/>
      <c r="AGF9" s="5"/>
      <c r="AGG9" s="5"/>
      <c r="AGH9" s="5"/>
      <c r="AGI9" s="5"/>
      <c r="AGJ9" s="5"/>
      <c r="AGK9" s="5"/>
      <c r="AGL9" s="5"/>
      <c r="AGM9" s="5"/>
      <c r="AGN9" s="5"/>
      <c r="AGO9" s="5"/>
      <c r="AGP9" s="5"/>
      <c r="AGQ9" s="5"/>
      <c r="AGR9" s="5"/>
      <c r="AGS9" s="5"/>
      <c r="AGT9" s="5"/>
      <c r="AGU9" s="5"/>
      <c r="AGV9" s="5"/>
      <c r="AGW9" s="5"/>
      <c r="AGX9" s="5"/>
      <c r="AGY9" s="5"/>
      <c r="AGZ9" s="5"/>
      <c r="AHA9" s="5"/>
      <c r="AHB9" s="5"/>
      <c r="AHC9" s="5"/>
      <c r="AHD9" s="5"/>
      <c r="AHE9" s="5"/>
      <c r="AHF9" s="5"/>
      <c r="AHG9" s="5"/>
      <c r="AHH9" s="5"/>
      <c r="AHI9" s="5"/>
      <c r="AHJ9" s="5"/>
      <c r="AHK9" s="5"/>
      <c r="AHL9" s="5"/>
      <c r="AHM9" s="5"/>
      <c r="AHN9" s="5"/>
      <c r="AHO9" s="5"/>
      <c r="AHP9" s="5"/>
      <c r="AHQ9" s="5"/>
      <c r="AHR9" s="5"/>
      <c r="AHS9" s="5"/>
      <c r="AHT9" s="5"/>
      <c r="AHU9" s="5"/>
      <c r="AHV9" s="5"/>
      <c r="AHW9" s="5"/>
      <c r="AHX9" s="5"/>
      <c r="AHY9" s="5"/>
      <c r="AHZ9" s="5"/>
      <c r="AIA9" s="5"/>
      <c r="AIB9" s="5"/>
      <c r="AIC9" s="5"/>
      <c r="AID9" s="5"/>
      <c r="AIE9" s="5"/>
      <c r="AIF9" s="5"/>
      <c r="AIG9" s="5"/>
      <c r="AIH9" s="5"/>
      <c r="AII9" s="5"/>
      <c r="AIJ9" s="5"/>
      <c r="AIK9" s="5"/>
      <c r="AIL9" s="5"/>
      <c r="AIM9" s="5"/>
      <c r="AIN9" s="5"/>
      <c r="AIO9" s="5"/>
      <c r="AIP9" s="5"/>
      <c r="AIQ9" s="5"/>
      <c r="AIR9" s="5"/>
      <c r="AIS9" s="5"/>
      <c r="AIT9" s="5"/>
      <c r="AIU9" s="5"/>
      <c r="AIV9" s="5"/>
      <c r="AIW9" s="5"/>
      <c r="AIX9" s="5"/>
      <c r="AIY9" s="5"/>
      <c r="AIZ9" s="5"/>
      <c r="AJA9" s="5"/>
      <c r="AJB9" s="5"/>
      <c r="AJC9" s="5"/>
      <c r="AJD9" s="5"/>
      <c r="AJE9" s="5"/>
      <c r="AJF9" s="5"/>
      <c r="AJG9" s="5"/>
      <c r="AJH9" s="5"/>
      <c r="AJI9" s="5"/>
      <c r="AJJ9" s="5"/>
      <c r="AJK9" s="5"/>
      <c r="AJL9" s="5"/>
      <c r="AJM9" s="5"/>
      <c r="AJN9" s="5"/>
      <c r="AJO9" s="5"/>
      <c r="AJP9" s="5"/>
      <c r="AJQ9" s="5"/>
      <c r="AJR9" s="5"/>
      <c r="AJS9" s="5"/>
      <c r="AJT9" s="5"/>
      <c r="AJU9" s="5"/>
      <c r="AJV9" s="5"/>
      <c r="AJW9" s="5"/>
      <c r="AJX9" s="5"/>
      <c r="AJY9" s="5"/>
      <c r="AJZ9" s="5"/>
      <c r="AKA9" s="5"/>
      <c r="AKB9" s="5"/>
      <c r="AKC9" s="5"/>
      <c r="AKD9" s="5"/>
      <c r="AKE9" s="5"/>
      <c r="AKF9" s="5"/>
      <c r="AKG9" s="5"/>
      <c r="AKH9" s="5"/>
      <c r="AKI9" s="5"/>
      <c r="AKJ9" s="5"/>
      <c r="AKK9" s="5"/>
      <c r="AKL9" s="5"/>
      <c r="AKM9" s="5"/>
      <c r="AKN9" s="5"/>
      <c r="AKO9" s="5"/>
      <c r="AKP9" s="5"/>
      <c r="AKQ9" s="5"/>
      <c r="AKR9" s="5"/>
      <c r="AKS9" s="5"/>
      <c r="AKT9" s="5"/>
      <c r="AKU9" s="5"/>
      <c r="AKV9" s="5"/>
      <c r="AKW9" s="5"/>
      <c r="AKX9" s="5"/>
      <c r="AKY9" s="5"/>
      <c r="AKZ9" s="5"/>
      <c r="ALA9" s="5"/>
      <c r="ALB9" s="5"/>
      <c r="ALC9" s="5"/>
      <c r="ALD9" s="5"/>
      <c r="ALE9" s="5"/>
      <c r="ALF9" s="5"/>
      <c r="ALG9" s="5"/>
      <c r="ALH9" s="5"/>
      <c r="ALI9" s="5"/>
      <c r="ALJ9" s="5"/>
      <c r="ALK9" s="5"/>
      <c r="ALL9" s="5"/>
      <c r="ALM9" s="5"/>
      <c r="ALN9" s="5"/>
      <c r="ALO9" s="5"/>
      <c r="ALP9" s="5"/>
      <c r="ALQ9" s="5"/>
      <c r="ALR9" s="5"/>
      <c r="ALS9" s="5"/>
      <c r="ALT9" s="5"/>
      <c r="ALU9" s="5"/>
      <c r="ALV9" s="5"/>
      <c r="ALW9" s="5"/>
      <c r="ALX9" s="5"/>
      <c r="ALY9" s="5"/>
      <c r="ALZ9" s="5"/>
      <c r="AMA9" s="5"/>
      <c r="AMB9" s="5"/>
      <c r="AMC9" s="5"/>
      <c r="AMD9" s="5"/>
      <c r="AME9" s="5"/>
      <c r="AMF9" s="5"/>
      <c r="AMG9" s="5"/>
      <c r="AMH9" s="5"/>
      <c r="AMI9" s="5"/>
      <c r="AMJ9" s="5"/>
      <c r="AMK9" s="5"/>
      <c r="AML9" s="5"/>
      <c r="AMM9" s="5"/>
      <c r="AMN9" s="5"/>
      <c r="AMO9" s="5"/>
      <c r="AMP9" s="5"/>
      <c r="AMQ9" s="5"/>
      <c r="AMR9" s="5"/>
      <c r="AMS9" s="5"/>
      <c r="AMT9" s="5"/>
      <c r="AMU9" s="5"/>
      <c r="AMV9" s="5"/>
      <c r="AMW9" s="5"/>
      <c r="AMX9" s="5"/>
      <c r="AMY9" s="5"/>
      <c r="AMZ9" s="5"/>
      <c r="ANA9" s="5"/>
      <c r="ANB9" s="5"/>
      <c r="ANC9" s="5"/>
      <c r="AND9" s="5"/>
      <c r="ANE9" s="5"/>
      <c r="ANF9" s="5"/>
      <c r="ANG9" s="5"/>
      <c r="ANH9" s="5"/>
      <c r="ANI9" s="5"/>
      <c r="ANJ9" s="5"/>
      <c r="ANK9" s="5"/>
      <c r="ANL9" s="5"/>
      <c r="ANM9" s="5"/>
      <c r="ANN9" s="5"/>
      <c r="ANO9" s="5"/>
      <c r="ANP9" s="5"/>
      <c r="ANQ9" s="5"/>
      <c r="ANR9" s="5"/>
      <c r="ANS9" s="5"/>
      <c r="ANT9" s="5"/>
      <c r="ANU9" s="5"/>
      <c r="ANV9" s="5"/>
      <c r="ANW9" s="5"/>
      <c r="ANX9" s="5"/>
      <c r="ANY9" s="5"/>
      <c r="ANZ9" s="5"/>
      <c r="AOA9" s="5"/>
      <c r="AOB9" s="5"/>
      <c r="AOC9" s="5"/>
      <c r="AOD9" s="5"/>
      <c r="AOE9" s="5"/>
      <c r="AOF9" s="5"/>
      <c r="AOG9" s="5"/>
      <c r="AOH9" s="5"/>
      <c r="AOI9" s="5"/>
      <c r="AOJ9" s="5"/>
      <c r="AOK9" s="5"/>
      <c r="AOL9" s="5"/>
      <c r="AOM9" s="5"/>
      <c r="AON9" s="5"/>
      <c r="AOO9" s="5"/>
      <c r="AOP9" s="5"/>
      <c r="AOQ9" s="5"/>
      <c r="AOR9" s="5"/>
      <c r="AOS9" s="5"/>
      <c r="AOT9" s="5"/>
      <c r="AOU9" s="5"/>
      <c r="AOV9" s="5"/>
      <c r="AOW9" s="5"/>
      <c r="AOX9" s="5"/>
      <c r="AOY9" s="5"/>
      <c r="AOZ9" s="5"/>
      <c r="APA9" s="5"/>
      <c r="APB9" s="5"/>
      <c r="APC9" s="5"/>
      <c r="APD9" s="5"/>
      <c r="APE9" s="5"/>
      <c r="APF9" s="5"/>
      <c r="APG9" s="5"/>
      <c r="APH9" s="5"/>
      <c r="API9" s="5"/>
      <c r="APJ9" s="5"/>
      <c r="APK9" s="5"/>
      <c r="APL9" s="5"/>
      <c r="APM9" s="5"/>
      <c r="APN9" s="5"/>
      <c r="APO9" s="5"/>
      <c r="APP9" s="5"/>
      <c r="APQ9" s="5"/>
      <c r="APR9" s="5"/>
      <c r="APS9" s="5"/>
      <c r="APT9" s="5"/>
      <c r="APU9" s="5"/>
      <c r="APV9" s="5"/>
      <c r="APW9" s="5"/>
      <c r="APX9" s="5"/>
      <c r="APY9" s="5"/>
      <c r="APZ9" s="5"/>
      <c r="AQA9" s="5"/>
      <c r="AQB9" s="5"/>
      <c r="AQC9" s="5"/>
      <c r="AQD9" s="5"/>
      <c r="AQE9" s="5"/>
      <c r="AQF9" s="5"/>
      <c r="AQG9" s="5"/>
      <c r="AQH9" s="5"/>
      <c r="AQI9" s="5"/>
      <c r="AQJ9" s="5"/>
      <c r="AQK9" s="5"/>
      <c r="AQL9" s="5"/>
      <c r="AQM9" s="5"/>
      <c r="AQN9" s="5"/>
      <c r="AQO9" s="5"/>
      <c r="AQP9" s="5"/>
      <c r="AQQ9" s="5"/>
      <c r="AQR9" s="5"/>
      <c r="AQS9" s="5"/>
      <c r="AQT9" s="5"/>
      <c r="AQU9" s="5"/>
      <c r="AQV9" s="5"/>
      <c r="AQW9" s="5"/>
      <c r="AQX9" s="5"/>
      <c r="AQY9" s="5"/>
      <c r="AQZ9" s="5"/>
      <c r="ARA9" s="5"/>
      <c r="ARB9" s="5"/>
      <c r="ARC9" s="5"/>
      <c r="ARD9" s="5"/>
      <c r="ARE9" s="5"/>
      <c r="ARF9" s="5"/>
      <c r="ARG9" s="5"/>
      <c r="ARH9" s="5"/>
      <c r="ARI9" s="5"/>
      <c r="ARJ9" s="5"/>
      <c r="ARK9" s="5"/>
      <c r="ARL9" s="5"/>
      <c r="ARM9" s="5"/>
      <c r="ARN9" s="5"/>
      <c r="ARO9" s="5"/>
      <c r="ARP9" s="5"/>
      <c r="ARQ9" s="5"/>
      <c r="ARR9" s="5"/>
      <c r="ARS9" s="5"/>
      <c r="ART9" s="5"/>
      <c r="ARU9" s="5"/>
      <c r="ARV9" s="5"/>
      <c r="ARW9" s="5"/>
      <c r="ARX9" s="5"/>
      <c r="ARY9" s="5"/>
      <c r="ARZ9" s="5"/>
      <c r="ASA9" s="5"/>
      <c r="ASB9" s="5"/>
      <c r="ASC9" s="5"/>
      <c r="ASD9" s="5"/>
      <c r="ASE9" s="5"/>
      <c r="ASF9" s="5"/>
      <c r="ASG9" s="5"/>
      <c r="ASH9" s="5"/>
      <c r="ASI9" s="5"/>
      <c r="ASJ9" s="5"/>
      <c r="ASK9" s="5"/>
      <c r="ASL9" s="5"/>
      <c r="ASM9" s="5"/>
      <c r="ASN9" s="5"/>
      <c r="ASO9" s="5"/>
      <c r="ASP9" s="5"/>
      <c r="ASQ9" s="5"/>
      <c r="ASR9" s="5"/>
      <c r="ASS9" s="5"/>
      <c r="AST9" s="5"/>
      <c r="ASU9" s="5"/>
      <c r="ASV9" s="5"/>
      <c r="ASW9" s="5"/>
      <c r="ASX9" s="5"/>
      <c r="ASY9" s="5"/>
      <c r="ASZ9" s="5"/>
      <c r="ATA9" s="5"/>
      <c r="ATB9" s="5"/>
      <c r="ATC9" s="5"/>
      <c r="ATD9" s="5"/>
      <c r="ATE9" s="5"/>
      <c r="ATF9" s="5"/>
      <c r="ATG9" s="5"/>
      <c r="ATH9" s="5"/>
      <c r="ATI9" s="5"/>
      <c r="ATJ9" s="5"/>
      <c r="ATK9" s="5"/>
      <c r="ATL9" s="5"/>
      <c r="ATM9" s="5"/>
      <c r="ATN9" s="5"/>
      <c r="ATO9" s="5"/>
      <c r="ATP9" s="5"/>
      <c r="ATQ9" s="5"/>
      <c r="ATR9" s="5"/>
      <c r="ATS9" s="5"/>
      <c r="ATT9" s="5"/>
      <c r="ATU9" s="5"/>
      <c r="ATV9" s="5"/>
      <c r="ATW9" s="5"/>
      <c r="ATX9" s="5"/>
      <c r="ATY9" s="5"/>
      <c r="ATZ9" s="5"/>
      <c r="AUA9" s="5"/>
      <c r="AUB9" s="5"/>
      <c r="AUC9" s="5"/>
      <c r="AUD9" s="5"/>
      <c r="AUE9" s="5"/>
      <c r="AUF9" s="5"/>
      <c r="AUG9" s="5"/>
      <c r="AUH9" s="5"/>
      <c r="AUI9" s="5"/>
      <c r="AUJ9" s="5"/>
      <c r="AUK9" s="5"/>
      <c r="AUL9" s="5"/>
      <c r="AUM9" s="5"/>
      <c r="AUN9" s="5"/>
      <c r="AUO9" s="5"/>
      <c r="AUP9" s="5"/>
      <c r="AUQ9" s="5"/>
      <c r="AUR9" s="5"/>
      <c r="AUS9" s="5"/>
      <c r="AUT9" s="5"/>
      <c r="AUU9" s="5"/>
      <c r="AUV9" s="5"/>
      <c r="AUW9" s="5"/>
      <c r="AUX9" s="5"/>
      <c r="AUY9" s="5"/>
      <c r="AUZ9" s="5"/>
      <c r="AVA9" s="5"/>
      <c r="AVB9" s="5"/>
      <c r="AVC9" s="5"/>
      <c r="AVD9" s="5"/>
      <c r="AVE9" s="5"/>
      <c r="AVF9" s="5"/>
      <c r="AVG9" s="5"/>
      <c r="AVH9" s="5"/>
      <c r="AVI9" s="5"/>
      <c r="AVJ9" s="5"/>
      <c r="AVK9" s="5"/>
      <c r="AVL9" s="5"/>
      <c r="AVM9" s="5"/>
      <c r="AVN9" s="5"/>
      <c r="AVO9" s="5"/>
      <c r="AVP9" s="5"/>
      <c r="AVQ9" s="5"/>
      <c r="AVR9" s="5"/>
      <c r="AVS9" s="5"/>
      <c r="AVT9" s="5"/>
      <c r="AVU9" s="5"/>
      <c r="AVV9" s="5"/>
      <c r="AVW9" s="5"/>
      <c r="AVX9" s="5"/>
      <c r="AVY9" s="5"/>
      <c r="AVZ9" s="5"/>
      <c r="AWA9" s="5"/>
      <c r="AWB9" s="5"/>
      <c r="AWC9" s="5"/>
      <c r="AWD9" s="5"/>
      <c r="AWE9" s="5"/>
      <c r="AWF9" s="5"/>
      <c r="AWG9" s="5"/>
      <c r="AWH9" s="5"/>
      <c r="AWI9" s="5"/>
      <c r="AWJ9" s="5"/>
      <c r="AWK9" s="5"/>
      <c r="AWL9" s="5"/>
      <c r="AWM9" s="5"/>
      <c r="AWN9" s="5"/>
      <c r="AWO9" s="5"/>
      <c r="AWP9" s="5"/>
      <c r="AWQ9" s="5"/>
      <c r="AWR9" s="5"/>
      <c r="AWS9" s="5"/>
      <c r="AWT9" s="5"/>
      <c r="AWU9" s="5"/>
      <c r="AWV9" s="5"/>
      <c r="AWW9" s="5"/>
      <c r="AWX9" s="5"/>
      <c r="AWY9" s="5"/>
      <c r="AWZ9" s="5"/>
      <c r="AXA9" s="5"/>
      <c r="AXB9" s="5"/>
      <c r="AXC9" s="5"/>
      <c r="AXD9" s="5"/>
      <c r="AXE9" s="5"/>
      <c r="AXF9" s="5"/>
      <c r="AXG9" s="5"/>
      <c r="AXH9" s="5"/>
      <c r="AXI9" s="5"/>
      <c r="AXJ9" s="5"/>
      <c r="AXK9" s="5"/>
      <c r="AXL9" s="5"/>
      <c r="AXM9" s="5"/>
      <c r="AXN9" s="5"/>
      <c r="AXO9" s="5"/>
      <c r="AXP9" s="5"/>
      <c r="AXQ9" s="5"/>
      <c r="AXR9" s="5"/>
      <c r="AXS9" s="5"/>
      <c r="AXT9" s="5"/>
      <c r="AXU9" s="5"/>
      <c r="AXV9" s="5"/>
      <c r="AXW9" s="5"/>
      <c r="AXX9" s="5"/>
      <c r="AXY9" s="5"/>
      <c r="AXZ9" s="5"/>
      <c r="AYA9" s="5"/>
      <c r="AYB9" s="5"/>
      <c r="AYC9" s="5"/>
      <c r="AYD9" s="5"/>
      <c r="AYE9" s="5"/>
      <c r="AYF9" s="5"/>
      <c r="AYG9" s="5"/>
      <c r="AYH9" s="5"/>
      <c r="AYI9" s="5"/>
      <c r="AYJ9" s="5"/>
      <c r="AYK9" s="5"/>
      <c r="AYL9" s="5"/>
      <c r="AYM9" s="5"/>
      <c r="AYN9" s="5"/>
      <c r="AYO9" s="5"/>
      <c r="AYP9" s="5"/>
      <c r="AYQ9" s="5"/>
      <c r="AYR9" s="5"/>
      <c r="AYS9" s="5"/>
      <c r="AYT9" s="5"/>
      <c r="AYU9" s="5"/>
      <c r="AYV9" s="5"/>
      <c r="AYW9" s="5"/>
      <c r="AYX9" s="5"/>
      <c r="AYY9" s="5"/>
      <c r="AYZ9" s="5"/>
      <c r="AZA9" s="5"/>
      <c r="AZB9" s="5"/>
      <c r="AZC9" s="5"/>
      <c r="AZD9" s="5"/>
      <c r="AZE9" s="5"/>
      <c r="AZF9" s="5"/>
      <c r="AZG9" s="5"/>
      <c r="AZH9" s="5"/>
      <c r="AZI9" s="5"/>
      <c r="AZJ9" s="5"/>
      <c r="AZK9" s="5"/>
      <c r="AZL9" s="5"/>
      <c r="AZM9" s="5"/>
      <c r="AZN9" s="5"/>
      <c r="AZO9" s="5"/>
      <c r="AZP9" s="5"/>
      <c r="AZQ9" s="5"/>
      <c r="AZR9" s="5"/>
      <c r="AZS9" s="5"/>
      <c r="AZT9" s="5"/>
      <c r="AZU9" s="5"/>
      <c r="AZV9" s="5"/>
      <c r="AZW9" s="5"/>
      <c r="AZX9" s="5"/>
      <c r="AZY9" s="5"/>
      <c r="AZZ9" s="5"/>
      <c r="BAA9" s="5"/>
      <c r="BAB9" s="5"/>
      <c r="BAC9" s="5"/>
      <c r="BAD9" s="5"/>
      <c r="BAE9" s="5"/>
      <c r="BAF9" s="5"/>
      <c r="BAG9" s="5"/>
      <c r="BAH9" s="5"/>
      <c r="BAI9" s="5"/>
      <c r="BAJ9" s="5"/>
      <c r="BAK9" s="5"/>
      <c r="BAL9" s="5"/>
      <c r="BAM9" s="5"/>
      <c r="BAN9" s="5"/>
      <c r="BAO9" s="5"/>
      <c r="BAP9" s="5"/>
      <c r="BAQ9" s="5"/>
      <c r="BAR9" s="5"/>
      <c r="BAS9" s="5"/>
      <c r="BAT9" s="5"/>
      <c r="BAU9" s="5"/>
      <c r="BAV9" s="5"/>
      <c r="BAW9" s="5"/>
      <c r="BAX9" s="5"/>
      <c r="BAY9" s="5"/>
      <c r="BAZ9" s="5"/>
      <c r="BBA9" s="5"/>
      <c r="BBB9" s="5"/>
      <c r="BBC9" s="5"/>
      <c r="BBD9" s="5"/>
      <c r="BBE9" s="5"/>
      <c r="BBF9" s="5"/>
      <c r="BBG9" s="5"/>
      <c r="BBH9" s="5"/>
      <c r="BBI9" s="5"/>
      <c r="BBJ9" s="5"/>
      <c r="BBK9" s="5"/>
      <c r="BBL9" s="5"/>
      <c r="BBM9" s="5"/>
      <c r="BBN9" s="5"/>
      <c r="BBO9" s="5"/>
      <c r="BBP9" s="5"/>
      <c r="BBQ9" s="5"/>
      <c r="BBR9" s="5"/>
      <c r="BBS9" s="5"/>
      <c r="BBT9" s="5"/>
      <c r="BBU9" s="5"/>
      <c r="BBV9" s="5"/>
      <c r="BBW9" s="5"/>
      <c r="BBX9" s="5"/>
      <c r="BBY9" s="5"/>
      <c r="BBZ9" s="5"/>
      <c r="BCA9" s="5"/>
      <c r="BCB9" s="5"/>
      <c r="BCC9" s="5"/>
      <c r="BCD9" s="5"/>
      <c r="BCE9" s="5"/>
      <c r="BCF9" s="5"/>
      <c r="BCG9" s="5"/>
      <c r="BCH9" s="5"/>
      <c r="BCI9" s="5"/>
      <c r="BCJ9" s="5"/>
      <c r="BCK9" s="5"/>
      <c r="BCL9" s="5"/>
      <c r="BCM9" s="5"/>
      <c r="BCN9" s="5"/>
      <c r="BCO9" s="5"/>
      <c r="BCP9" s="5"/>
      <c r="BCQ9" s="5"/>
      <c r="BCR9" s="5"/>
      <c r="BCS9" s="5"/>
      <c r="BCT9" s="5"/>
      <c r="BCU9" s="5"/>
      <c r="BCV9" s="5"/>
      <c r="BCW9" s="5"/>
      <c r="BCX9" s="5"/>
      <c r="BCY9" s="5"/>
      <c r="BCZ9" s="5"/>
      <c r="BDA9" s="5"/>
      <c r="BDB9" s="5"/>
      <c r="BDC9" s="5"/>
      <c r="BDD9" s="5"/>
      <c r="BDE9" s="5"/>
      <c r="BDF9" s="5"/>
      <c r="BDG9" s="5"/>
      <c r="BDH9" s="5"/>
      <c r="BDI9" s="5"/>
      <c r="BDJ9" s="5"/>
      <c r="BDK9" s="5"/>
      <c r="BDL9" s="5"/>
      <c r="BDM9" s="5"/>
      <c r="BDN9" s="5"/>
      <c r="BDO9" s="5"/>
      <c r="BDP9" s="5"/>
      <c r="BDQ9" s="5"/>
      <c r="BDR9" s="5"/>
      <c r="BDS9" s="5"/>
      <c r="BDT9" s="5"/>
      <c r="BDU9" s="5"/>
      <c r="BDV9" s="5"/>
      <c r="BDW9" s="5"/>
      <c r="BDX9" s="5"/>
      <c r="BDY9" s="5"/>
      <c r="BDZ9" s="5"/>
      <c r="BEA9" s="5"/>
      <c r="BEB9" s="5"/>
      <c r="BEC9" s="5"/>
      <c r="BED9" s="5"/>
      <c r="BEE9" s="5"/>
      <c r="BEF9" s="5"/>
      <c r="BEG9" s="5"/>
      <c r="BEH9" s="5"/>
      <c r="BEI9" s="5"/>
      <c r="BEJ9" s="5"/>
      <c r="BEK9" s="5"/>
      <c r="BEL9" s="5"/>
      <c r="BEM9" s="5"/>
      <c r="BEN9" s="5"/>
      <c r="BEO9" s="5"/>
      <c r="BEP9" s="5"/>
      <c r="BEQ9" s="5"/>
      <c r="BER9" s="5"/>
      <c r="BES9" s="5"/>
      <c r="BET9" s="5"/>
      <c r="BEU9" s="5"/>
      <c r="BEV9" s="5"/>
      <c r="BEW9" s="5"/>
      <c r="BEX9" s="5"/>
      <c r="BEY9" s="5"/>
      <c r="BEZ9" s="5"/>
      <c r="BFA9" s="5"/>
      <c r="BFB9" s="5"/>
      <c r="BFC9" s="5"/>
      <c r="BFD9" s="5"/>
      <c r="BFE9" s="5"/>
      <c r="BFF9" s="5"/>
      <c r="BFG9" s="5"/>
      <c r="BFH9" s="5"/>
      <c r="BFI9" s="5"/>
      <c r="BFJ9" s="5"/>
      <c r="BFK9" s="5"/>
      <c r="BFL9" s="5"/>
      <c r="BFM9" s="5"/>
      <c r="BFN9" s="5"/>
      <c r="BFO9" s="5"/>
      <c r="BFP9" s="5"/>
      <c r="BFQ9" s="5"/>
      <c r="BFR9" s="5"/>
      <c r="BFS9" s="5"/>
      <c r="BFT9" s="5"/>
      <c r="BFU9" s="5"/>
      <c r="BFV9" s="5"/>
      <c r="BFW9" s="5"/>
      <c r="BFX9" s="5"/>
      <c r="BFY9" s="5"/>
      <c r="BFZ9" s="5"/>
      <c r="BGA9" s="5"/>
      <c r="BGB9" s="5"/>
      <c r="BGC9" s="5"/>
      <c r="BGD9" s="5"/>
      <c r="BGE9" s="5"/>
      <c r="BGF9" s="5"/>
      <c r="BGG9" s="5"/>
      <c r="BGH9" s="5"/>
      <c r="BGI9" s="5"/>
      <c r="BGJ9" s="5"/>
      <c r="BGK9" s="5"/>
      <c r="BGL9" s="5"/>
      <c r="BGM9" s="5"/>
      <c r="BGN9" s="5"/>
      <c r="BGO9" s="5"/>
      <c r="BGP9" s="5"/>
      <c r="BGQ9" s="5"/>
      <c r="BGR9" s="5"/>
      <c r="BGS9" s="5"/>
      <c r="BGT9" s="5"/>
      <c r="BGU9" s="5"/>
      <c r="BGV9" s="5"/>
      <c r="BGW9" s="5"/>
      <c r="BGX9" s="5"/>
      <c r="BGY9" s="5"/>
      <c r="BGZ9" s="5"/>
      <c r="BHA9" s="5"/>
      <c r="BHB9" s="5"/>
      <c r="BHC9" s="5"/>
      <c r="BHD9" s="5"/>
      <c r="BHE9" s="5"/>
      <c r="BHF9" s="5"/>
      <c r="BHG9" s="5"/>
      <c r="BHH9" s="5"/>
      <c r="BHI9" s="5"/>
      <c r="BHJ9" s="5"/>
      <c r="BHK9" s="5"/>
      <c r="BHL9" s="5"/>
      <c r="BHM9" s="5"/>
      <c r="BHN9" s="5"/>
      <c r="BHO9" s="5"/>
      <c r="BHP9" s="5"/>
      <c r="BHQ9" s="5"/>
      <c r="BHR9" s="5"/>
      <c r="BHS9" s="5"/>
      <c r="BHT9" s="5"/>
      <c r="BHU9" s="5"/>
      <c r="BHV9" s="5"/>
      <c r="BHW9" s="5"/>
      <c r="BHX9" s="5"/>
      <c r="BHY9" s="5"/>
      <c r="BHZ9" s="5"/>
      <c r="BIA9" s="5"/>
      <c r="BIB9" s="5"/>
      <c r="BIC9" s="5"/>
      <c r="BID9" s="5"/>
      <c r="BIE9" s="5"/>
      <c r="BIF9" s="5"/>
      <c r="BIG9" s="5"/>
      <c r="BIH9" s="5"/>
      <c r="BII9" s="5"/>
      <c r="BIJ9" s="5"/>
      <c r="BIK9" s="5"/>
      <c r="BIL9" s="5"/>
      <c r="BIM9" s="5"/>
      <c r="BIN9" s="5"/>
      <c r="BIO9" s="5"/>
      <c r="BIP9" s="5"/>
      <c r="BIQ9" s="5"/>
      <c r="BIR9" s="5"/>
      <c r="BIS9" s="5"/>
      <c r="BIT9" s="5"/>
      <c r="BIU9" s="5"/>
      <c r="BIV9" s="5"/>
      <c r="BIW9" s="5"/>
      <c r="BIX9" s="5"/>
      <c r="BIY9" s="5"/>
      <c r="BIZ9" s="5"/>
      <c r="BJA9" s="5"/>
      <c r="BJB9" s="5"/>
      <c r="BJC9" s="5"/>
      <c r="BJD9" s="5"/>
      <c r="BJE9" s="5"/>
      <c r="BJF9" s="5"/>
      <c r="BJG9" s="5"/>
      <c r="BJH9" s="5"/>
      <c r="BJI9" s="5"/>
      <c r="BJJ9" s="5"/>
      <c r="BJK9" s="5"/>
      <c r="BJL9" s="5"/>
      <c r="BJM9" s="5"/>
      <c r="BJN9" s="5"/>
      <c r="BJO9" s="5"/>
      <c r="BJP9" s="5"/>
      <c r="BJQ9" s="5"/>
      <c r="BJR9" s="5"/>
      <c r="BJS9" s="5"/>
      <c r="BJT9" s="5"/>
      <c r="BJU9" s="5"/>
      <c r="BJV9" s="5"/>
      <c r="BJW9" s="5"/>
      <c r="BJX9" s="5"/>
      <c r="BJY9" s="5"/>
      <c r="BJZ9" s="5"/>
      <c r="BKA9" s="5"/>
      <c r="BKB9" s="5"/>
      <c r="BKC9" s="5"/>
      <c r="BKD9" s="5"/>
      <c r="BKE9" s="5"/>
      <c r="BKF9" s="5"/>
      <c r="BKG9" s="5"/>
      <c r="BKH9" s="5"/>
      <c r="BKI9" s="5"/>
      <c r="BKJ9" s="5"/>
      <c r="BKK9" s="5"/>
      <c r="BKL9" s="5"/>
      <c r="BKM9" s="5"/>
      <c r="BKN9" s="5"/>
      <c r="BKO9" s="5"/>
      <c r="BKP9" s="5"/>
      <c r="BKQ9" s="5"/>
      <c r="BKR9" s="5"/>
      <c r="BKS9" s="5"/>
      <c r="BKT9" s="5"/>
      <c r="BKU9" s="5"/>
      <c r="BKV9" s="5"/>
      <c r="BKW9" s="5"/>
      <c r="BKX9" s="5"/>
      <c r="BKY9" s="5"/>
      <c r="BKZ9" s="5"/>
      <c r="BLA9" s="5"/>
      <c r="BLB9" s="5"/>
      <c r="BLC9" s="5"/>
      <c r="BLD9" s="5"/>
      <c r="BLE9" s="5"/>
      <c r="BLF9" s="5"/>
      <c r="BLG9" s="5"/>
      <c r="BLH9" s="5"/>
      <c r="BLI9" s="5"/>
      <c r="BLJ9" s="5"/>
      <c r="BLK9" s="5"/>
      <c r="BLL9" s="5"/>
      <c r="BLM9" s="5"/>
      <c r="BLN9" s="5"/>
      <c r="BLO9" s="5"/>
      <c r="BLP9" s="5"/>
      <c r="BLQ9" s="5"/>
      <c r="BLR9" s="5"/>
      <c r="BLS9" s="5"/>
      <c r="BLT9" s="5"/>
      <c r="BLU9" s="5"/>
      <c r="BLV9" s="5"/>
      <c r="BLW9" s="5"/>
      <c r="BLX9" s="5"/>
      <c r="BLY9" s="5"/>
      <c r="BLZ9" s="5"/>
      <c r="BMA9" s="5"/>
      <c r="BMB9" s="5"/>
      <c r="BMC9" s="5"/>
      <c r="BMD9" s="5"/>
      <c r="BME9" s="5"/>
      <c r="BMF9" s="5"/>
      <c r="BMG9" s="5"/>
      <c r="BMH9" s="5"/>
      <c r="BMI9" s="5"/>
      <c r="BMJ9" s="5"/>
      <c r="BMK9" s="5"/>
      <c r="BML9" s="5"/>
      <c r="BMM9" s="5"/>
      <c r="BMN9" s="5"/>
      <c r="BMO9" s="5"/>
      <c r="BMP9" s="5"/>
      <c r="BMQ9" s="5"/>
      <c r="BMR9" s="5"/>
      <c r="BMS9" s="5"/>
      <c r="BMT9" s="5"/>
      <c r="BMU9" s="5"/>
      <c r="BMV9" s="5"/>
      <c r="BMW9" s="5"/>
      <c r="BMX9" s="5"/>
      <c r="BMY9" s="5"/>
      <c r="BMZ9" s="5"/>
      <c r="BNA9" s="5"/>
      <c r="BNB9" s="5"/>
      <c r="BNC9" s="5"/>
      <c r="BND9" s="5"/>
      <c r="BNE9" s="5"/>
      <c r="BNF9" s="5"/>
      <c r="BNG9" s="5"/>
      <c r="BNH9" s="5"/>
      <c r="BNI9" s="5"/>
      <c r="BNJ9" s="5"/>
      <c r="BNK9" s="5"/>
      <c r="BNL9" s="5"/>
      <c r="BNM9" s="5"/>
      <c r="BNN9" s="5"/>
      <c r="BNO9" s="5"/>
      <c r="BNP9" s="5"/>
      <c r="BNQ9" s="5"/>
      <c r="BNR9" s="5"/>
      <c r="BNS9" s="5"/>
      <c r="BNT9" s="5"/>
      <c r="BNU9" s="5"/>
      <c r="BNV9" s="5"/>
      <c r="BNW9" s="5"/>
      <c r="BNX9" s="5"/>
      <c r="BNY9" s="5"/>
      <c r="BNZ9" s="5"/>
      <c r="BOA9" s="5"/>
      <c r="BOB9" s="5"/>
      <c r="BOC9" s="5"/>
      <c r="BOD9" s="5"/>
      <c r="BOE9" s="5"/>
      <c r="BOF9" s="5"/>
      <c r="BOG9" s="5"/>
      <c r="BOH9" s="5"/>
      <c r="BOI9" s="5"/>
      <c r="BOJ9" s="5"/>
      <c r="BOK9" s="5"/>
      <c r="BOL9" s="5"/>
      <c r="BOM9" s="5"/>
      <c r="BON9" s="5"/>
      <c r="BOO9" s="5"/>
      <c r="BOP9" s="5"/>
      <c r="BOQ9" s="5"/>
      <c r="BOR9" s="5"/>
      <c r="BOS9" s="5"/>
      <c r="BOT9" s="5"/>
      <c r="BOU9" s="5"/>
      <c r="BOV9" s="5"/>
      <c r="BOW9" s="5"/>
      <c r="BOX9" s="5"/>
      <c r="BOY9" s="5"/>
      <c r="BOZ9" s="5"/>
      <c r="BPA9" s="5"/>
      <c r="BPB9" s="5"/>
      <c r="BPC9" s="5"/>
      <c r="BPD9" s="5"/>
      <c r="BPE9" s="5"/>
      <c r="BPF9" s="5"/>
      <c r="BPG9" s="5"/>
      <c r="BPH9" s="5"/>
      <c r="BPI9" s="5"/>
      <c r="BPJ9" s="5"/>
      <c r="BPK9" s="5"/>
      <c r="BPL9" s="5"/>
      <c r="BPM9" s="5"/>
      <c r="BPN9" s="5"/>
      <c r="BPO9" s="5"/>
      <c r="BPP9" s="5"/>
      <c r="BPQ9" s="5"/>
      <c r="BPR9" s="5"/>
      <c r="BPS9" s="5"/>
      <c r="BPT9" s="5"/>
      <c r="BPU9" s="5"/>
      <c r="BPV9" s="5"/>
      <c r="BPW9" s="5"/>
      <c r="BPX9" s="5"/>
      <c r="BPY9" s="5"/>
      <c r="BPZ9" s="5"/>
      <c r="BQA9" s="5"/>
      <c r="BQB9" s="5"/>
      <c r="BQC9" s="5"/>
      <c r="BQD9" s="5"/>
      <c r="BQE9" s="5"/>
      <c r="BQF9" s="5"/>
      <c r="BQG9" s="5"/>
      <c r="BQH9" s="5"/>
      <c r="BQI9" s="5"/>
      <c r="BQJ9" s="5"/>
      <c r="BQK9" s="5"/>
      <c r="BQL9" s="5"/>
      <c r="BQM9" s="5"/>
      <c r="BQN9" s="5"/>
      <c r="BQO9" s="5"/>
      <c r="BQP9" s="5"/>
      <c r="BQQ9" s="5"/>
      <c r="BQR9" s="5"/>
      <c r="BQS9" s="5"/>
      <c r="BQT9" s="5"/>
      <c r="BQU9" s="5"/>
      <c r="BQV9" s="5"/>
      <c r="BQW9" s="5"/>
      <c r="BQX9" s="5"/>
      <c r="BQY9" s="5"/>
      <c r="BQZ9" s="5"/>
      <c r="BRA9" s="5"/>
      <c r="BRB9" s="5"/>
      <c r="BRC9" s="5"/>
      <c r="BRD9" s="5"/>
      <c r="BRE9" s="5"/>
      <c r="BRF9" s="5"/>
      <c r="BRG9" s="5"/>
      <c r="BRH9" s="5"/>
      <c r="BRI9" s="5"/>
      <c r="BRJ9" s="5"/>
      <c r="BRK9" s="5"/>
      <c r="BRL9" s="5"/>
      <c r="BRM9" s="5"/>
      <c r="BRN9" s="5"/>
      <c r="BRO9" s="5"/>
      <c r="BRP9" s="5"/>
      <c r="BRQ9" s="5"/>
      <c r="BRR9" s="5"/>
      <c r="BRS9" s="5"/>
      <c r="BRT9" s="5"/>
      <c r="BRU9" s="5"/>
      <c r="BRV9" s="5"/>
      <c r="BRW9" s="5"/>
      <c r="BRX9" s="5"/>
      <c r="BRY9" s="5"/>
      <c r="BRZ9" s="5"/>
      <c r="BSA9" s="5"/>
      <c r="BSB9" s="5"/>
      <c r="BSC9" s="5"/>
      <c r="BSD9" s="5"/>
      <c r="BSE9" s="5"/>
      <c r="BSF9" s="5"/>
      <c r="BSG9" s="5"/>
      <c r="BSH9" s="5"/>
      <c r="BSI9" s="5"/>
      <c r="BSJ9" s="5"/>
      <c r="BSK9" s="5"/>
      <c r="BSL9" s="5"/>
      <c r="BSM9" s="5"/>
      <c r="BSN9" s="5"/>
      <c r="BSO9" s="5"/>
      <c r="BSP9" s="5"/>
      <c r="BSQ9" s="5"/>
      <c r="BSR9" s="5"/>
      <c r="BSS9" s="5"/>
      <c r="BST9" s="5"/>
      <c r="BSU9" s="5"/>
      <c r="BSV9" s="5"/>
      <c r="BSW9" s="5"/>
      <c r="BSX9" s="5"/>
      <c r="BSY9" s="5"/>
      <c r="BSZ9" s="5"/>
      <c r="BTA9" s="5"/>
      <c r="BTB9" s="5"/>
      <c r="BTC9" s="5"/>
      <c r="BTD9" s="5"/>
      <c r="BTE9" s="5"/>
      <c r="BTF9" s="5"/>
      <c r="BTG9" s="5"/>
      <c r="BTH9" s="5"/>
      <c r="BTI9" s="5"/>
      <c r="BTJ9" s="5"/>
      <c r="BTK9" s="5"/>
      <c r="BTL9" s="5"/>
      <c r="BTM9" s="5"/>
      <c r="BTN9" s="5"/>
      <c r="BTO9" s="5"/>
      <c r="BTP9" s="5"/>
      <c r="BTQ9" s="5"/>
      <c r="BTR9" s="5"/>
      <c r="BTS9" s="5"/>
      <c r="BTT9" s="5"/>
      <c r="BTU9" s="5"/>
      <c r="BTV9" s="5"/>
      <c r="BTW9" s="5"/>
      <c r="BTX9" s="5"/>
      <c r="BTY9" s="5"/>
      <c r="BTZ9" s="5"/>
      <c r="BUA9" s="5"/>
      <c r="BUB9" s="5"/>
      <c r="BUC9" s="5"/>
      <c r="BUD9" s="5"/>
      <c r="BUE9" s="5"/>
      <c r="BUF9" s="5"/>
      <c r="BUG9" s="5"/>
      <c r="BUH9" s="5"/>
      <c r="BUI9" s="5"/>
      <c r="BUJ9" s="5"/>
      <c r="BUK9" s="5"/>
      <c r="BUL9" s="5"/>
      <c r="BUM9" s="5"/>
      <c r="BUN9" s="5"/>
      <c r="BUO9" s="5"/>
      <c r="BUP9" s="5"/>
      <c r="BUQ9" s="5"/>
      <c r="BUR9" s="5"/>
      <c r="BUS9" s="5"/>
      <c r="BUT9" s="5"/>
      <c r="BUU9" s="5"/>
      <c r="BUV9" s="5"/>
      <c r="BUW9" s="5"/>
      <c r="BUX9" s="5"/>
      <c r="BUY9" s="5"/>
      <c r="BUZ9" s="5"/>
      <c r="BVA9" s="5"/>
      <c r="BVB9" s="5"/>
      <c r="BVC9" s="5"/>
      <c r="BVD9" s="5"/>
      <c r="BVE9" s="5"/>
      <c r="BVF9" s="5"/>
      <c r="BVG9" s="5"/>
      <c r="BVH9" s="5"/>
      <c r="BVI9" s="5"/>
      <c r="BVJ9" s="5"/>
      <c r="BVK9" s="5"/>
      <c r="BVL9" s="5"/>
      <c r="BVM9" s="5"/>
      <c r="BVN9" s="5"/>
      <c r="BVO9" s="5"/>
      <c r="BVP9" s="5"/>
      <c r="BVQ9" s="5"/>
      <c r="BVR9" s="5"/>
      <c r="BVS9" s="5"/>
      <c r="BVT9" s="5"/>
      <c r="BVU9" s="5"/>
      <c r="BVV9" s="5"/>
      <c r="BVW9" s="5"/>
      <c r="BVX9" s="5"/>
      <c r="BVY9" s="5"/>
      <c r="BVZ9" s="5"/>
      <c r="BWA9" s="5"/>
      <c r="BWB9" s="5"/>
      <c r="BWC9" s="5"/>
      <c r="BWD9" s="5"/>
      <c r="BWE9" s="5"/>
      <c r="BWF9" s="5"/>
      <c r="BWG9" s="5"/>
      <c r="BWH9" s="5"/>
      <c r="BWI9" s="5"/>
      <c r="BWJ9" s="5"/>
      <c r="BWK9" s="5"/>
      <c r="BWL9" s="5"/>
      <c r="BWM9" s="5"/>
      <c r="BWN9" s="5"/>
      <c r="BWO9" s="5"/>
      <c r="BWP9" s="5"/>
      <c r="BWQ9" s="5"/>
      <c r="BWR9" s="5"/>
      <c r="BWS9" s="5"/>
      <c r="BWT9" s="5"/>
      <c r="BWU9" s="5"/>
      <c r="BWV9" s="5"/>
      <c r="BWW9" s="5"/>
      <c r="BWX9" s="5"/>
      <c r="BWY9" s="5"/>
      <c r="BWZ9" s="5"/>
      <c r="BXA9" s="5"/>
      <c r="BXB9" s="5"/>
      <c r="BXC9" s="5"/>
      <c r="BXD9" s="5"/>
      <c r="BXE9" s="5"/>
      <c r="BXF9" s="5"/>
      <c r="BXG9" s="5"/>
      <c r="BXH9" s="5"/>
      <c r="BXI9" s="5"/>
      <c r="BXJ9" s="5"/>
      <c r="BXK9" s="5"/>
      <c r="BXL9" s="5"/>
      <c r="BXM9" s="5"/>
      <c r="BXN9" s="5"/>
      <c r="BXO9" s="5"/>
      <c r="BXP9" s="5"/>
      <c r="BXQ9" s="5"/>
      <c r="BXR9" s="5"/>
      <c r="BXS9" s="5"/>
      <c r="BXT9" s="5"/>
      <c r="BXU9" s="5"/>
      <c r="BXV9" s="5"/>
      <c r="BXW9" s="5"/>
      <c r="BXX9" s="5"/>
      <c r="BXY9" s="5"/>
      <c r="BXZ9" s="5"/>
      <c r="BYA9" s="5"/>
      <c r="BYB9" s="5"/>
      <c r="BYC9" s="5"/>
      <c r="BYD9" s="5"/>
      <c r="BYE9" s="5"/>
      <c r="BYF9" s="5"/>
      <c r="BYG9" s="5"/>
      <c r="BYH9" s="5"/>
      <c r="BYI9" s="5"/>
      <c r="BYJ9" s="5"/>
      <c r="BYK9" s="5"/>
      <c r="BYL9" s="5"/>
      <c r="BYM9" s="5"/>
      <c r="BYN9" s="5"/>
      <c r="BYO9" s="5"/>
      <c r="BYP9" s="5"/>
      <c r="BYQ9" s="5"/>
      <c r="BYR9" s="5"/>
      <c r="BYS9" s="5"/>
      <c r="BYT9" s="5"/>
      <c r="BYU9" s="5"/>
      <c r="BYV9" s="5"/>
      <c r="BYW9" s="5"/>
      <c r="BYX9" s="5"/>
      <c r="BYY9" s="5"/>
      <c r="BYZ9" s="5"/>
      <c r="BZA9" s="5"/>
      <c r="BZB9" s="5"/>
      <c r="BZC9" s="5"/>
      <c r="BZD9" s="5"/>
      <c r="BZE9" s="5"/>
      <c r="BZF9" s="5"/>
      <c r="BZG9" s="5"/>
      <c r="BZH9" s="5"/>
      <c r="BZI9" s="5"/>
      <c r="BZJ9" s="5"/>
      <c r="BZK9" s="5"/>
      <c r="BZL9" s="5"/>
      <c r="BZM9" s="5"/>
      <c r="BZN9" s="5"/>
      <c r="BZO9" s="5"/>
      <c r="BZP9" s="5"/>
      <c r="BZQ9" s="5"/>
      <c r="BZR9" s="5"/>
      <c r="BZS9" s="5"/>
      <c r="BZT9" s="5"/>
      <c r="BZU9" s="5"/>
      <c r="BZV9" s="5"/>
      <c r="BZW9" s="5"/>
      <c r="BZX9" s="5"/>
      <c r="BZY9" s="5"/>
      <c r="BZZ9" s="5"/>
      <c r="CAA9" s="5"/>
      <c r="CAB9" s="5"/>
      <c r="CAC9" s="5"/>
      <c r="CAD9" s="5"/>
      <c r="CAE9" s="5"/>
      <c r="CAF9" s="5"/>
      <c r="CAG9" s="5"/>
      <c r="CAH9" s="5"/>
      <c r="CAI9" s="5"/>
      <c r="CAJ9" s="5"/>
      <c r="CAK9" s="5"/>
      <c r="CAL9" s="5"/>
      <c r="CAM9" s="5"/>
      <c r="CAN9" s="5"/>
      <c r="CAO9" s="5"/>
      <c r="CAP9" s="5"/>
      <c r="CAQ9" s="5"/>
      <c r="CAR9" s="5"/>
      <c r="CAS9" s="5"/>
      <c r="CAT9" s="5"/>
      <c r="CAU9" s="5"/>
      <c r="CAV9" s="5"/>
      <c r="CAW9" s="5"/>
      <c r="CAX9" s="5"/>
      <c r="CAY9" s="5"/>
      <c r="CAZ9" s="5"/>
      <c r="CBA9" s="5"/>
      <c r="CBB9" s="5"/>
      <c r="CBC9" s="5"/>
      <c r="CBD9" s="5"/>
      <c r="CBE9" s="5"/>
      <c r="CBF9" s="5"/>
      <c r="CBG9" s="5"/>
      <c r="CBH9" s="5"/>
      <c r="CBI9" s="5"/>
      <c r="CBJ9" s="5"/>
      <c r="CBK9" s="5"/>
      <c r="CBL9" s="5"/>
      <c r="CBM9" s="5"/>
      <c r="CBN9" s="5"/>
      <c r="CBO9" s="5"/>
      <c r="CBP9" s="5"/>
      <c r="CBQ9" s="5"/>
      <c r="CBR9" s="5"/>
      <c r="CBS9" s="5"/>
      <c r="CBT9" s="5"/>
      <c r="CBU9" s="5"/>
      <c r="CBV9" s="5"/>
      <c r="CBW9" s="5"/>
      <c r="CBX9" s="5"/>
      <c r="CBY9" s="5"/>
      <c r="CBZ9" s="5"/>
      <c r="CCA9" s="5"/>
      <c r="CCB9" s="5"/>
      <c r="CCC9" s="5"/>
      <c r="CCD9" s="5"/>
      <c r="CCE9" s="5"/>
      <c r="CCF9" s="5"/>
      <c r="CCG9" s="5"/>
      <c r="CCH9" s="5"/>
      <c r="CCI9" s="5"/>
      <c r="CCJ9" s="5"/>
      <c r="CCK9" s="5"/>
      <c r="CCL9" s="5"/>
      <c r="CCM9" s="5"/>
      <c r="CCN9" s="5"/>
      <c r="CCO9" s="5"/>
      <c r="CCP9" s="5"/>
      <c r="CCQ9" s="5"/>
      <c r="CCR9" s="5"/>
      <c r="CCS9" s="5"/>
      <c r="CCT9" s="5"/>
      <c r="CCU9" s="5"/>
      <c r="CCV9" s="5"/>
      <c r="CCW9" s="5"/>
      <c r="CCX9" s="5"/>
      <c r="CCY9" s="5"/>
      <c r="CCZ9" s="5"/>
      <c r="CDA9" s="5"/>
      <c r="CDB9" s="5"/>
      <c r="CDC9" s="5"/>
      <c r="CDD9" s="5"/>
      <c r="CDE9" s="5"/>
      <c r="CDF9" s="5"/>
      <c r="CDG9" s="5"/>
      <c r="CDH9" s="5"/>
      <c r="CDI9" s="5"/>
      <c r="CDJ9" s="5"/>
      <c r="CDK9" s="5"/>
      <c r="CDL9" s="5"/>
      <c r="CDM9" s="5"/>
      <c r="CDN9" s="5"/>
      <c r="CDO9" s="5"/>
      <c r="CDP9" s="5"/>
      <c r="CDQ9" s="5"/>
      <c r="CDR9" s="5"/>
      <c r="CDS9" s="5"/>
      <c r="CDT9" s="5"/>
      <c r="CDU9" s="5"/>
      <c r="CDV9" s="5"/>
      <c r="CDW9" s="5"/>
      <c r="CDX9" s="5"/>
      <c r="CDY9" s="5"/>
      <c r="CDZ9" s="5"/>
      <c r="CEA9" s="5"/>
      <c r="CEB9" s="5"/>
      <c r="CEC9" s="5"/>
      <c r="CED9" s="5"/>
      <c r="CEE9" s="5"/>
      <c r="CEF9" s="5"/>
      <c r="CEG9" s="5"/>
      <c r="CEH9" s="5"/>
      <c r="CEI9" s="5"/>
      <c r="CEJ9" s="5"/>
      <c r="CEK9" s="5"/>
      <c r="CEL9" s="5"/>
      <c r="CEM9" s="5"/>
      <c r="CEN9" s="5"/>
      <c r="CEO9" s="5"/>
      <c r="CEP9" s="5"/>
      <c r="CEQ9" s="5"/>
      <c r="CER9" s="5"/>
      <c r="CES9" s="5"/>
      <c r="CET9" s="5"/>
      <c r="CEU9" s="5"/>
      <c r="CEV9" s="5"/>
      <c r="CEW9" s="5"/>
      <c r="CEX9" s="5"/>
      <c r="CEY9" s="5"/>
      <c r="CEZ9" s="5"/>
      <c r="CFA9" s="5"/>
      <c r="CFB9" s="5"/>
      <c r="CFC9" s="5"/>
      <c r="CFD9" s="5"/>
      <c r="CFE9" s="5"/>
      <c r="CFF9" s="5"/>
      <c r="CFG9" s="5"/>
      <c r="CFH9" s="5"/>
      <c r="CFI9" s="5"/>
      <c r="CFJ9" s="5"/>
      <c r="CFK9" s="5"/>
      <c r="CFL9" s="5"/>
      <c r="CFM9" s="5"/>
      <c r="CFN9" s="5"/>
      <c r="CFO9" s="5"/>
      <c r="CFP9" s="5"/>
      <c r="CFQ9" s="5"/>
      <c r="CFR9" s="5"/>
      <c r="CFS9" s="5"/>
      <c r="CFT9" s="5"/>
      <c r="CFU9" s="5"/>
      <c r="CFV9" s="5"/>
      <c r="CFW9" s="5"/>
      <c r="CFX9" s="5"/>
      <c r="CFY9" s="5"/>
      <c r="CFZ9" s="5"/>
      <c r="CGA9" s="5"/>
      <c r="CGB9" s="5"/>
      <c r="CGC9" s="5"/>
      <c r="CGD9" s="5"/>
      <c r="CGE9" s="5"/>
      <c r="CGF9" s="5"/>
      <c r="CGG9" s="5"/>
      <c r="CGH9" s="5"/>
      <c r="CGI9" s="5"/>
      <c r="CGJ9" s="5"/>
      <c r="CGK9" s="5"/>
      <c r="CGL9" s="5"/>
      <c r="CGM9" s="5"/>
      <c r="CGN9" s="5"/>
      <c r="CGO9" s="5"/>
      <c r="CGP9" s="5"/>
      <c r="CGQ9" s="5"/>
      <c r="CGR9" s="5"/>
      <c r="CGS9" s="5"/>
      <c r="CGT9" s="5"/>
      <c r="CGU9" s="5"/>
      <c r="CGV9" s="5"/>
      <c r="CGW9" s="5"/>
      <c r="CGX9" s="5"/>
      <c r="CGY9" s="5"/>
      <c r="CGZ9" s="5"/>
      <c r="CHA9" s="5"/>
      <c r="CHB9" s="5"/>
      <c r="CHC9" s="5"/>
      <c r="CHD9" s="5"/>
      <c r="CHE9" s="5"/>
      <c r="CHF9" s="5"/>
      <c r="CHG9" s="5"/>
      <c r="CHH9" s="5"/>
      <c r="CHI9" s="5"/>
      <c r="CHJ9" s="5"/>
      <c r="CHK9" s="5"/>
      <c r="CHL9" s="5"/>
      <c r="CHM9" s="5"/>
      <c r="CHN9" s="5"/>
      <c r="CHO9" s="5"/>
      <c r="CHP9" s="5"/>
      <c r="CHQ9" s="5"/>
      <c r="CHR9" s="5"/>
      <c r="CHS9" s="5"/>
      <c r="CHT9" s="5"/>
      <c r="CHU9" s="5"/>
      <c r="CHV9" s="5"/>
      <c r="CHW9" s="5"/>
      <c r="CHX9" s="5"/>
      <c r="CHY9" s="5"/>
      <c r="CHZ9" s="5"/>
      <c r="CIA9" s="5"/>
      <c r="CIB9" s="5"/>
      <c r="CIC9" s="5"/>
      <c r="CID9" s="5"/>
      <c r="CIE9" s="5"/>
      <c r="CIF9" s="5"/>
      <c r="CIG9" s="5"/>
      <c r="CIH9" s="5"/>
      <c r="CII9" s="5"/>
      <c r="CIJ9" s="5"/>
      <c r="CIK9" s="5"/>
      <c r="CIL9" s="5"/>
      <c r="CIM9" s="5"/>
      <c r="CIN9" s="5"/>
      <c r="CIO9" s="5"/>
      <c r="CIP9" s="5"/>
      <c r="CIQ9" s="5"/>
      <c r="CIR9" s="5"/>
      <c r="CIS9" s="5"/>
      <c r="CIT9" s="5"/>
      <c r="CIU9" s="5"/>
      <c r="CIV9" s="5"/>
      <c r="CIW9" s="5"/>
      <c r="CIX9" s="5"/>
      <c r="CIY9" s="5"/>
      <c r="CIZ9" s="5"/>
      <c r="CJA9" s="5"/>
      <c r="CJB9" s="5"/>
      <c r="CJC9" s="5"/>
      <c r="CJD9" s="5"/>
      <c r="CJE9" s="5"/>
      <c r="CJF9" s="5"/>
      <c r="CJG9" s="5"/>
      <c r="CJH9" s="5"/>
      <c r="CJI9" s="5"/>
      <c r="CJJ9" s="5"/>
      <c r="CJK9" s="5"/>
      <c r="CJL9" s="5"/>
      <c r="CJM9" s="5"/>
      <c r="CJN9" s="5"/>
      <c r="CJO9" s="5"/>
      <c r="CJP9" s="5"/>
      <c r="CJQ9" s="5"/>
      <c r="CJR9" s="5"/>
      <c r="CJS9" s="5"/>
      <c r="CJT9" s="5"/>
      <c r="CJU9" s="5"/>
      <c r="CJV9" s="5"/>
      <c r="CJW9" s="5"/>
      <c r="CJX9" s="5"/>
      <c r="CJY9" s="5"/>
      <c r="CJZ9" s="5"/>
      <c r="CKA9" s="5"/>
      <c r="CKB9" s="5"/>
      <c r="CKC9" s="5"/>
      <c r="CKD9" s="5"/>
      <c r="CKE9" s="5"/>
      <c r="CKF9" s="5"/>
      <c r="CKG9" s="5"/>
      <c r="CKH9" s="5"/>
      <c r="CKI9" s="5"/>
      <c r="CKJ9" s="5"/>
      <c r="CKK9" s="5"/>
      <c r="CKL9" s="5"/>
      <c r="CKM9" s="5"/>
      <c r="CKN9" s="5"/>
      <c r="CKO9" s="5"/>
      <c r="CKP9" s="5"/>
      <c r="CKQ9" s="5"/>
      <c r="CKR9" s="5"/>
      <c r="CKS9" s="5"/>
      <c r="CKT9" s="5"/>
      <c r="CKU9" s="5"/>
      <c r="CKV9" s="5"/>
      <c r="CKW9" s="5"/>
      <c r="CKX9" s="5"/>
      <c r="CKY9" s="5"/>
      <c r="CKZ9" s="5"/>
      <c r="CLA9" s="5"/>
      <c r="CLB9" s="5"/>
      <c r="CLC9" s="5"/>
      <c r="CLD9" s="5"/>
      <c r="CLE9" s="5"/>
      <c r="CLF9" s="5"/>
      <c r="CLG9" s="5"/>
      <c r="CLH9" s="5"/>
      <c r="CLI9" s="5"/>
      <c r="CLJ9" s="5"/>
      <c r="CLK9" s="5"/>
      <c r="CLL9" s="5"/>
      <c r="CLM9" s="5"/>
      <c r="CLN9" s="5"/>
      <c r="CLO9" s="5"/>
      <c r="CLP9" s="5"/>
      <c r="CLQ9" s="5"/>
      <c r="CLR9" s="5"/>
      <c r="CLS9" s="5"/>
      <c r="CLT9" s="5"/>
      <c r="CLU9" s="5"/>
      <c r="CLV9" s="5"/>
      <c r="CLW9" s="5"/>
      <c r="CLX9" s="5"/>
      <c r="CLY9" s="5"/>
      <c r="CLZ9" s="5"/>
      <c r="CMA9" s="5"/>
      <c r="CMB9" s="5"/>
      <c r="CMC9" s="5"/>
      <c r="CMD9" s="5"/>
      <c r="CME9" s="5"/>
      <c r="CMF9" s="5"/>
      <c r="CMG9" s="5"/>
      <c r="CMH9" s="5"/>
      <c r="CMI9" s="5"/>
      <c r="CMJ9" s="5"/>
      <c r="CMK9" s="5"/>
      <c r="CML9" s="5"/>
      <c r="CMM9" s="5"/>
      <c r="CMN9" s="5"/>
      <c r="CMO9" s="5"/>
      <c r="CMP9" s="5"/>
      <c r="CMQ9" s="5"/>
      <c r="CMR9" s="5"/>
      <c r="CMS9" s="5"/>
      <c r="CMT9" s="5"/>
      <c r="CMU9" s="5"/>
      <c r="CMV9" s="5"/>
      <c r="CMW9" s="5"/>
      <c r="CMX9" s="5"/>
      <c r="CMY9" s="5"/>
      <c r="CMZ9" s="5"/>
      <c r="CNA9" s="5"/>
      <c r="CNB9" s="5"/>
      <c r="CNC9" s="5"/>
      <c r="CND9" s="5"/>
      <c r="CNE9" s="5"/>
      <c r="CNF9" s="5"/>
      <c r="CNG9" s="5"/>
      <c r="CNH9" s="5"/>
      <c r="CNI9" s="5"/>
      <c r="CNJ9" s="5"/>
      <c r="CNK9" s="5"/>
      <c r="CNL9" s="5"/>
      <c r="CNM9" s="5"/>
      <c r="CNN9" s="5"/>
      <c r="CNO9" s="5"/>
      <c r="CNP9" s="5"/>
      <c r="CNQ9" s="5"/>
      <c r="CNR9" s="5"/>
      <c r="CNS9" s="5"/>
      <c r="CNT9" s="5"/>
      <c r="CNU9" s="5"/>
      <c r="CNV9" s="5"/>
      <c r="CNW9" s="5"/>
      <c r="CNX9" s="5"/>
      <c r="CNY9" s="5"/>
      <c r="CNZ9" s="5"/>
      <c r="COA9" s="5"/>
      <c r="COB9" s="5"/>
      <c r="COC9" s="5"/>
      <c r="COD9" s="5"/>
      <c r="COE9" s="5"/>
      <c r="COF9" s="5"/>
      <c r="COG9" s="5"/>
      <c r="COH9" s="5"/>
      <c r="COI9" s="5"/>
      <c r="COJ9" s="5"/>
      <c r="COK9" s="5"/>
      <c r="COL9" s="5"/>
      <c r="COM9" s="5"/>
      <c r="CON9" s="5"/>
      <c r="COO9" s="5"/>
      <c r="COP9" s="5"/>
      <c r="COQ9" s="5"/>
      <c r="COR9" s="5"/>
      <c r="COS9" s="5"/>
      <c r="COT9" s="5"/>
      <c r="COU9" s="5"/>
      <c r="COV9" s="5"/>
      <c r="COW9" s="5"/>
      <c r="COX9" s="5"/>
      <c r="COY9" s="5"/>
      <c r="COZ9" s="5"/>
      <c r="CPA9" s="5"/>
      <c r="CPB9" s="5"/>
      <c r="CPC9" s="5"/>
      <c r="CPD9" s="5"/>
      <c r="CPE9" s="5"/>
      <c r="CPF9" s="5"/>
      <c r="CPG9" s="5"/>
      <c r="CPH9" s="5"/>
      <c r="CPI9" s="5"/>
      <c r="CPJ9" s="5"/>
      <c r="CPK9" s="5"/>
      <c r="CPL9" s="5"/>
      <c r="CPM9" s="5"/>
      <c r="CPN9" s="5"/>
      <c r="CPO9" s="5"/>
      <c r="CPP9" s="5"/>
      <c r="CPQ9" s="5"/>
      <c r="CPR9" s="5"/>
      <c r="CPS9" s="5"/>
      <c r="CPT9" s="5"/>
      <c r="CPU9" s="5"/>
      <c r="CPV9" s="5"/>
      <c r="CPW9" s="5"/>
      <c r="CPX9" s="5"/>
      <c r="CPY9" s="5"/>
      <c r="CPZ9" s="5"/>
      <c r="CQA9" s="5"/>
      <c r="CQB9" s="5"/>
      <c r="CQC9" s="5"/>
      <c r="CQD9" s="5"/>
      <c r="CQE9" s="5"/>
      <c r="CQF9" s="5"/>
      <c r="CQG9" s="5"/>
      <c r="CQH9" s="5"/>
      <c r="CQI9" s="5"/>
      <c r="CQJ9" s="5"/>
      <c r="CQK9" s="5"/>
      <c r="CQL9" s="5"/>
      <c r="CQM9" s="5"/>
      <c r="CQN9" s="5"/>
      <c r="CQO9" s="5"/>
      <c r="CQP9" s="5"/>
      <c r="CQQ9" s="5"/>
      <c r="CQR9" s="5"/>
      <c r="CQS9" s="5"/>
      <c r="CQT9" s="5"/>
      <c r="CQU9" s="5"/>
      <c r="CQV9" s="5"/>
      <c r="CQW9" s="5"/>
      <c r="CQX9" s="5"/>
      <c r="CQY9" s="5"/>
      <c r="CQZ9" s="5"/>
      <c r="CRA9" s="5"/>
      <c r="CRB9" s="5"/>
      <c r="CRC9" s="5"/>
      <c r="CRD9" s="5"/>
      <c r="CRE9" s="5"/>
      <c r="CRF9" s="5"/>
      <c r="CRG9" s="5"/>
      <c r="CRH9" s="5"/>
      <c r="CRI9" s="5"/>
      <c r="CRJ9" s="5"/>
      <c r="CRK9" s="5"/>
      <c r="CRL9" s="5"/>
      <c r="CRM9" s="5"/>
      <c r="CRN9" s="5"/>
      <c r="CRO9" s="5"/>
      <c r="CRP9" s="5"/>
      <c r="CRQ9" s="5"/>
      <c r="CRR9" s="5"/>
      <c r="CRS9" s="5"/>
      <c r="CRT9" s="5"/>
      <c r="CRU9" s="5"/>
      <c r="CRV9" s="5"/>
      <c r="CRW9" s="5"/>
      <c r="CRX9" s="5"/>
      <c r="CRY9" s="5"/>
      <c r="CRZ9" s="5"/>
      <c r="CSA9" s="5"/>
      <c r="CSB9" s="5"/>
      <c r="CSC9" s="5"/>
      <c r="CSD9" s="5"/>
      <c r="CSE9" s="5"/>
      <c r="CSF9" s="5"/>
      <c r="CSG9" s="5"/>
      <c r="CSH9" s="5"/>
      <c r="CSI9" s="5"/>
      <c r="CSJ9" s="5"/>
      <c r="CSK9" s="5"/>
      <c r="CSL9" s="5"/>
      <c r="CSM9" s="5"/>
      <c r="CSN9" s="5"/>
      <c r="CSO9" s="5"/>
      <c r="CSP9" s="5"/>
      <c r="CSQ9" s="5"/>
      <c r="CSR9" s="5"/>
      <c r="CSS9" s="5"/>
      <c r="CST9" s="5"/>
      <c r="CSU9" s="5"/>
      <c r="CSV9" s="5"/>
      <c r="CSW9" s="5"/>
      <c r="CSX9" s="5"/>
      <c r="CSY9" s="5"/>
      <c r="CSZ9" s="5"/>
      <c r="CTA9" s="5"/>
      <c r="CTB9" s="5"/>
      <c r="CTC9" s="5"/>
      <c r="CTD9" s="5"/>
      <c r="CTE9" s="5"/>
      <c r="CTF9" s="5"/>
      <c r="CTG9" s="5"/>
      <c r="CTH9" s="5"/>
      <c r="CTI9" s="5"/>
      <c r="CTJ9" s="5"/>
      <c r="CTK9" s="5"/>
      <c r="CTL9" s="5"/>
      <c r="CTM9" s="5"/>
      <c r="CTN9" s="5"/>
      <c r="CTO9" s="5"/>
      <c r="CTP9" s="5"/>
      <c r="CTQ9" s="5"/>
      <c r="CTR9" s="5"/>
      <c r="CTS9" s="5"/>
      <c r="CTT9" s="5"/>
      <c r="CTU9" s="5"/>
      <c r="CTV9" s="5"/>
      <c r="CTW9" s="5"/>
      <c r="CTX9" s="5"/>
      <c r="CTY9" s="5"/>
      <c r="CTZ9" s="5"/>
      <c r="CUA9" s="5"/>
      <c r="CUB9" s="5"/>
      <c r="CUC9" s="5"/>
      <c r="CUD9" s="5"/>
      <c r="CUE9" s="5"/>
      <c r="CUF9" s="5"/>
      <c r="CUG9" s="5"/>
      <c r="CUH9" s="5"/>
      <c r="CUI9" s="5"/>
      <c r="CUJ9" s="5"/>
      <c r="CUK9" s="5"/>
      <c r="CUL9" s="5"/>
      <c r="CUM9" s="5"/>
      <c r="CUN9" s="5"/>
      <c r="CUO9" s="5"/>
      <c r="CUP9" s="5"/>
      <c r="CUQ9" s="5"/>
      <c r="CUR9" s="5"/>
      <c r="CUS9" s="5"/>
      <c r="CUT9" s="5"/>
      <c r="CUU9" s="5"/>
      <c r="CUV9" s="5"/>
      <c r="CUW9" s="5"/>
      <c r="CUX9" s="5"/>
      <c r="CUY9" s="5"/>
      <c r="CUZ9" s="5"/>
      <c r="CVA9" s="5"/>
      <c r="CVB9" s="5"/>
      <c r="CVC9" s="5"/>
      <c r="CVD9" s="5"/>
      <c r="CVE9" s="5"/>
      <c r="CVF9" s="5"/>
      <c r="CVG9" s="5"/>
      <c r="CVH9" s="5"/>
      <c r="CVI9" s="5"/>
      <c r="CVJ9" s="5"/>
      <c r="CVK9" s="5"/>
      <c r="CVL9" s="5"/>
      <c r="CVM9" s="5"/>
      <c r="CVN9" s="5"/>
      <c r="CVO9" s="5"/>
      <c r="CVP9" s="5"/>
      <c r="CVQ9" s="5"/>
      <c r="CVR9" s="5"/>
      <c r="CVS9" s="5"/>
      <c r="CVT9" s="5"/>
      <c r="CVU9" s="5"/>
      <c r="CVV9" s="5"/>
      <c r="CVW9" s="5"/>
      <c r="CVX9" s="5"/>
      <c r="CVY9" s="5"/>
      <c r="CVZ9" s="5"/>
      <c r="CWA9" s="5"/>
      <c r="CWB9" s="5"/>
      <c r="CWC9" s="5"/>
      <c r="CWD9" s="5"/>
      <c r="CWE9" s="5"/>
      <c r="CWF9" s="5"/>
      <c r="CWG9" s="5"/>
      <c r="CWH9" s="5"/>
      <c r="CWI9" s="5"/>
      <c r="CWJ9" s="5"/>
      <c r="CWK9" s="5"/>
      <c r="CWL9" s="5"/>
      <c r="CWM9" s="5"/>
      <c r="CWN9" s="5"/>
      <c r="CWO9" s="5"/>
      <c r="CWP9" s="5"/>
      <c r="CWQ9" s="5"/>
      <c r="CWR9" s="5"/>
      <c r="CWS9" s="5"/>
      <c r="CWT9" s="5"/>
      <c r="CWU9" s="5"/>
      <c r="CWV9" s="5"/>
      <c r="CWW9" s="5"/>
      <c r="CWX9" s="5"/>
      <c r="CWY9" s="5"/>
      <c r="CWZ9" s="5"/>
      <c r="CXA9" s="5"/>
      <c r="CXB9" s="5"/>
      <c r="CXC9" s="5"/>
      <c r="CXD9" s="5"/>
      <c r="CXE9" s="5"/>
      <c r="CXF9" s="5"/>
      <c r="CXG9" s="5"/>
      <c r="CXH9" s="5"/>
      <c r="CXI9" s="5"/>
      <c r="CXJ9" s="5"/>
      <c r="CXK9" s="5"/>
      <c r="CXL9" s="5"/>
      <c r="CXM9" s="5"/>
      <c r="CXN9" s="5"/>
      <c r="CXO9" s="5"/>
      <c r="CXP9" s="5"/>
      <c r="CXQ9" s="5"/>
      <c r="CXR9" s="5"/>
      <c r="CXS9" s="5"/>
      <c r="CXT9" s="5"/>
      <c r="CXU9" s="5"/>
      <c r="CXV9" s="5"/>
      <c r="CXW9" s="5"/>
      <c r="CXX9" s="5"/>
      <c r="CXY9" s="5"/>
      <c r="CXZ9" s="5"/>
      <c r="CYA9" s="5"/>
      <c r="CYB9" s="5"/>
      <c r="CYC9" s="5"/>
      <c r="CYD9" s="5"/>
      <c r="CYE9" s="5"/>
      <c r="CYF9" s="5"/>
      <c r="CYG9" s="5"/>
      <c r="CYH9" s="5"/>
      <c r="CYI9" s="5"/>
      <c r="CYJ9" s="5"/>
      <c r="CYK9" s="5"/>
      <c r="CYL9" s="5"/>
      <c r="CYM9" s="5"/>
      <c r="CYN9" s="5"/>
      <c r="CYO9" s="5"/>
      <c r="CYP9" s="5"/>
      <c r="CYQ9" s="5"/>
      <c r="CYR9" s="5"/>
      <c r="CYS9" s="5"/>
      <c r="CYT9" s="5"/>
      <c r="CYU9" s="5"/>
      <c r="CYV9" s="5"/>
      <c r="CYW9" s="5"/>
      <c r="CYX9" s="5"/>
      <c r="CYY9" s="5"/>
      <c r="CYZ9" s="5"/>
      <c r="CZA9" s="5"/>
      <c r="CZB9" s="5"/>
      <c r="CZC9" s="5"/>
      <c r="CZD9" s="5"/>
      <c r="CZE9" s="5"/>
      <c r="CZF9" s="5"/>
      <c r="CZG9" s="5"/>
      <c r="CZH9" s="5"/>
      <c r="CZI9" s="5"/>
      <c r="CZJ9" s="5"/>
      <c r="CZK9" s="5"/>
      <c r="CZL9" s="5"/>
      <c r="CZM9" s="5"/>
      <c r="CZN9" s="5"/>
      <c r="CZO9" s="5"/>
      <c r="CZP9" s="5"/>
      <c r="CZQ9" s="5"/>
      <c r="CZR9" s="5"/>
      <c r="CZS9" s="5"/>
      <c r="CZT9" s="5"/>
      <c r="CZU9" s="5"/>
      <c r="CZV9" s="5"/>
      <c r="CZW9" s="5"/>
      <c r="CZX9" s="5"/>
      <c r="CZY9" s="5"/>
      <c r="CZZ9" s="5"/>
      <c r="DAA9" s="5"/>
      <c r="DAB9" s="5"/>
      <c r="DAC9" s="5"/>
      <c r="DAD9" s="5"/>
      <c r="DAE9" s="5"/>
      <c r="DAF9" s="5"/>
      <c r="DAG9" s="5"/>
      <c r="DAH9" s="5"/>
      <c r="DAI9" s="5"/>
      <c r="DAJ9" s="5"/>
      <c r="DAK9" s="5"/>
      <c r="DAL9" s="5"/>
      <c r="DAM9" s="5"/>
      <c r="DAN9" s="5"/>
      <c r="DAO9" s="5"/>
      <c r="DAP9" s="5"/>
      <c r="DAQ9" s="5"/>
      <c r="DAR9" s="5"/>
      <c r="DAS9" s="5"/>
      <c r="DAT9" s="5"/>
      <c r="DAU9" s="5"/>
      <c r="DAV9" s="5"/>
      <c r="DAW9" s="5"/>
      <c r="DAX9" s="5"/>
      <c r="DAY9" s="5"/>
      <c r="DAZ9" s="5"/>
      <c r="DBA9" s="5"/>
      <c r="DBB9" s="5"/>
      <c r="DBC9" s="5"/>
      <c r="DBD9" s="5"/>
      <c r="DBE9" s="5"/>
      <c r="DBF9" s="5"/>
      <c r="DBG9" s="5"/>
      <c r="DBH9" s="5"/>
      <c r="DBI9" s="5"/>
      <c r="DBJ9" s="5"/>
      <c r="DBK9" s="5"/>
      <c r="DBL9" s="5"/>
      <c r="DBM9" s="5"/>
      <c r="DBN9" s="5"/>
      <c r="DBO9" s="5"/>
      <c r="DBP9" s="5"/>
      <c r="DBQ9" s="5"/>
      <c r="DBR9" s="5"/>
      <c r="DBS9" s="5"/>
      <c r="DBT9" s="5"/>
      <c r="DBU9" s="5"/>
      <c r="DBV9" s="5"/>
      <c r="DBW9" s="5"/>
      <c r="DBX9" s="5"/>
      <c r="DBY9" s="5"/>
      <c r="DBZ9" s="5"/>
      <c r="DCA9" s="5"/>
      <c r="DCB9" s="5"/>
      <c r="DCC9" s="5"/>
      <c r="DCD9" s="5"/>
      <c r="DCE9" s="5"/>
      <c r="DCF9" s="5"/>
      <c r="DCG9" s="5"/>
      <c r="DCH9" s="5"/>
      <c r="DCI9" s="5"/>
      <c r="DCJ9" s="5"/>
      <c r="DCK9" s="5"/>
      <c r="DCL9" s="5"/>
      <c r="DCM9" s="5"/>
      <c r="DCN9" s="5"/>
      <c r="DCO9" s="5"/>
      <c r="DCP9" s="5"/>
      <c r="DCQ9" s="5"/>
      <c r="DCR9" s="5"/>
      <c r="DCS9" s="5"/>
      <c r="DCT9" s="5"/>
      <c r="DCU9" s="5"/>
      <c r="DCV9" s="5"/>
      <c r="DCW9" s="5"/>
      <c r="DCX9" s="5"/>
      <c r="DCY9" s="5"/>
      <c r="DCZ9" s="5"/>
      <c r="DDA9" s="5"/>
      <c r="DDB9" s="5"/>
      <c r="DDC9" s="5"/>
      <c r="DDD9" s="5"/>
      <c r="DDE9" s="5"/>
      <c r="DDF9" s="5"/>
      <c r="DDG9" s="5"/>
      <c r="DDH9" s="5"/>
      <c r="DDI9" s="5"/>
      <c r="DDJ9" s="5"/>
      <c r="DDK9" s="5"/>
      <c r="DDL9" s="5"/>
      <c r="DDM9" s="5"/>
      <c r="DDN9" s="5"/>
      <c r="DDO9" s="5"/>
      <c r="DDP9" s="5"/>
      <c r="DDQ9" s="5"/>
      <c r="DDR9" s="5"/>
      <c r="DDS9" s="5"/>
      <c r="DDT9" s="5"/>
      <c r="DDU9" s="5"/>
      <c r="DDV9" s="5"/>
      <c r="DDW9" s="5"/>
      <c r="DDX9" s="5"/>
      <c r="DDY9" s="5"/>
      <c r="DDZ9" s="5"/>
      <c r="DEA9" s="5"/>
      <c r="DEB9" s="5"/>
      <c r="DEC9" s="5"/>
      <c r="DED9" s="5"/>
      <c r="DEE9" s="5"/>
      <c r="DEF9" s="5"/>
      <c r="DEG9" s="5"/>
      <c r="DEH9" s="5"/>
      <c r="DEI9" s="5"/>
      <c r="DEJ9" s="5"/>
      <c r="DEK9" s="5"/>
      <c r="DEL9" s="5"/>
      <c r="DEM9" s="5"/>
      <c r="DEN9" s="5"/>
      <c r="DEO9" s="5"/>
      <c r="DEP9" s="5"/>
      <c r="DEQ9" s="5"/>
      <c r="DER9" s="5"/>
      <c r="DES9" s="5"/>
      <c r="DET9" s="5"/>
      <c r="DEU9" s="5"/>
      <c r="DEV9" s="5"/>
      <c r="DEW9" s="5"/>
      <c r="DEX9" s="5"/>
      <c r="DEY9" s="5"/>
      <c r="DEZ9" s="5"/>
      <c r="DFA9" s="5"/>
      <c r="DFB9" s="5"/>
      <c r="DFC9" s="5"/>
      <c r="DFD9" s="5"/>
      <c r="DFE9" s="5"/>
      <c r="DFF9" s="5"/>
      <c r="DFG9" s="5"/>
      <c r="DFH9" s="5"/>
      <c r="DFI9" s="5"/>
      <c r="DFJ9" s="5"/>
      <c r="DFK9" s="5"/>
      <c r="DFL9" s="5"/>
      <c r="DFM9" s="5"/>
      <c r="DFN9" s="5"/>
      <c r="DFO9" s="5"/>
      <c r="DFP9" s="5"/>
      <c r="DFQ9" s="5"/>
      <c r="DFR9" s="5"/>
      <c r="DFS9" s="5"/>
      <c r="DFT9" s="5"/>
      <c r="DFU9" s="5"/>
      <c r="DFV9" s="5"/>
      <c r="DFW9" s="5"/>
      <c r="DFX9" s="5"/>
      <c r="DFY9" s="5"/>
      <c r="DFZ9" s="5"/>
      <c r="DGA9" s="5"/>
      <c r="DGB9" s="5"/>
      <c r="DGC9" s="5"/>
      <c r="DGD9" s="5"/>
      <c r="DGE9" s="5"/>
      <c r="DGF9" s="5"/>
      <c r="DGG9" s="5"/>
      <c r="DGH9" s="5"/>
      <c r="DGI9" s="5"/>
      <c r="DGJ9" s="5"/>
      <c r="DGK9" s="5"/>
      <c r="DGL9" s="5"/>
      <c r="DGM9" s="5"/>
      <c r="DGN9" s="5"/>
      <c r="DGO9" s="5"/>
      <c r="DGP9" s="5"/>
      <c r="DGQ9" s="5"/>
      <c r="DGR9" s="5"/>
      <c r="DGS9" s="5"/>
      <c r="DGT9" s="5"/>
      <c r="DGU9" s="5"/>
      <c r="DGV9" s="5"/>
      <c r="DGW9" s="5"/>
      <c r="DGX9" s="5"/>
      <c r="DGY9" s="5"/>
      <c r="DGZ9" s="5"/>
      <c r="DHA9" s="5"/>
      <c r="DHB9" s="5"/>
      <c r="DHC9" s="5"/>
      <c r="DHD9" s="5"/>
      <c r="DHE9" s="5"/>
      <c r="DHF9" s="5"/>
      <c r="DHG9" s="5"/>
      <c r="DHH9" s="5"/>
      <c r="DHI9" s="5"/>
      <c r="DHJ9" s="5"/>
      <c r="DHK9" s="5"/>
      <c r="DHL9" s="5"/>
      <c r="DHM9" s="5"/>
      <c r="DHN9" s="5"/>
      <c r="DHO9" s="5"/>
      <c r="DHP9" s="5"/>
      <c r="DHQ9" s="5"/>
      <c r="DHR9" s="5"/>
      <c r="DHS9" s="5"/>
      <c r="DHT9" s="5"/>
      <c r="DHU9" s="5"/>
      <c r="DHV9" s="5"/>
      <c r="DHW9" s="5"/>
      <c r="DHX9" s="5"/>
      <c r="DHY9" s="5"/>
      <c r="DHZ9" s="5"/>
      <c r="DIA9" s="5"/>
      <c r="DIB9" s="5"/>
      <c r="DIC9" s="5"/>
      <c r="DID9" s="5"/>
      <c r="DIE9" s="5"/>
      <c r="DIF9" s="5"/>
      <c r="DIG9" s="5"/>
      <c r="DIH9" s="5"/>
      <c r="DII9" s="5"/>
      <c r="DIJ9" s="5"/>
      <c r="DIK9" s="5"/>
      <c r="DIL9" s="5"/>
      <c r="DIM9" s="5"/>
      <c r="DIN9" s="5"/>
      <c r="DIO9" s="5"/>
      <c r="DIP9" s="5"/>
      <c r="DIQ9" s="5"/>
      <c r="DIR9" s="5"/>
      <c r="DIS9" s="5"/>
      <c r="DIT9" s="5"/>
      <c r="DIU9" s="5"/>
      <c r="DIV9" s="5"/>
      <c r="DIW9" s="5"/>
      <c r="DIX9" s="5"/>
      <c r="DIY9" s="5"/>
      <c r="DIZ9" s="5"/>
      <c r="DJA9" s="5"/>
      <c r="DJB9" s="5"/>
      <c r="DJC9" s="5"/>
      <c r="DJD9" s="5"/>
      <c r="DJE9" s="5"/>
      <c r="DJF9" s="5"/>
      <c r="DJG9" s="5"/>
      <c r="DJH9" s="5"/>
      <c r="DJI9" s="5"/>
      <c r="DJJ9" s="5"/>
      <c r="DJK9" s="5"/>
      <c r="DJL9" s="5"/>
      <c r="DJM9" s="5"/>
      <c r="DJN9" s="5"/>
      <c r="DJO9" s="5"/>
      <c r="DJP9" s="5"/>
      <c r="DJQ9" s="5"/>
      <c r="DJR9" s="5"/>
      <c r="DJS9" s="5"/>
      <c r="DJT9" s="5"/>
      <c r="DJU9" s="5"/>
      <c r="DJV9" s="5"/>
      <c r="DJW9" s="5"/>
      <c r="DJX9" s="5"/>
      <c r="DJY9" s="5"/>
      <c r="DJZ9" s="5"/>
      <c r="DKA9" s="5"/>
      <c r="DKB9" s="5"/>
      <c r="DKC9" s="5"/>
      <c r="DKD9" s="5"/>
      <c r="DKE9" s="5"/>
      <c r="DKF9" s="5"/>
      <c r="DKG9" s="5"/>
      <c r="DKH9" s="5"/>
      <c r="DKI9" s="5"/>
      <c r="DKJ9" s="5"/>
      <c r="DKK9" s="5"/>
      <c r="DKL9" s="5"/>
      <c r="DKM9" s="5"/>
      <c r="DKN9" s="5"/>
      <c r="DKO9" s="5"/>
      <c r="DKP9" s="5"/>
      <c r="DKQ9" s="5"/>
      <c r="DKR9" s="5"/>
      <c r="DKS9" s="5"/>
      <c r="DKT9" s="5"/>
      <c r="DKU9" s="5"/>
      <c r="DKV9" s="5"/>
      <c r="DKW9" s="5"/>
      <c r="DKX9" s="5"/>
      <c r="DKY9" s="5"/>
      <c r="DKZ9" s="5"/>
      <c r="DLA9" s="5"/>
      <c r="DLB9" s="5"/>
      <c r="DLC9" s="5"/>
      <c r="DLD9" s="5"/>
      <c r="DLE9" s="5"/>
      <c r="DLF9" s="5"/>
      <c r="DLG9" s="5"/>
      <c r="DLH9" s="5"/>
      <c r="DLI9" s="5"/>
      <c r="DLJ9" s="5"/>
      <c r="DLK9" s="5"/>
      <c r="DLL9" s="5"/>
      <c r="DLM9" s="5"/>
      <c r="DLN9" s="5"/>
      <c r="DLO9" s="5"/>
      <c r="DLP9" s="5"/>
      <c r="DLQ9" s="5"/>
      <c r="DLR9" s="5"/>
      <c r="DLS9" s="5"/>
      <c r="DLT9" s="5"/>
      <c r="DLU9" s="5"/>
      <c r="DLV9" s="5"/>
      <c r="DLW9" s="5"/>
      <c r="DLX9" s="5"/>
      <c r="DLY9" s="5"/>
      <c r="DLZ9" s="5"/>
      <c r="DMA9" s="5"/>
      <c r="DMB9" s="5"/>
      <c r="DMC9" s="5"/>
      <c r="DMD9" s="5"/>
      <c r="DME9" s="5"/>
      <c r="DMF9" s="5"/>
      <c r="DMG9" s="5"/>
      <c r="DMH9" s="5"/>
      <c r="DMI9" s="5"/>
      <c r="DMJ9" s="5"/>
      <c r="DMK9" s="5"/>
      <c r="DML9" s="5"/>
      <c r="DMM9" s="5"/>
      <c r="DMN9" s="5"/>
      <c r="DMO9" s="5"/>
      <c r="DMP9" s="5"/>
      <c r="DMQ9" s="5"/>
      <c r="DMR9" s="5"/>
      <c r="DMS9" s="5"/>
      <c r="DMT9" s="5"/>
      <c r="DMU9" s="5"/>
      <c r="DMV9" s="5"/>
      <c r="DMW9" s="5"/>
      <c r="DMX9" s="5"/>
      <c r="DMY9" s="5"/>
      <c r="DMZ9" s="5"/>
      <c r="DNA9" s="5"/>
      <c r="DNB9" s="5"/>
      <c r="DNC9" s="5"/>
      <c r="DND9" s="5"/>
      <c r="DNE9" s="5"/>
      <c r="DNF9" s="5"/>
      <c r="DNG9" s="5"/>
      <c r="DNH9" s="5"/>
      <c r="DNI9" s="5"/>
      <c r="DNJ9" s="5"/>
      <c r="DNK9" s="5"/>
      <c r="DNL9" s="5"/>
      <c r="DNM9" s="5"/>
      <c r="DNN9" s="5"/>
      <c r="DNO9" s="5"/>
      <c r="DNP9" s="5"/>
      <c r="DNQ9" s="5"/>
      <c r="DNR9" s="5"/>
      <c r="DNS9" s="5"/>
      <c r="DNT9" s="5"/>
      <c r="DNU9" s="5"/>
      <c r="DNV9" s="5"/>
      <c r="DNW9" s="5"/>
      <c r="DNX9" s="5"/>
      <c r="DNY9" s="5"/>
      <c r="DNZ9" s="5"/>
      <c r="DOA9" s="5"/>
      <c r="DOB9" s="5"/>
      <c r="DOC9" s="5"/>
      <c r="DOD9" s="5"/>
      <c r="DOE9" s="5"/>
      <c r="DOF9" s="5"/>
      <c r="DOG9" s="5"/>
      <c r="DOH9" s="5"/>
      <c r="DOI9" s="5"/>
      <c r="DOJ9" s="5"/>
      <c r="DOK9" s="5"/>
      <c r="DOL9" s="5"/>
      <c r="DOM9" s="5"/>
      <c r="DON9" s="5"/>
      <c r="DOO9" s="5"/>
      <c r="DOP9" s="5"/>
      <c r="DOQ9" s="5"/>
      <c r="DOR9" s="5"/>
      <c r="DOS9" s="5"/>
      <c r="DOT9" s="5"/>
      <c r="DOU9" s="5"/>
      <c r="DOV9" s="5"/>
      <c r="DOW9" s="5"/>
      <c r="DOX9" s="5"/>
      <c r="DOY9" s="5"/>
      <c r="DOZ9" s="5"/>
      <c r="DPA9" s="5"/>
      <c r="DPB9" s="5"/>
      <c r="DPC9" s="5"/>
      <c r="DPD9" s="5"/>
      <c r="DPE9" s="5"/>
      <c r="DPF9" s="5"/>
      <c r="DPG9" s="5"/>
      <c r="DPH9" s="5"/>
      <c r="DPI9" s="5"/>
      <c r="DPJ9" s="5"/>
      <c r="DPK9" s="5"/>
      <c r="DPL9" s="5"/>
      <c r="DPM9" s="5"/>
      <c r="DPN9" s="5"/>
      <c r="DPO9" s="5"/>
      <c r="DPP9" s="5"/>
      <c r="DPQ9" s="5"/>
      <c r="DPR9" s="5"/>
      <c r="DPS9" s="5"/>
      <c r="DPT9" s="5"/>
      <c r="DPU9" s="5"/>
      <c r="DPV9" s="5"/>
      <c r="DPW9" s="5"/>
      <c r="DPX9" s="5"/>
      <c r="DPY9" s="5"/>
      <c r="DPZ9" s="5"/>
      <c r="DQA9" s="5"/>
      <c r="DQB9" s="5"/>
      <c r="DQC9" s="5"/>
      <c r="DQD9" s="5"/>
      <c r="DQE9" s="5"/>
      <c r="DQF9" s="5"/>
      <c r="DQG9" s="5"/>
      <c r="DQH9" s="5"/>
      <c r="DQI9" s="5"/>
      <c r="DQJ9" s="5"/>
      <c r="DQK9" s="5"/>
      <c r="DQL9" s="5"/>
      <c r="DQM9" s="5"/>
      <c r="DQN9" s="5"/>
      <c r="DQO9" s="5"/>
      <c r="DQP9" s="5"/>
      <c r="DQQ9" s="5"/>
      <c r="DQR9" s="5"/>
      <c r="DQS9" s="5"/>
      <c r="DQT9" s="5"/>
      <c r="DQU9" s="5"/>
      <c r="DQV9" s="5"/>
      <c r="DQW9" s="5"/>
      <c r="DQX9" s="5"/>
      <c r="DQY9" s="5"/>
      <c r="DQZ9" s="5"/>
      <c r="DRA9" s="5"/>
      <c r="DRB9" s="5"/>
      <c r="DRC9" s="5"/>
      <c r="DRD9" s="5"/>
      <c r="DRE9" s="5"/>
      <c r="DRF9" s="5"/>
      <c r="DRG9" s="5"/>
      <c r="DRH9" s="5"/>
      <c r="DRI9" s="5"/>
      <c r="DRJ9" s="5"/>
      <c r="DRK9" s="5"/>
      <c r="DRL9" s="5"/>
      <c r="DRM9" s="5"/>
      <c r="DRN9" s="5"/>
      <c r="DRO9" s="5"/>
      <c r="DRP9" s="5"/>
      <c r="DRQ9" s="5"/>
      <c r="DRR9" s="5"/>
      <c r="DRS9" s="5"/>
      <c r="DRT9" s="5"/>
      <c r="DRU9" s="5"/>
      <c r="DRV9" s="5"/>
      <c r="DRW9" s="5"/>
      <c r="DRX9" s="5"/>
      <c r="DRY9" s="5"/>
      <c r="DRZ9" s="5"/>
      <c r="DSA9" s="5"/>
      <c r="DSB9" s="5"/>
      <c r="DSC9" s="5"/>
      <c r="DSD9" s="5"/>
      <c r="DSE9" s="5"/>
      <c r="DSF9" s="5"/>
      <c r="DSG9" s="5"/>
      <c r="DSH9" s="5"/>
      <c r="DSI9" s="5"/>
      <c r="DSJ9" s="5"/>
      <c r="DSK9" s="5"/>
      <c r="DSL9" s="5"/>
      <c r="DSM9" s="5"/>
      <c r="DSN9" s="5"/>
      <c r="DSO9" s="5"/>
      <c r="DSP9" s="5"/>
      <c r="DSQ9" s="5"/>
      <c r="DSR9" s="5"/>
      <c r="DSS9" s="5"/>
      <c r="DST9" s="5"/>
      <c r="DSU9" s="5"/>
      <c r="DSV9" s="5"/>
      <c r="DSW9" s="5"/>
      <c r="DSX9" s="5"/>
      <c r="DSY9" s="5"/>
      <c r="DSZ9" s="5"/>
      <c r="DTA9" s="5"/>
      <c r="DTB9" s="5"/>
      <c r="DTC9" s="5"/>
      <c r="DTD9" s="5"/>
      <c r="DTE9" s="5"/>
      <c r="DTF9" s="5"/>
      <c r="DTG9" s="5"/>
      <c r="DTH9" s="5"/>
      <c r="DTI9" s="5"/>
      <c r="DTJ9" s="5"/>
      <c r="DTK9" s="5"/>
      <c r="DTL9" s="5"/>
      <c r="DTM9" s="5"/>
      <c r="DTN9" s="5"/>
      <c r="DTO9" s="5"/>
      <c r="DTP9" s="5"/>
      <c r="DTQ9" s="5"/>
      <c r="DTR9" s="5"/>
      <c r="DTS9" s="5"/>
      <c r="DTT9" s="5"/>
      <c r="DTU9" s="5"/>
      <c r="DTV9" s="5"/>
      <c r="DTW9" s="5"/>
      <c r="DTX9" s="5"/>
      <c r="DTY9" s="5"/>
      <c r="DTZ9" s="5"/>
      <c r="DUA9" s="5"/>
      <c r="DUB9" s="5"/>
      <c r="DUC9" s="5"/>
      <c r="DUD9" s="5"/>
      <c r="DUE9" s="5"/>
      <c r="DUF9" s="5"/>
      <c r="DUG9" s="5"/>
      <c r="DUH9" s="5"/>
      <c r="DUI9" s="5"/>
      <c r="DUJ9" s="5"/>
      <c r="DUK9" s="5"/>
      <c r="DUL9" s="5"/>
      <c r="DUM9" s="5"/>
      <c r="DUN9" s="5"/>
      <c r="DUO9" s="5"/>
      <c r="DUP9" s="5"/>
      <c r="DUQ9" s="5"/>
      <c r="DUR9" s="5"/>
      <c r="DUS9" s="5"/>
      <c r="DUT9" s="5"/>
      <c r="DUU9" s="5"/>
      <c r="DUV9" s="5"/>
      <c r="DUW9" s="5"/>
      <c r="DUX9" s="5"/>
      <c r="DUY9" s="5"/>
      <c r="DUZ9" s="5"/>
      <c r="DVA9" s="5"/>
      <c r="DVB9" s="5"/>
      <c r="DVC9" s="5"/>
      <c r="DVD9" s="5"/>
      <c r="DVE9" s="5"/>
      <c r="DVF9" s="5"/>
      <c r="DVG9" s="5"/>
      <c r="DVH9" s="5"/>
      <c r="DVI9" s="5"/>
      <c r="DVJ9" s="5"/>
      <c r="DVK9" s="5"/>
      <c r="DVL9" s="5"/>
      <c r="DVM9" s="5"/>
      <c r="DVN9" s="5"/>
      <c r="DVO9" s="5"/>
      <c r="DVP9" s="5"/>
      <c r="DVQ9" s="5"/>
      <c r="DVR9" s="5"/>
      <c r="DVS9" s="5"/>
      <c r="DVT9" s="5"/>
      <c r="DVU9" s="5"/>
      <c r="DVV9" s="5"/>
      <c r="DVW9" s="5"/>
      <c r="DVX9" s="5"/>
      <c r="DVY9" s="5"/>
      <c r="DVZ9" s="5"/>
      <c r="DWA9" s="5"/>
      <c r="DWB9" s="5"/>
      <c r="DWC9" s="5"/>
      <c r="DWD9" s="5"/>
      <c r="DWE9" s="5"/>
      <c r="DWF9" s="5"/>
      <c r="DWG9" s="5"/>
      <c r="DWH9" s="5"/>
      <c r="DWI9" s="5"/>
      <c r="DWJ9" s="5"/>
      <c r="DWK9" s="5"/>
      <c r="DWL9" s="5"/>
      <c r="DWM9" s="5"/>
      <c r="DWN9" s="5"/>
      <c r="DWO9" s="5"/>
      <c r="DWP9" s="5"/>
      <c r="DWQ9" s="5"/>
      <c r="DWR9" s="5"/>
      <c r="DWS9" s="5"/>
      <c r="DWT9" s="5"/>
      <c r="DWU9" s="5"/>
      <c r="DWV9" s="5"/>
      <c r="DWW9" s="5"/>
      <c r="DWX9" s="5"/>
      <c r="DWY9" s="5"/>
      <c r="DWZ9" s="5"/>
      <c r="DXA9" s="5"/>
      <c r="DXB9" s="5"/>
      <c r="DXC9" s="5"/>
      <c r="DXD9" s="5"/>
      <c r="DXE9" s="5"/>
      <c r="DXF9" s="5"/>
      <c r="DXG9" s="5"/>
      <c r="DXH9" s="5"/>
      <c r="DXI9" s="5"/>
      <c r="DXJ9" s="5"/>
      <c r="DXK9" s="5"/>
      <c r="DXL9" s="5"/>
      <c r="DXM9" s="5"/>
      <c r="DXN9" s="5"/>
      <c r="DXO9" s="5"/>
      <c r="DXP9" s="5"/>
      <c r="DXQ9" s="5"/>
      <c r="DXR9" s="5"/>
      <c r="DXS9" s="5"/>
      <c r="DXT9" s="5"/>
      <c r="DXU9" s="5"/>
      <c r="DXV9" s="5"/>
      <c r="DXW9" s="5"/>
      <c r="DXX9" s="5"/>
      <c r="DXY9" s="5"/>
      <c r="DXZ9" s="5"/>
      <c r="DYA9" s="5"/>
      <c r="DYB9" s="5"/>
      <c r="DYC9" s="5"/>
      <c r="DYD9" s="5"/>
      <c r="DYE9" s="5"/>
      <c r="DYF9" s="5"/>
      <c r="DYG9" s="5"/>
      <c r="DYH9" s="5"/>
      <c r="DYI9" s="5"/>
      <c r="DYJ9" s="5"/>
      <c r="DYK9" s="5"/>
      <c r="DYL9" s="5"/>
      <c r="DYM9" s="5"/>
      <c r="DYN9" s="5"/>
      <c r="DYO9" s="5"/>
      <c r="DYP9" s="5"/>
      <c r="DYQ9" s="5"/>
      <c r="DYR9" s="5"/>
      <c r="DYS9" s="5"/>
      <c r="DYT9" s="5"/>
      <c r="DYU9" s="5"/>
      <c r="DYV9" s="5"/>
      <c r="DYW9" s="5"/>
      <c r="DYX9" s="5"/>
      <c r="DYY9" s="5"/>
      <c r="DYZ9" s="5"/>
      <c r="DZA9" s="5"/>
      <c r="DZB9" s="5"/>
      <c r="DZC9" s="5"/>
      <c r="DZD9" s="5"/>
      <c r="DZE9" s="5"/>
      <c r="DZF9" s="5"/>
      <c r="DZG9" s="5"/>
      <c r="DZH9" s="5"/>
      <c r="DZI9" s="5"/>
      <c r="DZJ9" s="5"/>
      <c r="DZK9" s="5"/>
      <c r="DZL9" s="5"/>
      <c r="DZM9" s="5"/>
      <c r="DZN9" s="5"/>
      <c r="DZO9" s="5"/>
      <c r="DZP9" s="5"/>
      <c r="DZQ9" s="5"/>
      <c r="DZR9" s="5"/>
      <c r="DZS9" s="5"/>
      <c r="DZT9" s="5"/>
      <c r="DZU9" s="5"/>
      <c r="DZV9" s="5"/>
      <c r="DZW9" s="5"/>
      <c r="DZX9" s="5"/>
      <c r="DZY9" s="5"/>
      <c r="DZZ9" s="5"/>
      <c r="EAA9" s="5"/>
      <c r="EAB9" s="5"/>
      <c r="EAC9" s="5"/>
      <c r="EAD9" s="5"/>
      <c r="EAE9" s="5"/>
      <c r="EAF9" s="5"/>
      <c r="EAG9" s="5"/>
      <c r="EAH9" s="5"/>
      <c r="EAI9" s="5"/>
      <c r="EAJ9" s="5"/>
      <c r="EAK9" s="5"/>
      <c r="EAL9" s="5"/>
      <c r="EAM9" s="5"/>
      <c r="EAN9" s="5"/>
      <c r="EAO9" s="5"/>
      <c r="EAP9" s="5"/>
      <c r="EAQ9" s="5"/>
      <c r="EAR9" s="5"/>
      <c r="EAS9" s="5"/>
      <c r="EAT9" s="5"/>
      <c r="EAU9" s="5"/>
      <c r="EAV9" s="5"/>
      <c r="EAW9" s="5"/>
      <c r="EAX9" s="5"/>
      <c r="EAY9" s="5"/>
      <c r="EAZ9" s="5"/>
      <c r="EBA9" s="5"/>
      <c r="EBB9" s="5"/>
      <c r="EBC9" s="5"/>
      <c r="EBD9" s="5"/>
      <c r="EBE9" s="5"/>
      <c r="EBF9" s="5"/>
      <c r="EBG9" s="5"/>
      <c r="EBH9" s="5"/>
      <c r="EBI9" s="5"/>
      <c r="EBJ9" s="5"/>
      <c r="EBK9" s="5"/>
      <c r="EBL9" s="5"/>
      <c r="EBM9" s="5"/>
      <c r="EBN9" s="5"/>
      <c r="EBO9" s="5"/>
      <c r="EBP9" s="5"/>
      <c r="EBQ9" s="5"/>
      <c r="EBR9" s="5"/>
      <c r="EBS9" s="5"/>
      <c r="EBT9" s="5"/>
      <c r="EBU9" s="5"/>
      <c r="EBV9" s="5"/>
      <c r="EBW9" s="5"/>
      <c r="EBX9" s="5"/>
      <c r="EBY9" s="5"/>
      <c r="EBZ9" s="5"/>
      <c r="ECA9" s="5"/>
      <c r="ECB9" s="5"/>
      <c r="ECC9" s="5"/>
      <c r="ECD9" s="5"/>
      <c r="ECE9" s="5"/>
      <c r="ECF9" s="5"/>
      <c r="ECG9" s="5"/>
      <c r="ECH9" s="5"/>
      <c r="ECI9" s="5"/>
      <c r="ECJ9" s="5"/>
      <c r="ECK9" s="5"/>
      <c r="ECL9" s="5"/>
      <c r="ECM9" s="5"/>
      <c r="ECN9" s="5"/>
      <c r="ECO9" s="5"/>
      <c r="ECP9" s="5"/>
      <c r="ECQ9" s="5"/>
      <c r="ECR9" s="5"/>
      <c r="ECS9" s="5"/>
      <c r="ECT9" s="5"/>
      <c r="ECU9" s="5"/>
      <c r="ECV9" s="5"/>
      <c r="ECW9" s="5"/>
      <c r="ECX9" s="5"/>
      <c r="ECY9" s="5"/>
      <c r="ECZ9" s="5"/>
      <c r="EDA9" s="5"/>
      <c r="EDB9" s="5"/>
      <c r="EDC9" s="5"/>
      <c r="EDD9" s="5"/>
      <c r="EDE9" s="5"/>
      <c r="EDF9" s="5"/>
      <c r="EDG9" s="5"/>
      <c r="EDH9" s="5"/>
      <c r="EDI9" s="5"/>
      <c r="EDJ9" s="5"/>
      <c r="EDK9" s="5"/>
      <c r="EDL9" s="5"/>
      <c r="EDM9" s="5"/>
      <c r="EDN9" s="5"/>
      <c r="EDO9" s="5"/>
      <c r="EDP9" s="5"/>
      <c r="EDQ9" s="5"/>
      <c r="EDR9" s="5"/>
      <c r="EDS9" s="5"/>
      <c r="EDT9" s="5"/>
      <c r="EDU9" s="5"/>
      <c r="EDV9" s="5"/>
      <c r="EDW9" s="5"/>
      <c r="EDX9" s="5"/>
      <c r="EDY9" s="5"/>
      <c r="EDZ9" s="5"/>
      <c r="EEA9" s="5"/>
      <c r="EEB9" s="5"/>
      <c r="EEC9" s="5"/>
      <c r="EED9" s="5"/>
      <c r="EEE9" s="5"/>
      <c r="EEF9" s="5"/>
      <c r="EEG9" s="5"/>
      <c r="EEH9" s="5"/>
      <c r="EEI9" s="5"/>
      <c r="EEJ9" s="5"/>
      <c r="EEK9" s="5"/>
      <c r="EEL9" s="5"/>
      <c r="EEM9" s="5"/>
      <c r="EEN9" s="5"/>
      <c r="EEO9" s="5"/>
      <c r="EEP9" s="5"/>
      <c r="EEQ9" s="5"/>
      <c r="EER9" s="5"/>
      <c r="EES9" s="5"/>
      <c r="EET9" s="5"/>
      <c r="EEU9" s="5"/>
      <c r="EEV9" s="5"/>
      <c r="EEW9" s="5"/>
      <c r="EEX9" s="5"/>
      <c r="EEY9" s="5"/>
      <c r="EEZ9" s="5"/>
      <c r="EFA9" s="5"/>
      <c r="EFB9" s="5"/>
      <c r="EFC9" s="5"/>
      <c r="EFD9" s="5"/>
      <c r="EFE9" s="5"/>
      <c r="EFF9" s="5"/>
      <c r="EFG9" s="5"/>
      <c r="EFH9" s="5"/>
      <c r="EFI9" s="5"/>
      <c r="EFJ9" s="5"/>
      <c r="EFK9" s="5"/>
      <c r="EFL9" s="5"/>
      <c r="EFM9" s="5"/>
      <c r="EFN9" s="5"/>
      <c r="EFO9" s="5"/>
      <c r="EFP9" s="5"/>
      <c r="EFQ9" s="5"/>
      <c r="EFR9" s="5"/>
      <c r="EFS9" s="5"/>
      <c r="EFT9" s="5"/>
      <c r="EFU9" s="5"/>
      <c r="EFV9" s="5"/>
      <c r="EFW9" s="5"/>
      <c r="EFX9" s="5"/>
      <c r="EFY9" s="5"/>
      <c r="EFZ9" s="5"/>
      <c r="EGA9" s="5"/>
      <c r="EGB9" s="5"/>
      <c r="EGC9" s="5"/>
      <c r="EGD9" s="5"/>
      <c r="EGE9" s="5"/>
      <c r="EGF9" s="5"/>
      <c r="EGG9" s="5"/>
      <c r="EGH9" s="5"/>
      <c r="EGI9" s="5"/>
      <c r="EGJ9" s="5"/>
      <c r="EGK9" s="5"/>
      <c r="EGL9" s="5"/>
      <c r="EGM9" s="5"/>
      <c r="EGN9" s="5"/>
      <c r="EGO9" s="5"/>
      <c r="EGP9" s="5"/>
      <c r="EGQ9" s="5"/>
      <c r="EGR9" s="5"/>
      <c r="EGS9" s="5"/>
      <c r="EGT9" s="5"/>
      <c r="EGU9" s="5"/>
      <c r="EGV9" s="5"/>
      <c r="EGW9" s="5"/>
      <c r="EGX9" s="5"/>
      <c r="EGY9" s="5"/>
      <c r="EGZ9" s="5"/>
      <c r="EHA9" s="5"/>
      <c r="EHB9" s="5"/>
      <c r="EHC9" s="5"/>
      <c r="EHD9" s="5"/>
      <c r="EHE9" s="5"/>
      <c r="EHF9" s="5"/>
      <c r="EHG9" s="5"/>
      <c r="EHH9" s="5"/>
      <c r="EHI9" s="5"/>
      <c r="EHJ9" s="5"/>
      <c r="EHK9" s="5"/>
      <c r="EHL9" s="5"/>
      <c r="EHM9" s="5"/>
      <c r="EHN9" s="5"/>
      <c r="EHO9" s="5"/>
      <c r="EHP9" s="5"/>
      <c r="EHQ9" s="5"/>
      <c r="EHR9" s="5"/>
      <c r="EHS9" s="5"/>
      <c r="EHT9" s="5"/>
      <c r="EHU9" s="5"/>
      <c r="EHV9" s="5"/>
      <c r="EHW9" s="5"/>
      <c r="EHX9" s="5"/>
      <c r="EHY9" s="5"/>
      <c r="EHZ9" s="5"/>
      <c r="EIA9" s="5"/>
      <c r="EIB9" s="5"/>
      <c r="EIC9" s="5"/>
      <c r="EID9" s="5"/>
      <c r="EIE9" s="5"/>
      <c r="EIF9" s="5"/>
      <c r="EIG9" s="5"/>
      <c r="EIH9" s="5"/>
      <c r="EII9" s="5"/>
      <c r="EIJ9" s="5"/>
      <c r="EIK9" s="5"/>
      <c r="EIL9" s="5"/>
      <c r="EIM9" s="5"/>
      <c r="EIN9" s="5"/>
      <c r="EIO9" s="5"/>
      <c r="EIP9" s="5"/>
      <c r="EIQ9" s="5"/>
      <c r="EIR9" s="5"/>
      <c r="EIS9" s="5"/>
      <c r="EIT9" s="5"/>
      <c r="EIU9" s="5"/>
      <c r="EIV9" s="5"/>
      <c r="EIW9" s="5"/>
      <c r="EIX9" s="5"/>
      <c r="EIY9" s="5"/>
      <c r="EIZ9" s="5"/>
      <c r="EJA9" s="5"/>
      <c r="EJB9" s="5"/>
      <c r="EJC9" s="5"/>
      <c r="EJD9" s="5"/>
      <c r="EJE9" s="5"/>
      <c r="EJF9" s="5"/>
      <c r="EJG9" s="5"/>
      <c r="EJH9" s="5"/>
      <c r="EJI9" s="5"/>
      <c r="EJJ9" s="5"/>
      <c r="EJK9" s="5"/>
      <c r="EJL9" s="5"/>
      <c r="EJM9" s="5"/>
      <c r="EJN9" s="5"/>
      <c r="EJO9" s="5"/>
      <c r="EJP9" s="5"/>
      <c r="EJQ9" s="5"/>
      <c r="EJR9" s="5"/>
      <c r="EJS9" s="5"/>
      <c r="EJT9" s="5"/>
      <c r="EJU9" s="5"/>
      <c r="EJV9" s="5"/>
      <c r="EJW9" s="5"/>
      <c r="EJX9" s="5"/>
      <c r="EJY9" s="5"/>
      <c r="EJZ9" s="5"/>
      <c r="EKA9" s="5"/>
      <c r="EKB9" s="5"/>
      <c r="EKC9" s="5"/>
      <c r="EKD9" s="5"/>
      <c r="EKE9" s="5"/>
      <c r="EKF9" s="5"/>
      <c r="EKG9" s="5"/>
      <c r="EKH9" s="5"/>
      <c r="EKI9" s="5"/>
      <c r="EKJ9" s="5"/>
      <c r="EKK9" s="5"/>
      <c r="EKL9" s="5"/>
      <c r="EKM9" s="5"/>
      <c r="EKN9" s="5"/>
      <c r="EKO9" s="5"/>
      <c r="EKP9" s="5"/>
      <c r="EKQ9" s="5"/>
      <c r="EKR9" s="5"/>
      <c r="EKS9" s="5"/>
      <c r="EKT9" s="5"/>
      <c r="EKU9" s="5"/>
      <c r="EKV9" s="5"/>
      <c r="EKW9" s="5"/>
      <c r="EKX9" s="5"/>
      <c r="EKY9" s="5"/>
      <c r="EKZ9" s="5"/>
      <c r="ELA9" s="5"/>
      <c r="ELB9" s="5"/>
      <c r="ELC9" s="5"/>
      <c r="ELD9" s="5"/>
      <c r="ELE9" s="5"/>
      <c r="ELF9" s="5"/>
      <c r="ELG9" s="5"/>
      <c r="ELH9" s="5"/>
      <c r="ELI9" s="5"/>
      <c r="ELJ9" s="5"/>
      <c r="ELK9" s="5"/>
      <c r="ELL9" s="5"/>
      <c r="ELM9" s="5"/>
      <c r="ELN9" s="5"/>
      <c r="ELO9" s="5"/>
      <c r="ELP9" s="5"/>
      <c r="ELQ9" s="5"/>
      <c r="ELR9" s="5"/>
      <c r="ELS9" s="5"/>
      <c r="ELT9" s="5"/>
      <c r="ELU9" s="5"/>
      <c r="ELV9" s="5"/>
      <c r="ELW9" s="5"/>
      <c r="ELX9" s="5"/>
      <c r="ELY9" s="5"/>
      <c r="ELZ9" s="5"/>
      <c r="EMA9" s="5"/>
      <c r="EMB9" s="5"/>
      <c r="EMC9" s="5"/>
      <c r="EMD9" s="5"/>
      <c r="EME9" s="5"/>
      <c r="EMF9" s="5"/>
      <c r="EMG9" s="5"/>
      <c r="EMH9" s="5"/>
      <c r="EMI9" s="5"/>
      <c r="EMJ9" s="5"/>
      <c r="EMK9" s="5"/>
      <c r="EML9" s="5"/>
      <c r="EMM9" s="5"/>
      <c r="EMN9" s="5"/>
      <c r="EMO9" s="5"/>
      <c r="EMP9" s="5"/>
      <c r="EMQ9" s="5"/>
      <c r="EMR9" s="5"/>
      <c r="EMS9" s="5"/>
      <c r="EMT9" s="5"/>
      <c r="EMU9" s="5"/>
      <c r="EMV9" s="5"/>
      <c r="EMW9" s="5"/>
      <c r="EMX9" s="5"/>
      <c r="EMY9" s="5"/>
      <c r="EMZ9" s="5"/>
      <c r="ENA9" s="5"/>
      <c r="ENB9" s="5"/>
      <c r="ENC9" s="5"/>
      <c r="END9" s="5"/>
      <c r="ENE9" s="5"/>
      <c r="ENF9" s="5"/>
      <c r="ENG9" s="5"/>
      <c r="ENH9" s="5"/>
      <c r="ENI9" s="5"/>
      <c r="ENJ9" s="5"/>
      <c r="ENK9" s="5"/>
      <c r="ENL9" s="5"/>
      <c r="ENM9" s="5"/>
      <c r="ENN9" s="5"/>
      <c r="ENO9" s="5"/>
      <c r="ENP9" s="5"/>
      <c r="ENQ9" s="5"/>
      <c r="ENR9" s="5"/>
      <c r="ENS9" s="5"/>
      <c r="ENT9" s="5"/>
      <c r="ENU9" s="5"/>
      <c r="ENV9" s="5"/>
      <c r="ENW9" s="5"/>
      <c r="ENX9" s="5"/>
      <c r="ENY9" s="5"/>
      <c r="ENZ9" s="5"/>
      <c r="EOA9" s="5"/>
      <c r="EOB9" s="5"/>
      <c r="EOC9" s="5"/>
      <c r="EOD9" s="5"/>
      <c r="EOE9" s="5"/>
      <c r="EOF9" s="5"/>
      <c r="EOG9" s="5"/>
      <c r="EOH9" s="5"/>
      <c r="EOI9" s="5"/>
      <c r="EOJ9" s="5"/>
      <c r="EOK9" s="5"/>
      <c r="EOL9" s="5"/>
      <c r="EOM9" s="5"/>
      <c r="EON9" s="5"/>
      <c r="EOO9" s="5"/>
      <c r="EOP9" s="5"/>
      <c r="EOQ9" s="5"/>
      <c r="EOR9" s="5"/>
      <c r="EOS9" s="5"/>
      <c r="EOT9" s="5"/>
      <c r="EOU9" s="5"/>
      <c r="EOV9" s="5"/>
      <c r="EOW9" s="5"/>
      <c r="EOX9" s="5"/>
      <c r="EOY9" s="5"/>
      <c r="EOZ9" s="5"/>
      <c r="EPA9" s="5"/>
      <c r="EPB9" s="5"/>
      <c r="EPC9" s="5"/>
      <c r="EPD9" s="5"/>
      <c r="EPE9" s="5"/>
      <c r="EPF9" s="5"/>
      <c r="EPG9" s="5"/>
      <c r="EPH9" s="5"/>
      <c r="EPI9" s="5"/>
      <c r="EPJ9" s="5"/>
      <c r="EPK9" s="5"/>
      <c r="EPL9" s="5"/>
      <c r="EPM9" s="5"/>
      <c r="EPN9" s="5"/>
      <c r="EPO9" s="5"/>
      <c r="EPP9" s="5"/>
      <c r="EPQ9" s="5"/>
      <c r="EPR9" s="5"/>
      <c r="EPS9" s="5"/>
      <c r="EPT9" s="5"/>
      <c r="EPU9" s="5"/>
      <c r="EPV9" s="5"/>
      <c r="EPW9" s="5"/>
      <c r="EPX9" s="5"/>
      <c r="EPY9" s="5"/>
      <c r="EPZ9" s="5"/>
      <c r="EQA9" s="5"/>
      <c r="EQB9" s="5"/>
      <c r="EQC9" s="5"/>
      <c r="EQD9" s="5"/>
      <c r="EQE9" s="5"/>
      <c r="EQF9" s="5"/>
      <c r="EQG9" s="5"/>
      <c r="EQH9" s="5"/>
      <c r="EQI9" s="5"/>
      <c r="EQJ9" s="5"/>
      <c r="EQK9" s="5"/>
      <c r="EQL9" s="5"/>
      <c r="EQM9" s="5"/>
      <c r="EQN9" s="5"/>
      <c r="EQO9" s="5"/>
      <c r="EQP9" s="5"/>
      <c r="EQQ9" s="5"/>
      <c r="EQR9" s="5"/>
      <c r="EQS9" s="5"/>
      <c r="EQT9" s="5"/>
      <c r="EQU9" s="5"/>
      <c r="EQV9" s="5"/>
      <c r="EQW9" s="5"/>
      <c r="EQX9" s="5"/>
      <c r="EQY9" s="5"/>
      <c r="EQZ9" s="5"/>
      <c r="ERA9" s="5"/>
      <c r="ERB9" s="5"/>
      <c r="ERC9" s="5"/>
      <c r="ERD9" s="5"/>
      <c r="ERE9" s="5"/>
      <c r="ERF9" s="5"/>
      <c r="ERG9" s="5"/>
      <c r="ERH9" s="5"/>
      <c r="ERI9" s="5"/>
      <c r="ERJ9" s="5"/>
      <c r="ERK9" s="5"/>
      <c r="ERL9" s="5"/>
      <c r="ERM9" s="5"/>
      <c r="ERN9" s="5"/>
      <c r="ERO9" s="5"/>
      <c r="ERP9" s="5"/>
      <c r="ERQ9" s="5"/>
      <c r="ERR9" s="5"/>
      <c r="ERS9" s="5"/>
      <c r="ERT9" s="5"/>
      <c r="ERU9" s="5"/>
      <c r="ERV9" s="5"/>
      <c r="ERW9" s="5"/>
      <c r="ERX9" s="5"/>
      <c r="ERY9" s="5"/>
      <c r="ERZ9" s="5"/>
      <c r="ESA9" s="5"/>
      <c r="ESB9" s="5"/>
      <c r="ESC9" s="5"/>
      <c r="ESD9" s="5"/>
      <c r="ESE9" s="5"/>
      <c r="ESF9" s="5"/>
      <c r="ESG9" s="5"/>
      <c r="ESH9" s="5"/>
      <c r="ESI9" s="5"/>
      <c r="ESJ9" s="5"/>
      <c r="ESK9" s="5"/>
      <c r="ESL9" s="5"/>
      <c r="ESM9" s="5"/>
      <c r="ESN9" s="5"/>
      <c r="ESO9" s="5"/>
      <c r="ESP9" s="5"/>
      <c r="ESQ9" s="5"/>
      <c r="ESR9" s="5"/>
      <c r="ESS9" s="5"/>
      <c r="EST9" s="5"/>
      <c r="ESU9" s="5"/>
      <c r="ESV9" s="5"/>
      <c r="ESW9" s="5"/>
      <c r="ESX9" s="5"/>
      <c r="ESY9" s="5"/>
      <c r="ESZ9" s="5"/>
      <c r="ETA9" s="5"/>
      <c r="ETB9" s="5"/>
      <c r="ETC9" s="5"/>
      <c r="ETD9" s="5"/>
      <c r="ETE9" s="5"/>
      <c r="ETF9" s="5"/>
      <c r="ETG9" s="5"/>
      <c r="ETH9" s="5"/>
      <c r="ETI9" s="5"/>
      <c r="ETJ9" s="5"/>
      <c r="ETK9" s="5"/>
      <c r="ETL9" s="5"/>
      <c r="ETM9" s="5"/>
      <c r="ETN9" s="5"/>
      <c r="ETO9" s="5"/>
      <c r="ETP9" s="5"/>
      <c r="ETQ9" s="5"/>
      <c r="ETR9" s="5"/>
      <c r="ETS9" s="5"/>
      <c r="ETT9" s="5"/>
      <c r="ETU9" s="5"/>
      <c r="ETV9" s="5"/>
      <c r="ETW9" s="5"/>
      <c r="ETX9" s="5"/>
      <c r="ETY9" s="5"/>
      <c r="ETZ9" s="5"/>
      <c r="EUA9" s="5"/>
      <c r="EUB9" s="5"/>
      <c r="EUC9" s="5"/>
      <c r="EUD9" s="5"/>
      <c r="EUE9" s="5"/>
      <c r="EUF9" s="5"/>
      <c r="EUG9" s="5"/>
      <c r="EUH9" s="5"/>
      <c r="EUI9" s="5"/>
      <c r="EUJ9" s="5"/>
      <c r="EUK9" s="5"/>
      <c r="EUL9" s="5"/>
      <c r="EUM9" s="5"/>
      <c r="EUN9" s="5"/>
      <c r="EUO9" s="5"/>
      <c r="EUP9" s="5"/>
      <c r="EUQ9" s="5"/>
      <c r="EUR9" s="5"/>
      <c r="EUS9" s="5"/>
      <c r="EUT9" s="5"/>
      <c r="EUU9" s="5"/>
      <c r="EUV9" s="5"/>
      <c r="EUW9" s="5"/>
      <c r="EUX9" s="5"/>
      <c r="EUY9" s="5"/>
      <c r="EUZ9" s="5"/>
      <c r="EVA9" s="5"/>
      <c r="EVB9" s="5"/>
      <c r="EVC9" s="5"/>
      <c r="EVD9" s="5"/>
      <c r="EVE9" s="5"/>
      <c r="EVF9" s="5"/>
      <c r="EVG9" s="5"/>
      <c r="EVH9" s="5"/>
      <c r="EVI9" s="5"/>
      <c r="EVJ9" s="5"/>
      <c r="EVK9" s="5"/>
      <c r="EVL9" s="5"/>
      <c r="EVM9" s="5"/>
      <c r="EVN9" s="5"/>
      <c r="EVO9" s="5"/>
      <c r="EVP9" s="5"/>
      <c r="EVQ9" s="5"/>
      <c r="EVR9" s="5"/>
      <c r="EVS9" s="5"/>
      <c r="EVT9" s="5"/>
      <c r="EVU9" s="5"/>
      <c r="EVV9" s="5"/>
      <c r="EVW9" s="5"/>
      <c r="EVX9" s="5"/>
      <c r="EVY9" s="5"/>
      <c r="EVZ9" s="5"/>
      <c r="EWA9" s="5"/>
      <c r="EWB9" s="5"/>
      <c r="EWC9" s="5"/>
      <c r="EWD9" s="5"/>
      <c r="EWE9" s="5"/>
      <c r="EWF9" s="5"/>
      <c r="EWG9" s="5"/>
      <c r="EWH9" s="5"/>
      <c r="EWI9" s="5"/>
      <c r="EWJ9" s="5"/>
      <c r="EWK9" s="5"/>
      <c r="EWL9" s="5"/>
      <c r="EWM9" s="5"/>
      <c r="EWN9" s="5"/>
      <c r="EWO9" s="5"/>
      <c r="EWP9" s="5"/>
      <c r="EWQ9" s="5"/>
      <c r="EWR9" s="5"/>
      <c r="EWS9" s="5"/>
      <c r="EWT9" s="5"/>
      <c r="EWU9" s="5"/>
      <c r="EWV9" s="5"/>
      <c r="EWW9" s="5"/>
      <c r="EWX9" s="5"/>
      <c r="EWY9" s="5"/>
      <c r="EWZ9" s="5"/>
      <c r="EXA9" s="5"/>
      <c r="EXB9" s="5"/>
      <c r="EXC9" s="5"/>
      <c r="EXD9" s="5"/>
      <c r="EXE9" s="5"/>
      <c r="EXF9" s="5"/>
      <c r="EXG9" s="5"/>
      <c r="EXH9" s="5"/>
      <c r="EXI9" s="5"/>
      <c r="EXJ9" s="5"/>
      <c r="EXK9" s="5"/>
      <c r="EXL9" s="5"/>
      <c r="EXM9" s="5"/>
      <c r="EXN9" s="5"/>
      <c r="EXO9" s="5"/>
      <c r="EXP9" s="5"/>
      <c r="EXQ9" s="5"/>
      <c r="EXR9" s="5"/>
      <c r="EXS9" s="5"/>
      <c r="EXT9" s="5"/>
      <c r="EXU9" s="5"/>
      <c r="EXV9" s="5"/>
      <c r="EXW9" s="5"/>
      <c r="EXX9" s="5"/>
      <c r="EXY9" s="5"/>
      <c r="EXZ9" s="5"/>
      <c r="EYA9" s="5"/>
      <c r="EYB9" s="5"/>
      <c r="EYC9" s="5"/>
      <c r="EYD9" s="5"/>
      <c r="EYE9" s="5"/>
      <c r="EYF9" s="5"/>
      <c r="EYG9" s="5"/>
      <c r="EYH9" s="5"/>
      <c r="EYI9" s="5"/>
      <c r="EYJ9" s="5"/>
      <c r="EYK9" s="5"/>
      <c r="EYL9" s="5"/>
      <c r="EYM9" s="5"/>
      <c r="EYN9" s="5"/>
      <c r="EYO9" s="5"/>
      <c r="EYP9" s="5"/>
      <c r="EYQ9" s="5"/>
      <c r="EYR9" s="5"/>
      <c r="EYS9" s="5"/>
      <c r="EYT9" s="5"/>
      <c r="EYU9" s="5"/>
      <c r="EYV9" s="5"/>
      <c r="EYW9" s="5"/>
      <c r="EYX9" s="5"/>
      <c r="EYY9" s="5"/>
      <c r="EYZ9" s="5"/>
      <c r="EZA9" s="5"/>
      <c r="EZB9" s="5"/>
      <c r="EZC9" s="5"/>
      <c r="EZD9" s="5"/>
      <c r="EZE9" s="5"/>
      <c r="EZF9" s="5"/>
      <c r="EZG9" s="5"/>
      <c r="EZH9" s="5"/>
      <c r="EZI9" s="5"/>
      <c r="EZJ9" s="5"/>
      <c r="EZK9" s="5"/>
      <c r="EZL9" s="5"/>
      <c r="EZM9" s="5"/>
      <c r="EZN9" s="5"/>
      <c r="EZO9" s="5"/>
      <c r="EZP9" s="5"/>
      <c r="EZQ9" s="5"/>
      <c r="EZR9" s="5"/>
      <c r="EZS9" s="5"/>
      <c r="EZT9" s="5"/>
      <c r="EZU9" s="5"/>
      <c r="EZV9" s="5"/>
      <c r="EZW9" s="5"/>
      <c r="EZX9" s="5"/>
      <c r="EZY9" s="5"/>
      <c r="EZZ9" s="5"/>
      <c r="FAA9" s="5"/>
      <c r="FAB9" s="5"/>
      <c r="FAC9" s="5"/>
      <c r="FAD9" s="5"/>
      <c r="FAE9" s="5"/>
      <c r="FAF9" s="5"/>
      <c r="FAG9" s="5"/>
      <c r="FAH9" s="5"/>
      <c r="FAI9" s="5"/>
      <c r="FAJ9" s="5"/>
      <c r="FAK9" s="5"/>
      <c r="FAL9" s="5"/>
      <c r="FAM9" s="5"/>
      <c r="FAN9" s="5"/>
      <c r="FAO9" s="5"/>
      <c r="FAP9" s="5"/>
      <c r="FAQ9" s="5"/>
      <c r="FAR9" s="5"/>
      <c r="FAS9" s="5"/>
      <c r="FAT9" s="5"/>
      <c r="FAU9" s="5"/>
      <c r="FAV9" s="5"/>
      <c r="FAW9" s="5"/>
      <c r="FAX9" s="5"/>
      <c r="FAY9" s="5"/>
      <c r="FAZ9" s="5"/>
      <c r="FBA9" s="5"/>
      <c r="FBB9" s="5"/>
      <c r="FBC9" s="5"/>
      <c r="FBD9" s="5"/>
      <c r="FBE9" s="5"/>
      <c r="FBF9" s="5"/>
      <c r="FBG9" s="5"/>
      <c r="FBH9" s="5"/>
      <c r="FBI9" s="5"/>
      <c r="FBJ9" s="5"/>
      <c r="FBK9" s="5"/>
      <c r="FBL9" s="5"/>
      <c r="FBM9" s="5"/>
      <c r="FBN9" s="5"/>
      <c r="FBO9" s="5"/>
      <c r="FBP9" s="5"/>
      <c r="FBQ9" s="5"/>
      <c r="FBR9" s="5"/>
      <c r="FBS9" s="5"/>
      <c r="FBT9" s="5"/>
      <c r="FBU9" s="5"/>
      <c r="FBV9" s="5"/>
      <c r="FBW9" s="5"/>
      <c r="FBX9" s="5"/>
      <c r="FBY9" s="5"/>
      <c r="FBZ9" s="5"/>
      <c r="FCA9" s="5"/>
      <c r="FCB9" s="5"/>
      <c r="FCC9" s="5"/>
      <c r="FCD9" s="5"/>
      <c r="FCE9" s="5"/>
      <c r="FCF9" s="5"/>
      <c r="FCG9" s="5"/>
      <c r="FCH9" s="5"/>
      <c r="FCI9" s="5"/>
      <c r="FCJ9" s="5"/>
      <c r="FCK9" s="5"/>
      <c r="FCL9" s="5"/>
      <c r="FCM9" s="5"/>
      <c r="FCN9" s="5"/>
      <c r="FCO9" s="5"/>
      <c r="FCP9" s="5"/>
      <c r="FCQ9" s="5"/>
      <c r="FCR9" s="5"/>
      <c r="FCS9" s="5"/>
      <c r="FCT9" s="5"/>
      <c r="FCU9" s="5"/>
      <c r="FCV9" s="5"/>
      <c r="FCW9" s="5"/>
      <c r="FCX9" s="5"/>
      <c r="FCY9" s="5"/>
      <c r="FCZ9" s="5"/>
      <c r="FDA9" s="5"/>
      <c r="FDB9" s="5"/>
      <c r="FDC9" s="5"/>
      <c r="FDD9" s="5"/>
      <c r="FDE9" s="5"/>
      <c r="FDF9" s="5"/>
      <c r="FDG9" s="5"/>
      <c r="FDH9" s="5"/>
      <c r="FDI9" s="5"/>
      <c r="FDJ9" s="5"/>
      <c r="FDK9" s="5"/>
      <c r="FDL9" s="5"/>
      <c r="FDM9" s="5"/>
      <c r="FDN9" s="5"/>
      <c r="FDO9" s="5"/>
      <c r="FDP9" s="5"/>
      <c r="FDQ9" s="5"/>
      <c r="FDR9" s="5"/>
      <c r="FDS9" s="5"/>
      <c r="FDT9" s="5"/>
      <c r="FDU9" s="5"/>
      <c r="FDV9" s="5"/>
      <c r="FDW9" s="5"/>
      <c r="FDX9" s="5"/>
      <c r="FDY9" s="5"/>
      <c r="FDZ9" s="5"/>
      <c r="FEA9" s="5"/>
      <c r="FEB9" s="5"/>
      <c r="FEC9" s="5"/>
      <c r="FED9" s="5"/>
      <c r="FEE9" s="5"/>
      <c r="FEF9" s="5"/>
      <c r="FEG9" s="5"/>
      <c r="FEH9" s="5"/>
      <c r="FEI9" s="5"/>
      <c r="FEJ9" s="5"/>
      <c r="FEK9" s="5"/>
      <c r="FEL9" s="5"/>
      <c r="FEM9" s="5"/>
      <c r="FEN9" s="5"/>
      <c r="FEO9" s="5"/>
      <c r="FEP9" s="5"/>
      <c r="FEQ9" s="5"/>
      <c r="FER9" s="5"/>
      <c r="FES9" s="5"/>
      <c r="FET9" s="5"/>
      <c r="FEU9" s="5"/>
      <c r="FEV9" s="5"/>
      <c r="FEW9" s="5"/>
      <c r="FEX9" s="5"/>
      <c r="FEY9" s="5"/>
      <c r="FEZ9" s="5"/>
      <c r="FFA9" s="5"/>
      <c r="FFB9" s="5"/>
      <c r="FFC9" s="5"/>
      <c r="FFD9" s="5"/>
      <c r="FFE9" s="5"/>
      <c r="FFF9" s="5"/>
      <c r="FFG9" s="5"/>
      <c r="FFH9" s="5"/>
      <c r="FFI9" s="5"/>
      <c r="FFJ9" s="5"/>
      <c r="FFK9" s="5"/>
      <c r="FFL9" s="5"/>
      <c r="FFM9" s="5"/>
      <c r="FFN9" s="5"/>
      <c r="FFO9" s="5"/>
      <c r="FFP9" s="5"/>
      <c r="FFQ9" s="5"/>
      <c r="FFR9" s="5"/>
      <c r="FFS9" s="5"/>
      <c r="FFT9" s="5"/>
      <c r="FFU9" s="5"/>
      <c r="FFV9" s="5"/>
      <c r="FFW9" s="5"/>
      <c r="FFX9" s="5"/>
      <c r="FFY9" s="5"/>
      <c r="FFZ9" s="5"/>
      <c r="FGA9" s="5"/>
      <c r="FGB9" s="5"/>
      <c r="FGC9" s="5"/>
      <c r="FGD9" s="5"/>
      <c r="FGE9" s="5"/>
      <c r="FGF9" s="5"/>
      <c r="FGG9" s="5"/>
      <c r="FGH9" s="5"/>
      <c r="FGI9" s="5"/>
      <c r="FGJ9" s="5"/>
      <c r="FGK9" s="5"/>
      <c r="FGL9" s="5"/>
      <c r="FGM9" s="5"/>
      <c r="FGN9" s="5"/>
      <c r="FGO9" s="5"/>
      <c r="FGP9" s="5"/>
      <c r="FGQ9" s="5"/>
      <c r="FGR9" s="5"/>
      <c r="FGS9" s="5"/>
      <c r="FGT9" s="5"/>
      <c r="FGU9" s="5"/>
      <c r="FGV9" s="5"/>
      <c r="FGW9" s="5"/>
      <c r="FGX9" s="5"/>
      <c r="FGY9" s="5"/>
      <c r="FGZ9" s="5"/>
      <c r="FHA9" s="5"/>
      <c r="FHB9" s="5"/>
      <c r="FHC9" s="5"/>
      <c r="FHD9" s="5"/>
      <c r="FHE9" s="5"/>
      <c r="FHF9" s="5"/>
      <c r="FHG9" s="5"/>
      <c r="FHH9" s="5"/>
      <c r="FHI9" s="5"/>
      <c r="FHJ9" s="5"/>
      <c r="FHK9" s="5"/>
      <c r="FHL9" s="5"/>
      <c r="FHM9" s="5"/>
      <c r="FHN9" s="5"/>
      <c r="FHO9" s="5"/>
      <c r="FHP9" s="5"/>
      <c r="FHQ9" s="5"/>
      <c r="FHR9" s="5"/>
      <c r="FHS9" s="5"/>
      <c r="FHT9" s="5"/>
      <c r="FHU9" s="5"/>
      <c r="FHV9" s="5"/>
      <c r="FHW9" s="5"/>
      <c r="FHX9" s="5"/>
      <c r="FHY9" s="5"/>
      <c r="FHZ9" s="5"/>
      <c r="FIA9" s="5"/>
      <c r="FIB9" s="5"/>
      <c r="FIC9" s="5"/>
      <c r="FID9" s="5"/>
      <c r="FIE9" s="5"/>
      <c r="FIF9" s="5"/>
      <c r="FIG9" s="5"/>
      <c r="FIH9" s="5"/>
      <c r="FII9" s="5"/>
      <c r="FIJ9" s="5"/>
      <c r="FIK9" s="5"/>
      <c r="FIL9" s="5"/>
      <c r="FIM9" s="5"/>
      <c r="FIN9" s="5"/>
      <c r="FIO9" s="5"/>
      <c r="FIP9" s="5"/>
      <c r="FIQ9" s="5"/>
      <c r="FIR9" s="5"/>
      <c r="FIS9" s="5"/>
      <c r="FIT9" s="5"/>
      <c r="FIU9" s="5"/>
      <c r="FIV9" s="5"/>
      <c r="FIW9" s="5"/>
      <c r="FIX9" s="5"/>
      <c r="FIY9" s="5"/>
      <c r="FIZ9" s="5"/>
      <c r="FJA9" s="5"/>
      <c r="FJB9" s="5"/>
      <c r="FJC9" s="5"/>
      <c r="FJD9" s="5"/>
      <c r="FJE9" s="5"/>
      <c r="FJF9" s="5"/>
      <c r="FJG9" s="5"/>
      <c r="FJH9" s="5"/>
      <c r="FJI9" s="5"/>
      <c r="FJJ9" s="5"/>
      <c r="FJK9" s="5"/>
      <c r="FJL9" s="5"/>
      <c r="FJM9" s="5"/>
      <c r="FJN9" s="5"/>
      <c r="FJO9" s="5"/>
      <c r="FJP9" s="5"/>
      <c r="FJQ9" s="5"/>
      <c r="FJR9" s="5"/>
      <c r="FJS9" s="5"/>
      <c r="FJT9" s="5"/>
      <c r="FJU9" s="5"/>
      <c r="FJV9" s="5"/>
      <c r="FJW9" s="5"/>
      <c r="FJX9" s="5"/>
      <c r="FJY9" s="5"/>
      <c r="FJZ9" s="5"/>
      <c r="FKA9" s="5"/>
      <c r="FKB9" s="5"/>
      <c r="FKC9" s="5"/>
      <c r="FKD9" s="5"/>
      <c r="FKE9" s="5"/>
      <c r="FKF9" s="5"/>
      <c r="FKG9" s="5"/>
      <c r="FKH9" s="5"/>
      <c r="FKI9" s="5"/>
      <c r="FKJ9" s="5"/>
      <c r="FKK9" s="5"/>
      <c r="FKL9" s="5"/>
      <c r="FKM9" s="5"/>
      <c r="FKN9" s="5"/>
      <c r="FKO9" s="5"/>
      <c r="FKP9" s="5"/>
      <c r="FKQ9" s="5"/>
      <c r="FKR9" s="5"/>
      <c r="FKS9" s="5"/>
      <c r="FKT9" s="5"/>
      <c r="FKU9" s="5"/>
      <c r="FKV9" s="5"/>
      <c r="FKW9" s="5"/>
      <c r="FKX9" s="5"/>
      <c r="FKY9" s="5"/>
      <c r="FKZ9" s="5"/>
      <c r="FLA9" s="5"/>
      <c r="FLB9" s="5"/>
      <c r="FLC9" s="5"/>
      <c r="FLD9" s="5"/>
      <c r="FLE9" s="5"/>
      <c r="FLF9" s="5"/>
      <c r="FLG9" s="5"/>
      <c r="FLH9" s="5"/>
      <c r="FLI9" s="5"/>
      <c r="FLJ9" s="5"/>
      <c r="FLK9" s="5"/>
      <c r="FLL9" s="5"/>
      <c r="FLM9" s="5"/>
      <c r="FLN9" s="5"/>
      <c r="FLO9" s="5"/>
      <c r="FLP9" s="5"/>
      <c r="FLQ9" s="5"/>
      <c r="FLR9" s="5"/>
      <c r="FLS9" s="5"/>
      <c r="FLT9" s="5"/>
      <c r="FLU9" s="5"/>
      <c r="FLV9" s="5"/>
      <c r="FLW9" s="5"/>
      <c r="FLX9" s="5"/>
      <c r="FLY9" s="5"/>
      <c r="FLZ9" s="5"/>
      <c r="FMA9" s="5"/>
      <c r="FMB9" s="5"/>
      <c r="FMC9" s="5"/>
      <c r="FMD9" s="5"/>
      <c r="FME9" s="5"/>
      <c r="FMF9" s="5"/>
      <c r="FMG9" s="5"/>
      <c r="FMH9" s="5"/>
      <c r="FMI9" s="5"/>
      <c r="FMJ9" s="5"/>
      <c r="FMK9" s="5"/>
      <c r="FML9" s="5"/>
      <c r="FMM9" s="5"/>
      <c r="FMN9" s="5"/>
      <c r="FMO9" s="5"/>
      <c r="FMP9" s="5"/>
      <c r="FMQ9" s="5"/>
      <c r="FMR9" s="5"/>
      <c r="FMS9" s="5"/>
      <c r="FMT9" s="5"/>
      <c r="FMU9" s="5"/>
      <c r="FMV9" s="5"/>
      <c r="FMW9" s="5"/>
      <c r="FMX9" s="5"/>
      <c r="FMY9" s="5"/>
      <c r="FMZ9" s="5"/>
      <c r="FNA9" s="5"/>
      <c r="FNB9" s="5"/>
      <c r="FNC9" s="5"/>
      <c r="FND9" s="5"/>
      <c r="FNE9" s="5"/>
      <c r="FNF9" s="5"/>
      <c r="FNG9" s="5"/>
      <c r="FNH9" s="5"/>
      <c r="FNI9" s="5"/>
      <c r="FNJ9" s="5"/>
      <c r="FNK9" s="5"/>
      <c r="FNL9" s="5"/>
      <c r="FNM9" s="5"/>
      <c r="FNN9" s="5"/>
      <c r="FNO9" s="5"/>
      <c r="FNP9" s="5"/>
      <c r="FNQ9" s="5"/>
      <c r="FNR9" s="5"/>
      <c r="FNS9" s="5"/>
      <c r="FNT9" s="5"/>
      <c r="FNU9" s="5"/>
      <c r="FNV9" s="5"/>
      <c r="FNW9" s="5"/>
      <c r="FNX9" s="5"/>
      <c r="FNY9" s="5"/>
      <c r="FNZ9" s="5"/>
      <c r="FOA9" s="5"/>
      <c r="FOB9" s="5"/>
      <c r="FOC9" s="5"/>
      <c r="FOD9" s="5"/>
      <c r="FOE9" s="5"/>
      <c r="FOF9" s="5"/>
      <c r="FOG9" s="5"/>
      <c r="FOH9" s="5"/>
      <c r="FOI9" s="5"/>
      <c r="FOJ9" s="5"/>
      <c r="FOK9" s="5"/>
      <c r="FOL9" s="5"/>
      <c r="FOM9" s="5"/>
      <c r="FON9" s="5"/>
      <c r="FOO9" s="5"/>
      <c r="FOP9" s="5"/>
      <c r="FOQ9" s="5"/>
      <c r="FOR9" s="5"/>
      <c r="FOS9" s="5"/>
      <c r="FOT9" s="5"/>
      <c r="FOU9" s="5"/>
      <c r="FOV9" s="5"/>
      <c r="FOW9" s="5"/>
      <c r="FOX9" s="5"/>
      <c r="FOY9" s="5"/>
      <c r="FOZ9" s="5"/>
      <c r="FPA9" s="5"/>
      <c r="FPB9" s="5"/>
      <c r="FPC9" s="5"/>
      <c r="FPD9" s="5"/>
      <c r="FPE9" s="5"/>
      <c r="FPF9" s="5"/>
      <c r="FPG9" s="5"/>
      <c r="FPH9" s="5"/>
      <c r="FPI9" s="5"/>
      <c r="FPJ9" s="5"/>
      <c r="FPK9" s="5"/>
      <c r="FPL9" s="5"/>
      <c r="FPM9" s="5"/>
      <c r="FPN9" s="5"/>
      <c r="FPO9" s="5"/>
      <c r="FPP9" s="5"/>
      <c r="FPQ9" s="5"/>
      <c r="FPR9" s="5"/>
      <c r="FPS9" s="5"/>
      <c r="FPT9" s="5"/>
      <c r="FPU9" s="5"/>
      <c r="FPV9" s="5"/>
      <c r="FPW9" s="5"/>
      <c r="FPX9" s="5"/>
      <c r="FPY9" s="5"/>
      <c r="FPZ9" s="5"/>
      <c r="FQA9" s="5"/>
      <c r="FQB9" s="5"/>
      <c r="FQC9" s="5"/>
      <c r="FQD9" s="5"/>
      <c r="FQE9" s="5"/>
      <c r="FQF9" s="5"/>
      <c r="FQG9" s="5"/>
      <c r="FQH9" s="5"/>
      <c r="FQI9" s="5"/>
      <c r="FQJ9" s="5"/>
      <c r="FQK9" s="5"/>
      <c r="FQL9" s="5"/>
      <c r="FQM9" s="5"/>
      <c r="FQN9" s="5"/>
      <c r="FQO9" s="5"/>
      <c r="FQP9" s="5"/>
      <c r="FQQ9" s="5"/>
      <c r="FQR9" s="5"/>
      <c r="FQS9" s="5"/>
      <c r="FQT9" s="5"/>
      <c r="FQU9" s="5"/>
      <c r="FQV9" s="5"/>
      <c r="FQW9" s="5"/>
      <c r="FQX9" s="5"/>
      <c r="FQY9" s="5"/>
      <c r="FQZ9" s="5"/>
      <c r="FRA9" s="5"/>
      <c r="FRB9" s="5"/>
      <c r="FRC9" s="5"/>
      <c r="FRD9" s="5"/>
      <c r="FRE9" s="5"/>
      <c r="FRF9" s="5"/>
      <c r="FRG9" s="5"/>
      <c r="FRH9" s="5"/>
      <c r="FRI9" s="5"/>
      <c r="FRJ9" s="5"/>
      <c r="FRK9" s="5"/>
      <c r="FRL9" s="5"/>
      <c r="FRM9" s="5"/>
      <c r="FRN9" s="5"/>
      <c r="FRO9" s="5"/>
      <c r="FRP9" s="5"/>
      <c r="FRQ9" s="5"/>
      <c r="FRR9" s="5"/>
      <c r="FRS9" s="5"/>
      <c r="FRT9" s="5"/>
      <c r="FRU9" s="5"/>
      <c r="FRV9" s="5"/>
      <c r="FRW9" s="5"/>
      <c r="FRX9" s="5"/>
      <c r="FRY9" s="5"/>
      <c r="FRZ9" s="5"/>
      <c r="FSA9" s="5"/>
      <c r="FSB9" s="5"/>
      <c r="FSC9" s="5"/>
      <c r="FSD9" s="5"/>
      <c r="FSE9" s="5"/>
      <c r="FSF9" s="5"/>
      <c r="FSG9" s="5"/>
      <c r="FSH9" s="5"/>
      <c r="FSI9" s="5"/>
      <c r="FSJ9" s="5"/>
      <c r="FSK9" s="5"/>
      <c r="FSL9" s="5"/>
      <c r="FSM9" s="5"/>
      <c r="FSN9" s="5"/>
      <c r="FSO9" s="5"/>
      <c r="FSP9" s="5"/>
      <c r="FSQ9" s="5"/>
      <c r="FSR9" s="5"/>
      <c r="FSS9" s="5"/>
      <c r="FST9" s="5"/>
      <c r="FSU9" s="5"/>
      <c r="FSV9" s="5"/>
      <c r="FSW9" s="5"/>
      <c r="FSX9" s="5"/>
      <c r="FSY9" s="5"/>
      <c r="FSZ9" s="5"/>
      <c r="FTA9" s="5"/>
      <c r="FTB9" s="5"/>
      <c r="FTC9" s="5"/>
      <c r="FTD9" s="5"/>
      <c r="FTE9" s="5"/>
      <c r="FTF9" s="5"/>
      <c r="FTG9" s="5"/>
      <c r="FTH9" s="5"/>
      <c r="FTI9" s="5"/>
      <c r="FTJ9" s="5"/>
      <c r="FTK9" s="5"/>
      <c r="FTL9" s="5"/>
      <c r="FTM9" s="5"/>
      <c r="FTN9" s="5"/>
      <c r="FTO9" s="5"/>
      <c r="FTP9" s="5"/>
      <c r="FTQ9" s="5"/>
      <c r="FTR9" s="5"/>
      <c r="FTS9" s="5"/>
      <c r="FTT9" s="5"/>
      <c r="FTU9" s="5"/>
      <c r="FTV9" s="5"/>
      <c r="FTW9" s="5"/>
      <c r="FTX9" s="5"/>
      <c r="FTY9" s="5"/>
      <c r="FTZ9" s="5"/>
      <c r="FUA9" s="5"/>
      <c r="FUB9" s="5"/>
      <c r="FUC9" s="5"/>
      <c r="FUD9" s="5"/>
      <c r="FUE9" s="5"/>
      <c r="FUF9" s="5"/>
      <c r="FUG9" s="5"/>
      <c r="FUH9" s="5"/>
      <c r="FUI9" s="5"/>
      <c r="FUJ9" s="5"/>
      <c r="FUK9" s="5"/>
      <c r="FUL9" s="5"/>
      <c r="FUM9" s="5"/>
      <c r="FUN9" s="5"/>
      <c r="FUO9" s="5"/>
      <c r="FUP9" s="5"/>
      <c r="FUQ9" s="5"/>
      <c r="FUR9" s="5"/>
      <c r="FUS9" s="5"/>
      <c r="FUT9" s="5"/>
      <c r="FUU9" s="5"/>
      <c r="FUV9" s="5"/>
      <c r="FUW9" s="5"/>
      <c r="FUX9" s="5"/>
      <c r="FUY9" s="5"/>
      <c r="FUZ9" s="5"/>
      <c r="FVA9" s="5"/>
      <c r="FVB9" s="5"/>
      <c r="FVC9" s="5"/>
      <c r="FVD9" s="5"/>
      <c r="FVE9" s="5"/>
      <c r="FVF9" s="5"/>
      <c r="FVG9" s="5"/>
      <c r="FVH9" s="5"/>
      <c r="FVI9" s="5"/>
      <c r="FVJ9" s="5"/>
      <c r="FVK9" s="5"/>
      <c r="FVL9" s="5"/>
      <c r="FVM9" s="5"/>
      <c r="FVN9" s="5"/>
      <c r="FVO9" s="5"/>
      <c r="FVP9" s="5"/>
      <c r="FVQ9" s="5"/>
      <c r="FVR9" s="5"/>
      <c r="FVS9" s="5"/>
      <c r="FVT9" s="5"/>
      <c r="FVU9" s="5"/>
      <c r="FVV9" s="5"/>
      <c r="FVW9" s="5"/>
      <c r="FVX9" s="5"/>
      <c r="FVY9" s="5"/>
      <c r="FVZ9" s="5"/>
      <c r="FWA9" s="5"/>
      <c r="FWB9" s="5"/>
      <c r="FWC9" s="5"/>
      <c r="FWD9" s="5"/>
      <c r="FWE9" s="5"/>
      <c r="FWF9" s="5"/>
      <c r="FWG9" s="5"/>
      <c r="FWH9" s="5"/>
      <c r="FWI9" s="5"/>
      <c r="FWJ9" s="5"/>
      <c r="FWK9" s="5"/>
      <c r="FWL9" s="5"/>
      <c r="FWM9" s="5"/>
      <c r="FWN9" s="5"/>
      <c r="FWO9" s="5"/>
      <c r="FWP9" s="5"/>
      <c r="FWQ9" s="5"/>
      <c r="FWR9" s="5"/>
      <c r="FWS9" s="5"/>
      <c r="FWT9" s="5"/>
      <c r="FWU9" s="5"/>
      <c r="FWV9" s="5"/>
      <c r="FWW9" s="5"/>
      <c r="FWX9" s="5"/>
      <c r="FWY9" s="5"/>
      <c r="FWZ9" s="5"/>
      <c r="FXA9" s="5"/>
      <c r="FXB9" s="5"/>
      <c r="FXC9" s="5"/>
      <c r="FXD9" s="5"/>
      <c r="FXE9" s="5"/>
      <c r="FXF9" s="5"/>
      <c r="FXG9" s="5"/>
      <c r="FXH9" s="5"/>
      <c r="FXI9" s="5"/>
      <c r="FXJ9" s="5"/>
      <c r="FXK9" s="5"/>
      <c r="FXL9" s="5"/>
      <c r="FXM9" s="5"/>
      <c r="FXN9" s="5"/>
      <c r="FXO9" s="5"/>
      <c r="FXP9" s="5"/>
      <c r="FXQ9" s="5"/>
      <c r="FXR9" s="5"/>
      <c r="FXS9" s="5"/>
      <c r="FXT9" s="5"/>
      <c r="FXU9" s="5"/>
      <c r="FXV9" s="5"/>
      <c r="FXW9" s="5"/>
      <c r="FXX9" s="5"/>
      <c r="FXY9" s="5"/>
      <c r="FXZ9" s="5"/>
      <c r="FYA9" s="5"/>
      <c r="FYB9" s="5"/>
      <c r="FYC9" s="5"/>
      <c r="FYD9" s="5"/>
      <c r="FYE9" s="5"/>
      <c r="FYF9" s="5"/>
      <c r="FYG9" s="5"/>
      <c r="FYH9" s="5"/>
      <c r="FYI9" s="5"/>
      <c r="FYJ9" s="5"/>
      <c r="FYK9" s="5"/>
      <c r="FYL9" s="5"/>
      <c r="FYM9" s="5"/>
      <c r="FYN9" s="5"/>
      <c r="FYO9" s="5"/>
      <c r="FYP9" s="5"/>
      <c r="FYQ9" s="5"/>
      <c r="FYR9" s="5"/>
      <c r="FYS9" s="5"/>
      <c r="FYT9" s="5"/>
      <c r="FYU9" s="5"/>
      <c r="FYV9" s="5"/>
      <c r="FYW9" s="5"/>
      <c r="FYX9" s="5"/>
      <c r="FYY9" s="5"/>
      <c r="FYZ9" s="5"/>
      <c r="FZA9" s="5"/>
      <c r="FZB9" s="5"/>
      <c r="FZC9" s="5"/>
      <c r="FZD9" s="5"/>
      <c r="FZE9" s="5"/>
      <c r="FZF9" s="5"/>
      <c r="FZG9" s="5"/>
      <c r="FZH9" s="5"/>
      <c r="FZI9" s="5"/>
      <c r="FZJ9" s="5"/>
      <c r="FZK9" s="5"/>
      <c r="FZL9" s="5"/>
      <c r="FZM9" s="5"/>
      <c r="FZN9" s="5"/>
      <c r="FZO9" s="5"/>
      <c r="FZP9" s="5"/>
      <c r="FZQ9" s="5"/>
      <c r="FZR9" s="5"/>
      <c r="FZS9" s="5"/>
      <c r="FZT9" s="5"/>
      <c r="FZU9" s="5"/>
      <c r="FZV9" s="5"/>
      <c r="FZW9" s="5"/>
      <c r="FZX9" s="5"/>
      <c r="FZY9" s="5"/>
      <c r="FZZ9" s="5"/>
      <c r="GAA9" s="5"/>
      <c r="GAB9" s="5"/>
      <c r="GAC9" s="5"/>
      <c r="GAD9" s="5"/>
      <c r="GAE9" s="5"/>
      <c r="GAF9" s="5"/>
      <c r="GAG9" s="5"/>
      <c r="GAH9" s="5"/>
      <c r="GAI9" s="5"/>
      <c r="GAJ9" s="5"/>
      <c r="GAK9" s="5"/>
      <c r="GAL9" s="5"/>
      <c r="GAM9" s="5"/>
      <c r="GAN9" s="5"/>
      <c r="GAO9" s="5"/>
      <c r="GAP9" s="5"/>
      <c r="GAQ9" s="5"/>
      <c r="GAR9" s="5"/>
      <c r="GAS9" s="5"/>
      <c r="GAT9" s="5"/>
      <c r="GAU9" s="5"/>
      <c r="GAV9" s="5"/>
      <c r="GAW9" s="5"/>
      <c r="GAX9" s="5"/>
      <c r="GAY9" s="5"/>
      <c r="GAZ9" s="5"/>
      <c r="GBA9" s="5"/>
      <c r="GBB9" s="5"/>
      <c r="GBC9" s="5"/>
      <c r="GBD9" s="5"/>
      <c r="GBE9" s="5"/>
      <c r="GBF9" s="5"/>
      <c r="GBG9" s="5"/>
      <c r="GBH9" s="5"/>
      <c r="GBI9" s="5"/>
      <c r="GBJ9" s="5"/>
      <c r="GBK9" s="5"/>
      <c r="GBL9" s="5"/>
      <c r="GBM9" s="5"/>
      <c r="GBN9" s="5"/>
      <c r="GBO9" s="5"/>
      <c r="GBP9" s="5"/>
      <c r="GBQ9" s="5"/>
      <c r="GBR9" s="5"/>
      <c r="GBS9" s="5"/>
      <c r="GBT9" s="5"/>
      <c r="GBU9" s="5"/>
      <c r="GBV9" s="5"/>
      <c r="GBW9" s="5"/>
      <c r="GBX9" s="5"/>
      <c r="GBY9" s="5"/>
      <c r="GBZ9" s="5"/>
      <c r="GCA9" s="5"/>
      <c r="GCB9" s="5"/>
      <c r="GCC9" s="5"/>
      <c r="GCD9" s="5"/>
      <c r="GCE9" s="5"/>
      <c r="GCF9" s="5"/>
      <c r="GCG9" s="5"/>
      <c r="GCH9" s="5"/>
      <c r="GCI9" s="5"/>
      <c r="GCJ9" s="5"/>
      <c r="GCK9" s="5"/>
      <c r="GCL9" s="5"/>
      <c r="GCM9" s="5"/>
      <c r="GCN9" s="5"/>
      <c r="GCO9" s="5"/>
      <c r="GCP9" s="5"/>
      <c r="GCQ9" s="5"/>
      <c r="GCR9" s="5"/>
      <c r="GCS9" s="5"/>
      <c r="GCT9" s="5"/>
      <c r="GCU9" s="5"/>
      <c r="GCV9" s="5"/>
      <c r="GCW9" s="5"/>
      <c r="GCX9" s="5"/>
      <c r="GCY9" s="5"/>
      <c r="GCZ9" s="5"/>
      <c r="GDA9" s="5"/>
      <c r="GDB9" s="5"/>
      <c r="GDC9" s="5"/>
      <c r="GDD9" s="5"/>
      <c r="GDE9" s="5"/>
      <c r="GDF9" s="5"/>
      <c r="GDG9" s="5"/>
      <c r="GDH9" s="5"/>
      <c r="GDI9" s="5"/>
      <c r="GDJ9" s="5"/>
      <c r="GDK9" s="5"/>
      <c r="GDL9" s="5"/>
      <c r="GDM9" s="5"/>
      <c r="GDN9" s="5"/>
      <c r="GDO9" s="5"/>
      <c r="GDP9" s="5"/>
      <c r="GDQ9" s="5"/>
      <c r="GDR9" s="5"/>
      <c r="GDS9" s="5"/>
      <c r="GDT9" s="5"/>
      <c r="GDU9" s="5"/>
      <c r="GDV9" s="5"/>
      <c r="GDW9" s="5"/>
      <c r="GDX9" s="5"/>
      <c r="GDY9" s="5"/>
      <c r="GDZ9" s="5"/>
      <c r="GEA9" s="5"/>
      <c r="GEB9" s="5"/>
      <c r="GEC9" s="5"/>
      <c r="GED9" s="5"/>
      <c r="GEE9" s="5"/>
      <c r="GEF9" s="5"/>
      <c r="GEG9" s="5"/>
      <c r="GEH9" s="5"/>
      <c r="GEI9" s="5"/>
      <c r="GEJ9" s="5"/>
      <c r="GEK9" s="5"/>
      <c r="GEL9" s="5"/>
      <c r="GEM9" s="5"/>
      <c r="GEN9" s="5"/>
      <c r="GEO9" s="5"/>
      <c r="GEP9" s="5"/>
      <c r="GEQ9" s="5"/>
      <c r="GER9" s="5"/>
      <c r="GES9" s="5"/>
      <c r="GET9" s="5"/>
      <c r="GEU9" s="5"/>
      <c r="GEV9" s="5"/>
      <c r="GEW9" s="5"/>
      <c r="GEX9" s="5"/>
      <c r="GEY9" s="5"/>
      <c r="GEZ9" s="5"/>
      <c r="GFA9" s="5"/>
      <c r="GFB9" s="5"/>
      <c r="GFC9" s="5"/>
      <c r="GFD9" s="5"/>
      <c r="GFE9" s="5"/>
      <c r="GFF9" s="5"/>
      <c r="GFG9" s="5"/>
      <c r="GFH9" s="5"/>
      <c r="GFI9" s="5"/>
      <c r="GFJ9" s="5"/>
      <c r="GFK9" s="5"/>
      <c r="GFL9" s="5"/>
      <c r="GFM9" s="5"/>
      <c r="GFN9" s="5"/>
      <c r="GFO9" s="5"/>
      <c r="GFP9" s="5"/>
      <c r="GFQ9" s="5"/>
      <c r="GFR9" s="5"/>
      <c r="GFS9" s="5"/>
      <c r="GFT9" s="5"/>
      <c r="GFU9" s="5"/>
      <c r="GFV9" s="5"/>
      <c r="GFW9" s="5"/>
      <c r="GFX9" s="5"/>
      <c r="GFY9" s="5"/>
      <c r="GFZ9" s="5"/>
      <c r="GGA9" s="5"/>
      <c r="GGB9" s="5"/>
      <c r="GGC9" s="5"/>
      <c r="GGD9" s="5"/>
      <c r="GGE9" s="5"/>
      <c r="GGF9" s="5"/>
      <c r="GGG9" s="5"/>
      <c r="GGH9" s="5"/>
      <c r="GGI9" s="5"/>
      <c r="GGJ9" s="5"/>
      <c r="GGK9" s="5"/>
      <c r="GGL9" s="5"/>
      <c r="GGM9" s="5"/>
      <c r="GGN9" s="5"/>
      <c r="GGO9" s="5"/>
      <c r="GGP9" s="5"/>
      <c r="GGQ9" s="5"/>
      <c r="GGR9" s="5"/>
      <c r="GGS9" s="5"/>
      <c r="GGT9" s="5"/>
      <c r="GGU9" s="5"/>
      <c r="GGV9" s="5"/>
      <c r="GGW9" s="5"/>
      <c r="GGX9" s="5"/>
      <c r="GGY9" s="5"/>
      <c r="GGZ9" s="5"/>
      <c r="GHA9" s="5"/>
      <c r="GHB9" s="5"/>
      <c r="GHC9" s="5"/>
      <c r="GHD9" s="5"/>
      <c r="GHE9" s="5"/>
      <c r="GHF9" s="5"/>
      <c r="GHG9" s="5"/>
      <c r="GHH9" s="5"/>
      <c r="GHI9" s="5"/>
      <c r="GHJ9" s="5"/>
      <c r="GHK9" s="5"/>
      <c r="GHL9" s="5"/>
      <c r="GHM9" s="5"/>
      <c r="GHN9" s="5"/>
      <c r="GHO9" s="5"/>
      <c r="GHP9" s="5"/>
      <c r="GHQ9" s="5"/>
      <c r="GHR9" s="5"/>
      <c r="GHS9" s="5"/>
      <c r="GHT9" s="5"/>
      <c r="GHU9" s="5"/>
      <c r="GHV9" s="5"/>
      <c r="GHW9" s="5"/>
      <c r="GHX9" s="5"/>
      <c r="GHY9" s="5"/>
      <c r="GHZ9" s="5"/>
      <c r="GIA9" s="5"/>
      <c r="GIB9" s="5"/>
      <c r="GIC9" s="5"/>
      <c r="GID9" s="5"/>
      <c r="GIE9" s="5"/>
      <c r="GIF9" s="5"/>
      <c r="GIG9" s="5"/>
      <c r="GIH9" s="5"/>
      <c r="GII9" s="5"/>
      <c r="GIJ9" s="5"/>
      <c r="GIK9" s="5"/>
      <c r="GIL9" s="5"/>
      <c r="GIM9" s="5"/>
      <c r="GIN9" s="5"/>
      <c r="GIO9" s="5"/>
      <c r="GIP9" s="5"/>
      <c r="GIQ9" s="5"/>
      <c r="GIR9" s="5"/>
      <c r="GIS9" s="5"/>
      <c r="GIT9" s="5"/>
      <c r="GIU9" s="5"/>
      <c r="GIV9" s="5"/>
      <c r="GIW9" s="5"/>
      <c r="GIX9" s="5"/>
      <c r="GIY9" s="5"/>
      <c r="GIZ9" s="5"/>
      <c r="GJA9" s="5"/>
      <c r="GJB9" s="5"/>
      <c r="GJC9" s="5"/>
      <c r="GJD9" s="5"/>
      <c r="GJE9" s="5"/>
      <c r="GJF9" s="5"/>
      <c r="GJG9" s="5"/>
      <c r="GJH9" s="5"/>
      <c r="GJI9" s="5"/>
      <c r="GJJ9" s="5"/>
      <c r="GJK9" s="5"/>
      <c r="GJL9" s="5"/>
      <c r="GJM9" s="5"/>
      <c r="GJN9" s="5"/>
      <c r="GJO9" s="5"/>
      <c r="GJP9" s="5"/>
      <c r="GJQ9" s="5"/>
      <c r="GJR9" s="5"/>
      <c r="GJS9" s="5"/>
      <c r="GJT9" s="5"/>
      <c r="GJU9" s="5"/>
      <c r="GJV9" s="5"/>
      <c r="GJW9" s="5"/>
      <c r="GJX9" s="5"/>
      <c r="GJY9" s="5"/>
      <c r="GJZ9" s="5"/>
      <c r="GKA9" s="5"/>
      <c r="GKB9" s="5"/>
      <c r="GKC9" s="5"/>
      <c r="GKD9" s="5"/>
      <c r="GKE9" s="5"/>
      <c r="GKF9" s="5"/>
      <c r="GKG9" s="5"/>
      <c r="GKH9" s="5"/>
      <c r="GKI9" s="5"/>
      <c r="GKJ9" s="5"/>
      <c r="GKK9" s="5"/>
      <c r="GKL9" s="5"/>
      <c r="GKM9" s="5"/>
      <c r="GKN9" s="5"/>
      <c r="GKO9" s="5"/>
      <c r="GKP9" s="5"/>
      <c r="GKQ9" s="5"/>
      <c r="GKR9" s="5"/>
      <c r="GKS9" s="5"/>
      <c r="GKT9" s="5"/>
      <c r="GKU9" s="5"/>
      <c r="GKV9" s="5"/>
      <c r="GKW9" s="5"/>
      <c r="GKX9" s="5"/>
      <c r="GKY9" s="5"/>
      <c r="GKZ9" s="5"/>
      <c r="GLA9" s="5"/>
      <c r="GLB9" s="5"/>
      <c r="GLC9" s="5"/>
      <c r="GLD9" s="5"/>
      <c r="GLE9" s="5"/>
      <c r="GLF9" s="5"/>
      <c r="GLG9" s="5"/>
      <c r="GLH9" s="5"/>
      <c r="GLI9" s="5"/>
      <c r="GLJ9" s="5"/>
      <c r="GLK9" s="5"/>
      <c r="GLL9" s="5"/>
      <c r="GLM9" s="5"/>
      <c r="GLN9" s="5"/>
      <c r="GLO9" s="5"/>
      <c r="GLP9" s="5"/>
      <c r="GLQ9" s="5"/>
      <c r="GLR9" s="5"/>
      <c r="GLS9" s="5"/>
      <c r="GLT9" s="5"/>
      <c r="GLU9" s="5"/>
      <c r="GLV9" s="5"/>
      <c r="GLW9" s="5"/>
      <c r="GLX9" s="5"/>
      <c r="GLY9" s="5"/>
      <c r="GLZ9" s="5"/>
      <c r="GMA9" s="5"/>
      <c r="GMB9" s="5"/>
      <c r="GMC9" s="5"/>
      <c r="GMD9" s="5"/>
      <c r="GME9" s="5"/>
      <c r="GMF9" s="5"/>
      <c r="GMG9" s="5"/>
      <c r="GMH9" s="5"/>
      <c r="GMI9" s="5"/>
      <c r="GMJ9" s="5"/>
      <c r="GMK9" s="5"/>
      <c r="GML9" s="5"/>
      <c r="GMM9" s="5"/>
      <c r="GMN9" s="5"/>
      <c r="GMO9" s="5"/>
      <c r="GMP9" s="5"/>
      <c r="GMQ9" s="5"/>
      <c r="GMR9" s="5"/>
      <c r="GMS9" s="5"/>
      <c r="GMT9" s="5"/>
      <c r="GMU9" s="5"/>
      <c r="GMV9" s="5"/>
      <c r="GMW9" s="5"/>
      <c r="GMX9" s="5"/>
      <c r="GMY9" s="5"/>
      <c r="GMZ9" s="5"/>
      <c r="GNA9" s="5"/>
      <c r="GNB9" s="5"/>
      <c r="GNC9" s="5"/>
      <c r="GND9" s="5"/>
      <c r="GNE9" s="5"/>
      <c r="GNF9" s="5"/>
      <c r="GNG9" s="5"/>
      <c r="GNH9" s="5"/>
      <c r="GNI9" s="5"/>
      <c r="GNJ9" s="5"/>
      <c r="GNK9" s="5"/>
      <c r="GNL9" s="5"/>
      <c r="GNM9" s="5"/>
      <c r="GNN9" s="5"/>
      <c r="GNO9" s="5"/>
      <c r="GNP9" s="5"/>
      <c r="GNQ9" s="5"/>
      <c r="GNR9" s="5"/>
      <c r="GNS9" s="5"/>
      <c r="GNT9" s="5"/>
      <c r="GNU9" s="5"/>
      <c r="GNV9" s="5"/>
      <c r="GNW9" s="5"/>
      <c r="GNX9" s="5"/>
      <c r="GNY9" s="5"/>
      <c r="GNZ9" s="5"/>
      <c r="GOA9" s="5"/>
      <c r="GOB9" s="5"/>
      <c r="GOC9" s="5"/>
      <c r="GOD9" s="5"/>
      <c r="GOE9" s="5"/>
      <c r="GOF9" s="5"/>
      <c r="GOG9" s="5"/>
      <c r="GOH9" s="5"/>
      <c r="GOI9" s="5"/>
      <c r="GOJ9" s="5"/>
      <c r="GOK9" s="5"/>
      <c r="GOL9" s="5"/>
      <c r="GOM9" s="5"/>
      <c r="GON9" s="5"/>
      <c r="GOO9" s="5"/>
      <c r="GOP9" s="5"/>
      <c r="GOQ9" s="5"/>
      <c r="GOR9" s="5"/>
      <c r="GOS9" s="5"/>
      <c r="GOT9" s="5"/>
      <c r="GOU9" s="5"/>
      <c r="GOV9" s="5"/>
      <c r="GOW9" s="5"/>
      <c r="GOX9" s="5"/>
      <c r="GOY9" s="5"/>
      <c r="GOZ9" s="5"/>
      <c r="GPA9" s="5"/>
      <c r="GPB9" s="5"/>
      <c r="GPC9" s="5"/>
      <c r="GPD9" s="5"/>
      <c r="GPE9" s="5"/>
      <c r="GPF9" s="5"/>
      <c r="GPG9" s="5"/>
      <c r="GPH9" s="5"/>
      <c r="GPI9" s="5"/>
      <c r="GPJ9" s="5"/>
      <c r="GPK9" s="5"/>
      <c r="GPL9" s="5"/>
      <c r="GPM9" s="5"/>
      <c r="GPN9" s="5"/>
      <c r="GPO9" s="5"/>
      <c r="GPP9" s="5"/>
      <c r="GPQ9" s="5"/>
      <c r="GPR9" s="5"/>
      <c r="GPS9" s="5"/>
      <c r="GPT9" s="5"/>
      <c r="GPU9" s="5"/>
      <c r="GPV9" s="5"/>
      <c r="GPW9" s="5"/>
      <c r="GPX9" s="5"/>
      <c r="GPY9" s="5"/>
      <c r="GPZ9" s="5"/>
      <c r="GQA9" s="5"/>
      <c r="GQB9" s="5"/>
      <c r="GQC9" s="5"/>
      <c r="GQD9" s="5"/>
      <c r="GQE9" s="5"/>
      <c r="GQF9" s="5"/>
      <c r="GQG9" s="5"/>
      <c r="GQH9" s="5"/>
      <c r="GQI9" s="5"/>
      <c r="GQJ9" s="5"/>
      <c r="GQK9" s="5"/>
      <c r="GQL9" s="5"/>
      <c r="GQM9" s="5"/>
      <c r="GQN9" s="5"/>
      <c r="GQO9" s="5"/>
      <c r="GQP9" s="5"/>
      <c r="GQQ9" s="5"/>
      <c r="GQR9" s="5"/>
      <c r="GQS9" s="5"/>
      <c r="GQT9" s="5"/>
      <c r="GQU9" s="5"/>
      <c r="GQV9" s="5"/>
      <c r="GQW9" s="5"/>
      <c r="GQX9" s="5"/>
      <c r="GQY9" s="5"/>
      <c r="GQZ9" s="5"/>
      <c r="GRA9" s="5"/>
      <c r="GRB9" s="5"/>
      <c r="GRC9" s="5"/>
      <c r="GRD9" s="5"/>
      <c r="GRE9" s="5"/>
      <c r="GRF9" s="5"/>
      <c r="GRG9" s="5"/>
      <c r="GRH9" s="5"/>
      <c r="GRI9" s="5"/>
      <c r="GRJ9" s="5"/>
      <c r="GRK9" s="5"/>
      <c r="GRL9" s="5"/>
      <c r="GRM9" s="5"/>
      <c r="GRN9" s="5"/>
      <c r="GRO9" s="5"/>
      <c r="GRP9" s="5"/>
      <c r="GRQ9" s="5"/>
      <c r="GRR9" s="5"/>
      <c r="GRS9" s="5"/>
      <c r="GRT9" s="5"/>
      <c r="GRU9" s="5"/>
      <c r="GRV9" s="5"/>
      <c r="GRW9" s="5"/>
      <c r="GRX9" s="5"/>
      <c r="GRY9" s="5"/>
      <c r="GRZ9" s="5"/>
      <c r="GSA9" s="5"/>
      <c r="GSB9" s="5"/>
      <c r="GSC9" s="5"/>
      <c r="GSD9" s="5"/>
      <c r="GSE9" s="5"/>
      <c r="GSF9" s="5"/>
      <c r="GSG9" s="5"/>
      <c r="GSH9" s="5"/>
      <c r="GSI9" s="5"/>
      <c r="GSJ9" s="5"/>
      <c r="GSK9" s="5"/>
      <c r="GSL9" s="5"/>
      <c r="GSM9" s="5"/>
      <c r="GSN9" s="5"/>
      <c r="GSO9" s="5"/>
      <c r="GSP9" s="5"/>
      <c r="GSQ9" s="5"/>
      <c r="GSR9" s="5"/>
      <c r="GSS9" s="5"/>
      <c r="GST9" s="5"/>
      <c r="GSU9" s="5"/>
      <c r="GSV9" s="5"/>
      <c r="GSW9" s="5"/>
      <c r="GSX9" s="5"/>
      <c r="GSY9" s="5"/>
      <c r="GSZ9" s="5"/>
      <c r="GTA9" s="5"/>
      <c r="GTB9" s="5"/>
      <c r="GTC9" s="5"/>
      <c r="GTD9" s="5"/>
      <c r="GTE9" s="5"/>
      <c r="GTF9" s="5"/>
      <c r="GTG9" s="5"/>
      <c r="GTH9" s="5"/>
      <c r="GTI9" s="5"/>
      <c r="GTJ9" s="5"/>
      <c r="GTK9" s="5"/>
      <c r="GTL9" s="5"/>
      <c r="GTM9" s="5"/>
      <c r="GTN9" s="5"/>
      <c r="GTO9" s="5"/>
      <c r="GTP9" s="5"/>
      <c r="GTQ9" s="5"/>
      <c r="GTR9" s="5"/>
      <c r="GTS9" s="5"/>
      <c r="GTT9" s="5"/>
      <c r="GTU9" s="5"/>
      <c r="GTV9" s="5"/>
      <c r="GTW9" s="5"/>
      <c r="GTX9" s="5"/>
      <c r="GTY9" s="5"/>
      <c r="GTZ9" s="5"/>
      <c r="GUA9" s="5"/>
      <c r="GUB9" s="5"/>
      <c r="GUC9" s="5"/>
      <c r="GUD9" s="5"/>
      <c r="GUE9" s="5"/>
      <c r="GUF9" s="5"/>
      <c r="GUG9" s="5"/>
      <c r="GUH9" s="5"/>
      <c r="GUI9" s="5"/>
      <c r="GUJ9" s="5"/>
      <c r="GUK9" s="5"/>
      <c r="GUL9" s="5"/>
      <c r="GUM9" s="5"/>
      <c r="GUN9" s="5"/>
      <c r="GUO9" s="5"/>
      <c r="GUP9" s="5"/>
      <c r="GUQ9" s="5"/>
      <c r="GUR9" s="5"/>
      <c r="GUS9" s="5"/>
      <c r="GUT9" s="5"/>
      <c r="GUU9" s="5"/>
      <c r="GUV9" s="5"/>
      <c r="GUW9" s="5"/>
      <c r="GUX9" s="5"/>
      <c r="GUY9" s="5"/>
      <c r="GUZ9" s="5"/>
      <c r="GVA9" s="5"/>
      <c r="GVB9" s="5"/>
      <c r="GVC9" s="5"/>
      <c r="GVD9" s="5"/>
      <c r="GVE9" s="5"/>
      <c r="GVF9" s="5"/>
      <c r="GVG9" s="5"/>
      <c r="GVH9" s="5"/>
      <c r="GVI9" s="5"/>
      <c r="GVJ9" s="5"/>
      <c r="GVK9" s="5"/>
      <c r="GVL9" s="5"/>
      <c r="GVM9" s="5"/>
      <c r="GVN9" s="5"/>
      <c r="GVO9" s="5"/>
      <c r="GVP9" s="5"/>
      <c r="GVQ9" s="5"/>
      <c r="GVR9" s="5"/>
      <c r="GVS9" s="5"/>
      <c r="GVT9" s="5"/>
      <c r="GVU9" s="5"/>
      <c r="GVV9" s="5"/>
      <c r="GVW9" s="5"/>
      <c r="GVX9" s="5"/>
      <c r="GVY9" s="5"/>
      <c r="GVZ9" s="5"/>
      <c r="GWA9" s="5"/>
      <c r="GWB9" s="5"/>
      <c r="GWC9" s="5"/>
      <c r="GWD9" s="5"/>
      <c r="GWE9" s="5"/>
      <c r="GWF9" s="5"/>
      <c r="GWG9" s="5"/>
      <c r="GWH9" s="5"/>
      <c r="GWI9" s="5"/>
      <c r="GWJ9" s="5"/>
      <c r="GWK9" s="5"/>
      <c r="GWL9" s="5"/>
      <c r="GWM9" s="5"/>
      <c r="GWN9" s="5"/>
      <c r="GWO9" s="5"/>
      <c r="GWP9" s="5"/>
      <c r="GWQ9" s="5"/>
      <c r="GWR9" s="5"/>
      <c r="GWS9" s="5"/>
      <c r="GWT9" s="5"/>
      <c r="GWU9" s="5"/>
      <c r="GWV9" s="5"/>
      <c r="GWW9" s="5"/>
      <c r="GWX9" s="5"/>
      <c r="GWY9" s="5"/>
      <c r="GWZ9" s="5"/>
      <c r="GXA9" s="5"/>
      <c r="GXB9" s="5"/>
      <c r="GXC9" s="5"/>
      <c r="GXD9" s="5"/>
      <c r="GXE9" s="5"/>
      <c r="GXF9" s="5"/>
      <c r="GXG9" s="5"/>
      <c r="GXH9" s="5"/>
      <c r="GXI9" s="5"/>
      <c r="GXJ9" s="5"/>
      <c r="GXK9" s="5"/>
      <c r="GXL9" s="5"/>
      <c r="GXM9" s="5"/>
      <c r="GXN9" s="5"/>
      <c r="GXO9" s="5"/>
      <c r="GXP9" s="5"/>
      <c r="GXQ9" s="5"/>
      <c r="GXR9" s="5"/>
      <c r="GXS9" s="5"/>
      <c r="GXT9" s="5"/>
      <c r="GXU9" s="5"/>
      <c r="GXV9" s="5"/>
      <c r="GXW9" s="5"/>
      <c r="GXX9" s="5"/>
      <c r="GXY9" s="5"/>
      <c r="GXZ9" s="5"/>
      <c r="GYA9" s="5"/>
      <c r="GYB9" s="5"/>
      <c r="GYC9" s="5"/>
      <c r="GYD9" s="5"/>
      <c r="GYE9" s="5"/>
      <c r="GYF9" s="5"/>
      <c r="GYG9" s="5"/>
      <c r="GYH9" s="5"/>
      <c r="GYI9" s="5"/>
      <c r="GYJ9" s="5"/>
      <c r="GYK9" s="5"/>
      <c r="GYL9" s="5"/>
      <c r="GYM9" s="5"/>
      <c r="GYN9" s="5"/>
      <c r="GYO9" s="5"/>
      <c r="GYP9" s="5"/>
      <c r="GYQ9" s="5"/>
      <c r="GYR9" s="5"/>
      <c r="GYS9" s="5"/>
      <c r="GYT9" s="5"/>
      <c r="GYU9" s="5"/>
      <c r="GYV9" s="5"/>
      <c r="GYW9" s="5"/>
      <c r="GYX9" s="5"/>
      <c r="GYY9" s="5"/>
      <c r="GYZ9" s="5"/>
      <c r="GZA9" s="5"/>
      <c r="GZB9" s="5"/>
      <c r="GZC9" s="5"/>
      <c r="GZD9" s="5"/>
      <c r="GZE9" s="5"/>
      <c r="GZF9" s="5"/>
      <c r="GZG9" s="5"/>
      <c r="GZH9" s="5"/>
      <c r="GZI9" s="5"/>
      <c r="GZJ9" s="5"/>
      <c r="GZK9" s="5"/>
      <c r="GZL9" s="5"/>
      <c r="GZM9" s="5"/>
      <c r="GZN9" s="5"/>
      <c r="GZO9" s="5"/>
      <c r="GZP9" s="5"/>
      <c r="GZQ9" s="5"/>
      <c r="GZR9" s="5"/>
      <c r="GZS9" s="5"/>
      <c r="GZT9" s="5"/>
      <c r="GZU9" s="5"/>
      <c r="GZV9" s="5"/>
      <c r="GZW9" s="5"/>
      <c r="GZX9" s="5"/>
      <c r="GZY9" s="5"/>
      <c r="GZZ9" s="5"/>
      <c r="HAA9" s="5"/>
      <c r="HAB9" s="5"/>
      <c r="HAC9" s="5"/>
      <c r="HAD9" s="5"/>
      <c r="HAE9" s="5"/>
      <c r="HAF9" s="5"/>
      <c r="HAG9" s="5"/>
      <c r="HAH9" s="5"/>
      <c r="HAI9" s="5"/>
      <c r="HAJ9" s="5"/>
      <c r="HAK9" s="5"/>
      <c r="HAL9" s="5"/>
      <c r="HAM9" s="5"/>
      <c r="HAN9" s="5"/>
      <c r="HAO9" s="5"/>
      <c r="HAP9" s="5"/>
      <c r="HAQ9" s="5"/>
      <c r="HAR9" s="5"/>
      <c r="HAS9" s="5"/>
      <c r="HAT9" s="5"/>
      <c r="HAU9" s="5"/>
      <c r="HAV9" s="5"/>
      <c r="HAW9" s="5"/>
      <c r="HAX9" s="5"/>
      <c r="HAY9" s="5"/>
      <c r="HAZ9" s="5"/>
      <c r="HBA9" s="5"/>
      <c r="HBB9" s="5"/>
      <c r="HBC9" s="5"/>
      <c r="HBD9" s="5"/>
      <c r="HBE9" s="5"/>
      <c r="HBF9" s="5"/>
      <c r="HBG9" s="5"/>
      <c r="HBH9" s="5"/>
      <c r="HBI9" s="5"/>
      <c r="HBJ9" s="5"/>
      <c r="HBK9" s="5"/>
      <c r="HBL9" s="5"/>
      <c r="HBM9" s="5"/>
      <c r="HBN9" s="5"/>
      <c r="HBO9" s="5"/>
      <c r="HBP9" s="5"/>
      <c r="HBQ9" s="5"/>
      <c r="HBR9" s="5"/>
      <c r="HBS9" s="5"/>
      <c r="HBT9" s="5"/>
      <c r="HBU9" s="5"/>
      <c r="HBV9" s="5"/>
      <c r="HBW9" s="5"/>
      <c r="HBX9" s="5"/>
      <c r="HBY9" s="5"/>
      <c r="HBZ9" s="5"/>
      <c r="HCA9" s="5"/>
      <c r="HCB9" s="5"/>
      <c r="HCC9" s="5"/>
      <c r="HCD9" s="5"/>
      <c r="HCE9" s="5"/>
      <c r="HCF9" s="5"/>
      <c r="HCG9" s="5"/>
      <c r="HCH9" s="5"/>
      <c r="HCI9" s="5"/>
      <c r="HCJ9" s="5"/>
      <c r="HCK9" s="5"/>
      <c r="HCL9" s="5"/>
      <c r="HCM9" s="5"/>
      <c r="HCN9" s="5"/>
      <c r="HCO9" s="5"/>
      <c r="HCP9" s="5"/>
      <c r="HCQ9" s="5"/>
      <c r="HCR9" s="5"/>
      <c r="HCS9" s="5"/>
      <c r="HCT9" s="5"/>
      <c r="HCU9" s="5"/>
      <c r="HCV9" s="5"/>
      <c r="HCW9" s="5"/>
      <c r="HCX9" s="5"/>
      <c r="HCY9" s="5"/>
      <c r="HCZ9" s="5"/>
      <c r="HDA9" s="5"/>
      <c r="HDB9" s="5"/>
      <c r="HDC9" s="5"/>
      <c r="HDD9" s="5"/>
      <c r="HDE9" s="5"/>
      <c r="HDF9" s="5"/>
      <c r="HDG9" s="5"/>
      <c r="HDH9" s="5"/>
      <c r="HDI9" s="5"/>
      <c r="HDJ9" s="5"/>
      <c r="HDK9" s="5"/>
      <c r="HDL9" s="5"/>
      <c r="HDM9" s="5"/>
      <c r="HDN9" s="5"/>
      <c r="HDO9" s="5"/>
      <c r="HDP9" s="5"/>
      <c r="HDQ9" s="5"/>
      <c r="HDR9" s="5"/>
      <c r="HDS9" s="5"/>
      <c r="HDT9" s="5"/>
      <c r="HDU9" s="5"/>
      <c r="HDV9" s="5"/>
      <c r="HDW9" s="5"/>
      <c r="HDX9" s="5"/>
      <c r="HDY9" s="5"/>
      <c r="HDZ9" s="5"/>
      <c r="HEA9" s="5"/>
      <c r="HEB9" s="5"/>
      <c r="HEC9" s="5"/>
      <c r="HED9" s="5"/>
      <c r="HEE9" s="5"/>
      <c r="HEF9" s="5"/>
      <c r="HEG9" s="5"/>
      <c r="HEH9" s="5"/>
      <c r="HEI9" s="5"/>
      <c r="HEJ9" s="5"/>
      <c r="HEK9" s="5"/>
      <c r="HEL9" s="5"/>
      <c r="HEM9" s="5"/>
      <c r="HEN9" s="5"/>
      <c r="HEO9" s="5"/>
      <c r="HEP9" s="5"/>
      <c r="HEQ9" s="5"/>
      <c r="HER9" s="5"/>
      <c r="HES9" s="5"/>
      <c r="HET9" s="5"/>
      <c r="HEU9" s="5"/>
      <c r="HEV9" s="5"/>
      <c r="HEW9" s="5"/>
      <c r="HEX9" s="5"/>
      <c r="HEY9" s="5"/>
      <c r="HEZ9" s="5"/>
      <c r="HFA9" s="5"/>
      <c r="HFB9" s="5"/>
      <c r="HFC9" s="5"/>
      <c r="HFD9" s="5"/>
      <c r="HFE9" s="5"/>
      <c r="HFF9" s="5"/>
      <c r="HFG9" s="5"/>
      <c r="HFH9" s="5"/>
      <c r="HFI9" s="5"/>
      <c r="HFJ9" s="5"/>
      <c r="HFK9" s="5"/>
      <c r="HFL9" s="5"/>
      <c r="HFM9" s="5"/>
      <c r="HFN9" s="5"/>
      <c r="HFO9" s="5"/>
      <c r="HFP9" s="5"/>
      <c r="HFQ9" s="5"/>
      <c r="HFR9" s="5"/>
      <c r="HFS9" s="5"/>
      <c r="HFT9" s="5"/>
      <c r="HFU9" s="5"/>
      <c r="HFV9" s="5"/>
      <c r="HFW9" s="5"/>
      <c r="HFX9" s="5"/>
      <c r="HFY9" s="5"/>
      <c r="HFZ9" s="5"/>
      <c r="HGA9" s="5"/>
      <c r="HGB9" s="5"/>
      <c r="HGC9" s="5"/>
      <c r="HGD9" s="5"/>
      <c r="HGE9" s="5"/>
      <c r="HGF9" s="5"/>
      <c r="HGG9" s="5"/>
      <c r="HGH9" s="5"/>
      <c r="HGI9" s="5"/>
      <c r="HGJ9" s="5"/>
      <c r="HGK9" s="5"/>
      <c r="HGL9" s="5"/>
      <c r="HGM9" s="5"/>
      <c r="HGN9" s="5"/>
      <c r="HGO9" s="5"/>
      <c r="HGP9" s="5"/>
      <c r="HGQ9" s="5"/>
      <c r="HGR9" s="5"/>
      <c r="HGS9" s="5"/>
      <c r="HGT9" s="5"/>
      <c r="HGU9" s="5"/>
      <c r="HGV9" s="5"/>
      <c r="HGW9" s="5"/>
      <c r="HGX9" s="5"/>
      <c r="HGY9" s="5"/>
      <c r="HGZ9" s="5"/>
      <c r="HHA9" s="5"/>
      <c r="HHB9" s="5"/>
      <c r="HHC9" s="5"/>
      <c r="HHD9" s="5"/>
      <c r="HHE9" s="5"/>
      <c r="HHF9" s="5"/>
      <c r="HHG9" s="5"/>
      <c r="HHH9" s="5"/>
      <c r="HHI9" s="5"/>
      <c r="HHJ9" s="5"/>
      <c r="HHK9" s="5"/>
      <c r="HHL9" s="5"/>
      <c r="HHM9" s="5"/>
      <c r="HHN9" s="5"/>
      <c r="HHO9" s="5"/>
      <c r="HHP9" s="5"/>
      <c r="HHQ9" s="5"/>
      <c r="HHR9" s="5"/>
      <c r="HHS9" s="5"/>
      <c r="HHT9" s="5"/>
      <c r="HHU9" s="5"/>
      <c r="HHV9" s="5"/>
      <c r="HHW9" s="5"/>
      <c r="HHX9" s="5"/>
      <c r="HHY9" s="5"/>
      <c r="HHZ9" s="5"/>
      <c r="HIA9" s="5"/>
      <c r="HIB9" s="5"/>
      <c r="HIC9" s="5"/>
      <c r="HID9" s="5"/>
      <c r="HIE9" s="5"/>
      <c r="HIF9" s="5"/>
      <c r="HIG9" s="5"/>
      <c r="HIH9" s="5"/>
      <c r="HII9" s="5"/>
      <c r="HIJ9" s="5"/>
      <c r="HIK9" s="5"/>
      <c r="HIL9" s="5"/>
      <c r="HIM9" s="5"/>
      <c r="HIN9" s="5"/>
      <c r="HIO9" s="5"/>
      <c r="HIP9" s="5"/>
      <c r="HIQ9" s="5"/>
      <c r="HIR9" s="5"/>
      <c r="HIS9" s="5"/>
      <c r="HIT9" s="5"/>
      <c r="HIU9" s="5"/>
      <c r="HIV9" s="5"/>
      <c r="HIW9" s="5"/>
      <c r="HIX9" s="5"/>
      <c r="HIY9" s="5"/>
      <c r="HIZ9" s="5"/>
      <c r="HJA9" s="5"/>
      <c r="HJB9" s="5"/>
      <c r="HJC9" s="5"/>
      <c r="HJD9" s="5"/>
      <c r="HJE9" s="5"/>
      <c r="HJF9" s="5"/>
      <c r="HJG9" s="5"/>
      <c r="HJH9" s="5"/>
      <c r="HJI9" s="5"/>
      <c r="HJJ9" s="5"/>
      <c r="HJK9" s="5"/>
      <c r="HJL9" s="5"/>
      <c r="HJM9" s="5"/>
      <c r="HJN9" s="5"/>
      <c r="HJO9" s="5"/>
      <c r="HJP9" s="5"/>
      <c r="HJQ9" s="5"/>
      <c r="HJR9" s="5"/>
      <c r="HJS9" s="5"/>
      <c r="HJT9" s="5"/>
      <c r="HJU9" s="5"/>
      <c r="HJV9" s="5"/>
      <c r="HJW9" s="5"/>
      <c r="HJX9" s="5"/>
      <c r="HJY9" s="5"/>
      <c r="HJZ9" s="5"/>
      <c r="HKA9" s="5"/>
      <c r="HKB9" s="5"/>
      <c r="HKC9" s="5"/>
      <c r="HKD9" s="5"/>
      <c r="HKE9" s="5"/>
      <c r="HKF9" s="5"/>
      <c r="HKG9" s="5"/>
      <c r="HKH9" s="5"/>
      <c r="HKI9" s="5"/>
      <c r="HKJ9" s="5"/>
      <c r="HKK9" s="5"/>
      <c r="HKL9" s="5"/>
      <c r="HKM9" s="5"/>
      <c r="HKN9" s="5"/>
      <c r="HKO9" s="5"/>
      <c r="HKP9" s="5"/>
      <c r="HKQ9" s="5"/>
      <c r="HKR9" s="5"/>
      <c r="HKS9" s="5"/>
      <c r="HKT9" s="5"/>
      <c r="HKU9" s="5"/>
      <c r="HKV9" s="5"/>
      <c r="HKW9" s="5"/>
      <c r="HKX9" s="5"/>
      <c r="HKY9" s="5"/>
      <c r="HKZ9" s="5"/>
      <c r="HLA9" s="5"/>
      <c r="HLB9" s="5"/>
      <c r="HLC9" s="5"/>
      <c r="HLD9" s="5"/>
      <c r="HLE9" s="5"/>
      <c r="HLF9" s="5"/>
      <c r="HLG9" s="5"/>
      <c r="HLH9" s="5"/>
      <c r="HLI9" s="5"/>
      <c r="HLJ9" s="5"/>
      <c r="HLK9" s="5"/>
      <c r="HLL9" s="5"/>
      <c r="HLM9" s="5"/>
      <c r="HLN9" s="5"/>
      <c r="HLO9" s="5"/>
      <c r="HLP9" s="5"/>
      <c r="HLQ9" s="5"/>
      <c r="HLR9" s="5"/>
      <c r="HLS9" s="5"/>
      <c r="HLT9" s="5"/>
      <c r="HLU9" s="5"/>
      <c r="HLV9" s="5"/>
      <c r="HLW9" s="5"/>
      <c r="HLX9" s="5"/>
      <c r="HLY9" s="5"/>
      <c r="HLZ9" s="5"/>
      <c r="HMA9" s="5"/>
      <c r="HMB9" s="5"/>
      <c r="HMC9" s="5"/>
      <c r="HMD9" s="5"/>
      <c r="HME9" s="5"/>
      <c r="HMF9" s="5"/>
      <c r="HMG9" s="5"/>
      <c r="HMH9" s="5"/>
      <c r="HMI9" s="5"/>
      <c r="HMJ9" s="5"/>
      <c r="HMK9" s="5"/>
      <c r="HML9" s="5"/>
      <c r="HMM9" s="5"/>
      <c r="HMN9" s="5"/>
      <c r="HMO9" s="5"/>
      <c r="HMP9" s="5"/>
      <c r="HMQ9" s="5"/>
      <c r="HMR9" s="5"/>
      <c r="HMS9" s="5"/>
      <c r="HMT9" s="5"/>
      <c r="HMU9" s="5"/>
      <c r="HMV9" s="5"/>
      <c r="HMW9" s="5"/>
      <c r="HMX9" s="5"/>
      <c r="HMY9" s="5"/>
      <c r="HMZ9" s="5"/>
      <c r="HNA9" s="5"/>
      <c r="HNB9" s="5"/>
      <c r="HNC9" s="5"/>
      <c r="HND9" s="5"/>
      <c r="HNE9" s="5"/>
      <c r="HNF9" s="5"/>
      <c r="HNG9" s="5"/>
      <c r="HNH9" s="5"/>
      <c r="HNI9" s="5"/>
      <c r="HNJ9" s="5"/>
      <c r="HNK9" s="5"/>
      <c r="HNL9" s="5"/>
      <c r="HNM9" s="5"/>
      <c r="HNN9" s="5"/>
      <c r="HNO9" s="5"/>
      <c r="HNP9" s="5"/>
      <c r="HNQ9" s="5"/>
      <c r="HNR9" s="5"/>
      <c r="HNS9" s="5"/>
      <c r="HNT9" s="5"/>
      <c r="HNU9" s="5"/>
      <c r="HNV9" s="5"/>
      <c r="HNW9" s="5"/>
      <c r="HNX9" s="5"/>
      <c r="HNY9" s="5"/>
      <c r="HNZ9" s="5"/>
      <c r="HOA9" s="5"/>
      <c r="HOB9" s="5"/>
      <c r="HOC9" s="5"/>
      <c r="HOD9" s="5"/>
      <c r="HOE9" s="5"/>
      <c r="HOF9" s="5"/>
      <c r="HOG9" s="5"/>
      <c r="HOH9" s="5"/>
      <c r="HOI9" s="5"/>
      <c r="HOJ9" s="5"/>
      <c r="HOK9" s="5"/>
      <c r="HOL9" s="5"/>
      <c r="HOM9" s="5"/>
      <c r="HON9" s="5"/>
      <c r="HOO9" s="5"/>
      <c r="HOP9" s="5"/>
      <c r="HOQ9" s="5"/>
      <c r="HOR9" s="5"/>
      <c r="HOS9" s="5"/>
      <c r="HOT9" s="5"/>
      <c r="HOU9" s="5"/>
      <c r="HOV9" s="5"/>
      <c r="HOW9" s="5"/>
      <c r="HOX9" s="5"/>
      <c r="HOY9" s="5"/>
      <c r="HOZ9" s="5"/>
      <c r="HPA9" s="5"/>
      <c r="HPB9" s="5"/>
      <c r="HPC9" s="5"/>
      <c r="HPD9" s="5"/>
      <c r="HPE9" s="5"/>
      <c r="HPF9" s="5"/>
      <c r="HPG9" s="5"/>
      <c r="HPH9" s="5"/>
      <c r="HPI9" s="5"/>
      <c r="HPJ9" s="5"/>
      <c r="HPK9" s="5"/>
      <c r="HPL9" s="5"/>
      <c r="HPM9" s="5"/>
      <c r="HPN9" s="5"/>
      <c r="HPO9" s="5"/>
      <c r="HPP9" s="5"/>
      <c r="HPQ9" s="5"/>
      <c r="HPR9" s="5"/>
      <c r="HPS9" s="5"/>
      <c r="HPT9" s="5"/>
      <c r="HPU9" s="5"/>
      <c r="HPV9" s="5"/>
      <c r="HPW9" s="5"/>
      <c r="HPX9" s="5"/>
      <c r="HPY9" s="5"/>
      <c r="HPZ9" s="5"/>
      <c r="HQA9" s="5"/>
      <c r="HQB9" s="5"/>
      <c r="HQC9" s="5"/>
      <c r="HQD9" s="5"/>
      <c r="HQE9" s="5"/>
      <c r="HQF9" s="5"/>
      <c r="HQG9" s="5"/>
      <c r="HQH9" s="5"/>
      <c r="HQI9" s="5"/>
      <c r="HQJ9" s="5"/>
      <c r="HQK9" s="5"/>
      <c r="HQL9" s="5"/>
      <c r="HQM9" s="5"/>
      <c r="HQN9" s="5"/>
      <c r="HQO9" s="5"/>
      <c r="HQP9" s="5"/>
      <c r="HQQ9" s="5"/>
      <c r="HQR9" s="5"/>
      <c r="HQS9" s="5"/>
      <c r="HQT9" s="5"/>
      <c r="HQU9" s="5"/>
      <c r="HQV9" s="5"/>
      <c r="HQW9" s="5"/>
      <c r="HQX9" s="5"/>
      <c r="HQY9" s="5"/>
      <c r="HQZ9" s="5"/>
      <c r="HRA9" s="5"/>
      <c r="HRB9" s="5"/>
      <c r="HRC9" s="5"/>
      <c r="HRD9" s="5"/>
      <c r="HRE9" s="5"/>
      <c r="HRF9" s="5"/>
      <c r="HRG9" s="5"/>
      <c r="HRH9" s="5"/>
      <c r="HRI9" s="5"/>
      <c r="HRJ9" s="5"/>
      <c r="HRK9" s="5"/>
      <c r="HRL9" s="5"/>
      <c r="HRM9" s="5"/>
      <c r="HRN9" s="5"/>
      <c r="HRO9" s="5"/>
      <c r="HRP9" s="5"/>
      <c r="HRQ9" s="5"/>
      <c r="HRR9" s="5"/>
      <c r="HRS9" s="5"/>
      <c r="HRT9" s="5"/>
      <c r="HRU9" s="5"/>
      <c r="HRV9" s="5"/>
      <c r="HRW9" s="5"/>
      <c r="HRX9" s="5"/>
      <c r="HRY9" s="5"/>
      <c r="HRZ9" s="5"/>
      <c r="HSA9" s="5"/>
      <c r="HSB9" s="5"/>
      <c r="HSC9" s="5"/>
      <c r="HSD9" s="5"/>
      <c r="HSE9" s="5"/>
      <c r="HSF9" s="5"/>
      <c r="HSG9" s="5"/>
      <c r="HSH9" s="5"/>
      <c r="HSI9" s="5"/>
      <c r="HSJ9" s="5"/>
      <c r="HSK9" s="5"/>
      <c r="HSL9" s="5"/>
      <c r="HSM9" s="5"/>
      <c r="HSN9" s="5"/>
      <c r="HSO9" s="5"/>
      <c r="HSP9" s="5"/>
      <c r="HSQ9" s="5"/>
      <c r="HSR9" s="5"/>
      <c r="HSS9" s="5"/>
      <c r="HST9" s="5"/>
      <c r="HSU9" s="5"/>
      <c r="HSV9" s="5"/>
      <c r="HSW9" s="5"/>
      <c r="HSX9" s="5"/>
      <c r="HSY9" s="5"/>
      <c r="HSZ9" s="5"/>
      <c r="HTA9" s="5"/>
      <c r="HTB9" s="5"/>
      <c r="HTC9" s="5"/>
      <c r="HTD9" s="5"/>
      <c r="HTE9" s="5"/>
      <c r="HTF9" s="5"/>
      <c r="HTG9" s="5"/>
      <c r="HTH9" s="5"/>
      <c r="HTI9" s="5"/>
      <c r="HTJ9" s="5"/>
      <c r="HTK9" s="5"/>
      <c r="HTL9" s="5"/>
      <c r="HTM9" s="5"/>
      <c r="HTN9" s="5"/>
      <c r="HTO9" s="5"/>
      <c r="HTP9" s="5"/>
      <c r="HTQ9" s="5"/>
      <c r="HTR9" s="5"/>
      <c r="HTS9" s="5"/>
      <c r="HTT9" s="5"/>
      <c r="HTU9" s="5"/>
      <c r="HTV9" s="5"/>
      <c r="HTW9" s="5"/>
      <c r="HTX9" s="5"/>
      <c r="HTY9" s="5"/>
      <c r="HTZ9" s="5"/>
      <c r="HUA9" s="5"/>
      <c r="HUB9" s="5"/>
      <c r="HUC9" s="5"/>
      <c r="HUD9" s="5"/>
      <c r="HUE9" s="5"/>
      <c r="HUF9" s="5"/>
      <c r="HUG9" s="5"/>
      <c r="HUH9" s="5"/>
      <c r="HUI9" s="5"/>
      <c r="HUJ9" s="5"/>
      <c r="HUK9" s="5"/>
      <c r="HUL9" s="5"/>
      <c r="HUM9" s="5"/>
      <c r="HUN9" s="5"/>
      <c r="HUO9" s="5"/>
      <c r="HUP9" s="5"/>
      <c r="HUQ9" s="5"/>
      <c r="HUR9" s="5"/>
      <c r="HUS9" s="5"/>
      <c r="HUT9" s="5"/>
      <c r="HUU9" s="5"/>
      <c r="HUV9" s="5"/>
      <c r="HUW9" s="5"/>
      <c r="HUX9" s="5"/>
      <c r="HUY9" s="5"/>
      <c r="HUZ9" s="5"/>
      <c r="HVA9" s="5"/>
      <c r="HVB9" s="5"/>
      <c r="HVC9" s="5"/>
      <c r="HVD9" s="5"/>
      <c r="HVE9" s="5"/>
      <c r="HVF9" s="5"/>
      <c r="HVG9" s="5"/>
      <c r="HVH9" s="5"/>
      <c r="HVI9" s="5"/>
      <c r="HVJ9" s="5"/>
      <c r="HVK9" s="5"/>
      <c r="HVL9" s="5"/>
      <c r="HVM9" s="5"/>
      <c r="HVN9" s="5"/>
      <c r="HVO9" s="5"/>
      <c r="HVP9" s="5"/>
      <c r="HVQ9" s="5"/>
      <c r="HVR9" s="5"/>
      <c r="HVS9" s="5"/>
      <c r="HVT9" s="5"/>
      <c r="HVU9" s="5"/>
      <c r="HVV9" s="5"/>
      <c r="HVW9" s="5"/>
      <c r="HVX9" s="5"/>
      <c r="HVY9" s="5"/>
      <c r="HVZ9" s="5"/>
      <c r="HWA9" s="5"/>
      <c r="HWB9" s="5"/>
      <c r="HWC9" s="5"/>
      <c r="HWD9" s="5"/>
      <c r="HWE9" s="5"/>
      <c r="HWF9" s="5"/>
      <c r="HWG9" s="5"/>
      <c r="HWH9" s="5"/>
      <c r="HWI9" s="5"/>
      <c r="HWJ9" s="5"/>
      <c r="HWK9" s="5"/>
      <c r="HWL9" s="5"/>
      <c r="HWM9" s="5"/>
      <c r="HWN9" s="5"/>
      <c r="HWO9" s="5"/>
      <c r="HWP9" s="5"/>
      <c r="HWQ9" s="5"/>
      <c r="HWR9" s="5"/>
      <c r="HWS9" s="5"/>
      <c r="HWT9" s="5"/>
      <c r="HWU9" s="5"/>
      <c r="HWV9" s="5"/>
      <c r="HWW9" s="5"/>
      <c r="HWX9" s="5"/>
      <c r="HWY9" s="5"/>
      <c r="HWZ9" s="5"/>
      <c r="HXA9" s="5"/>
      <c r="HXB9" s="5"/>
      <c r="HXC9" s="5"/>
      <c r="HXD9" s="5"/>
      <c r="HXE9" s="5"/>
      <c r="HXF9" s="5"/>
      <c r="HXG9" s="5"/>
      <c r="HXH9" s="5"/>
      <c r="HXI9" s="5"/>
      <c r="HXJ9" s="5"/>
      <c r="HXK9" s="5"/>
      <c r="HXL9" s="5"/>
      <c r="HXM9" s="5"/>
      <c r="HXN9" s="5"/>
      <c r="HXO9" s="5"/>
      <c r="HXP9" s="5"/>
      <c r="HXQ9" s="5"/>
      <c r="HXR9" s="5"/>
      <c r="HXS9" s="5"/>
      <c r="HXT9" s="5"/>
      <c r="HXU9" s="5"/>
      <c r="HXV9" s="5"/>
      <c r="HXW9" s="5"/>
      <c r="HXX9" s="5"/>
      <c r="HXY9" s="5"/>
      <c r="HXZ9" s="5"/>
      <c r="HYA9" s="5"/>
      <c r="HYB9" s="5"/>
      <c r="HYC9" s="5"/>
      <c r="HYD9" s="5"/>
      <c r="HYE9" s="5"/>
      <c r="HYF9" s="5"/>
      <c r="HYG9" s="5"/>
      <c r="HYH9" s="5"/>
      <c r="HYI9" s="5"/>
      <c r="HYJ9" s="5"/>
      <c r="HYK9" s="5"/>
      <c r="HYL9" s="5"/>
      <c r="HYM9" s="5"/>
      <c r="HYN9" s="5"/>
      <c r="HYO9" s="5"/>
      <c r="HYP9" s="5"/>
      <c r="HYQ9" s="5"/>
      <c r="HYR9" s="5"/>
      <c r="HYS9" s="5"/>
      <c r="HYT9" s="5"/>
      <c r="HYU9" s="5"/>
      <c r="HYV9" s="5"/>
      <c r="HYW9" s="5"/>
      <c r="HYX9" s="5"/>
      <c r="HYY9" s="5"/>
      <c r="HYZ9" s="5"/>
      <c r="HZA9" s="5"/>
      <c r="HZB9" s="5"/>
      <c r="HZC9" s="5"/>
      <c r="HZD9" s="5"/>
      <c r="HZE9" s="5"/>
      <c r="HZF9" s="5"/>
      <c r="HZG9" s="5"/>
      <c r="HZH9" s="5"/>
      <c r="HZI9" s="5"/>
      <c r="HZJ9" s="5"/>
      <c r="HZK9" s="5"/>
      <c r="HZL9" s="5"/>
      <c r="HZM9" s="5"/>
      <c r="HZN9" s="5"/>
      <c r="HZO9" s="5"/>
      <c r="HZP9" s="5"/>
      <c r="HZQ9" s="5"/>
      <c r="HZR9" s="5"/>
      <c r="HZS9" s="5"/>
      <c r="HZT9" s="5"/>
      <c r="HZU9" s="5"/>
      <c r="HZV9" s="5"/>
      <c r="HZW9" s="5"/>
      <c r="HZX9" s="5"/>
      <c r="HZY9" s="5"/>
      <c r="HZZ9" s="5"/>
      <c r="IAA9" s="5"/>
      <c r="IAB9" s="5"/>
      <c r="IAC9" s="5"/>
      <c r="IAD9" s="5"/>
      <c r="IAE9" s="5"/>
      <c r="IAF9" s="5"/>
      <c r="IAG9" s="5"/>
      <c r="IAH9" s="5"/>
      <c r="IAI9" s="5"/>
      <c r="IAJ9" s="5"/>
      <c r="IAK9" s="5"/>
      <c r="IAL9" s="5"/>
      <c r="IAM9" s="5"/>
      <c r="IAN9" s="5"/>
      <c r="IAO9" s="5"/>
      <c r="IAP9" s="5"/>
      <c r="IAQ9" s="5"/>
      <c r="IAR9" s="5"/>
      <c r="IAS9" s="5"/>
      <c r="IAT9" s="5"/>
      <c r="IAU9" s="5"/>
      <c r="IAV9" s="5"/>
      <c r="IAW9" s="5"/>
      <c r="IAX9" s="5"/>
      <c r="IAY9" s="5"/>
      <c r="IAZ9" s="5"/>
      <c r="IBA9" s="5"/>
      <c r="IBB9" s="5"/>
      <c r="IBC9" s="5"/>
      <c r="IBD9" s="5"/>
      <c r="IBE9" s="5"/>
      <c r="IBF9" s="5"/>
      <c r="IBG9" s="5"/>
      <c r="IBH9" s="5"/>
      <c r="IBI9" s="5"/>
      <c r="IBJ9" s="5"/>
      <c r="IBK9" s="5"/>
      <c r="IBL9" s="5"/>
      <c r="IBM9" s="5"/>
      <c r="IBN9" s="5"/>
      <c r="IBO9" s="5"/>
      <c r="IBP9" s="5"/>
      <c r="IBQ9" s="5"/>
      <c r="IBR9" s="5"/>
      <c r="IBS9" s="5"/>
      <c r="IBT9" s="5"/>
      <c r="IBU9" s="5"/>
      <c r="IBV9" s="5"/>
      <c r="IBW9" s="5"/>
      <c r="IBX9" s="5"/>
      <c r="IBY9" s="5"/>
      <c r="IBZ9" s="5"/>
      <c r="ICA9" s="5"/>
      <c r="ICB9" s="5"/>
      <c r="ICC9" s="5"/>
      <c r="ICD9" s="5"/>
      <c r="ICE9" s="5"/>
      <c r="ICF9" s="5"/>
      <c r="ICG9" s="5"/>
      <c r="ICH9" s="5"/>
      <c r="ICI9" s="5"/>
      <c r="ICJ9" s="5"/>
      <c r="ICK9" s="5"/>
      <c r="ICL9" s="5"/>
      <c r="ICM9" s="5"/>
      <c r="ICN9" s="5"/>
      <c r="ICO9" s="5"/>
      <c r="ICP9" s="5"/>
      <c r="ICQ9" s="5"/>
      <c r="ICR9" s="5"/>
      <c r="ICS9" s="5"/>
      <c r="ICT9" s="5"/>
      <c r="ICU9" s="5"/>
      <c r="ICV9" s="5"/>
      <c r="ICW9" s="5"/>
      <c r="ICX9" s="5"/>
      <c r="ICY9" s="5"/>
      <c r="ICZ9" s="5"/>
      <c r="IDA9" s="5"/>
      <c r="IDB9" s="5"/>
      <c r="IDC9" s="5"/>
      <c r="IDD9" s="5"/>
      <c r="IDE9" s="5"/>
      <c r="IDF9" s="5"/>
      <c r="IDG9" s="5"/>
      <c r="IDH9" s="5"/>
      <c r="IDI9" s="5"/>
      <c r="IDJ9" s="5"/>
      <c r="IDK9" s="5"/>
      <c r="IDL9" s="5"/>
      <c r="IDM9" s="5"/>
      <c r="IDN9" s="5"/>
      <c r="IDO9" s="5"/>
      <c r="IDP9" s="5"/>
      <c r="IDQ9" s="5"/>
      <c r="IDR9" s="5"/>
      <c r="IDS9" s="5"/>
      <c r="IDT9" s="5"/>
      <c r="IDU9" s="5"/>
      <c r="IDV9" s="5"/>
      <c r="IDW9" s="5"/>
      <c r="IDX9" s="5"/>
      <c r="IDY9" s="5"/>
      <c r="IDZ9" s="5"/>
      <c r="IEA9" s="5"/>
      <c r="IEB9" s="5"/>
      <c r="IEC9" s="5"/>
      <c r="IED9" s="5"/>
      <c r="IEE9" s="5"/>
      <c r="IEF9" s="5"/>
      <c r="IEG9" s="5"/>
      <c r="IEH9" s="5"/>
      <c r="IEI9" s="5"/>
      <c r="IEJ9" s="5"/>
      <c r="IEK9" s="5"/>
      <c r="IEL9" s="5"/>
      <c r="IEM9" s="5"/>
      <c r="IEN9" s="5"/>
      <c r="IEO9" s="5"/>
      <c r="IEP9" s="5"/>
      <c r="IEQ9" s="5"/>
      <c r="IER9" s="5"/>
      <c r="IES9" s="5"/>
      <c r="IET9" s="5"/>
      <c r="IEU9" s="5"/>
      <c r="IEV9" s="5"/>
      <c r="IEW9" s="5"/>
      <c r="IEX9" s="5"/>
      <c r="IEY9" s="5"/>
      <c r="IEZ9" s="5"/>
      <c r="IFA9" s="5"/>
      <c r="IFB9" s="5"/>
      <c r="IFC9" s="5"/>
      <c r="IFD9" s="5"/>
      <c r="IFE9" s="5"/>
      <c r="IFF9" s="5"/>
      <c r="IFG9" s="5"/>
      <c r="IFH9" s="5"/>
      <c r="IFI9" s="5"/>
      <c r="IFJ9" s="5"/>
      <c r="IFK9" s="5"/>
      <c r="IFL9" s="5"/>
      <c r="IFM9" s="5"/>
      <c r="IFN9" s="5"/>
      <c r="IFO9" s="5"/>
      <c r="IFP9" s="5"/>
      <c r="IFQ9" s="5"/>
      <c r="IFR9" s="5"/>
      <c r="IFS9" s="5"/>
      <c r="IFT9" s="5"/>
      <c r="IFU9" s="5"/>
      <c r="IFV9" s="5"/>
      <c r="IFW9" s="5"/>
      <c r="IFX9" s="5"/>
      <c r="IFY9" s="5"/>
      <c r="IFZ9" s="5"/>
      <c r="IGA9" s="5"/>
      <c r="IGB9" s="5"/>
      <c r="IGC9" s="5"/>
      <c r="IGD9" s="5"/>
      <c r="IGE9" s="5"/>
      <c r="IGF9" s="5"/>
      <c r="IGG9" s="5"/>
      <c r="IGH9" s="5"/>
      <c r="IGI9" s="5"/>
      <c r="IGJ9" s="5"/>
      <c r="IGK9" s="5"/>
      <c r="IGL9" s="5"/>
      <c r="IGM9" s="5"/>
      <c r="IGN9" s="5"/>
      <c r="IGO9" s="5"/>
      <c r="IGP9" s="5"/>
      <c r="IGQ9" s="5"/>
      <c r="IGR9" s="5"/>
      <c r="IGS9" s="5"/>
      <c r="IGT9" s="5"/>
      <c r="IGU9" s="5"/>
      <c r="IGV9" s="5"/>
      <c r="IGW9" s="5"/>
      <c r="IGX9" s="5"/>
      <c r="IGY9" s="5"/>
      <c r="IGZ9" s="5"/>
      <c r="IHA9" s="5"/>
      <c r="IHB9" s="5"/>
      <c r="IHC9" s="5"/>
      <c r="IHD9" s="5"/>
      <c r="IHE9" s="5"/>
      <c r="IHF9" s="5"/>
      <c r="IHG9" s="5"/>
      <c r="IHH9" s="5"/>
      <c r="IHI9" s="5"/>
      <c r="IHJ9" s="5"/>
      <c r="IHK9" s="5"/>
      <c r="IHL9" s="5"/>
      <c r="IHM9" s="5"/>
      <c r="IHN9" s="5"/>
      <c r="IHO9" s="5"/>
      <c r="IHP9" s="5"/>
      <c r="IHQ9" s="5"/>
      <c r="IHR9" s="5"/>
      <c r="IHS9" s="5"/>
      <c r="IHT9" s="5"/>
      <c r="IHU9" s="5"/>
      <c r="IHV9" s="5"/>
      <c r="IHW9" s="5"/>
      <c r="IHX9" s="5"/>
      <c r="IHY9" s="5"/>
      <c r="IHZ9" s="5"/>
      <c r="IIA9" s="5"/>
      <c r="IIB9" s="5"/>
      <c r="IIC9" s="5"/>
      <c r="IID9" s="5"/>
      <c r="IIE9" s="5"/>
      <c r="IIF9" s="5"/>
      <c r="IIG9" s="5"/>
      <c r="IIH9" s="5"/>
      <c r="III9" s="5"/>
      <c r="IIJ9" s="5"/>
      <c r="IIK9" s="5"/>
      <c r="IIL9" s="5"/>
      <c r="IIM9" s="5"/>
      <c r="IIN9" s="5"/>
      <c r="IIO9" s="5"/>
      <c r="IIP9" s="5"/>
      <c r="IIQ9" s="5"/>
      <c r="IIR9" s="5"/>
      <c r="IIS9" s="5"/>
      <c r="IIT9" s="5"/>
      <c r="IIU9" s="5"/>
      <c r="IIV9" s="5"/>
      <c r="IIW9" s="5"/>
      <c r="IIX9" s="5"/>
      <c r="IIY9" s="5"/>
      <c r="IIZ9" s="5"/>
      <c r="IJA9" s="5"/>
      <c r="IJB9" s="5"/>
      <c r="IJC9" s="5"/>
      <c r="IJD9" s="5"/>
      <c r="IJE9" s="5"/>
      <c r="IJF9" s="5"/>
      <c r="IJG9" s="5"/>
      <c r="IJH9" s="5"/>
      <c r="IJI9" s="5"/>
      <c r="IJJ9" s="5"/>
      <c r="IJK9" s="5"/>
      <c r="IJL9" s="5"/>
      <c r="IJM9" s="5"/>
      <c r="IJN9" s="5"/>
      <c r="IJO9" s="5"/>
      <c r="IJP9" s="5"/>
      <c r="IJQ9" s="5"/>
      <c r="IJR9" s="5"/>
      <c r="IJS9" s="5"/>
      <c r="IJT9" s="5"/>
      <c r="IJU9" s="5"/>
      <c r="IJV9" s="5"/>
      <c r="IJW9" s="5"/>
      <c r="IJX9" s="5"/>
      <c r="IJY9" s="5"/>
      <c r="IJZ9" s="5"/>
      <c r="IKA9" s="5"/>
      <c r="IKB9" s="5"/>
      <c r="IKC9" s="5"/>
      <c r="IKD9" s="5"/>
      <c r="IKE9" s="5"/>
      <c r="IKF9" s="5"/>
      <c r="IKG9" s="5"/>
      <c r="IKH9" s="5"/>
      <c r="IKI9" s="5"/>
      <c r="IKJ9" s="5"/>
      <c r="IKK9" s="5"/>
      <c r="IKL9" s="5"/>
      <c r="IKM9" s="5"/>
      <c r="IKN9" s="5"/>
      <c r="IKO9" s="5"/>
      <c r="IKP9" s="5"/>
      <c r="IKQ9" s="5"/>
      <c r="IKR9" s="5"/>
      <c r="IKS9" s="5"/>
      <c r="IKT9" s="5"/>
      <c r="IKU9" s="5"/>
      <c r="IKV9" s="5"/>
      <c r="IKW9" s="5"/>
      <c r="IKX9" s="5"/>
      <c r="IKY9" s="5"/>
      <c r="IKZ9" s="5"/>
      <c r="ILA9" s="5"/>
      <c r="ILB9" s="5"/>
      <c r="ILC9" s="5"/>
      <c r="ILD9" s="5"/>
      <c r="ILE9" s="5"/>
      <c r="ILF9" s="5"/>
      <c r="ILG9" s="5"/>
      <c r="ILH9" s="5"/>
      <c r="ILI9" s="5"/>
      <c r="ILJ9" s="5"/>
      <c r="ILK9" s="5"/>
      <c r="ILL9" s="5"/>
      <c r="ILM9" s="5"/>
      <c r="ILN9" s="5"/>
      <c r="ILO9" s="5"/>
      <c r="ILP9" s="5"/>
      <c r="ILQ9" s="5"/>
      <c r="ILR9" s="5"/>
      <c r="ILS9" s="5"/>
      <c r="ILT9" s="5"/>
      <c r="ILU9" s="5"/>
      <c r="ILV9" s="5"/>
      <c r="ILW9" s="5"/>
      <c r="ILX9" s="5"/>
      <c r="ILY9" s="5"/>
      <c r="ILZ9" s="5"/>
      <c r="IMA9" s="5"/>
      <c r="IMB9" s="5"/>
      <c r="IMC9" s="5"/>
      <c r="IMD9" s="5"/>
      <c r="IME9" s="5"/>
      <c r="IMF9" s="5"/>
      <c r="IMG9" s="5"/>
      <c r="IMH9" s="5"/>
      <c r="IMI9" s="5"/>
      <c r="IMJ9" s="5"/>
      <c r="IMK9" s="5"/>
      <c r="IML9" s="5"/>
      <c r="IMM9" s="5"/>
      <c r="IMN9" s="5"/>
      <c r="IMO9" s="5"/>
      <c r="IMP9" s="5"/>
      <c r="IMQ9" s="5"/>
      <c r="IMR9" s="5"/>
      <c r="IMS9" s="5"/>
      <c r="IMT9" s="5"/>
      <c r="IMU9" s="5"/>
      <c r="IMV9" s="5"/>
      <c r="IMW9" s="5"/>
      <c r="IMX9" s="5"/>
      <c r="IMY9" s="5"/>
      <c r="IMZ9" s="5"/>
      <c r="INA9" s="5"/>
      <c r="INB9" s="5"/>
      <c r="INC9" s="5"/>
      <c r="IND9" s="5"/>
      <c r="INE9" s="5"/>
      <c r="INF9" s="5"/>
      <c r="ING9" s="5"/>
      <c r="INH9" s="5"/>
      <c r="INI9" s="5"/>
      <c r="INJ9" s="5"/>
      <c r="INK9" s="5"/>
      <c r="INL9" s="5"/>
      <c r="INM9" s="5"/>
      <c r="INN9" s="5"/>
      <c r="INO9" s="5"/>
      <c r="INP9" s="5"/>
      <c r="INQ9" s="5"/>
      <c r="INR9" s="5"/>
      <c r="INS9" s="5"/>
      <c r="INT9" s="5"/>
      <c r="INU9" s="5"/>
      <c r="INV9" s="5"/>
      <c r="INW9" s="5"/>
      <c r="INX9" s="5"/>
      <c r="INY9" s="5"/>
      <c r="INZ9" s="5"/>
      <c r="IOA9" s="5"/>
      <c r="IOB9" s="5"/>
      <c r="IOC9" s="5"/>
      <c r="IOD9" s="5"/>
      <c r="IOE9" s="5"/>
      <c r="IOF9" s="5"/>
      <c r="IOG9" s="5"/>
      <c r="IOH9" s="5"/>
      <c r="IOI9" s="5"/>
      <c r="IOJ9" s="5"/>
      <c r="IOK9" s="5"/>
      <c r="IOL9" s="5"/>
      <c r="IOM9" s="5"/>
      <c r="ION9" s="5"/>
      <c r="IOO9" s="5"/>
      <c r="IOP9" s="5"/>
      <c r="IOQ9" s="5"/>
      <c r="IOR9" s="5"/>
      <c r="IOS9" s="5"/>
      <c r="IOT9" s="5"/>
      <c r="IOU9" s="5"/>
      <c r="IOV9" s="5"/>
      <c r="IOW9" s="5"/>
      <c r="IOX9" s="5"/>
      <c r="IOY9" s="5"/>
      <c r="IOZ9" s="5"/>
      <c r="IPA9" s="5"/>
      <c r="IPB9" s="5"/>
      <c r="IPC9" s="5"/>
      <c r="IPD9" s="5"/>
      <c r="IPE9" s="5"/>
      <c r="IPF9" s="5"/>
      <c r="IPG9" s="5"/>
      <c r="IPH9" s="5"/>
      <c r="IPI9" s="5"/>
      <c r="IPJ9" s="5"/>
      <c r="IPK9" s="5"/>
      <c r="IPL9" s="5"/>
      <c r="IPM9" s="5"/>
      <c r="IPN9" s="5"/>
      <c r="IPO9" s="5"/>
      <c r="IPP9" s="5"/>
      <c r="IPQ9" s="5"/>
      <c r="IPR9" s="5"/>
      <c r="IPS9" s="5"/>
      <c r="IPT9" s="5"/>
      <c r="IPU9" s="5"/>
      <c r="IPV9" s="5"/>
      <c r="IPW9" s="5"/>
      <c r="IPX9" s="5"/>
      <c r="IPY9" s="5"/>
      <c r="IPZ9" s="5"/>
      <c r="IQA9" s="5"/>
      <c r="IQB9" s="5"/>
      <c r="IQC9" s="5"/>
      <c r="IQD9" s="5"/>
      <c r="IQE9" s="5"/>
      <c r="IQF9" s="5"/>
      <c r="IQG9" s="5"/>
      <c r="IQH9" s="5"/>
      <c r="IQI9" s="5"/>
      <c r="IQJ9" s="5"/>
      <c r="IQK9" s="5"/>
      <c r="IQL9" s="5"/>
      <c r="IQM9" s="5"/>
      <c r="IQN9" s="5"/>
      <c r="IQO9" s="5"/>
      <c r="IQP9" s="5"/>
      <c r="IQQ9" s="5"/>
      <c r="IQR9" s="5"/>
      <c r="IQS9" s="5"/>
      <c r="IQT9" s="5"/>
      <c r="IQU9" s="5"/>
      <c r="IQV9" s="5"/>
      <c r="IQW9" s="5"/>
      <c r="IQX9" s="5"/>
      <c r="IQY9" s="5"/>
      <c r="IQZ9" s="5"/>
      <c r="IRA9" s="5"/>
      <c r="IRB9" s="5"/>
      <c r="IRC9" s="5"/>
      <c r="IRD9" s="5"/>
      <c r="IRE9" s="5"/>
      <c r="IRF9" s="5"/>
      <c r="IRG9" s="5"/>
      <c r="IRH9" s="5"/>
      <c r="IRI9" s="5"/>
      <c r="IRJ9" s="5"/>
      <c r="IRK9" s="5"/>
      <c r="IRL9" s="5"/>
      <c r="IRM9" s="5"/>
      <c r="IRN9" s="5"/>
      <c r="IRO9" s="5"/>
      <c r="IRP9" s="5"/>
      <c r="IRQ9" s="5"/>
      <c r="IRR9" s="5"/>
      <c r="IRS9" s="5"/>
      <c r="IRT9" s="5"/>
      <c r="IRU9" s="5"/>
      <c r="IRV9" s="5"/>
      <c r="IRW9" s="5"/>
      <c r="IRX9" s="5"/>
      <c r="IRY9" s="5"/>
      <c r="IRZ9" s="5"/>
      <c r="ISA9" s="5"/>
      <c r="ISB9" s="5"/>
      <c r="ISC9" s="5"/>
      <c r="ISD9" s="5"/>
      <c r="ISE9" s="5"/>
      <c r="ISF9" s="5"/>
      <c r="ISG9" s="5"/>
      <c r="ISH9" s="5"/>
      <c r="ISI9" s="5"/>
      <c r="ISJ9" s="5"/>
      <c r="ISK9" s="5"/>
      <c r="ISL9" s="5"/>
      <c r="ISM9" s="5"/>
      <c r="ISN9" s="5"/>
      <c r="ISO9" s="5"/>
      <c r="ISP9" s="5"/>
      <c r="ISQ9" s="5"/>
      <c r="ISR9" s="5"/>
      <c r="ISS9" s="5"/>
      <c r="IST9" s="5"/>
      <c r="ISU9" s="5"/>
      <c r="ISV9" s="5"/>
      <c r="ISW9" s="5"/>
      <c r="ISX9" s="5"/>
      <c r="ISY9" s="5"/>
      <c r="ISZ9" s="5"/>
      <c r="ITA9" s="5"/>
      <c r="ITB9" s="5"/>
      <c r="ITC9" s="5"/>
      <c r="ITD9" s="5"/>
      <c r="ITE9" s="5"/>
      <c r="ITF9" s="5"/>
      <c r="ITG9" s="5"/>
      <c r="ITH9" s="5"/>
      <c r="ITI9" s="5"/>
      <c r="ITJ9" s="5"/>
      <c r="ITK9" s="5"/>
      <c r="ITL9" s="5"/>
      <c r="ITM9" s="5"/>
      <c r="ITN9" s="5"/>
      <c r="ITO9" s="5"/>
      <c r="ITP9" s="5"/>
      <c r="ITQ9" s="5"/>
      <c r="ITR9" s="5"/>
      <c r="ITS9" s="5"/>
      <c r="ITT9" s="5"/>
      <c r="ITU9" s="5"/>
      <c r="ITV9" s="5"/>
      <c r="ITW9" s="5"/>
      <c r="ITX9" s="5"/>
      <c r="ITY9" s="5"/>
      <c r="ITZ9" s="5"/>
      <c r="IUA9" s="5"/>
      <c r="IUB9" s="5"/>
      <c r="IUC9" s="5"/>
      <c r="IUD9" s="5"/>
      <c r="IUE9" s="5"/>
      <c r="IUF9" s="5"/>
      <c r="IUG9" s="5"/>
      <c r="IUH9" s="5"/>
      <c r="IUI9" s="5"/>
      <c r="IUJ9" s="5"/>
      <c r="IUK9" s="5"/>
      <c r="IUL9" s="5"/>
      <c r="IUM9" s="5"/>
      <c r="IUN9" s="5"/>
      <c r="IUO9" s="5"/>
      <c r="IUP9" s="5"/>
      <c r="IUQ9" s="5"/>
      <c r="IUR9" s="5"/>
      <c r="IUS9" s="5"/>
      <c r="IUT9" s="5"/>
      <c r="IUU9" s="5"/>
      <c r="IUV9" s="5"/>
      <c r="IUW9" s="5"/>
      <c r="IUX9" s="5"/>
      <c r="IUY9" s="5"/>
      <c r="IUZ9" s="5"/>
      <c r="IVA9" s="5"/>
      <c r="IVB9" s="5"/>
      <c r="IVC9" s="5"/>
      <c r="IVD9" s="5"/>
      <c r="IVE9" s="5"/>
      <c r="IVF9" s="5"/>
      <c r="IVG9" s="5"/>
      <c r="IVH9" s="5"/>
      <c r="IVI9" s="5"/>
      <c r="IVJ9" s="5"/>
      <c r="IVK9" s="5"/>
      <c r="IVL9" s="5"/>
      <c r="IVM9" s="5"/>
      <c r="IVN9" s="5"/>
      <c r="IVO9" s="5"/>
      <c r="IVP9" s="5"/>
      <c r="IVQ9" s="5"/>
      <c r="IVR9" s="5"/>
      <c r="IVS9" s="5"/>
      <c r="IVT9" s="5"/>
      <c r="IVU9" s="5"/>
      <c r="IVV9" s="5"/>
      <c r="IVW9" s="5"/>
      <c r="IVX9" s="5"/>
      <c r="IVY9" s="5"/>
      <c r="IVZ9" s="5"/>
      <c r="IWA9" s="5"/>
      <c r="IWB9" s="5"/>
      <c r="IWC9" s="5"/>
      <c r="IWD9" s="5"/>
      <c r="IWE9" s="5"/>
      <c r="IWF9" s="5"/>
      <c r="IWG9" s="5"/>
      <c r="IWH9" s="5"/>
      <c r="IWI9" s="5"/>
      <c r="IWJ9" s="5"/>
      <c r="IWK9" s="5"/>
      <c r="IWL9" s="5"/>
      <c r="IWM9" s="5"/>
      <c r="IWN9" s="5"/>
      <c r="IWO9" s="5"/>
      <c r="IWP9" s="5"/>
      <c r="IWQ9" s="5"/>
      <c r="IWR9" s="5"/>
      <c r="IWS9" s="5"/>
      <c r="IWT9" s="5"/>
      <c r="IWU9" s="5"/>
      <c r="IWV9" s="5"/>
      <c r="IWW9" s="5"/>
      <c r="IWX9" s="5"/>
      <c r="IWY9" s="5"/>
      <c r="IWZ9" s="5"/>
      <c r="IXA9" s="5"/>
      <c r="IXB9" s="5"/>
      <c r="IXC9" s="5"/>
      <c r="IXD9" s="5"/>
      <c r="IXE9" s="5"/>
      <c r="IXF9" s="5"/>
      <c r="IXG9" s="5"/>
      <c r="IXH9" s="5"/>
      <c r="IXI9" s="5"/>
      <c r="IXJ9" s="5"/>
      <c r="IXK9" s="5"/>
      <c r="IXL9" s="5"/>
      <c r="IXM9" s="5"/>
      <c r="IXN9" s="5"/>
      <c r="IXO9" s="5"/>
      <c r="IXP9" s="5"/>
      <c r="IXQ9" s="5"/>
      <c r="IXR9" s="5"/>
      <c r="IXS9" s="5"/>
      <c r="IXT9" s="5"/>
      <c r="IXU9" s="5"/>
      <c r="IXV9" s="5"/>
      <c r="IXW9" s="5"/>
      <c r="IXX9" s="5"/>
      <c r="IXY9" s="5"/>
      <c r="IXZ9" s="5"/>
      <c r="IYA9" s="5"/>
      <c r="IYB9" s="5"/>
      <c r="IYC9" s="5"/>
      <c r="IYD9" s="5"/>
      <c r="IYE9" s="5"/>
      <c r="IYF9" s="5"/>
      <c r="IYG9" s="5"/>
      <c r="IYH9" s="5"/>
      <c r="IYI9" s="5"/>
      <c r="IYJ9" s="5"/>
      <c r="IYK9" s="5"/>
      <c r="IYL9" s="5"/>
      <c r="IYM9" s="5"/>
      <c r="IYN9" s="5"/>
      <c r="IYO9" s="5"/>
      <c r="IYP9" s="5"/>
      <c r="IYQ9" s="5"/>
      <c r="IYR9" s="5"/>
      <c r="IYS9" s="5"/>
      <c r="IYT9" s="5"/>
      <c r="IYU9" s="5"/>
      <c r="IYV9" s="5"/>
      <c r="IYW9" s="5"/>
      <c r="IYX9" s="5"/>
      <c r="IYY9" s="5"/>
      <c r="IYZ9" s="5"/>
      <c r="IZA9" s="5"/>
      <c r="IZB9" s="5"/>
      <c r="IZC9" s="5"/>
      <c r="IZD9" s="5"/>
      <c r="IZE9" s="5"/>
      <c r="IZF9" s="5"/>
      <c r="IZG9" s="5"/>
      <c r="IZH9" s="5"/>
      <c r="IZI9" s="5"/>
      <c r="IZJ9" s="5"/>
      <c r="IZK9" s="5"/>
      <c r="IZL9" s="5"/>
      <c r="IZM9" s="5"/>
      <c r="IZN9" s="5"/>
      <c r="IZO9" s="5"/>
      <c r="IZP9" s="5"/>
      <c r="IZQ9" s="5"/>
      <c r="IZR9" s="5"/>
      <c r="IZS9" s="5"/>
      <c r="IZT9" s="5"/>
      <c r="IZU9" s="5"/>
      <c r="IZV9" s="5"/>
      <c r="IZW9" s="5"/>
      <c r="IZX9" s="5"/>
      <c r="IZY9" s="5"/>
      <c r="IZZ9" s="5"/>
      <c r="JAA9" s="5"/>
      <c r="JAB9" s="5"/>
      <c r="JAC9" s="5"/>
      <c r="JAD9" s="5"/>
      <c r="JAE9" s="5"/>
      <c r="JAF9" s="5"/>
      <c r="JAG9" s="5"/>
      <c r="JAH9" s="5"/>
      <c r="JAI9" s="5"/>
      <c r="JAJ9" s="5"/>
      <c r="JAK9" s="5"/>
      <c r="JAL9" s="5"/>
      <c r="JAM9" s="5"/>
      <c r="JAN9" s="5"/>
      <c r="JAO9" s="5"/>
      <c r="JAP9" s="5"/>
      <c r="JAQ9" s="5"/>
      <c r="JAR9" s="5"/>
      <c r="JAS9" s="5"/>
      <c r="JAT9" s="5"/>
      <c r="JAU9" s="5"/>
      <c r="JAV9" s="5"/>
      <c r="JAW9" s="5"/>
      <c r="JAX9" s="5"/>
      <c r="JAY9" s="5"/>
      <c r="JAZ9" s="5"/>
      <c r="JBA9" s="5"/>
      <c r="JBB9" s="5"/>
      <c r="JBC9" s="5"/>
      <c r="JBD9" s="5"/>
      <c r="JBE9" s="5"/>
      <c r="JBF9" s="5"/>
      <c r="JBG9" s="5"/>
      <c r="JBH9" s="5"/>
      <c r="JBI9" s="5"/>
      <c r="JBJ9" s="5"/>
      <c r="JBK9" s="5"/>
      <c r="JBL9" s="5"/>
      <c r="JBM9" s="5"/>
      <c r="JBN9" s="5"/>
      <c r="JBO9" s="5"/>
      <c r="JBP9" s="5"/>
      <c r="JBQ9" s="5"/>
      <c r="JBR9" s="5"/>
      <c r="JBS9" s="5"/>
      <c r="JBT9" s="5"/>
      <c r="JBU9" s="5"/>
      <c r="JBV9" s="5"/>
      <c r="JBW9" s="5"/>
      <c r="JBX9" s="5"/>
      <c r="JBY9" s="5"/>
      <c r="JBZ9" s="5"/>
      <c r="JCA9" s="5"/>
      <c r="JCB9" s="5"/>
      <c r="JCC9" s="5"/>
      <c r="JCD9" s="5"/>
      <c r="JCE9" s="5"/>
      <c r="JCF9" s="5"/>
      <c r="JCG9" s="5"/>
      <c r="JCH9" s="5"/>
      <c r="JCI9" s="5"/>
      <c r="JCJ9" s="5"/>
      <c r="JCK9" s="5"/>
      <c r="JCL9" s="5"/>
      <c r="JCM9" s="5"/>
      <c r="JCN9" s="5"/>
      <c r="JCO9" s="5"/>
      <c r="JCP9" s="5"/>
      <c r="JCQ9" s="5"/>
      <c r="JCR9" s="5"/>
      <c r="JCS9" s="5"/>
      <c r="JCT9" s="5"/>
      <c r="JCU9" s="5"/>
      <c r="JCV9" s="5"/>
      <c r="JCW9" s="5"/>
      <c r="JCX9" s="5"/>
      <c r="JCY9" s="5"/>
      <c r="JCZ9" s="5"/>
      <c r="JDA9" s="5"/>
      <c r="JDB9" s="5"/>
      <c r="JDC9" s="5"/>
      <c r="JDD9" s="5"/>
      <c r="JDE9" s="5"/>
      <c r="JDF9" s="5"/>
      <c r="JDG9" s="5"/>
      <c r="JDH9" s="5"/>
      <c r="JDI9" s="5"/>
      <c r="JDJ9" s="5"/>
      <c r="JDK9" s="5"/>
      <c r="JDL9" s="5"/>
      <c r="JDM9" s="5"/>
      <c r="JDN9" s="5"/>
      <c r="JDO9" s="5"/>
      <c r="JDP9" s="5"/>
      <c r="JDQ9" s="5"/>
      <c r="JDR9" s="5"/>
      <c r="JDS9" s="5"/>
      <c r="JDT9" s="5"/>
      <c r="JDU9" s="5"/>
      <c r="JDV9" s="5"/>
      <c r="JDW9" s="5"/>
      <c r="JDX9" s="5"/>
      <c r="JDY9" s="5"/>
      <c r="JDZ9" s="5"/>
      <c r="JEA9" s="5"/>
      <c r="JEB9" s="5"/>
      <c r="JEC9" s="5"/>
      <c r="JED9" s="5"/>
      <c r="JEE9" s="5"/>
      <c r="JEF9" s="5"/>
      <c r="JEG9" s="5"/>
      <c r="JEH9" s="5"/>
      <c r="JEI9" s="5"/>
      <c r="JEJ9" s="5"/>
      <c r="JEK9" s="5"/>
      <c r="JEL9" s="5"/>
      <c r="JEM9" s="5"/>
      <c r="JEN9" s="5"/>
      <c r="JEO9" s="5"/>
      <c r="JEP9" s="5"/>
      <c r="JEQ9" s="5"/>
      <c r="JER9" s="5"/>
      <c r="JES9" s="5"/>
      <c r="JET9" s="5"/>
      <c r="JEU9" s="5"/>
      <c r="JEV9" s="5"/>
      <c r="JEW9" s="5"/>
      <c r="JEX9" s="5"/>
      <c r="JEY9" s="5"/>
      <c r="JEZ9" s="5"/>
      <c r="JFA9" s="5"/>
      <c r="JFB9" s="5"/>
      <c r="JFC9" s="5"/>
      <c r="JFD9" s="5"/>
      <c r="JFE9" s="5"/>
      <c r="JFF9" s="5"/>
      <c r="JFG9" s="5"/>
      <c r="JFH9" s="5"/>
      <c r="JFI9" s="5"/>
      <c r="JFJ9" s="5"/>
      <c r="JFK9" s="5"/>
      <c r="JFL9" s="5"/>
      <c r="JFM9" s="5"/>
      <c r="JFN9" s="5"/>
      <c r="JFO9" s="5"/>
      <c r="JFP9" s="5"/>
      <c r="JFQ9" s="5"/>
      <c r="JFR9" s="5"/>
      <c r="JFS9" s="5"/>
      <c r="JFT9" s="5"/>
      <c r="JFU9" s="5"/>
      <c r="JFV9" s="5"/>
      <c r="JFW9" s="5"/>
      <c r="JFX9" s="5"/>
      <c r="JFY9" s="5"/>
      <c r="JFZ9" s="5"/>
      <c r="JGA9" s="5"/>
      <c r="JGB9" s="5"/>
      <c r="JGC9" s="5"/>
      <c r="JGD9" s="5"/>
      <c r="JGE9" s="5"/>
      <c r="JGF9" s="5"/>
      <c r="JGG9" s="5"/>
      <c r="JGH9" s="5"/>
      <c r="JGI9" s="5"/>
      <c r="JGJ9" s="5"/>
      <c r="JGK9" s="5"/>
      <c r="JGL9" s="5"/>
      <c r="JGM9" s="5"/>
      <c r="JGN9" s="5"/>
      <c r="JGO9" s="5"/>
      <c r="JGP9" s="5"/>
      <c r="JGQ9" s="5"/>
      <c r="JGR9" s="5"/>
      <c r="JGS9" s="5"/>
      <c r="JGT9" s="5"/>
      <c r="JGU9" s="5"/>
      <c r="JGV9" s="5"/>
      <c r="JGW9" s="5"/>
      <c r="JGX9" s="5"/>
      <c r="JGY9" s="5"/>
      <c r="JGZ9" s="5"/>
      <c r="JHA9" s="5"/>
      <c r="JHB9" s="5"/>
      <c r="JHC9" s="5"/>
      <c r="JHD9" s="5"/>
      <c r="JHE9" s="5"/>
      <c r="JHF9" s="5"/>
      <c r="JHG9" s="5"/>
      <c r="JHH9" s="5"/>
      <c r="JHI9" s="5"/>
      <c r="JHJ9" s="5"/>
      <c r="JHK9" s="5"/>
      <c r="JHL9" s="5"/>
      <c r="JHM9" s="5"/>
      <c r="JHN9" s="5"/>
      <c r="JHO9" s="5"/>
      <c r="JHP9" s="5"/>
      <c r="JHQ9" s="5"/>
      <c r="JHR9" s="5"/>
      <c r="JHS9" s="5"/>
      <c r="JHT9" s="5"/>
      <c r="JHU9" s="5"/>
      <c r="JHV9" s="5"/>
      <c r="JHW9" s="5"/>
      <c r="JHX9" s="5"/>
      <c r="JHY9" s="5"/>
      <c r="JHZ9" s="5"/>
      <c r="JIA9" s="5"/>
      <c r="JIB9" s="5"/>
      <c r="JIC9" s="5"/>
      <c r="JID9" s="5"/>
      <c r="JIE9" s="5"/>
      <c r="JIF9" s="5"/>
      <c r="JIG9" s="5"/>
      <c r="JIH9" s="5"/>
      <c r="JII9" s="5"/>
      <c r="JIJ9" s="5"/>
      <c r="JIK9" s="5"/>
      <c r="JIL9" s="5"/>
      <c r="JIM9" s="5"/>
      <c r="JIN9" s="5"/>
      <c r="JIO9" s="5"/>
      <c r="JIP9" s="5"/>
      <c r="JIQ9" s="5"/>
      <c r="JIR9" s="5"/>
      <c r="JIS9" s="5"/>
      <c r="JIT9" s="5"/>
      <c r="JIU9" s="5"/>
      <c r="JIV9" s="5"/>
      <c r="JIW9" s="5"/>
      <c r="JIX9" s="5"/>
      <c r="JIY9" s="5"/>
      <c r="JIZ9" s="5"/>
      <c r="JJA9" s="5"/>
      <c r="JJB9" s="5"/>
      <c r="JJC9" s="5"/>
      <c r="JJD9" s="5"/>
      <c r="JJE9" s="5"/>
      <c r="JJF9" s="5"/>
      <c r="JJG9" s="5"/>
      <c r="JJH9" s="5"/>
      <c r="JJI9" s="5"/>
      <c r="JJJ9" s="5"/>
      <c r="JJK9" s="5"/>
      <c r="JJL9" s="5"/>
      <c r="JJM9" s="5"/>
      <c r="JJN9" s="5"/>
      <c r="JJO9" s="5"/>
      <c r="JJP9" s="5"/>
      <c r="JJQ9" s="5"/>
      <c r="JJR9" s="5"/>
      <c r="JJS9" s="5"/>
      <c r="JJT9" s="5"/>
      <c r="JJU9" s="5"/>
      <c r="JJV9" s="5"/>
      <c r="JJW9" s="5"/>
      <c r="JJX9" s="5"/>
      <c r="JJY9" s="5"/>
      <c r="JJZ9" s="5"/>
      <c r="JKA9" s="5"/>
      <c r="JKB9" s="5"/>
      <c r="JKC9" s="5"/>
      <c r="JKD9" s="5"/>
      <c r="JKE9" s="5"/>
      <c r="JKF9" s="5"/>
      <c r="JKG9" s="5"/>
      <c r="JKH9" s="5"/>
      <c r="JKI9" s="5"/>
      <c r="JKJ9" s="5"/>
      <c r="JKK9" s="5"/>
      <c r="JKL9" s="5"/>
      <c r="JKM9" s="5"/>
      <c r="JKN9" s="5"/>
      <c r="JKO9" s="5"/>
      <c r="JKP9" s="5"/>
      <c r="JKQ9" s="5"/>
      <c r="JKR9" s="5"/>
      <c r="JKS9" s="5"/>
      <c r="JKT9" s="5"/>
      <c r="JKU9" s="5"/>
      <c r="JKV9" s="5"/>
      <c r="JKW9" s="5"/>
      <c r="JKX9" s="5"/>
      <c r="JKY9" s="5"/>
      <c r="JKZ9" s="5"/>
      <c r="JLA9" s="5"/>
      <c r="JLB9" s="5"/>
      <c r="JLC9" s="5"/>
      <c r="JLD9" s="5"/>
      <c r="JLE9" s="5"/>
      <c r="JLF9" s="5"/>
      <c r="JLG9" s="5"/>
      <c r="JLH9" s="5"/>
      <c r="JLI9" s="5"/>
      <c r="JLJ9" s="5"/>
      <c r="JLK9" s="5"/>
      <c r="JLL9" s="5"/>
      <c r="JLM9" s="5"/>
      <c r="JLN9" s="5"/>
      <c r="JLO9" s="5"/>
      <c r="JLP9" s="5"/>
      <c r="JLQ9" s="5"/>
      <c r="JLR9" s="5"/>
      <c r="JLS9" s="5"/>
      <c r="JLT9" s="5"/>
      <c r="JLU9" s="5"/>
      <c r="JLV9" s="5"/>
      <c r="JLW9" s="5"/>
      <c r="JLX9" s="5"/>
      <c r="JLY9" s="5"/>
      <c r="JLZ9" s="5"/>
      <c r="JMA9" s="5"/>
      <c r="JMB9" s="5"/>
      <c r="JMC9" s="5"/>
      <c r="JMD9" s="5"/>
      <c r="JME9" s="5"/>
      <c r="JMF9" s="5"/>
      <c r="JMG9" s="5"/>
      <c r="JMH9" s="5"/>
      <c r="JMI9" s="5"/>
      <c r="JMJ9" s="5"/>
      <c r="JMK9" s="5"/>
      <c r="JML9" s="5"/>
      <c r="JMM9" s="5"/>
      <c r="JMN9" s="5"/>
      <c r="JMO9" s="5"/>
      <c r="JMP9" s="5"/>
      <c r="JMQ9" s="5"/>
      <c r="JMR9" s="5"/>
      <c r="JMS9" s="5"/>
      <c r="JMT9" s="5"/>
      <c r="JMU9" s="5"/>
      <c r="JMV9" s="5"/>
      <c r="JMW9" s="5"/>
      <c r="JMX9" s="5"/>
      <c r="JMY9" s="5"/>
      <c r="JMZ9" s="5"/>
      <c r="JNA9" s="5"/>
      <c r="JNB9" s="5"/>
      <c r="JNC9" s="5"/>
      <c r="JND9" s="5"/>
      <c r="JNE9" s="5"/>
      <c r="JNF9" s="5"/>
      <c r="JNG9" s="5"/>
      <c r="JNH9" s="5"/>
      <c r="JNI9" s="5"/>
      <c r="JNJ9" s="5"/>
      <c r="JNK9" s="5"/>
      <c r="JNL9" s="5"/>
      <c r="JNM9" s="5"/>
      <c r="JNN9" s="5"/>
      <c r="JNO9" s="5"/>
      <c r="JNP9" s="5"/>
      <c r="JNQ9" s="5"/>
      <c r="JNR9" s="5"/>
      <c r="JNS9" s="5"/>
      <c r="JNT9" s="5"/>
      <c r="JNU9" s="5"/>
      <c r="JNV9" s="5"/>
      <c r="JNW9" s="5"/>
      <c r="JNX9" s="5"/>
      <c r="JNY9" s="5"/>
      <c r="JNZ9" s="5"/>
      <c r="JOA9" s="5"/>
      <c r="JOB9" s="5"/>
      <c r="JOC9" s="5"/>
      <c r="JOD9" s="5"/>
      <c r="JOE9" s="5"/>
      <c r="JOF9" s="5"/>
      <c r="JOG9" s="5"/>
      <c r="JOH9" s="5"/>
      <c r="JOI9" s="5"/>
      <c r="JOJ9" s="5"/>
      <c r="JOK9" s="5"/>
      <c r="JOL9" s="5"/>
      <c r="JOM9" s="5"/>
      <c r="JON9" s="5"/>
      <c r="JOO9" s="5"/>
      <c r="JOP9" s="5"/>
      <c r="JOQ9" s="5"/>
      <c r="JOR9" s="5"/>
      <c r="JOS9" s="5"/>
      <c r="JOT9" s="5"/>
      <c r="JOU9" s="5"/>
      <c r="JOV9" s="5"/>
      <c r="JOW9" s="5"/>
      <c r="JOX9" s="5"/>
      <c r="JOY9" s="5"/>
      <c r="JOZ9" s="5"/>
      <c r="JPA9" s="5"/>
      <c r="JPB9" s="5"/>
      <c r="JPC9" s="5"/>
      <c r="JPD9" s="5"/>
      <c r="JPE9" s="5"/>
      <c r="JPF9" s="5"/>
      <c r="JPG9" s="5"/>
      <c r="JPH9" s="5"/>
      <c r="JPI9" s="5"/>
      <c r="JPJ9" s="5"/>
      <c r="JPK9" s="5"/>
      <c r="JPL9" s="5"/>
      <c r="JPM9" s="5"/>
      <c r="JPN9" s="5"/>
      <c r="JPO9" s="5"/>
      <c r="JPP9" s="5"/>
      <c r="JPQ9" s="5"/>
      <c r="JPR9" s="5"/>
      <c r="JPS9" s="5"/>
      <c r="JPT9" s="5"/>
      <c r="JPU9" s="5"/>
      <c r="JPV9" s="5"/>
      <c r="JPW9" s="5"/>
      <c r="JPX9" s="5"/>
      <c r="JPY9" s="5"/>
      <c r="JPZ9" s="5"/>
      <c r="JQA9" s="5"/>
      <c r="JQB9" s="5"/>
      <c r="JQC9" s="5"/>
      <c r="JQD9" s="5"/>
      <c r="JQE9" s="5"/>
      <c r="JQF9" s="5"/>
      <c r="JQG9" s="5"/>
      <c r="JQH9" s="5"/>
      <c r="JQI9" s="5"/>
      <c r="JQJ9" s="5"/>
      <c r="JQK9" s="5"/>
      <c r="JQL9" s="5"/>
      <c r="JQM9" s="5"/>
      <c r="JQN9" s="5"/>
      <c r="JQO9" s="5"/>
      <c r="JQP9" s="5"/>
      <c r="JQQ9" s="5"/>
      <c r="JQR9" s="5"/>
      <c r="JQS9" s="5"/>
      <c r="JQT9" s="5"/>
      <c r="JQU9" s="5"/>
      <c r="JQV9" s="5"/>
      <c r="JQW9" s="5"/>
      <c r="JQX9" s="5"/>
      <c r="JQY9" s="5"/>
      <c r="JQZ9" s="5"/>
      <c r="JRA9" s="5"/>
      <c r="JRB9" s="5"/>
      <c r="JRC9" s="5"/>
      <c r="JRD9" s="5"/>
      <c r="JRE9" s="5"/>
      <c r="JRF9" s="5"/>
      <c r="JRG9" s="5"/>
      <c r="JRH9" s="5"/>
      <c r="JRI9" s="5"/>
      <c r="JRJ9" s="5"/>
      <c r="JRK9" s="5"/>
      <c r="JRL9" s="5"/>
      <c r="JRM9" s="5"/>
      <c r="JRN9" s="5"/>
      <c r="JRO9" s="5"/>
      <c r="JRP9" s="5"/>
      <c r="JRQ9" s="5"/>
      <c r="JRR9" s="5"/>
      <c r="JRS9" s="5"/>
      <c r="JRT9" s="5"/>
      <c r="JRU9" s="5"/>
      <c r="JRV9" s="5"/>
      <c r="JRW9" s="5"/>
      <c r="JRX9" s="5"/>
      <c r="JRY9" s="5"/>
      <c r="JRZ9" s="5"/>
      <c r="JSA9" s="5"/>
      <c r="JSB9" s="5"/>
      <c r="JSC9" s="5"/>
      <c r="JSD9" s="5"/>
      <c r="JSE9" s="5"/>
      <c r="JSF9" s="5"/>
      <c r="JSG9" s="5"/>
      <c r="JSH9" s="5"/>
      <c r="JSI9" s="5"/>
      <c r="JSJ9" s="5"/>
      <c r="JSK9" s="5"/>
      <c r="JSL9" s="5"/>
      <c r="JSM9" s="5"/>
      <c r="JSN9" s="5"/>
      <c r="JSO9" s="5"/>
      <c r="JSP9" s="5"/>
      <c r="JSQ9" s="5"/>
      <c r="JSR9" s="5"/>
      <c r="JSS9" s="5"/>
      <c r="JST9" s="5"/>
      <c r="JSU9" s="5"/>
      <c r="JSV9" s="5"/>
      <c r="JSW9" s="5"/>
      <c r="JSX9" s="5"/>
      <c r="JSY9" s="5"/>
      <c r="JSZ9" s="5"/>
      <c r="JTA9" s="5"/>
      <c r="JTB9" s="5"/>
      <c r="JTC9" s="5"/>
      <c r="JTD9" s="5"/>
      <c r="JTE9" s="5"/>
      <c r="JTF9" s="5"/>
      <c r="JTG9" s="5"/>
      <c r="JTH9" s="5"/>
      <c r="JTI9" s="5"/>
      <c r="JTJ9" s="5"/>
      <c r="JTK9" s="5"/>
      <c r="JTL9" s="5"/>
      <c r="JTM9" s="5"/>
      <c r="JTN9" s="5"/>
      <c r="JTO9" s="5"/>
      <c r="JTP9" s="5"/>
      <c r="JTQ9" s="5"/>
      <c r="JTR9" s="5"/>
      <c r="JTS9" s="5"/>
      <c r="JTT9" s="5"/>
      <c r="JTU9" s="5"/>
      <c r="JTV9" s="5"/>
      <c r="JTW9" s="5"/>
      <c r="JTX9" s="5"/>
      <c r="JTY9" s="5"/>
      <c r="JTZ9" s="5"/>
      <c r="JUA9" s="5"/>
      <c r="JUB9" s="5"/>
      <c r="JUC9" s="5"/>
      <c r="JUD9" s="5"/>
      <c r="JUE9" s="5"/>
      <c r="JUF9" s="5"/>
      <c r="JUG9" s="5"/>
      <c r="JUH9" s="5"/>
      <c r="JUI9" s="5"/>
      <c r="JUJ9" s="5"/>
      <c r="JUK9" s="5"/>
      <c r="JUL9" s="5"/>
      <c r="JUM9" s="5"/>
      <c r="JUN9" s="5"/>
      <c r="JUO9" s="5"/>
      <c r="JUP9" s="5"/>
      <c r="JUQ9" s="5"/>
      <c r="JUR9" s="5"/>
      <c r="JUS9" s="5"/>
      <c r="JUT9" s="5"/>
      <c r="JUU9" s="5"/>
      <c r="JUV9" s="5"/>
      <c r="JUW9" s="5"/>
      <c r="JUX9" s="5"/>
      <c r="JUY9" s="5"/>
      <c r="JUZ9" s="5"/>
      <c r="JVA9" s="5"/>
      <c r="JVB9" s="5"/>
      <c r="JVC9" s="5"/>
      <c r="JVD9" s="5"/>
      <c r="JVE9" s="5"/>
      <c r="JVF9" s="5"/>
      <c r="JVG9" s="5"/>
      <c r="JVH9" s="5"/>
      <c r="JVI9" s="5"/>
      <c r="JVJ9" s="5"/>
      <c r="JVK9" s="5"/>
      <c r="JVL9" s="5"/>
      <c r="JVM9" s="5"/>
      <c r="JVN9" s="5"/>
      <c r="JVO9" s="5"/>
      <c r="JVP9" s="5"/>
      <c r="JVQ9" s="5"/>
      <c r="JVR9" s="5"/>
      <c r="JVS9" s="5"/>
      <c r="JVT9" s="5"/>
      <c r="JVU9" s="5"/>
      <c r="JVV9" s="5"/>
      <c r="JVW9" s="5"/>
      <c r="JVX9" s="5"/>
      <c r="JVY9" s="5"/>
      <c r="JVZ9" s="5"/>
      <c r="JWA9" s="5"/>
      <c r="JWB9" s="5"/>
      <c r="JWC9" s="5"/>
      <c r="JWD9" s="5"/>
      <c r="JWE9" s="5"/>
      <c r="JWF9" s="5"/>
      <c r="JWG9" s="5"/>
      <c r="JWH9" s="5"/>
      <c r="JWI9" s="5"/>
      <c r="JWJ9" s="5"/>
      <c r="JWK9" s="5"/>
      <c r="JWL9" s="5"/>
      <c r="JWM9" s="5"/>
      <c r="JWN9" s="5"/>
      <c r="JWO9" s="5"/>
      <c r="JWP9" s="5"/>
      <c r="JWQ9" s="5"/>
      <c r="JWR9" s="5"/>
      <c r="JWS9" s="5"/>
      <c r="JWT9" s="5"/>
      <c r="JWU9" s="5"/>
      <c r="JWV9" s="5"/>
      <c r="JWW9" s="5"/>
      <c r="JWX9" s="5"/>
      <c r="JWY9" s="5"/>
      <c r="JWZ9" s="5"/>
      <c r="JXA9" s="5"/>
      <c r="JXB9" s="5"/>
      <c r="JXC9" s="5"/>
      <c r="JXD9" s="5"/>
      <c r="JXE9" s="5"/>
      <c r="JXF9" s="5"/>
      <c r="JXG9" s="5"/>
      <c r="JXH9" s="5"/>
      <c r="JXI9" s="5"/>
      <c r="JXJ9" s="5"/>
      <c r="JXK9" s="5"/>
      <c r="JXL9" s="5"/>
      <c r="JXM9" s="5"/>
      <c r="JXN9" s="5"/>
      <c r="JXO9" s="5"/>
      <c r="JXP9" s="5"/>
      <c r="JXQ9" s="5"/>
      <c r="JXR9" s="5"/>
      <c r="JXS9" s="5"/>
      <c r="JXT9" s="5"/>
      <c r="JXU9" s="5"/>
      <c r="JXV9" s="5"/>
      <c r="JXW9" s="5"/>
      <c r="JXX9" s="5"/>
      <c r="JXY9" s="5"/>
      <c r="JXZ9" s="5"/>
      <c r="JYA9" s="5"/>
      <c r="JYB9" s="5"/>
      <c r="JYC9" s="5"/>
      <c r="JYD9" s="5"/>
      <c r="JYE9" s="5"/>
      <c r="JYF9" s="5"/>
      <c r="JYG9" s="5"/>
      <c r="JYH9" s="5"/>
      <c r="JYI9" s="5"/>
      <c r="JYJ9" s="5"/>
      <c r="JYK9" s="5"/>
      <c r="JYL9" s="5"/>
      <c r="JYM9" s="5"/>
      <c r="JYN9" s="5"/>
      <c r="JYO9" s="5"/>
      <c r="JYP9" s="5"/>
      <c r="JYQ9" s="5"/>
      <c r="JYR9" s="5"/>
      <c r="JYS9" s="5"/>
      <c r="JYT9" s="5"/>
      <c r="JYU9" s="5"/>
      <c r="JYV9" s="5"/>
      <c r="JYW9" s="5"/>
      <c r="JYX9" s="5"/>
      <c r="JYY9" s="5"/>
      <c r="JYZ9" s="5"/>
      <c r="JZA9" s="5"/>
      <c r="JZB9" s="5"/>
      <c r="JZC9" s="5"/>
      <c r="JZD9" s="5"/>
      <c r="JZE9" s="5"/>
      <c r="JZF9" s="5"/>
      <c r="JZG9" s="5"/>
      <c r="JZH9" s="5"/>
      <c r="JZI9" s="5"/>
      <c r="JZJ9" s="5"/>
      <c r="JZK9" s="5"/>
      <c r="JZL9" s="5"/>
      <c r="JZM9" s="5"/>
      <c r="JZN9" s="5"/>
      <c r="JZO9" s="5"/>
      <c r="JZP9" s="5"/>
      <c r="JZQ9" s="5"/>
      <c r="JZR9" s="5"/>
      <c r="JZS9" s="5"/>
      <c r="JZT9" s="5"/>
      <c r="JZU9" s="5"/>
      <c r="JZV9" s="5"/>
      <c r="JZW9" s="5"/>
      <c r="JZX9" s="5"/>
      <c r="JZY9" s="5"/>
      <c r="JZZ9" s="5"/>
      <c r="KAA9" s="5"/>
      <c r="KAB9" s="5"/>
      <c r="KAC9" s="5"/>
      <c r="KAD9" s="5"/>
      <c r="KAE9" s="5"/>
      <c r="KAF9" s="5"/>
      <c r="KAG9" s="5"/>
      <c r="KAH9" s="5"/>
      <c r="KAI9" s="5"/>
      <c r="KAJ9" s="5"/>
      <c r="KAK9" s="5"/>
      <c r="KAL9" s="5"/>
      <c r="KAM9" s="5"/>
      <c r="KAN9" s="5"/>
      <c r="KAO9" s="5"/>
      <c r="KAP9" s="5"/>
      <c r="KAQ9" s="5"/>
      <c r="KAR9" s="5"/>
      <c r="KAS9" s="5"/>
      <c r="KAT9" s="5"/>
      <c r="KAU9" s="5"/>
      <c r="KAV9" s="5"/>
      <c r="KAW9" s="5"/>
      <c r="KAX9" s="5"/>
      <c r="KAY9" s="5"/>
      <c r="KAZ9" s="5"/>
      <c r="KBA9" s="5"/>
      <c r="KBB9" s="5"/>
      <c r="KBC9" s="5"/>
      <c r="KBD9" s="5"/>
      <c r="KBE9" s="5"/>
      <c r="KBF9" s="5"/>
      <c r="KBG9" s="5"/>
      <c r="KBH9" s="5"/>
      <c r="KBI9" s="5"/>
      <c r="KBJ9" s="5"/>
      <c r="KBK9" s="5"/>
      <c r="KBL9" s="5"/>
      <c r="KBM9" s="5"/>
      <c r="KBN9" s="5"/>
      <c r="KBO9" s="5"/>
      <c r="KBP9" s="5"/>
      <c r="KBQ9" s="5"/>
      <c r="KBR9" s="5"/>
      <c r="KBS9" s="5"/>
      <c r="KBT9" s="5"/>
      <c r="KBU9" s="5"/>
      <c r="KBV9" s="5"/>
      <c r="KBW9" s="5"/>
      <c r="KBX9" s="5"/>
      <c r="KBY9" s="5"/>
      <c r="KBZ9" s="5"/>
      <c r="KCA9" s="5"/>
      <c r="KCB9" s="5"/>
      <c r="KCC9" s="5"/>
      <c r="KCD9" s="5"/>
      <c r="KCE9" s="5"/>
      <c r="KCF9" s="5"/>
      <c r="KCG9" s="5"/>
      <c r="KCH9" s="5"/>
      <c r="KCI9" s="5"/>
      <c r="KCJ9" s="5"/>
      <c r="KCK9" s="5"/>
      <c r="KCL9" s="5"/>
      <c r="KCM9" s="5"/>
      <c r="KCN9" s="5"/>
      <c r="KCO9" s="5"/>
      <c r="KCP9" s="5"/>
      <c r="KCQ9" s="5"/>
      <c r="KCR9" s="5"/>
      <c r="KCS9" s="5"/>
      <c r="KCT9" s="5"/>
      <c r="KCU9" s="5"/>
      <c r="KCV9" s="5"/>
      <c r="KCW9" s="5"/>
      <c r="KCX9" s="5"/>
      <c r="KCY9" s="5"/>
      <c r="KCZ9" s="5"/>
      <c r="KDA9" s="5"/>
      <c r="KDB9" s="5"/>
      <c r="KDC9" s="5"/>
      <c r="KDD9" s="5"/>
      <c r="KDE9" s="5"/>
      <c r="KDF9" s="5"/>
      <c r="KDG9" s="5"/>
      <c r="KDH9" s="5"/>
      <c r="KDI9" s="5"/>
      <c r="KDJ9" s="5"/>
      <c r="KDK9" s="5"/>
      <c r="KDL9" s="5"/>
      <c r="KDM9" s="5"/>
      <c r="KDN9" s="5"/>
      <c r="KDO9" s="5"/>
      <c r="KDP9" s="5"/>
      <c r="KDQ9" s="5"/>
      <c r="KDR9" s="5"/>
      <c r="KDS9" s="5"/>
      <c r="KDT9" s="5"/>
      <c r="KDU9" s="5"/>
      <c r="KDV9" s="5"/>
      <c r="KDW9" s="5"/>
      <c r="KDX9" s="5"/>
      <c r="KDY9" s="5"/>
      <c r="KDZ9" s="5"/>
      <c r="KEA9" s="5"/>
      <c r="KEB9" s="5"/>
      <c r="KEC9" s="5"/>
      <c r="KED9" s="5"/>
      <c r="KEE9" s="5"/>
      <c r="KEF9" s="5"/>
      <c r="KEG9" s="5"/>
      <c r="KEH9" s="5"/>
      <c r="KEI9" s="5"/>
      <c r="KEJ9" s="5"/>
      <c r="KEK9" s="5"/>
      <c r="KEL9" s="5"/>
      <c r="KEM9" s="5"/>
      <c r="KEN9" s="5"/>
      <c r="KEO9" s="5"/>
      <c r="KEP9" s="5"/>
      <c r="KEQ9" s="5"/>
      <c r="KER9" s="5"/>
      <c r="KES9" s="5"/>
      <c r="KET9" s="5"/>
      <c r="KEU9" s="5"/>
      <c r="KEV9" s="5"/>
      <c r="KEW9" s="5"/>
      <c r="KEX9" s="5"/>
      <c r="KEY9" s="5"/>
      <c r="KEZ9" s="5"/>
      <c r="KFA9" s="5"/>
      <c r="KFB9" s="5"/>
      <c r="KFC9" s="5"/>
      <c r="KFD9" s="5"/>
      <c r="KFE9" s="5"/>
      <c r="KFF9" s="5"/>
      <c r="KFG9" s="5"/>
      <c r="KFH9" s="5"/>
      <c r="KFI9" s="5"/>
      <c r="KFJ9" s="5"/>
      <c r="KFK9" s="5"/>
      <c r="KFL9" s="5"/>
      <c r="KFM9" s="5"/>
      <c r="KFN9" s="5"/>
      <c r="KFO9" s="5"/>
      <c r="KFP9" s="5"/>
      <c r="KFQ9" s="5"/>
      <c r="KFR9" s="5"/>
      <c r="KFS9" s="5"/>
      <c r="KFT9" s="5"/>
      <c r="KFU9" s="5"/>
      <c r="KFV9" s="5"/>
      <c r="KFW9" s="5"/>
      <c r="KFX9" s="5"/>
      <c r="KFY9" s="5"/>
      <c r="KFZ9" s="5"/>
      <c r="KGA9" s="5"/>
      <c r="KGB9" s="5"/>
      <c r="KGC9" s="5"/>
      <c r="KGD9" s="5"/>
      <c r="KGE9" s="5"/>
      <c r="KGF9" s="5"/>
      <c r="KGG9" s="5"/>
      <c r="KGH9" s="5"/>
      <c r="KGI9" s="5"/>
      <c r="KGJ9" s="5"/>
      <c r="KGK9" s="5"/>
      <c r="KGL9" s="5"/>
      <c r="KGM9" s="5"/>
      <c r="KGN9" s="5"/>
      <c r="KGO9" s="5"/>
      <c r="KGP9" s="5"/>
      <c r="KGQ9" s="5"/>
      <c r="KGR9" s="5"/>
      <c r="KGS9" s="5"/>
      <c r="KGT9" s="5"/>
      <c r="KGU9" s="5"/>
      <c r="KGV9" s="5"/>
      <c r="KGW9" s="5"/>
      <c r="KGX9" s="5"/>
      <c r="KGY9" s="5"/>
      <c r="KGZ9" s="5"/>
      <c r="KHA9" s="5"/>
      <c r="KHB9" s="5"/>
      <c r="KHC9" s="5"/>
      <c r="KHD9" s="5"/>
      <c r="KHE9" s="5"/>
      <c r="KHF9" s="5"/>
      <c r="KHG9" s="5"/>
      <c r="KHH9" s="5"/>
      <c r="KHI9" s="5"/>
      <c r="KHJ9" s="5"/>
      <c r="KHK9" s="5"/>
      <c r="KHL9" s="5"/>
      <c r="KHM9" s="5"/>
      <c r="KHN9" s="5"/>
      <c r="KHO9" s="5"/>
      <c r="KHP9" s="5"/>
      <c r="KHQ9" s="5"/>
      <c r="KHR9" s="5"/>
      <c r="KHS9" s="5"/>
      <c r="KHT9" s="5"/>
      <c r="KHU9" s="5"/>
      <c r="KHV9" s="5"/>
      <c r="KHW9" s="5"/>
      <c r="KHX9" s="5"/>
      <c r="KHY9" s="5"/>
      <c r="KHZ9" s="5"/>
      <c r="KIA9" s="5"/>
      <c r="KIB9" s="5"/>
      <c r="KIC9" s="5"/>
      <c r="KID9" s="5"/>
      <c r="KIE9" s="5"/>
      <c r="KIF9" s="5"/>
      <c r="KIG9" s="5"/>
      <c r="KIH9" s="5"/>
      <c r="KII9" s="5"/>
      <c r="KIJ9" s="5"/>
      <c r="KIK9" s="5"/>
      <c r="KIL9" s="5"/>
      <c r="KIM9" s="5"/>
      <c r="KIN9" s="5"/>
      <c r="KIO9" s="5"/>
      <c r="KIP9" s="5"/>
      <c r="KIQ9" s="5"/>
      <c r="KIR9" s="5"/>
      <c r="KIS9" s="5"/>
      <c r="KIT9" s="5"/>
      <c r="KIU9" s="5"/>
      <c r="KIV9" s="5"/>
      <c r="KIW9" s="5"/>
      <c r="KIX9" s="5"/>
      <c r="KIY9" s="5"/>
      <c r="KIZ9" s="5"/>
      <c r="KJA9" s="5"/>
      <c r="KJB9" s="5"/>
      <c r="KJC9" s="5"/>
      <c r="KJD9" s="5"/>
      <c r="KJE9" s="5"/>
      <c r="KJF9" s="5"/>
      <c r="KJG9" s="5"/>
      <c r="KJH9" s="5"/>
      <c r="KJI9" s="5"/>
      <c r="KJJ9" s="5"/>
      <c r="KJK9" s="5"/>
      <c r="KJL9" s="5"/>
      <c r="KJM9" s="5"/>
      <c r="KJN9" s="5"/>
      <c r="KJO9" s="5"/>
      <c r="KJP9" s="5"/>
      <c r="KJQ9" s="5"/>
      <c r="KJR9" s="5"/>
      <c r="KJS9" s="5"/>
      <c r="KJT9" s="5"/>
      <c r="KJU9" s="5"/>
      <c r="KJV9" s="5"/>
      <c r="KJW9" s="5"/>
      <c r="KJX9" s="5"/>
      <c r="KJY9" s="5"/>
      <c r="KJZ9" s="5"/>
      <c r="KKA9" s="5"/>
      <c r="KKB9" s="5"/>
      <c r="KKC9" s="5"/>
      <c r="KKD9" s="5"/>
      <c r="KKE9" s="5"/>
      <c r="KKF9" s="5"/>
      <c r="KKG9" s="5"/>
      <c r="KKH9" s="5"/>
      <c r="KKI9" s="5"/>
      <c r="KKJ9" s="5"/>
      <c r="KKK9" s="5"/>
      <c r="KKL9" s="5"/>
      <c r="KKM9" s="5"/>
      <c r="KKN9" s="5"/>
      <c r="KKO9" s="5"/>
      <c r="KKP9" s="5"/>
      <c r="KKQ9" s="5"/>
      <c r="KKR9" s="5"/>
      <c r="KKS9" s="5"/>
      <c r="KKT9" s="5"/>
      <c r="KKU9" s="5"/>
      <c r="KKV9" s="5"/>
      <c r="KKW9" s="5"/>
      <c r="KKX9" s="5"/>
      <c r="KKY9" s="5"/>
      <c r="KKZ9" s="5"/>
      <c r="KLA9" s="5"/>
      <c r="KLB9" s="5"/>
      <c r="KLC9" s="5"/>
      <c r="KLD9" s="5"/>
      <c r="KLE9" s="5"/>
      <c r="KLF9" s="5"/>
      <c r="KLG9" s="5"/>
      <c r="KLH9" s="5"/>
      <c r="KLI9" s="5"/>
      <c r="KLJ9" s="5"/>
      <c r="KLK9" s="5"/>
      <c r="KLL9" s="5"/>
      <c r="KLM9" s="5"/>
      <c r="KLN9" s="5"/>
      <c r="KLO9" s="5"/>
      <c r="KLP9" s="5"/>
      <c r="KLQ9" s="5"/>
      <c r="KLR9" s="5"/>
      <c r="KLS9" s="5"/>
      <c r="KLT9" s="5"/>
      <c r="KLU9" s="5"/>
      <c r="KLV9" s="5"/>
      <c r="KLW9" s="5"/>
      <c r="KLX9" s="5"/>
      <c r="KLY9" s="5"/>
      <c r="KLZ9" s="5"/>
      <c r="KMA9" s="5"/>
      <c r="KMB9" s="5"/>
      <c r="KMC9" s="5"/>
      <c r="KMD9" s="5"/>
      <c r="KME9" s="5"/>
      <c r="KMF9" s="5"/>
      <c r="KMG9" s="5"/>
      <c r="KMH9" s="5"/>
      <c r="KMI9" s="5"/>
      <c r="KMJ9" s="5"/>
      <c r="KMK9" s="5"/>
      <c r="KML9" s="5"/>
      <c r="KMM9" s="5"/>
      <c r="KMN9" s="5"/>
      <c r="KMO9" s="5"/>
      <c r="KMP9" s="5"/>
      <c r="KMQ9" s="5"/>
      <c r="KMR9" s="5"/>
      <c r="KMS9" s="5"/>
      <c r="KMT9" s="5"/>
      <c r="KMU9" s="5"/>
      <c r="KMV9" s="5"/>
      <c r="KMW9" s="5"/>
      <c r="KMX9" s="5"/>
      <c r="KMY9" s="5"/>
      <c r="KMZ9" s="5"/>
      <c r="KNA9" s="5"/>
      <c r="KNB9" s="5"/>
      <c r="KNC9" s="5"/>
      <c r="KND9" s="5"/>
      <c r="KNE9" s="5"/>
      <c r="KNF9" s="5"/>
      <c r="KNG9" s="5"/>
      <c r="KNH9" s="5"/>
      <c r="KNI9" s="5"/>
      <c r="KNJ9" s="5"/>
      <c r="KNK9" s="5"/>
      <c r="KNL9" s="5"/>
      <c r="KNM9" s="5"/>
      <c r="KNN9" s="5"/>
      <c r="KNO9" s="5"/>
      <c r="KNP9" s="5"/>
      <c r="KNQ9" s="5"/>
      <c r="KNR9" s="5"/>
      <c r="KNS9" s="5"/>
      <c r="KNT9" s="5"/>
      <c r="KNU9" s="5"/>
      <c r="KNV9" s="5"/>
      <c r="KNW9" s="5"/>
      <c r="KNX9" s="5"/>
      <c r="KNY9" s="5"/>
      <c r="KNZ9" s="5"/>
      <c r="KOA9" s="5"/>
      <c r="KOB9" s="5"/>
      <c r="KOC9" s="5"/>
      <c r="KOD9" s="5"/>
      <c r="KOE9" s="5"/>
      <c r="KOF9" s="5"/>
      <c r="KOG9" s="5"/>
      <c r="KOH9" s="5"/>
      <c r="KOI9" s="5"/>
      <c r="KOJ9" s="5"/>
      <c r="KOK9" s="5"/>
      <c r="KOL9" s="5"/>
      <c r="KOM9" s="5"/>
      <c r="KON9" s="5"/>
      <c r="KOO9" s="5"/>
      <c r="KOP9" s="5"/>
      <c r="KOQ9" s="5"/>
      <c r="KOR9" s="5"/>
      <c r="KOS9" s="5"/>
      <c r="KOT9" s="5"/>
      <c r="KOU9" s="5"/>
      <c r="KOV9" s="5"/>
      <c r="KOW9" s="5"/>
      <c r="KOX9" s="5"/>
      <c r="KOY9" s="5"/>
      <c r="KOZ9" s="5"/>
      <c r="KPA9" s="5"/>
      <c r="KPB9" s="5"/>
      <c r="KPC9" s="5"/>
      <c r="KPD9" s="5"/>
      <c r="KPE9" s="5"/>
      <c r="KPF9" s="5"/>
      <c r="KPG9" s="5"/>
      <c r="KPH9" s="5"/>
      <c r="KPI9" s="5"/>
      <c r="KPJ9" s="5"/>
      <c r="KPK9" s="5"/>
      <c r="KPL9" s="5"/>
      <c r="KPM9" s="5"/>
      <c r="KPN9" s="5"/>
      <c r="KPO9" s="5"/>
      <c r="KPP9" s="5"/>
      <c r="KPQ9" s="5"/>
      <c r="KPR9" s="5"/>
      <c r="KPS9" s="5"/>
      <c r="KPT9" s="5"/>
      <c r="KPU9" s="5"/>
      <c r="KPV9" s="5"/>
      <c r="KPW9" s="5"/>
      <c r="KPX9" s="5"/>
      <c r="KPY9" s="5"/>
      <c r="KPZ9" s="5"/>
      <c r="KQA9" s="5"/>
      <c r="KQB9" s="5"/>
      <c r="KQC9" s="5"/>
      <c r="KQD9" s="5"/>
      <c r="KQE9" s="5"/>
      <c r="KQF9" s="5"/>
      <c r="KQG9" s="5"/>
      <c r="KQH9" s="5"/>
      <c r="KQI9" s="5"/>
      <c r="KQJ9" s="5"/>
      <c r="KQK9" s="5"/>
      <c r="KQL9" s="5"/>
      <c r="KQM9" s="5"/>
      <c r="KQN9" s="5"/>
      <c r="KQO9" s="5"/>
      <c r="KQP9" s="5"/>
      <c r="KQQ9" s="5"/>
      <c r="KQR9" s="5"/>
      <c r="KQS9" s="5"/>
      <c r="KQT9" s="5"/>
      <c r="KQU9" s="5"/>
      <c r="KQV9" s="5"/>
      <c r="KQW9" s="5"/>
      <c r="KQX9" s="5"/>
      <c r="KQY9" s="5"/>
      <c r="KQZ9" s="5"/>
      <c r="KRA9" s="5"/>
      <c r="KRB9" s="5"/>
      <c r="KRC9" s="5"/>
      <c r="KRD9" s="5"/>
      <c r="KRE9" s="5"/>
      <c r="KRF9" s="5"/>
      <c r="KRG9" s="5"/>
      <c r="KRH9" s="5"/>
      <c r="KRI9" s="5"/>
      <c r="KRJ9" s="5"/>
      <c r="KRK9" s="5"/>
      <c r="KRL9" s="5"/>
      <c r="KRM9" s="5"/>
      <c r="KRN9" s="5"/>
      <c r="KRO9" s="5"/>
      <c r="KRP9" s="5"/>
      <c r="KRQ9" s="5"/>
      <c r="KRR9" s="5"/>
      <c r="KRS9" s="5"/>
      <c r="KRT9" s="5"/>
      <c r="KRU9" s="5"/>
      <c r="KRV9" s="5"/>
      <c r="KRW9" s="5"/>
      <c r="KRX9" s="5"/>
      <c r="KRY9" s="5"/>
      <c r="KRZ9" s="5"/>
      <c r="KSA9" s="5"/>
      <c r="KSB9" s="5"/>
      <c r="KSC9" s="5"/>
      <c r="KSD9" s="5"/>
      <c r="KSE9" s="5"/>
      <c r="KSF9" s="5"/>
      <c r="KSG9" s="5"/>
      <c r="KSH9" s="5"/>
      <c r="KSI9" s="5"/>
      <c r="KSJ9" s="5"/>
      <c r="KSK9" s="5"/>
      <c r="KSL9" s="5"/>
      <c r="KSM9" s="5"/>
      <c r="KSN9" s="5"/>
      <c r="KSO9" s="5"/>
      <c r="KSP9" s="5"/>
      <c r="KSQ9" s="5"/>
      <c r="KSR9" s="5"/>
      <c r="KSS9" s="5"/>
      <c r="KST9" s="5"/>
      <c r="KSU9" s="5"/>
      <c r="KSV9" s="5"/>
      <c r="KSW9" s="5"/>
      <c r="KSX9" s="5"/>
      <c r="KSY9" s="5"/>
      <c r="KSZ9" s="5"/>
      <c r="KTA9" s="5"/>
      <c r="KTB9" s="5"/>
      <c r="KTC9" s="5"/>
      <c r="KTD9" s="5"/>
      <c r="KTE9" s="5"/>
      <c r="KTF9" s="5"/>
      <c r="KTG9" s="5"/>
      <c r="KTH9" s="5"/>
      <c r="KTI9" s="5"/>
      <c r="KTJ9" s="5"/>
      <c r="KTK9" s="5"/>
      <c r="KTL9" s="5"/>
      <c r="KTM9" s="5"/>
      <c r="KTN9" s="5"/>
      <c r="KTO9" s="5"/>
      <c r="KTP9" s="5"/>
      <c r="KTQ9" s="5"/>
      <c r="KTR9" s="5"/>
      <c r="KTS9" s="5"/>
      <c r="KTT9" s="5"/>
      <c r="KTU9" s="5"/>
      <c r="KTV9" s="5"/>
      <c r="KTW9" s="5"/>
      <c r="KTX9" s="5"/>
      <c r="KTY9" s="5"/>
      <c r="KTZ9" s="5"/>
      <c r="KUA9" s="5"/>
      <c r="KUB9" s="5"/>
      <c r="KUC9" s="5"/>
      <c r="KUD9" s="5"/>
      <c r="KUE9" s="5"/>
      <c r="KUF9" s="5"/>
      <c r="KUG9" s="5"/>
      <c r="KUH9" s="5"/>
      <c r="KUI9" s="5"/>
      <c r="KUJ9" s="5"/>
      <c r="KUK9" s="5"/>
      <c r="KUL9" s="5"/>
      <c r="KUM9" s="5"/>
      <c r="KUN9" s="5"/>
      <c r="KUO9" s="5"/>
      <c r="KUP9" s="5"/>
      <c r="KUQ9" s="5"/>
      <c r="KUR9" s="5"/>
      <c r="KUS9" s="5"/>
      <c r="KUT9" s="5"/>
      <c r="KUU9" s="5"/>
      <c r="KUV9" s="5"/>
      <c r="KUW9" s="5"/>
      <c r="KUX9" s="5"/>
      <c r="KUY9" s="5"/>
      <c r="KUZ9" s="5"/>
      <c r="KVA9" s="5"/>
      <c r="KVB9" s="5"/>
      <c r="KVC9" s="5"/>
      <c r="KVD9" s="5"/>
      <c r="KVE9" s="5"/>
      <c r="KVF9" s="5"/>
      <c r="KVG9" s="5"/>
      <c r="KVH9" s="5"/>
      <c r="KVI9" s="5"/>
      <c r="KVJ9" s="5"/>
      <c r="KVK9" s="5"/>
      <c r="KVL9" s="5"/>
      <c r="KVM9" s="5"/>
      <c r="KVN9" s="5"/>
      <c r="KVO9" s="5"/>
      <c r="KVP9" s="5"/>
      <c r="KVQ9" s="5"/>
      <c r="KVR9" s="5"/>
      <c r="KVS9" s="5"/>
      <c r="KVT9" s="5"/>
      <c r="KVU9" s="5"/>
      <c r="KVV9" s="5"/>
      <c r="KVW9" s="5"/>
      <c r="KVX9" s="5"/>
      <c r="KVY9" s="5"/>
      <c r="KVZ9" s="5"/>
      <c r="KWA9" s="5"/>
      <c r="KWB9" s="5"/>
      <c r="KWC9" s="5"/>
      <c r="KWD9" s="5"/>
      <c r="KWE9" s="5"/>
      <c r="KWF9" s="5"/>
      <c r="KWG9" s="5"/>
      <c r="KWH9" s="5"/>
      <c r="KWI9" s="5"/>
      <c r="KWJ9" s="5"/>
      <c r="KWK9" s="5"/>
      <c r="KWL9" s="5"/>
      <c r="KWM9" s="5"/>
      <c r="KWN9" s="5"/>
      <c r="KWO9" s="5"/>
      <c r="KWP9" s="5"/>
      <c r="KWQ9" s="5"/>
      <c r="KWR9" s="5"/>
      <c r="KWS9" s="5"/>
      <c r="KWT9" s="5"/>
      <c r="KWU9" s="5"/>
      <c r="KWV9" s="5"/>
      <c r="KWW9" s="5"/>
      <c r="KWX9" s="5"/>
      <c r="KWY9" s="5"/>
      <c r="KWZ9" s="5"/>
      <c r="KXA9" s="5"/>
      <c r="KXB9" s="5"/>
      <c r="KXC9" s="5"/>
      <c r="KXD9" s="5"/>
      <c r="KXE9" s="5"/>
      <c r="KXF9" s="5"/>
      <c r="KXG9" s="5"/>
      <c r="KXH9" s="5"/>
      <c r="KXI9" s="5"/>
      <c r="KXJ9" s="5"/>
      <c r="KXK9" s="5"/>
      <c r="KXL9" s="5"/>
      <c r="KXM9" s="5"/>
      <c r="KXN9" s="5"/>
      <c r="KXO9" s="5"/>
      <c r="KXP9" s="5"/>
      <c r="KXQ9" s="5"/>
      <c r="KXR9" s="5"/>
      <c r="KXS9" s="5"/>
      <c r="KXT9" s="5"/>
      <c r="KXU9" s="5"/>
      <c r="KXV9" s="5"/>
      <c r="KXW9" s="5"/>
      <c r="KXX9" s="5"/>
      <c r="KXY9" s="5"/>
      <c r="KXZ9" s="5"/>
      <c r="KYA9" s="5"/>
      <c r="KYB9" s="5"/>
      <c r="KYC9" s="5"/>
      <c r="KYD9" s="5"/>
      <c r="KYE9" s="5"/>
      <c r="KYF9" s="5"/>
      <c r="KYG9" s="5"/>
      <c r="KYH9" s="5"/>
      <c r="KYI9" s="5"/>
      <c r="KYJ9" s="5"/>
      <c r="KYK9" s="5"/>
      <c r="KYL9" s="5"/>
      <c r="KYM9" s="5"/>
      <c r="KYN9" s="5"/>
      <c r="KYO9" s="5"/>
      <c r="KYP9" s="5"/>
      <c r="KYQ9" s="5"/>
      <c r="KYR9" s="5"/>
      <c r="KYS9" s="5"/>
      <c r="KYT9" s="5"/>
      <c r="KYU9" s="5"/>
      <c r="KYV9" s="5"/>
      <c r="KYW9" s="5"/>
      <c r="KYX9" s="5"/>
      <c r="KYY9" s="5"/>
      <c r="KYZ9" s="5"/>
      <c r="KZA9" s="5"/>
      <c r="KZB9" s="5"/>
      <c r="KZC9" s="5"/>
      <c r="KZD9" s="5"/>
      <c r="KZE9" s="5"/>
      <c r="KZF9" s="5"/>
      <c r="KZG9" s="5"/>
      <c r="KZH9" s="5"/>
      <c r="KZI9" s="5"/>
      <c r="KZJ9" s="5"/>
      <c r="KZK9" s="5"/>
      <c r="KZL9" s="5"/>
      <c r="KZM9" s="5"/>
      <c r="KZN9" s="5"/>
      <c r="KZO9" s="5"/>
      <c r="KZP9" s="5"/>
      <c r="KZQ9" s="5"/>
      <c r="KZR9" s="5"/>
      <c r="KZS9" s="5"/>
      <c r="KZT9" s="5"/>
      <c r="KZU9" s="5"/>
      <c r="KZV9" s="5"/>
      <c r="KZW9" s="5"/>
      <c r="KZX9" s="5"/>
      <c r="KZY9" s="5"/>
      <c r="KZZ9" s="5"/>
      <c r="LAA9" s="5"/>
      <c r="LAB9" s="5"/>
      <c r="LAC9" s="5"/>
      <c r="LAD9" s="5"/>
      <c r="LAE9" s="5"/>
      <c r="LAF9" s="5"/>
      <c r="LAG9" s="5"/>
      <c r="LAH9" s="5"/>
      <c r="LAI9" s="5"/>
      <c r="LAJ9" s="5"/>
      <c r="LAK9" s="5"/>
      <c r="LAL9" s="5"/>
      <c r="LAM9" s="5"/>
      <c r="LAN9" s="5"/>
      <c r="LAO9" s="5"/>
      <c r="LAP9" s="5"/>
      <c r="LAQ9" s="5"/>
      <c r="LAR9" s="5"/>
      <c r="LAS9" s="5"/>
      <c r="LAT9" s="5"/>
      <c r="LAU9" s="5"/>
      <c r="LAV9" s="5"/>
      <c r="LAW9" s="5"/>
      <c r="LAX9" s="5"/>
      <c r="LAY9" s="5"/>
      <c r="LAZ9" s="5"/>
      <c r="LBA9" s="5"/>
      <c r="LBB9" s="5"/>
      <c r="LBC9" s="5"/>
      <c r="LBD9" s="5"/>
      <c r="LBE9" s="5"/>
      <c r="LBF9" s="5"/>
      <c r="LBG9" s="5"/>
      <c r="LBH9" s="5"/>
      <c r="LBI9" s="5"/>
      <c r="LBJ9" s="5"/>
      <c r="LBK9" s="5"/>
      <c r="LBL9" s="5"/>
      <c r="LBM9" s="5"/>
      <c r="LBN9" s="5"/>
      <c r="LBO9" s="5"/>
      <c r="LBP9" s="5"/>
      <c r="LBQ9" s="5"/>
      <c r="LBR9" s="5"/>
      <c r="LBS9" s="5"/>
      <c r="LBT9" s="5"/>
      <c r="LBU9" s="5"/>
      <c r="LBV9" s="5"/>
      <c r="LBW9" s="5"/>
      <c r="LBX9" s="5"/>
      <c r="LBY9" s="5"/>
      <c r="LBZ9" s="5"/>
      <c r="LCA9" s="5"/>
      <c r="LCB9" s="5"/>
      <c r="LCC9" s="5"/>
      <c r="LCD9" s="5"/>
      <c r="LCE9" s="5"/>
      <c r="LCF9" s="5"/>
      <c r="LCG9" s="5"/>
      <c r="LCH9" s="5"/>
      <c r="LCI9" s="5"/>
      <c r="LCJ9" s="5"/>
      <c r="LCK9" s="5"/>
      <c r="LCL9" s="5"/>
      <c r="LCM9" s="5"/>
      <c r="LCN9" s="5"/>
      <c r="LCO9" s="5"/>
      <c r="LCP9" s="5"/>
      <c r="LCQ9" s="5"/>
      <c r="LCR9" s="5"/>
      <c r="LCS9" s="5"/>
      <c r="LCT9" s="5"/>
      <c r="LCU9" s="5"/>
      <c r="LCV9" s="5"/>
      <c r="LCW9" s="5"/>
      <c r="LCX9" s="5"/>
      <c r="LCY9" s="5"/>
      <c r="LCZ9" s="5"/>
      <c r="LDA9" s="5"/>
      <c r="LDB9" s="5"/>
      <c r="LDC9" s="5"/>
      <c r="LDD9" s="5"/>
      <c r="LDE9" s="5"/>
      <c r="LDF9" s="5"/>
      <c r="LDG9" s="5"/>
      <c r="LDH9" s="5"/>
      <c r="LDI9" s="5"/>
      <c r="LDJ9" s="5"/>
      <c r="LDK9" s="5"/>
      <c r="LDL9" s="5"/>
      <c r="LDM9" s="5"/>
      <c r="LDN9" s="5"/>
      <c r="LDO9" s="5"/>
      <c r="LDP9" s="5"/>
      <c r="LDQ9" s="5"/>
      <c r="LDR9" s="5"/>
      <c r="LDS9" s="5"/>
      <c r="LDT9" s="5"/>
      <c r="LDU9" s="5"/>
      <c r="LDV9" s="5"/>
      <c r="LDW9" s="5"/>
      <c r="LDX9" s="5"/>
      <c r="LDY9" s="5"/>
      <c r="LDZ9" s="5"/>
      <c r="LEA9" s="5"/>
      <c r="LEB9" s="5"/>
      <c r="LEC9" s="5"/>
      <c r="LED9" s="5"/>
      <c r="LEE9" s="5"/>
      <c r="LEF9" s="5"/>
      <c r="LEG9" s="5"/>
      <c r="LEH9" s="5"/>
      <c r="LEI9" s="5"/>
      <c r="LEJ9" s="5"/>
      <c r="LEK9" s="5"/>
      <c r="LEL9" s="5"/>
      <c r="LEM9" s="5"/>
      <c r="LEN9" s="5"/>
      <c r="LEO9" s="5"/>
      <c r="LEP9" s="5"/>
      <c r="LEQ9" s="5"/>
      <c r="LER9" s="5"/>
      <c r="LES9" s="5"/>
      <c r="LET9" s="5"/>
      <c r="LEU9" s="5"/>
      <c r="LEV9" s="5"/>
      <c r="LEW9" s="5"/>
      <c r="LEX9" s="5"/>
      <c r="LEY9" s="5"/>
      <c r="LEZ9" s="5"/>
      <c r="LFA9" s="5"/>
      <c r="LFB9" s="5"/>
      <c r="LFC9" s="5"/>
      <c r="LFD9" s="5"/>
      <c r="LFE9" s="5"/>
      <c r="LFF9" s="5"/>
      <c r="LFG9" s="5"/>
      <c r="LFH9" s="5"/>
      <c r="LFI9" s="5"/>
      <c r="LFJ9" s="5"/>
      <c r="LFK9" s="5"/>
      <c r="LFL9" s="5"/>
      <c r="LFM9" s="5"/>
      <c r="LFN9" s="5"/>
      <c r="LFO9" s="5"/>
      <c r="LFP9" s="5"/>
      <c r="LFQ9" s="5"/>
      <c r="LFR9" s="5"/>
      <c r="LFS9" s="5"/>
      <c r="LFT9" s="5"/>
      <c r="LFU9" s="5"/>
      <c r="LFV9" s="5"/>
      <c r="LFW9" s="5"/>
      <c r="LFX9" s="5"/>
      <c r="LFY9" s="5"/>
      <c r="LFZ9" s="5"/>
      <c r="LGA9" s="5"/>
      <c r="LGB9" s="5"/>
      <c r="LGC9" s="5"/>
      <c r="LGD9" s="5"/>
      <c r="LGE9" s="5"/>
      <c r="LGF9" s="5"/>
      <c r="LGG9" s="5"/>
      <c r="LGH9" s="5"/>
      <c r="LGI9" s="5"/>
      <c r="LGJ9" s="5"/>
      <c r="LGK9" s="5"/>
      <c r="LGL9" s="5"/>
      <c r="LGM9" s="5"/>
      <c r="LGN9" s="5"/>
      <c r="LGO9" s="5"/>
      <c r="LGP9" s="5"/>
      <c r="LGQ9" s="5"/>
      <c r="LGR9" s="5"/>
      <c r="LGS9" s="5"/>
      <c r="LGT9" s="5"/>
      <c r="LGU9" s="5"/>
      <c r="LGV9" s="5"/>
      <c r="LGW9" s="5"/>
      <c r="LGX9" s="5"/>
      <c r="LGY9" s="5"/>
      <c r="LGZ9" s="5"/>
      <c r="LHA9" s="5"/>
      <c r="LHB9" s="5"/>
      <c r="LHC9" s="5"/>
      <c r="LHD9" s="5"/>
      <c r="LHE9" s="5"/>
      <c r="LHF9" s="5"/>
      <c r="LHG9" s="5"/>
      <c r="LHH9" s="5"/>
      <c r="LHI9" s="5"/>
      <c r="LHJ9" s="5"/>
      <c r="LHK9" s="5"/>
      <c r="LHL9" s="5"/>
      <c r="LHM9" s="5"/>
      <c r="LHN9" s="5"/>
      <c r="LHO9" s="5"/>
      <c r="LHP9" s="5"/>
      <c r="LHQ9" s="5"/>
      <c r="LHR9" s="5"/>
      <c r="LHS9" s="5"/>
      <c r="LHT9" s="5"/>
      <c r="LHU9" s="5"/>
      <c r="LHV9" s="5"/>
      <c r="LHW9" s="5"/>
      <c r="LHX9" s="5"/>
      <c r="LHY9" s="5"/>
      <c r="LHZ9" s="5"/>
      <c r="LIA9" s="5"/>
      <c r="LIB9" s="5"/>
      <c r="LIC9" s="5"/>
      <c r="LID9" s="5"/>
      <c r="LIE9" s="5"/>
      <c r="LIF9" s="5"/>
      <c r="LIG9" s="5"/>
      <c r="LIH9" s="5"/>
      <c r="LII9" s="5"/>
      <c r="LIJ9" s="5"/>
      <c r="LIK9" s="5"/>
      <c r="LIL9" s="5"/>
      <c r="LIM9" s="5"/>
      <c r="LIN9" s="5"/>
      <c r="LIO9" s="5"/>
      <c r="LIP9" s="5"/>
      <c r="LIQ9" s="5"/>
      <c r="LIR9" s="5"/>
      <c r="LIS9" s="5"/>
      <c r="LIT9" s="5"/>
      <c r="LIU9" s="5"/>
      <c r="LIV9" s="5"/>
      <c r="LIW9" s="5"/>
      <c r="LIX9" s="5"/>
      <c r="LIY9" s="5"/>
      <c r="LIZ9" s="5"/>
      <c r="LJA9" s="5"/>
      <c r="LJB9" s="5"/>
      <c r="LJC9" s="5"/>
      <c r="LJD9" s="5"/>
      <c r="LJE9" s="5"/>
      <c r="LJF9" s="5"/>
      <c r="LJG9" s="5"/>
      <c r="LJH9" s="5"/>
      <c r="LJI9" s="5"/>
      <c r="LJJ9" s="5"/>
      <c r="LJK9" s="5"/>
      <c r="LJL9" s="5"/>
      <c r="LJM9" s="5"/>
      <c r="LJN9" s="5"/>
      <c r="LJO9" s="5"/>
      <c r="LJP9" s="5"/>
      <c r="LJQ9" s="5"/>
      <c r="LJR9" s="5"/>
      <c r="LJS9" s="5"/>
      <c r="LJT9" s="5"/>
      <c r="LJU9" s="5"/>
      <c r="LJV9" s="5"/>
      <c r="LJW9" s="5"/>
      <c r="LJX9" s="5"/>
      <c r="LJY9" s="5"/>
      <c r="LJZ9" s="5"/>
      <c r="LKA9" s="5"/>
      <c r="LKB9" s="5"/>
      <c r="LKC9" s="5"/>
      <c r="LKD9" s="5"/>
      <c r="LKE9" s="5"/>
      <c r="LKF9" s="5"/>
      <c r="LKG9" s="5"/>
      <c r="LKH9" s="5"/>
      <c r="LKI9" s="5"/>
      <c r="LKJ9" s="5"/>
      <c r="LKK9" s="5"/>
      <c r="LKL9" s="5"/>
      <c r="LKM9" s="5"/>
      <c r="LKN9" s="5"/>
      <c r="LKO9" s="5"/>
      <c r="LKP9" s="5"/>
      <c r="LKQ9" s="5"/>
      <c r="LKR9" s="5"/>
      <c r="LKS9" s="5"/>
      <c r="LKT9" s="5"/>
      <c r="LKU9" s="5"/>
      <c r="LKV9" s="5"/>
      <c r="LKW9" s="5"/>
      <c r="LKX9" s="5"/>
      <c r="LKY9" s="5"/>
      <c r="LKZ9" s="5"/>
      <c r="LLA9" s="5"/>
      <c r="LLB9" s="5"/>
      <c r="LLC9" s="5"/>
      <c r="LLD9" s="5"/>
      <c r="LLE9" s="5"/>
      <c r="LLF9" s="5"/>
      <c r="LLG9" s="5"/>
      <c r="LLH9" s="5"/>
      <c r="LLI9" s="5"/>
      <c r="LLJ9" s="5"/>
      <c r="LLK9" s="5"/>
      <c r="LLL9" s="5"/>
      <c r="LLM9" s="5"/>
      <c r="LLN9" s="5"/>
      <c r="LLO9" s="5"/>
      <c r="LLP9" s="5"/>
      <c r="LLQ9" s="5"/>
      <c r="LLR9" s="5"/>
      <c r="LLS9" s="5"/>
      <c r="LLT9" s="5"/>
      <c r="LLU9" s="5"/>
      <c r="LLV9" s="5"/>
      <c r="LLW9" s="5"/>
      <c r="LLX9" s="5"/>
      <c r="LLY9" s="5"/>
      <c r="LLZ9" s="5"/>
      <c r="LMA9" s="5"/>
      <c r="LMB9" s="5"/>
      <c r="LMC9" s="5"/>
      <c r="LMD9" s="5"/>
      <c r="LME9" s="5"/>
      <c r="LMF9" s="5"/>
      <c r="LMG9" s="5"/>
      <c r="LMH9" s="5"/>
      <c r="LMI9" s="5"/>
      <c r="LMJ9" s="5"/>
      <c r="LMK9" s="5"/>
      <c r="LML9" s="5"/>
      <c r="LMM9" s="5"/>
      <c r="LMN9" s="5"/>
      <c r="LMO9" s="5"/>
      <c r="LMP9" s="5"/>
      <c r="LMQ9" s="5"/>
      <c r="LMR9" s="5"/>
      <c r="LMS9" s="5"/>
      <c r="LMT9" s="5"/>
      <c r="LMU9" s="5"/>
      <c r="LMV9" s="5"/>
      <c r="LMW9" s="5"/>
      <c r="LMX9" s="5"/>
      <c r="LMY9" s="5"/>
      <c r="LMZ9" s="5"/>
      <c r="LNA9" s="5"/>
      <c r="LNB9" s="5"/>
      <c r="LNC9" s="5"/>
      <c r="LND9" s="5"/>
      <c r="LNE9" s="5"/>
      <c r="LNF9" s="5"/>
      <c r="LNG9" s="5"/>
      <c r="LNH9" s="5"/>
      <c r="LNI9" s="5"/>
      <c r="LNJ9" s="5"/>
      <c r="LNK9" s="5"/>
      <c r="LNL9" s="5"/>
      <c r="LNM9" s="5"/>
      <c r="LNN9" s="5"/>
      <c r="LNO9" s="5"/>
      <c r="LNP9" s="5"/>
      <c r="LNQ9" s="5"/>
      <c r="LNR9" s="5"/>
      <c r="LNS9" s="5"/>
      <c r="LNT9" s="5"/>
      <c r="LNU9" s="5"/>
      <c r="LNV9" s="5"/>
      <c r="LNW9" s="5"/>
      <c r="LNX9" s="5"/>
      <c r="LNY9" s="5"/>
      <c r="LNZ9" s="5"/>
      <c r="LOA9" s="5"/>
      <c r="LOB9" s="5"/>
      <c r="LOC9" s="5"/>
      <c r="LOD9" s="5"/>
      <c r="LOE9" s="5"/>
      <c r="LOF9" s="5"/>
      <c r="LOG9" s="5"/>
      <c r="LOH9" s="5"/>
      <c r="LOI9" s="5"/>
      <c r="LOJ9" s="5"/>
      <c r="LOK9" s="5"/>
      <c r="LOL9" s="5"/>
      <c r="LOM9" s="5"/>
      <c r="LON9" s="5"/>
      <c r="LOO9" s="5"/>
      <c r="LOP9" s="5"/>
      <c r="LOQ9" s="5"/>
      <c r="LOR9" s="5"/>
      <c r="LOS9" s="5"/>
      <c r="LOT9" s="5"/>
      <c r="LOU9" s="5"/>
      <c r="LOV9" s="5"/>
      <c r="LOW9" s="5"/>
      <c r="LOX9" s="5"/>
      <c r="LOY9" s="5"/>
      <c r="LOZ9" s="5"/>
      <c r="LPA9" s="5"/>
      <c r="LPB9" s="5"/>
      <c r="LPC9" s="5"/>
      <c r="LPD9" s="5"/>
      <c r="LPE9" s="5"/>
      <c r="LPF9" s="5"/>
      <c r="LPG9" s="5"/>
      <c r="LPH9" s="5"/>
      <c r="LPI9" s="5"/>
      <c r="LPJ9" s="5"/>
      <c r="LPK9" s="5"/>
      <c r="LPL9" s="5"/>
      <c r="LPM9" s="5"/>
      <c r="LPN9" s="5"/>
      <c r="LPO9" s="5"/>
      <c r="LPP9" s="5"/>
      <c r="LPQ9" s="5"/>
      <c r="LPR9" s="5"/>
      <c r="LPS9" s="5"/>
      <c r="LPT9" s="5"/>
      <c r="LPU9" s="5"/>
      <c r="LPV9" s="5"/>
      <c r="LPW9" s="5"/>
      <c r="LPX9" s="5"/>
      <c r="LPY9" s="5"/>
      <c r="LPZ9" s="5"/>
      <c r="LQA9" s="5"/>
      <c r="LQB9" s="5"/>
      <c r="LQC9" s="5"/>
      <c r="LQD9" s="5"/>
      <c r="LQE9" s="5"/>
      <c r="LQF9" s="5"/>
      <c r="LQG9" s="5"/>
      <c r="LQH9" s="5"/>
      <c r="LQI9" s="5"/>
      <c r="LQJ9" s="5"/>
      <c r="LQK9" s="5"/>
      <c r="LQL9" s="5"/>
      <c r="LQM9" s="5"/>
      <c r="LQN9" s="5"/>
      <c r="LQO9" s="5"/>
      <c r="LQP9" s="5"/>
      <c r="LQQ9" s="5"/>
      <c r="LQR9" s="5"/>
      <c r="LQS9" s="5"/>
      <c r="LQT9" s="5"/>
      <c r="LQU9" s="5"/>
      <c r="LQV9" s="5"/>
      <c r="LQW9" s="5"/>
      <c r="LQX9" s="5"/>
      <c r="LQY9" s="5"/>
      <c r="LQZ9" s="5"/>
      <c r="LRA9" s="5"/>
      <c r="LRB9" s="5"/>
      <c r="LRC9" s="5"/>
      <c r="LRD9" s="5"/>
      <c r="LRE9" s="5"/>
      <c r="LRF9" s="5"/>
      <c r="LRG9" s="5"/>
      <c r="LRH9" s="5"/>
      <c r="LRI9" s="5"/>
      <c r="LRJ9" s="5"/>
      <c r="LRK9" s="5"/>
      <c r="LRL9" s="5"/>
      <c r="LRM9" s="5"/>
      <c r="LRN9" s="5"/>
      <c r="LRO9" s="5"/>
      <c r="LRP9" s="5"/>
      <c r="LRQ9" s="5"/>
      <c r="LRR9" s="5"/>
      <c r="LRS9" s="5"/>
      <c r="LRT9" s="5"/>
      <c r="LRU9" s="5"/>
      <c r="LRV9" s="5"/>
      <c r="LRW9" s="5"/>
      <c r="LRX9" s="5"/>
      <c r="LRY9" s="5"/>
      <c r="LRZ9" s="5"/>
      <c r="LSA9" s="5"/>
      <c r="LSB9" s="5"/>
      <c r="LSC9" s="5"/>
      <c r="LSD9" s="5"/>
      <c r="LSE9" s="5"/>
      <c r="LSF9" s="5"/>
      <c r="LSG9" s="5"/>
      <c r="LSH9" s="5"/>
      <c r="LSI9" s="5"/>
      <c r="LSJ9" s="5"/>
      <c r="LSK9" s="5"/>
      <c r="LSL9" s="5"/>
      <c r="LSM9" s="5"/>
      <c r="LSN9" s="5"/>
      <c r="LSO9" s="5"/>
      <c r="LSP9" s="5"/>
      <c r="LSQ9" s="5"/>
      <c r="LSR9" s="5"/>
      <c r="LSS9" s="5"/>
      <c r="LST9" s="5"/>
      <c r="LSU9" s="5"/>
      <c r="LSV9" s="5"/>
      <c r="LSW9" s="5"/>
      <c r="LSX9" s="5"/>
      <c r="LSY9" s="5"/>
      <c r="LSZ9" s="5"/>
      <c r="LTA9" s="5"/>
      <c r="LTB9" s="5"/>
      <c r="LTC9" s="5"/>
      <c r="LTD9" s="5"/>
      <c r="LTE9" s="5"/>
      <c r="LTF9" s="5"/>
      <c r="LTG9" s="5"/>
      <c r="LTH9" s="5"/>
      <c r="LTI9" s="5"/>
      <c r="LTJ9" s="5"/>
      <c r="LTK9" s="5"/>
      <c r="LTL9" s="5"/>
      <c r="LTM9" s="5"/>
      <c r="LTN9" s="5"/>
      <c r="LTO9" s="5"/>
      <c r="LTP9" s="5"/>
      <c r="LTQ9" s="5"/>
      <c r="LTR9" s="5"/>
      <c r="LTS9" s="5"/>
      <c r="LTT9" s="5"/>
      <c r="LTU9" s="5"/>
      <c r="LTV9" s="5"/>
      <c r="LTW9" s="5"/>
      <c r="LTX9" s="5"/>
      <c r="LTY9" s="5"/>
      <c r="LTZ9" s="5"/>
      <c r="LUA9" s="5"/>
      <c r="LUB9" s="5"/>
      <c r="LUC9" s="5"/>
      <c r="LUD9" s="5"/>
      <c r="LUE9" s="5"/>
      <c r="LUF9" s="5"/>
      <c r="LUG9" s="5"/>
      <c r="LUH9" s="5"/>
      <c r="LUI9" s="5"/>
      <c r="LUJ9" s="5"/>
      <c r="LUK9" s="5"/>
      <c r="LUL9" s="5"/>
      <c r="LUM9" s="5"/>
      <c r="LUN9" s="5"/>
      <c r="LUO9" s="5"/>
      <c r="LUP9" s="5"/>
      <c r="LUQ9" s="5"/>
      <c r="LUR9" s="5"/>
      <c r="LUS9" s="5"/>
      <c r="LUT9" s="5"/>
      <c r="LUU9" s="5"/>
      <c r="LUV9" s="5"/>
      <c r="LUW9" s="5"/>
      <c r="LUX9" s="5"/>
      <c r="LUY9" s="5"/>
      <c r="LUZ9" s="5"/>
      <c r="LVA9" s="5"/>
      <c r="LVB9" s="5"/>
      <c r="LVC9" s="5"/>
      <c r="LVD9" s="5"/>
      <c r="LVE9" s="5"/>
      <c r="LVF9" s="5"/>
      <c r="LVG9" s="5"/>
      <c r="LVH9" s="5"/>
      <c r="LVI9" s="5"/>
      <c r="LVJ9" s="5"/>
      <c r="LVK9" s="5"/>
      <c r="LVL9" s="5"/>
      <c r="LVM9" s="5"/>
      <c r="LVN9" s="5"/>
      <c r="LVO9" s="5"/>
      <c r="LVP9" s="5"/>
      <c r="LVQ9" s="5"/>
      <c r="LVR9" s="5"/>
      <c r="LVS9" s="5"/>
      <c r="LVT9" s="5"/>
      <c r="LVU9" s="5"/>
      <c r="LVV9" s="5"/>
      <c r="LVW9" s="5"/>
      <c r="LVX9" s="5"/>
      <c r="LVY9" s="5"/>
      <c r="LVZ9" s="5"/>
      <c r="LWA9" s="5"/>
      <c r="LWB9" s="5"/>
      <c r="LWC9" s="5"/>
      <c r="LWD9" s="5"/>
      <c r="LWE9" s="5"/>
      <c r="LWF9" s="5"/>
      <c r="LWG9" s="5"/>
      <c r="LWH9" s="5"/>
      <c r="LWI9" s="5"/>
      <c r="LWJ9" s="5"/>
      <c r="LWK9" s="5"/>
      <c r="LWL9" s="5"/>
      <c r="LWM9" s="5"/>
      <c r="LWN9" s="5"/>
      <c r="LWO9" s="5"/>
      <c r="LWP9" s="5"/>
      <c r="LWQ9" s="5"/>
      <c r="LWR9" s="5"/>
      <c r="LWS9" s="5"/>
      <c r="LWT9" s="5"/>
      <c r="LWU9" s="5"/>
      <c r="LWV9" s="5"/>
      <c r="LWW9" s="5"/>
      <c r="LWX9" s="5"/>
      <c r="LWY9" s="5"/>
      <c r="LWZ9" s="5"/>
      <c r="LXA9" s="5"/>
      <c r="LXB9" s="5"/>
      <c r="LXC9" s="5"/>
      <c r="LXD9" s="5"/>
      <c r="LXE9" s="5"/>
      <c r="LXF9" s="5"/>
      <c r="LXG9" s="5"/>
      <c r="LXH9" s="5"/>
      <c r="LXI9" s="5"/>
      <c r="LXJ9" s="5"/>
      <c r="LXK9" s="5"/>
      <c r="LXL9" s="5"/>
      <c r="LXM9" s="5"/>
      <c r="LXN9" s="5"/>
      <c r="LXO9" s="5"/>
      <c r="LXP9" s="5"/>
      <c r="LXQ9" s="5"/>
      <c r="LXR9" s="5"/>
      <c r="LXS9" s="5"/>
      <c r="LXT9" s="5"/>
      <c r="LXU9" s="5"/>
      <c r="LXV9" s="5"/>
      <c r="LXW9" s="5"/>
      <c r="LXX9" s="5"/>
      <c r="LXY9" s="5"/>
      <c r="LXZ9" s="5"/>
      <c r="LYA9" s="5"/>
      <c r="LYB9" s="5"/>
      <c r="LYC9" s="5"/>
      <c r="LYD9" s="5"/>
      <c r="LYE9" s="5"/>
      <c r="LYF9" s="5"/>
      <c r="LYG9" s="5"/>
      <c r="LYH9" s="5"/>
      <c r="LYI9" s="5"/>
      <c r="LYJ9" s="5"/>
      <c r="LYK9" s="5"/>
      <c r="LYL9" s="5"/>
      <c r="LYM9" s="5"/>
      <c r="LYN9" s="5"/>
      <c r="LYO9" s="5"/>
      <c r="LYP9" s="5"/>
      <c r="LYQ9" s="5"/>
      <c r="LYR9" s="5"/>
      <c r="LYS9" s="5"/>
      <c r="LYT9" s="5"/>
      <c r="LYU9" s="5"/>
      <c r="LYV9" s="5"/>
      <c r="LYW9" s="5"/>
      <c r="LYX9" s="5"/>
      <c r="LYY9" s="5"/>
      <c r="LYZ9" s="5"/>
      <c r="LZA9" s="5"/>
      <c r="LZB9" s="5"/>
      <c r="LZC9" s="5"/>
      <c r="LZD9" s="5"/>
      <c r="LZE9" s="5"/>
      <c r="LZF9" s="5"/>
      <c r="LZG9" s="5"/>
      <c r="LZH9" s="5"/>
      <c r="LZI9" s="5"/>
      <c r="LZJ9" s="5"/>
      <c r="LZK9" s="5"/>
      <c r="LZL9" s="5"/>
      <c r="LZM9" s="5"/>
      <c r="LZN9" s="5"/>
      <c r="LZO9" s="5"/>
      <c r="LZP9" s="5"/>
      <c r="LZQ9" s="5"/>
      <c r="LZR9" s="5"/>
      <c r="LZS9" s="5"/>
      <c r="LZT9" s="5"/>
      <c r="LZU9" s="5"/>
      <c r="LZV9" s="5"/>
      <c r="LZW9" s="5"/>
      <c r="LZX9" s="5"/>
      <c r="LZY9" s="5"/>
      <c r="LZZ9" s="5"/>
      <c r="MAA9" s="5"/>
      <c r="MAB9" s="5"/>
      <c r="MAC9" s="5"/>
      <c r="MAD9" s="5"/>
      <c r="MAE9" s="5"/>
      <c r="MAF9" s="5"/>
      <c r="MAG9" s="5"/>
      <c r="MAH9" s="5"/>
      <c r="MAI9" s="5"/>
      <c r="MAJ9" s="5"/>
      <c r="MAK9" s="5"/>
      <c r="MAL9" s="5"/>
      <c r="MAM9" s="5"/>
      <c r="MAN9" s="5"/>
      <c r="MAO9" s="5"/>
      <c r="MAP9" s="5"/>
      <c r="MAQ9" s="5"/>
      <c r="MAR9" s="5"/>
      <c r="MAS9" s="5"/>
      <c r="MAT9" s="5"/>
      <c r="MAU9" s="5"/>
      <c r="MAV9" s="5"/>
      <c r="MAW9" s="5"/>
      <c r="MAX9" s="5"/>
      <c r="MAY9" s="5"/>
      <c r="MAZ9" s="5"/>
      <c r="MBA9" s="5"/>
      <c r="MBB9" s="5"/>
      <c r="MBC9" s="5"/>
      <c r="MBD9" s="5"/>
      <c r="MBE9" s="5"/>
      <c r="MBF9" s="5"/>
      <c r="MBG9" s="5"/>
      <c r="MBH9" s="5"/>
      <c r="MBI9" s="5"/>
      <c r="MBJ9" s="5"/>
      <c r="MBK9" s="5"/>
      <c r="MBL9" s="5"/>
      <c r="MBM9" s="5"/>
      <c r="MBN9" s="5"/>
      <c r="MBO9" s="5"/>
      <c r="MBP9" s="5"/>
      <c r="MBQ9" s="5"/>
      <c r="MBR9" s="5"/>
      <c r="MBS9" s="5"/>
      <c r="MBT9" s="5"/>
      <c r="MBU9" s="5"/>
      <c r="MBV9" s="5"/>
      <c r="MBW9" s="5"/>
      <c r="MBX9" s="5"/>
      <c r="MBY9" s="5"/>
      <c r="MBZ9" s="5"/>
      <c r="MCA9" s="5"/>
      <c r="MCB9" s="5"/>
      <c r="MCC9" s="5"/>
      <c r="MCD9" s="5"/>
      <c r="MCE9" s="5"/>
      <c r="MCF9" s="5"/>
      <c r="MCG9" s="5"/>
      <c r="MCH9" s="5"/>
      <c r="MCI9" s="5"/>
      <c r="MCJ9" s="5"/>
      <c r="MCK9" s="5"/>
      <c r="MCL9" s="5"/>
      <c r="MCM9" s="5"/>
      <c r="MCN9" s="5"/>
      <c r="MCO9" s="5"/>
      <c r="MCP9" s="5"/>
      <c r="MCQ9" s="5"/>
      <c r="MCR9" s="5"/>
      <c r="MCS9" s="5"/>
      <c r="MCT9" s="5"/>
      <c r="MCU9" s="5"/>
      <c r="MCV9" s="5"/>
      <c r="MCW9" s="5"/>
      <c r="MCX9" s="5"/>
      <c r="MCY9" s="5"/>
      <c r="MCZ9" s="5"/>
      <c r="MDA9" s="5"/>
      <c r="MDB9" s="5"/>
      <c r="MDC9" s="5"/>
      <c r="MDD9" s="5"/>
      <c r="MDE9" s="5"/>
      <c r="MDF9" s="5"/>
      <c r="MDG9" s="5"/>
      <c r="MDH9" s="5"/>
      <c r="MDI9" s="5"/>
      <c r="MDJ9" s="5"/>
      <c r="MDK9" s="5"/>
      <c r="MDL9" s="5"/>
      <c r="MDM9" s="5"/>
      <c r="MDN9" s="5"/>
      <c r="MDO9" s="5"/>
      <c r="MDP9" s="5"/>
      <c r="MDQ9" s="5"/>
      <c r="MDR9" s="5"/>
      <c r="MDS9" s="5"/>
      <c r="MDT9" s="5"/>
      <c r="MDU9" s="5"/>
      <c r="MDV9" s="5"/>
      <c r="MDW9" s="5"/>
      <c r="MDX9" s="5"/>
      <c r="MDY9" s="5"/>
      <c r="MDZ9" s="5"/>
      <c r="MEA9" s="5"/>
      <c r="MEB9" s="5"/>
      <c r="MEC9" s="5"/>
      <c r="MED9" s="5"/>
      <c r="MEE9" s="5"/>
      <c r="MEF9" s="5"/>
      <c r="MEG9" s="5"/>
      <c r="MEH9" s="5"/>
      <c r="MEI9" s="5"/>
      <c r="MEJ9" s="5"/>
      <c r="MEK9" s="5"/>
      <c r="MEL9" s="5"/>
      <c r="MEM9" s="5"/>
      <c r="MEN9" s="5"/>
      <c r="MEO9" s="5"/>
      <c r="MEP9" s="5"/>
      <c r="MEQ9" s="5"/>
      <c r="MER9" s="5"/>
      <c r="MES9" s="5"/>
      <c r="MET9" s="5"/>
      <c r="MEU9" s="5"/>
      <c r="MEV9" s="5"/>
      <c r="MEW9" s="5"/>
      <c r="MEX9" s="5"/>
      <c r="MEY9" s="5"/>
      <c r="MEZ9" s="5"/>
      <c r="MFA9" s="5"/>
      <c r="MFB9" s="5"/>
      <c r="MFC9" s="5"/>
      <c r="MFD9" s="5"/>
      <c r="MFE9" s="5"/>
      <c r="MFF9" s="5"/>
      <c r="MFG9" s="5"/>
      <c r="MFH9" s="5"/>
      <c r="MFI9" s="5"/>
      <c r="MFJ9" s="5"/>
      <c r="MFK9" s="5"/>
      <c r="MFL9" s="5"/>
      <c r="MFM9" s="5"/>
      <c r="MFN9" s="5"/>
      <c r="MFO9" s="5"/>
      <c r="MFP9" s="5"/>
      <c r="MFQ9" s="5"/>
      <c r="MFR9" s="5"/>
      <c r="MFS9" s="5"/>
      <c r="MFT9" s="5"/>
      <c r="MFU9" s="5"/>
      <c r="MFV9" s="5"/>
      <c r="MFW9" s="5"/>
      <c r="MFX9" s="5"/>
      <c r="MFY9" s="5"/>
      <c r="MFZ9" s="5"/>
      <c r="MGA9" s="5"/>
      <c r="MGB9" s="5"/>
      <c r="MGC9" s="5"/>
      <c r="MGD9" s="5"/>
      <c r="MGE9" s="5"/>
      <c r="MGF9" s="5"/>
      <c r="MGG9" s="5"/>
      <c r="MGH9" s="5"/>
      <c r="MGI9" s="5"/>
      <c r="MGJ9" s="5"/>
      <c r="MGK9" s="5"/>
      <c r="MGL9" s="5"/>
      <c r="MGM9" s="5"/>
      <c r="MGN9" s="5"/>
      <c r="MGO9" s="5"/>
      <c r="MGP9" s="5"/>
      <c r="MGQ9" s="5"/>
      <c r="MGR9" s="5"/>
      <c r="MGS9" s="5"/>
      <c r="MGT9" s="5"/>
      <c r="MGU9" s="5"/>
      <c r="MGV9" s="5"/>
      <c r="MGW9" s="5"/>
      <c r="MGX9" s="5"/>
      <c r="MGY9" s="5"/>
      <c r="MGZ9" s="5"/>
      <c r="MHA9" s="5"/>
      <c r="MHB9" s="5"/>
      <c r="MHC9" s="5"/>
      <c r="MHD9" s="5"/>
      <c r="MHE9" s="5"/>
      <c r="MHF9" s="5"/>
      <c r="MHG9" s="5"/>
      <c r="MHH9" s="5"/>
      <c r="MHI9" s="5"/>
      <c r="MHJ9" s="5"/>
      <c r="MHK9" s="5"/>
      <c r="MHL9" s="5"/>
      <c r="MHM9" s="5"/>
      <c r="MHN9" s="5"/>
      <c r="MHO9" s="5"/>
      <c r="MHP9" s="5"/>
      <c r="MHQ9" s="5"/>
      <c r="MHR9" s="5"/>
      <c r="MHS9" s="5"/>
      <c r="MHT9" s="5"/>
      <c r="MHU9" s="5"/>
      <c r="MHV9" s="5"/>
      <c r="MHW9" s="5"/>
      <c r="MHX9" s="5"/>
      <c r="MHY9" s="5"/>
      <c r="MHZ9" s="5"/>
      <c r="MIA9" s="5"/>
      <c r="MIB9" s="5"/>
      <c r="MIC9" s="5"/>
      <c r="MID9" s="5"/>
      <c r="MIE9" s="5"/>
      <c r="MIF9" s="5"/>
      <c r="MIG9" s="5"/>
      <c r="MIH9" s="5"/>
      <c r="MII9" s="5"/>
      <c r="MIJ9" s="5"/>
      <c r="MIK9" s="5"/>
      <c r="MIL9" s="5"/>
      <c r="MIM9" s="5"/>
      <c r="MIN9" s="5"/>
      <c r="MIO9" s="5"/>
      <c r="MIP9" s="5"/>
      <c r="MIQ9" s="5"/>
      <c r="MIR9" s="5"/>
      <c r="MIS9" s="5"/>
      <c r="MIT9" s="5"/>
      <c r="MIU9" s="5"/>
      <c r="MIV9" s="5"/>
      <c r="MIW9" s="5"/>
      <c r="MIX9" s="5"/>
      <c r="MIY9" s="5"/>
      <c r="MIZ9" s="5"/>
      <c r="MJA9" s="5"/>
      <c r="MJB9" s="5"/>
      <c r="MJC9" s="5"/>
      <c r="MJD9" s="5"/>
      <c r="MJE9" s="5"/>
      <c r="MJF9" s="5"/>
      <c r="MJG9" s="5"/>
      <c r="MJH9" s="5"/>
      <c r="MJI9" s="5"/>
      <c r="MJJ9" s="5"/>
      <c r="MJK9" s="5"/>
      <c r="MJL9" s="5"/>
      <c r="MJM9" s="5"/>
      <c r="MJN9" s="5"/>
      <c r="MJO9" s="5"/>
      <c r="MJP9" s="5"/>
      <c r="MJQ9" s="5"/>
      <c r="MJR9" s="5"/>
      <c r="MJS9" s="5"/>
      <c r="MJT9" s="5"/>
      <c r="MJU9" s="5"/>
      <c r="MJV9" s="5"/>
      <c r="MJW9" s="5"/>
      <c r="MJX9" s="5"/>
      <c r="MJY9" s="5"/>
      <c r="MJZ9" s="5"/>
      <c r="MKA9" s="5"/>
      <c r="MKB9" s="5"/>
      <c r="MKC9" s="5"/>
      <c r="MKD9" s="5"/>
      <c r="MKE9" s="5"/>
      <c r="MKF9" s="5"/>
      <c r="MKG9" s="5"/>
      <c r="MKH9" s="5"/>
      <c r="MKI9" s="5"/>
      <c r="MKJ9" s="5"/>
      <c r="MKK9" s="5"/>
      <c r="MKL9" s="5"/>
      <c r="MKM9" s="5"/>
      <c r="MKN9" s="5"/>
      <c r="MKO9" s="5"/>
      <c r="MKP9" s="5"/>
      <c r="MKQ9" s="5"/>
      <c r="MKR9" s="5"/>
      <c r="MKS9" s="5"/>
      <c r="MKT9" s="5"/>
      <c r="MKU9" s="5"/>
      <c r="MKV9" s="5"/>
      <c r="MKW9" s="5"/>
      <c r="MKX9" s="5"/>
      <c r="MKY9" s="5"/>
      <c r="MKZ9" s="5"/>
      <c r="MLA9" s="5"/>
      <c r="MLB9" s="5"/>
      <c r="MLC9" s="5"/>
      <c r="MLD9" s="5"/>
      <c r="MLE9" s="5"/>
      <c r="MLF9" s="5"/>
      <c r="MLG9" s="5"/>
      <c r="MLH9" s="5"/>
      <c r="MLI9" s="5"/>
      <c r="MLJ9" s="5"/>
      <c r="MLK9" s="5"/>
      <c r="MLL9" s="5"/>
      <c r="MLM9" s="5"/>
      <c r="MLN9" s="5"/>
      <c r="MLO9" s="5"/>
      <c r="MLP9" s="5"/>
      <c r="MLQ9" s="5"/>
      <c r="MLR9" s="5"/>
      <c r="MLS9" s="5"/>
      <c r="MLT9" s="5"/>
      <c r="MLU9" s="5"/>
      <c r="MLV9" s="5"/>
      <c r="MLW9" s="5"/>
      <c r="MLX9" s="5"/>
      <c r="MLY9" s="5"/>
      <c r="MLZ9" s="5"/>
      <c r="MMA9" s="5"/>
      <c r="MMB9" s="5"/>
      <c r="MMC9" s="5"/>
      <c r="MMD9" s="5"/>
      <c r="MME9" s="5"/>
      <c r="MMF9" s="5"/>
      <c r="MMG9" s="5"/>
      <c r="MMH9" s="5"/>
      <c r="MMI9" s="5"/>
      <c r="MMJ9" s="5"/>
      <c r="MMK9" s="5"/>
      <c r="MML9" s="5"/>
      <c r="MMM9" s="5"/>
      <c r="MMN9" s="5"/>
      <c r="MMO9" s="5"/>
      <c r="MMP9" s="5"/>
      <c r="MMQ9" s="5"/>
      <c r="MMR9" s="5"/>
      <c r="MMS9" s="5"/>
      <c r="MMT9" s="5"/>
      <c r="MMU9" s="5"/>
      <c r="MMV9" s="5"/>
      <c r="MMW9" s="5"/>
      <c r="MMX9" s="5"/>
      <c r="MMY9" s="5"/>
      <c r="MMZ9" s="5"/>
      <c r="MNA9" s="5"/>
      <c r="MNB9" s="5"/>
      <c r="MNC9" s="5"/>
      <c r="MND9" s="5"/>
      <c r="MNE9" s="5"/>
      <c r="MNF9" s="5"/>
      <c r="MNG9" s="5"/>
      <c r="MNH9" s="5"/>
      <c r="MNI9" s="5"/>
      <c r="MNJ9" s="5"/>
      <c r="MNK9" s="5"/>
      <c r="MNL9" s="5"/>
      <c r="MNM9" s="5"/>
      <c r="MNN9" s="5"/>
      <c r="MNO9" s="5"/>
      <c r="MNP9" s="5"/>
      <c r="MNQ9" s="5"/>
      <c r="MNR9" s="5"/>
      <c r="MNS9" s="5"/>
      <c r="MNT9" s="5"/>
      <c r="MNU9" s="5"/>
      <c r="MNV9" s="5"/>
      <c r="MNW9" s="5"/>
      <c r="MNX9" s="5"/>
      <c r="MNY9" s="5"/>
      <c r="MNZ9" s="5"/>
      <c r="MOA9" s="5"/>
      <c r="MOB9" s="5"/>
      <c r="MOC9" s="5"/>
      <c r="MOD9" s="5"/>
      <c r="MOE9" s="5"/>
      <c r="MOF9" s="5"/>
      <c r="MOG9" s="5"/>
      <c r="MOH9" s="5"/>
      <c r="MOI9" s="5"/>
      <c r="MOJ9" s="5"/>
      <c r="MOK9" s="5"/>
      <c r="MOL9" s="5"/>
      <c r="MOM9" s="5"/>
      <c r="MON9" s="5"/>
      <c r="MOO9" s="5"/>
      <c r="MOP9" s="5"/>
      <c r="MOQ9" s="5"/>
      <c r="MOR9" s="5"/>
      <c r="MOS9" s="5"/>
      <c r="MOT9" s="5"/>
      <c r="MOU9" s="5"/>
      <c r="MOV9" s="5"/>
      <c r="MOW9" s="5"/>
      <c r="MOX9" s="5"/>
      <c r="MOY9" s="5"/>
      <c r="MOZ9" s="5"/>
      <c r="MPA9" s="5"/>
      <c r="MPB9" s="5"/>
      <c r="MPC9" s="5"/>
      <c r="MPD9" s="5"/>
      <c r="MPE9" s="5"/>
      <c r="MPF9" s="5"/>
      <c r="MPG9" s="5"/>
      <c r="MPH9" s="5"/>
      <c r="MPI9" s="5"/>
      <c r="MPJ9" s="5"/>
      <c r="MPK9" s="5"/>
      <c r="MPL9" s="5"/>
      <c r="MPM9" s="5"/>
      <c r="MPN9" s="5"/>
      <c r="MPO9" s="5"/>
      <c r="MPP9" s="5"/>
      <c r="MPQ9" s="5"/>
      <c r="MPR9" s="5"/>
      <c r="MPS9" s="5"/>
      <c r="MPT9" s="5"/>
      <c r="MPU9" s="5"/>
      <c r="MPV9" s="5"/>
      <c r="MPW9" s="5"/>
      <c r="MPX9" s="5"/>
      <c r="MPY9" s="5"/>
      <c r="MPZ9" s="5"/>
      <c r="MQA9" s="5"/>
      <c r="MQB9" s="5"/>
      <c r="MQC9" s="5"/>
      <c r="MQD9" s="5"/>
      <c r="MQE9" s="5"/>
      <c r="MQF9" s="5"/>
      <c r="MQG9" s="5"/>
      <c r="MQH9" s="5"/>
      <c r="MQI9" s="5"/>
      <c r="MQJ9" s="5"/>
      <c r="MQK9" s="5"/>
      <c r="MQL9" s="5"/>
      <c r="MQM9" s="5"/>
      <c r="MQN9" s="5"/>
      <c r="MQO9" s="5"/>
      <c r="MQP9" s="5"/>
      <c r="MQQ9" s="5"/>
      <c r="MQR9" s="5"/>
      <c r="MQS9" s="5"/>
      <c r="MQT9" s="5"/>
      <c r="MQU9" s="5"/>
      <c r="MQV9" s="5"/>
      <c r="MQW9" s="5"/>
      <c r="MQX9" s="5"/>
      <c r="MQY9" s="5"/>
      <c r="MQZ9" s="5"/>
      <c r="MRA9" s="5"/>
      <c r="MRB9" s="5"/>
      <c r="MRC9" s="5"/>
      <c r="MRD9" s="5"/>
      <c r="MRE9" s="5"/>
      <c r="MRF9" s="5"/>
      <c r="MRG9" s="5"/>
      <c r="MRH9" s="5"/>
      <c r="MRI9" s="5"/>
      <c r="MRJ9" s="5"/>
      <c r="MRK9" s="5"/>
      <c r="MRL9" s="5"/>
      <c r="MRM9" s="5"/>
      <c r="MRN9" s="5"/>
      <c r="MRO9" s="5"/>
      <c r="MRP9" s="5"/>
      <c r="MRQ9" s="5"/>
      <c r="MRR9" s="5"/>
      <c r="MRS9" s="5"/>
      <c r="MRT9" s="5"/>
      <c r="MRU9" s="5"/>
      <c r="MRV9" s="5"/>
      <c r="MRW9" s="5"/>
      <c r="MRX9" s="5"/>
      <c r="MRY9" s="5"/>
      <c r="MRZ9" s="5"/>
      <c r="MSA9" s="5"/>
      <c r="MSB9" s="5"/>
      <c r="MSC9" s="5"/>
      <c r="MSD9" s="5"/>
      <c r="MSE9" s="5"/>
      <c r="MSF9" s="5"/>
      <c r="MSG9" s="5"/>
      <c r="MSH9" s="5"/>
      <c r="MSI9" s="5"/>
      <c r="MSJ9" s="5"/>
      <c r="MSK9" s="5"/>
      <c r="MSL9" s="5"/>
      <c r="MSM9" s="5"/>
      <c r="MSN9" s="5"/>
      <c r="MSO9" s="5"/>
      <c r="MSP9" s="5"/>
      <c r="MSQ9" s="5"/>
      <c r="MSR9" s="5"/>
      <c r="MSS9" s="5"/>
      <c r="MST9" s="5"/>
      <c r="MSU9" s="5"/>
      <c r="MSV9" s="5"/>
      <c r="MSW9" s="5"/>
      <c r="MSX9" s="5"/>
      <c r="MSY9" s="5"/>
      <c r="MSZ9" s="5"/>
      <c r="MTA9" s="5"/>
      <c r="MTB9" s="5"/>
      <c r="MTC9" s="5"/>
      <c r="MTD9" s="5"/>
      <c r="MTE9" s="5"/>
      <c r="MTF9" s="5"/>
      <c r="MTG9" s="5"/>
      <c r="MTH9" s="5"/>
      <c r="MTI9" s="5"/>
      <c r="MTJ9" s="5"/>
      <c r="MTK9" s="5"/>
      <c r="MTL9" s="5"/>
      <c r="MTM9" s="5"/>
      <c r="MTN9" s="5"/>
      <c r="MTO9" s="5"/>
      <c r="MTP9" s="5"/>
      <c r="MTQ9" s="5"/>
      <c r="MTR9" s="5"/>
      <c r="MTS9" s="5"/>
      <c r="MTT9" s="5"/>
      <c r="MTU9" s="5"/>
      <c r="MTV9" s="5"/>
      <c r="MTW9" s="5"/>
      <c r="MTX9" s="5"/>
      <c r="MTY9" s="5"/>
      <c r="MTZ9" s="5"/>
      <c r="MUA9" s="5"/>
      <c r="MUB9" s="5"/>
      <c r="MUC9" s="5"/>
      <c r="MUD9" s="5"/>
      <c r="MUE9" s="5"/>
      <c r="MUF9" s="5"/>
      <c r="MUG9" s="5"/>
      <c r="MUH9" s="5"/>
      <c r="MUI9" s="5"/>
      <c r="MUJ9" s="5"/>
      <c r="MUK9" s="5"/>
      <c r="MUL9" s="5"/>
      <c r="MUM9" s="5"/>
      <c r="MUN9" s="5"/>
      <c r="MUO9" s="5"/>
      <c r="MUP9" s="5"/>
      <c r="MUQ9" s="5"/>
      <c r="MUR9" s="5"/>
      <c r="MUS9" s="5"/>
      <c r="MUT9" s="5"/>
      <c r="MUU9" s="5"/>
      <c r="MUV9" s="5"/>
      <c r="MUW9" s="5"/>
      <c r="MUX9" s="5"/>
      <c r="MUY9" s="5"/>
      <c r="MUZ9" s="5"/>
      <c r="MVA9" s="5"/>
      <c r="MVB9" s="5"/>
      <c r="MVC9" s="5"/>
      <c r="MVD9" s="5"/>
      <c r="MVE9" s="5"/>
      <c r="MVF9" s="5"/>
      <c r="MVG9" s="5"/>
      <c r="MVH9" s="5"/>
      <c r="MVI9" s="5"/>
      <c r="MVJ9" s="5"/>
      <c r="MVK9" s="5"/>
      <c r="MVL9" s="5"/>
      <c r="MVM9" s="5"/>
      <c r="MVN9" s="5"/>
      <c r="MVO9" s="5"/>
      <c r="MVP9" s="5"/>
      <c r="MVQ9" s="5"/>
      <c r="MVR9" s="5"/>
      <c r="MVS9" s="5"/>
      <c r="MVT9" s="5"/>
      <c r="MVU9" s="5"/>
      <c r="MVV9" s="5"/>
      <c r="MVW9" s="5"/>
      <c r="MVX9" s="5"/>
      <c r="MVY9" s="5"/>
      <c r="MVZ9" s="5"/>
      <c r="MWA9" s="5"/>
      <c r="MWB9" s="5"/>
      <c r="MWC9" s="5"/>
      <c r="MWD9" s="5"/>
      <c r="MWE9" s="5"/>
      <c r="MWF9" s="5"/>
      <c r="MWG9" s="5"/>
      <c r="MWH9" s="5"/>
      <c r="MWI9" s="5"/>
      <c r="MWJ9" s="5"/>
      <c r="MWK9" s="5"/>
      <c r="MWL9" s="5"/>
      <c r="MWM9" s="5"/>
      <c r="MWN9" s="5"/>
      <c r="MWO9" s="5"/>
      <c r="MWP9" s="5"/>
      <c r="MWQ9" s="5"/>
      <c r="MWR9" s="5"/>
      <c r="MWS9" s="5"/>
      <c r="MWT9" s="5"/>
      <c r="MWU9" s="5"/>
      <c r="MWV9" s="5"/>
      <c r="MWW9" s="5"/>
      <c r="MWX9" s="5"/>
      <c r="MWY9" s="5"/>
      <c r="MWZ9" s="5"/>
      <c r="MXA9" s="5"/>
      <c r="MXB9" s="5"/>
      <c r="MXC9" s="5"/>
      <c r="MXD9" s="5"/>
      <c r="MXE9" s="5"/>
      <c r="MXF9" s="5"/>
      <c r="MXG9" s="5"/>
      <c r="MXH9" s="5"/>
      <c r="MXI9" s="5"/>
      <c r="MXJ9" s="5"/>
      <c r="MXK9" s="5"/>
      <c r="MXL9" s="5"/>
      <c r="MXM9" s="5"/>
      <c r="MXN9" s="5"/>
      <c r="MXO9" s="5"/>
      <c r="MXP9" s="5"/>
      <c r="MXQ9" s="5"/>
      <c r="MXR9" s="5"/>
      <c r="MXS9" s="5"/>
      <c r="MXT9" s="5"/>
      <c r="MXU9" s="5"/>
      <c r="MXV9" s="5"/>
      <c r="MXW9" s="5"/>
      <c r="MXX9" s="5"/>
      <c r="MXY9" s="5"/>
      <c r="MXZ9" s="5"/>
      <c r="MYA9" s="5"/>
      <c r="MYB9" s="5"/>
      <c r="MYC9" s="5"/>
      <c r="MYD9" s="5"/>
      <c r="MYE9" s="5"/>
      <c r="MYF9" s="5"/>
      <c r="MYG9" s="5"/>
      <c r="MYH9" s="5"/>
      <c r="MYI9" s="5"/>
      <c r="MYJ9" s="5"/>
      <c r="MYK9" s="5"/>
      <c r="MYL9" s="5"/>
      <c r="MYM9" s="5"/>
      <c r="MYN9" s="5"/>
      <c r="MYO9" s="5"/>
      <c r="MYP9" s="5"/>
      <c r="MYQ9" s="5"/>
      <c r="MYR9" s="5"/>
      <c r="MYS9" s="5"/>
      <c r="MYT9" s="5"/>
      <c r="MYU9" s="5"/>
      <c r="MYV9" s="5"/>
      <c r="MYW9" s="5"/>
      <c r="MYX9" s="5"/>
      <c r="MYY9" s="5"/>
      <c r="MYZ9" s="5"/>
      <c r="MZA9" s="5"/>
      <c r="MZB9" s="5"/>
      <c r="MZC9" s="5"/>
      <c r="MZD9" s="5"/>
      <c r="MZE9" s="5"/>
      <c r="MZF9" s="5"/>
      <c r="MZG9" s="5"/>
      <c r="MZH9" s="5"/>
      <c r="MZI9" s="5"/>
      <c r="MZJ9" s="5"/>
      <c r="MZK9" s="5"/>
      <c r="MZL9" s="5"/>
      <c r="MZM9" s="5"/>
      <c r="MZN9" s="5"/>
      <c r="MZO9" s="5"/>
      <c r="MZP9" s="5"/>
      <c r="MZQ9" s="5"/>
      <c r="MZR9" s="5"/>
      <c r="MZS9" s="5"/>
      <c r="MZT9" s="5"/>
      <c r="MZU9" s="5"/>
      <c r="MZV9" s="5"/>
      <c r="MZW9" s="5"/>
      <c r="MZX9" s="5"/>
      <c r="MZY9" s="5"/>
      <c r="MZZ9" s="5"/>
      <c r="NAA9" s="5"/>
      <c r="NAB9" s="5"/>
      <c r="NAC9" s="5"/>
      <c r="NAD9" s="5"/>
      <c r="NAE9" s="5"/>
      <c r="NAF9" s="5"/>
      <c r="NAG9" s="5"/>
      <c r="NAH9" s="5"/>
      <c r="NAI9" s="5"/>
      <c r="NAJ9" s="5"/>
      <c r="NAK9" s="5"/>
      <c r="NAL9" s="5"/>
      <c r="NAM9" s="5"/>
      <c r="NAN9" s="5"/>
      <c r="NAO9" s="5"/>
      <c r="NAP9" s="5"/>
      <c r="NAQ9" s="5"/>
      <c r="NAR9" s="5"/>
      <c r="NAS9" s="5"/>
      <c r="NAT9" s="5"/>
      <c r="NAU9" s="5"/>
      <c r="NAV9" s="5"/>
      <c r="NAW9" s="5"/>
      <c r="NAX9" s="5"/>
      <c r="NAY9" s="5"/>
      <c r="NAZ9" s="5"/>
      <c r="NBA9" s="5"/>
      <c r="NBB9" s="5"/>
      <c r="NBC9" s="5"/>
      <c r="NBD9" s="5"/>
      <c r="NBE9" s="5"/>
      <c r="NBF9" s="5"/>
      <c r="NBG9" s="5"/>
      <c r="NBH9" s="5"/>
      <c r="NBI9" s="5"/>
      <c r="NBJ9" s="5"/>
      <c r="NBK9" s="5"/>
      <c r="NBL9" s="5"/>
      <c r="NBM9" s="5"/>
      <c r="NBN9" s="5"/>
      <c r="NBO9" s="5"/>
      <c r="NBP9" s="5"/>
      <c r="NBQ9" s="5"/>
      <c r="NBR9" s="5"/>
      <c r="NBS9" s="5"/>
      <c r="NBT9" s="5"/>
      <c r="NBU9" s="5"/>
      <c r="NBV9" s="5"/>
      <c r="NBW9" s="5"/>
      <c r="NBX9" s="5"/>
      <c r="NBY9" s="5"/>
      <c r="NBZ9" s="5"/>
      <c r="NCA9" s="5"/>
      <c r="NCB9" s="5"/>
      <c r="NCC9" s="5"/>
      <c r="NCD9" s="5"/>
      <c r="NCE9" s="5"/>
      <c r="NCF9" s="5"/>
      <c r="NCG9" s="5"/>
      <c r="NCH9" s="5"/>
      <c r="NCI9" s="5"/>
      <c r="NCJ9" s="5"/>
      <c r="NCK9" s="5"/>
      <c r="NCL9" s="5"/>
      <c r="NCM9" s="5"/>
      <c r="NCN9" s="5"/>
      <c r="NCO9" s="5"/>
      <c r="NCP9" s="5"/>
      <c r="NCQ9" s="5"/>
      <c r="NCR9" s="5"/>
      <c r="NCS9" s="5"/>
      <c r="NCT9" s="5"/>
      <c r="NCU9" s="5"/>
      <c r="NCV9" s="5"/>
      <c r="NCW9" s="5"/>
      <c r="NCX9" s="5"/>
      <c r="NCY9" s="5"/>
      <c r="NCZ9" s="5"/>
      <c r="NDA9" s="5"/>
      <c r="NDB9" s="5"/>
      <c r="NDC9" s="5"/>
      <c r="NDD9" s="5"/>
      <c r="NDE9" s="5"/>
      <c r="NDF9" s="5"/>
      <c r="NDG9" s="5"/>
      <c r="NDH9" s="5"/>
      <c r="NDI9" s="5"/>
      <c r="NDJ9" s="5"/>
      <c r="NDK9" s="5"/>
      <c r="NDL9" s="5"/>
      <c r="NDM9" s="5"/>
      <c r="NDN9" s="5"/>
      <c r="NDO9" s="5"/>
      <c r="NDP9" s="5"/>
      <c r="NDQ9" s="5"/>
      <c r="NDR9" s="5"/>
      <c r="NDS9" s="5"/>
      <c r="NDT9" s="5"/>
      <c r="NDU9" s="5"/>
      <c r="NDV9" s="5"/>
      <c r="NDW9" s="5"/>
      <c r="NDX9" s="5"/>
      <c r="NDY9" s="5"/>
      <c r="NDZ9" s="5"/>
      <c r="NEA9" s="5"/>
      <c r="NEB9" s="5"/>
      <c r="NEC9" s="5"/>
      <c r="NED9" s="5"/>
      <c r="NEE9" s="5"/>
      <c r="NEF9" s="5"/>
      <c r="NEG9" s="5"/>
      <c r="NEH9" s="5"/>
      <c r="NEI9" s="5"/>
      <c r="NEJ9" s="5"/>
      <c r="NEK9" s="5"/>
      <c r="NEL9" s="5"/>
      <c r="NEM9" s="5"/>
      <c r="NEN9" s="5"/>
      <c r="NEO9" s="5"/>
      <c r="NEP9" s="5"/>
      <c r="NEQ9" s="5"/>
      <c r="NER9" s="5"/>
      <c r="NES9" s="5"/>
      <c r="NET9" s="5"/>
      <c r="NEU9" s="5"/>
      <c r="NEV9" s="5"/>
      <c r="NEW9" s="5"/>
      <c r="NEX9" s="5"/>
      <c r="NEY9" s="5"/>
      <c r="NEZ9" s="5"/>
      <c r="NFA9" s="5"/>
      <c r="NFB9" s="5"/>
      <c r="NFC9" s="5"/>
      <c r="NFD9" s="5"/>
      <c r="NFE9" s="5"/>
      <c r="NFF9" s="5"/>
      <c r="NFG9" s="5"/>
      <c r="NFH9" s="5"/>
      <c r="NFI9" s="5"/>
      <c r="NFJ9" s="5"/>
      <c r="NFK9" s="5"/>
      <c r="NFL9" s="5"/>
      <c r="NFM9" s="5"/>
      <c r="NFN9" s="5"/>
      <c r="NFO9" s="5"/>
      <c r="NFP9" s="5"/>
      <c r="NFQ9" s="5"/>
      <c r="NFR9" s="5"/>
      <c r="NFS9" s="5"/>
      <c r="NFT9" s="5"/>
      <c r="NFU9" s="5"/>
      <c r="NFV9" s="5"/>
      <c r="NFW9" s="5"/>
      <c r="NFX9" s="5"/>
      <c r="NFY9" s="5"/>
      <c r="NFZ9" s="5"/>
      <c r="NGA9" s="5"/>
      <c r="NGB9" s="5"/>
      <c r="NGC9" s="5"/>
      <c r="NGD9" s="5"/>
      <c r="NGE9" s="5"/>
      <c r="NGF9" s="5"/>
      <c r="NGG9" s="5"/>
      <c r="NGH9" s="5"/>
      <c r="NGI9" s="5"/>
      <c r="NGJ9" s="5"/>
      <c r="NGK9" s="5"/>
      <c r="NGL9" s="5"/>
      <c r="NGM9" s="5"/>
      <c r="NGN9" s="5"/>
      <c r="NGO9" s="5"/>
      <c r="NGP9" s="5"/>
      <c r="NGQ9" s="5"/>
      <c r="NGR9" s="5"/>
      <c r="NGS9" s="5"/>
      <c r="NGT9" s="5"/>
      <c r="NGU9" s="5"/>
      <c r="NGV9" s="5"/>
      <c r="NGW9" s="5"/>
      <c r="NGX9" s="5"/>
      <c r="NGY9" s="5"/>
      <c r="NGZ9" s="5"/>
      <c r="NHA9" s="5"/>
      <c r="NHB9" s="5"/>
      <c r="NHC9" s="5"/>
      <c r="NHD9" s="5"/>
      <c r="NHE9" s="5"/>
      <c r="NHF9" s="5"/>
      <c r="NHG9" s="5"/>
      <c r="NHH9" s="5"/>
      <c r="NHI9" s="5"/>
      <c r="NHJ9" s="5"/>
      <c r="NHK9" s="5"/>
      <c r="NHL9" s="5"/>
      <c r="NHM9" s="5"/>
      <c r="NHN9" s="5"/>
      <c r="NHO9" s="5"/>
      <c r="NHP9" s="5"/>
      <c r="NHQ9" s="5"/>
      <c r="NHR9" s="5"/>
      <c r="NHS9" s="5"/>
      <c r="NHT9" s="5"/>
      <c r="NHU9" s="5"/>
      <c r="NHV9" s="5"/>
      <c r="NHW9" s="5"/>
      <c r="NHX9" s="5"/>
      <c r="NHY9" s="5"/>
      <c r="NHZ9" s="5"/>
      <c r="NIA9" s="5"/>
      <c r="NIB9" s="5"/>
      <c r="NIC9" s="5"/>
      <c r="NID9" s="5"/>
      <c r="NIE9" s="5"/>
      <c r="NIF9" s="5"/>
      <c r="NIG9" s="5"/>
      <c r="NIH9" s="5"/>
      <c r="NII9" s="5"/>
      <c r="NIJ9" s="5"/>
      <c r="NIK9" s="5"/>
      <c r="NIL9" s="5"/>
      <c r="NIM9" s="5"/>
      <c r="NIN9" s="5"/>
      <c r="NIO9" s="5"/>
      <c r="NIP9" s="5"/>
      <c r="NIQ9" s="5"/>
      <c r="NIR9" s="5"/>
      <c r="NIS9" s="5"/>
      <c r="NIT9" s="5"/>
      <c r="NIU9" s="5"/>
      <c r="NIV9" s="5"/>
      <c r="NIW9" s="5"/>
      <c r="NIX9" s="5"/>
      <c r="NIY9" s="5"/>
      <c r="NIZ9" s="5"/>
      <c r="NJA9" s="5"/>
      <c r="NJB9" s="5"/>
      <c r="NJC9" s="5"/>
      <c r="NJD9" s="5"/>
      <c r="NJE9" s="5"/>
      <c r="NJF9" s="5"/>
      <c r="NJG9" s="5"/>
      <c r="NJH9" s="5"/>
      <c r="NJI9" s="5"/>
      <c r="NJJ9" s="5"/>
      <c r="NJK9" s="5"/>
      <c r="NJL9" s="5"/>
      <c r="NJM9" s="5"/>
      <c r="NJN9" s="5"/>
      <c r="NJO9" s="5"/>
      <c r="NJP9" s="5"/>
      <c r="NJQ9" s="5"/>
      <c r="NJR9" s="5"/>
      <c r="NJS9" s="5"/>
      <c r="NJT9" s="5"/>
      <c r="NJU9" s="5"/>
      <c r="NJV9" s="5"/>
      <c r="NJW9" s="5"/>
      <c r="NJX9" s="5"/>
      <c r="NJY9" s="5"/>
      <c r="NJZ9" s="5"/>
      <c r="NKA9" s="5"/>
      <c r="NKB9" s="5"/>
      <c r="NKC9" s="5"/>
      <c r="NKD9" s="5"/>
      <c r="NKE9" s="5"/>
      <c r="NKF9" s="5"/>
      <c r="NKG9" s="5"/>
      <c r="NKH9" s="5"/>
      <c r="NKI9" s="5"/>
      <c r="NKJ9" s="5"/>
      <c r="NKK9" s="5"/>
      <c r="NKL9" s="5"/>
      <c r="NKM9" s="5"/>
      <c r="NKN9" s="5"/>
      <c r="NKO9" s="5"/>
      <c r="NKP9" s="5"/>
      <c r="NKQ9" s="5"/>
      <c r="NKR9" s="5"/>
      <c r="NKS9" s="5"/>
      <c r="NKT9" s="5"/>
      <c r="NKU9" s="5"/>
      <c r="NKV9" s="5"/>
      <c r="NKW9" s="5"/>
      <c r="NKX9" s="5"/>
      <c r="NKY9" s="5"/>
      <c r="NKZ9" s="5"/>
      <c r="NLA9" s="5"/>
      <c r="NLB9" s="5"/>
      <c r="NLC9" s="5"/>
      <c r="NLD9" s="5"/>
      <c r="NLE9" s="5"/>
      <c r="NLF9" s="5"/>
      <c r="NLG9" s="5"/>
      <c r="NLH9" s="5"/>
      <c r="NLI9" s="5"/>
      <c r="NLJ9" s="5"/>
      <c r="NLK9" s="5"/>
      <c r="NLL9" s="5"/>
      <c r="NLM9" s="5"/>
      <c r="NLN9" s="5"/>
      <c r="NLO9" s="5"/>
      <c r="NLP9" s="5"/>
      <c r="NLQ9" s="5"/>
      <c r="NLR9" s="5"/>
      <c r="NLS9" s="5"/>
      <c r="NLT9" s="5"/>
      <c r="NLU9" s="5"/>
      <c r="NLV9" s="5"/>
      <c r="NLW9" s="5"/>
      <c r="NLX9" s="5"/>
      <c r="NLY9" s="5"/>
      <c r="NLZ9" s="5"/>
      <c r="NMA9" s="5"/>
      <c r="NMB9" s="5"/>
      <c r="NMC9" s="5"/>
      <c r="NMD9" s="5"/>
      <c r="NME9" s="5"/>
      <c r="NMF9" s="5"/>
      <c r="NMG9" s="5"/>
      <c r="NMH9" s="5"/>
      <c r="NMI9" s="5"/>
      <c r="NMJ9" s="5"/>
      <c r="NMK9" s="5"/>
      <c r="NML9" s="5"/>
      <c r="NMM9" s="5"/>
      <c r="NMN9" s="5"/>
      <c r="NMO9" s="5"/>
      <c r="NMP9" s="5"/>
      <c r="NMQ9" s="5"/>
      <c r="NMR9" s="5"/>
      <c r="NMS9" s="5"/>
      <c r="NMT9" s="5"/>
      <c r="NMU9" s="5"/>
      <c r="NMV9" s="5"/>
      <c r="NMW9" s="5"/>
      <c r="NMX9" s="5"/>
      <c r="NMY9" s="5"/>
      <c r="NMZ9" s="5"/>
      <c r="NNA9" s="5"/>
      <c r="NNB9" s="5"/>
      <c r="NNC9" s="5"/>
      <c r="NND9" s="5"/>
      <c r="NNE9" s="5"/>
      <c r="NNF9" s="5"/>
      <c r="NNG9" s="5"/>
      <c r="NNH9" s="5"/>
      <c r="NNI9" s="5"/>
      <c r="NNJ9" s="5"/>
      <c r="NNK9" s="5"/>
      <c r="NNL9" s="5"/>
      <c r="NNM9" s="5"/>
      <c r="NNN9" s="5"/>
      <c r="NNO9" s="5"/>
      <c r="NNP9" s="5"/>
      <c r="NNQ9" s="5"/>
      <c r="NNR9" s="5"/>
      <c r="NNS9" s="5"/>
      <c r="NNT9" s="5"/>
      <c r="NNU9" s="5"/>
      <c r="NNV9" s="5"/>
      <c r="NNW9" s="5"/>
      <c r="NNX9" s="5"/>
      <c r="NNY9" s="5"/>
      <c r="NNZ9" s="5"/>
      <c r="NOA9" s="5"/>
      <c r="NOB9" s="5"/>
      <c r="NOC9" s="5"/>
      <c r="NOD9" s="5"/>
      <c r="NOE9" s="5"/>
      <c r="NOF9" s="5"/>
      <c r="NOG9" s="5"/>
      <c r="NOH9" s="5"/>
      <c r="NOI9" s="5"/>
      <c r="NOJ9" s="5"/>
      <c r="NOK9" s="5"/>
      <c r="NOL9" s="5"/>
      <c r="NOM9" s="5"/>
      <c r="NON9" s="5"/>
      <c r="NOO9" s="5"/>
      <c r="NOP9" s="5"/>
      <c r="NOQ9" s="5"/>
      <c r="NOR9" s="5"/>
      <c r="NOS9" s="5"/>
      <c r="NOT9" s="5"/>
      <c r="NOU9" s="5"/>
      <c r="NOV9" s="5"/>
      <c r="NOW9" s="5"/>
      <c r="NOX9" s="5"/>
      <c r="NOY9" s="5"/>
      <c r="NOZ9" s="5"/>
      <c r="NPA9" s="5"/>
      <c r="NPB9" s="5"/>
      <c r="NPC9" s="5"/>
      <c r="NPD9" s="5"/>
      <c r="NPE9" s="5"/>
      <c r="NPF9" s="5"/>
      <c r="NPG9" s="5"/>
      <c r="NPH9" s="5"/>
      <c r="NPI9" s="5"/>
      <c r="NPJ9" s="5"/>
      <c r="NPK9" s="5"/>
      <c r="NPL9" s="5"/>
      <c r="NPM9" s="5"/>
      <c r="NPN9" s="5"/>
      <c r="NPO9" s="5"/>
      <c r="NPP9" s="5"/>
      <c r="NPQ9" s="5"/>
      <c r="NPR9" s="5"/>
      <c r="NPS9" s="5"/>
      <c r="NPT9" s="5"/>
      <c r="NPU9" s="5"/>
      <c r="NPV9" s="5"/>
      <c r="NPW9" s="5"/>
      <c r="NPX9" s="5"/>
      <c r="NPY9" s="5"/>
      <c r="NPZ9" s="5"/>
      <c r="NQA9" s="5"/>
      <c r="NQB9" s="5"/>
      <c r="NQC9" s="5"/>
      <c r="NQD9" s="5"/>
      <c r="NQE9" s="5"/>
      <c r="NQF9" s="5"/>
      <c r="NQG9" s="5"/>
      <c r="NQH9" s="5"/>
      <c r="NQI9" s="5"/>
      <c r="NQJ9" s="5"/>
      <c r="NQK9" s="5"/>
      <c r="NQL9" s="5"/>
      <c r="NQM9" s="5"/>
      <c r="NQN9" s="5"/>
      <c r="NQO9" s="5"/>
      <c r="NQP9" s="5"/>
      <c r="NQQ9" s="5"/>
      <c r="NQR9" s="5"/>
      <c r="NQS9" s="5"/>
      <c r="NQT9" s="5"/>
      <c r="NQU9" s="5"/>
      <c r="NQV9" s="5"/>
      <c r="NQW9" s="5"/>
      <c r="NQX9" s="5"/>
      <c r="NQY9" s="5"/>
      <c r="NQZ9" s="5"/>
      <c r="NRA9" s="5"/>
      <c r="NRB9" s="5"/>
      <c r="NRC9" s="5"/>
      <c r="NRD9" s="5"/>
      <c r="NRE9" s="5"/>
      <c r="NRF9" s="5"/>
      <c r="NRG9" s="5"/>
      <c r="NRH9" s="5"/>
      <c r="NRI9" s="5"/>
      <c r="NRJ9" s="5"/>
      <c r="NRK9" s="5"/>
      <c r="NRL9" s="5"/>
      <c r="NRM9" s="5"/>
      <c r="NRN9" s="5"/>
      <c r="NRO9" s="5"/>
      <c r="NRP9" s="5"/>
      <c r="NRQ9" s="5"/>
      <c r="NRR9" s="5"/>
      <c r="NRS9" s="5"/>
      <c r="NRT9" s="5"/>
      <c r="NRU9" s="5"/>
      <c r="NRV9" s="5"/>
      <c r="NRW9" s="5"/>
      <c r="NRX9" s="5"/>
      <c r="NRY9" s="5"/>
      <c r="NRZ9" s="5"/>
      <c r="NSA9" s="5"/>
      <c r="NSB9" s="5"/>
      <c r="NSC9" s="5"/>
      <c r="NSD9" s="5"/>
      <c r="NSE9" s="5"/>
      <c r="NSF9" s="5"/>
      <c r="NSG9" s="5"/>
      <c r="NSH9" s="5"/>
      <c r="NSI9" s="5"/>
      <c r="NSJ9" s="5"/>
      <c r="NSK9" s="5"/>
      <c r="NSL9" s="5"/>
      <c r="NSM9" s="5"/>
      <c r="NSN9" s="5"/>
      <c r="NSO9" s="5"/>
      <c r="NSP9" s="5"/>
      <c r="NSQ9" s="5"/>
      <c r="NSR9" s="5"/>
      <c r="NSS9" s="5"/>
      <c r="NST9" s="5"/>
      <c r="NSU9" s="5"/>
      <c r="NSV9" s="5"/>
      <c r="NSW9" s="5"/>
      <c r="NSX9" s="5"/>
      <c r="NSY9" s="5"/>
      <c r="NSZ9" s="5"/>
      <c r="NTA9" s="5"/>
      <c r="NTB9" s="5"/>
      <c r="NTC9" s="5"/>
      <c r="NTD9" s="5"/>
      <c r="NTE9" s="5"/>
      <c r="NTF9" s="5"/>
      <c r="NTG9" s="5"/>
      <c r="NTH9" s="5"/>
      <c r="NTI9" s="5"/>
      <c r="NTJ9" s="5"/>
      <c r="NTK9" s="5"/>
      <c r="NTL9" s="5"/>
      <c r="NTM9" s="5"/>
      <c r="NTN9" s="5"/>
      <c r="NTO9" s="5"/>
      <c r="NTP9" s="5"/>
      <c r="NTQ9" s="5"/>
      <c r="NTR9" s="5"/>
      <c r="NTS9" s="5"/>
      <c r="NTT9" s="5"/>
      <c r="NTU9" s="5"/>
      <c r="NTV9" s="5"/>
      <c r="NTW9" s="5"/>
      <c r="NTX9" s="5"/>
      <c r="NTY9" s="5"/>
      <c r="NTZ9" s="5"/>
      <c r="NUA9" s="5"/>
      <c r="NUB9" s="5"/>
      <c r="NUC9" s="5"/>
      <c r="NUD9" s="5"/>
      <c r="NUE9" s="5"/>
      <c r="NUF9" s="5"/>
      <c r="NUG9" s="5"/>
      <c r="NUH9" s="5"/>
      <c r="NUI9" s="5"/>
      <c r="NUJ9" s="5"/>
      <c r="NUK9" s="5"/>
      <c r="NUL9" s="5"/>
      <c r="NUM9" s="5"/>
      <c r="NUN9" s="5"/>
      <c r="NUO9" s="5"/>
      <c r="NUP9" s="5"/>
      <c r="NUQ9" s="5"/>
      <c r="NUR9" s="5"/>
      <c r="NUS9" s="5"/>
      <c r="NUT9" s="5"/>
      <c r="NUU9" s="5"/>
      <c r="NUV9" s="5"/>
      <c r="NUW9" s="5"/>
      <c r="NUX9" s="5"/>
      <c r="NUY9" s="5"/>
      <c r="NUZ9" s="5"/>
      <c r="NVA9" s="5"/>
      <c r="NVB9" s="5"/>
      <c r="NVC9" s="5"/>
      <c r="NVD9" s="5"/>
      <c r="NVE9" s="5"/>
      <c r="NVF9" s="5"/>
      <c r="NVG9" s="5"/>
      <c r="NVH9" s="5"/>
      <c r="NVI9" s="5"/>
      <c r="NVJ9" s="5"/>
      <c r="NVK9" s="5"/>
      <c r="NVL9" s="5"/>
      <c r="NVM9" s="5"/>
      <c r="NVN9" s="5"/>
      <c r="NVO9" s="5"/>
      <c r="NVP9" s="5"/>
      <c r="NVQ9" s="5"/>
      <c r="NVR9" s="5"/>
      <c r="NVS9" s="5"/>
      <c r="NVT9" s="5"/>
      <c r="NVU9" s="5"/>
      <c r="NVV9" s="5"/>
      <c r="NVW9" s="5"/>
      <c r="NVX9" s="5"/>
      <c r="NVY9" s="5"/>
      <c r="NVZ9" s="5"/>
      <c r="NWA9" s="5"/>
      <c r="NWB9" s="5"/>
      <c r="NWC9" s="5"/>
      <c r="NWD9" s="5"/>
      <c r="NWE9" s="5"/>
      <c r="NWF9" s="5"/>
      <c r="NWG9" s="5"/>
      <c r="NWH9" s="5"/>
      <c r="NWI9" s="5"/>
      <c r="NWJ9" s="5"/>
      <c r="NWK9" s="5"/>
      <c r="NWL9" s="5"/>
      <c r="NWM9" s="5"/>
      <c r="NWN9" s="5"/>
      <c r="NWO9" s="5"/>
      <c r="NWP9" s="5"/>
      <c r="NWQ9" s="5"/>
      <c r="NWR9" s="5"/>
      <c r="NWS9" s="5"/>
      <c r="NWT9" s="5"/>
      <c r="NWU9" s="5"/>
      <c r="NWV9" s="5"/>
      <c r="NWW9" s="5"/>
      <c r="NWX9" s="5"/>
      <c r="NWY9" s="5"/>
      <c r="NWZ9" s="5"/>
      <c r="NXA9" s="5"/>
      <c r="NXB9" s="5"/>
      <c r="NXC9" s="5"/>
      <c r="NXD9" s="5"/>
      <c r="NXE9" s="5"/>
      <c r="NXF9" s="5"/>
      <c r="NXG9" s="5"/>
      <c r="NXH9" s="5"/>
      <c r="NXI9" s="5"/>
      <c r="NXJ9" s="5"/>
      <c r="NXK9" s="5"/>
      <c r="NXL9" s="5"/>
      <c r="NXM9" s="5"/>
      <c r="NXN9" s="5"/>
      <c r="NXO9" s="5"/>
      <c r="NXP9" s="5"/>
      <c r="NXQ9" s="5"/>
      <c r="NXR9" s="5"/>
      <c r="NXS9" s="5"/>
      <c r="NXT9" s="5"/>
      <c r="NXU9" s="5"/>
      <c r="NXV9" s="5"/>
      <c r="NXW9" s="5"/>
      <c r="NXX9" s="5"/>
      <c r="NXY9" s="5"/>
      <c r="NXZ9" s="5"/>
      <c r="NYA9" s="5"/>
      <c r="NYB9" s="5"/>
      <c r="NYC9" s="5"/>
      <c r="NYD9" s="5"/>
      <c r="NYE9" s="5"/>
      <c r="NYF9" s="5"/>
      <c r="NYG9" s="5"/>
      <c r="NYH9" s="5"/>
      <c r="NYI9" s="5"/>
      <c r="NYJ9" s="5"/>
      <c r="NYK9" s="5"/>
      <c r="NYL9" s="5"/>
      <c r="NYM9" s="5"/>
      <c r="NYN9" s="5"/>
      <c r="NYO9" s="5"/>
      <c r="NYP9" s="5"/>
      <c r="NYQ9" s="5"/>
      <c r="NYR9" s="5"/>
      <c r="NYS9" s="5"/>
      <c r="NYT9" s="5"/>
      <c r="NYU9" s="5"/>
      <c r="NYV9" s="5"/>
      <c r="NYW9" s="5"/>
      <c r="NYX9" s="5"/>
      <c r="NYY9" s="5"/>
      <c r="NYZ9" s="5"/>
      <c r="NZA9" s="5"/>
      <c r="NZB9" s="5"/>
      <c r="NZC9" s="5"/>
      <c r="NZD9" s="5"/>
      <c r="NZE9" s="5"/>
      <c r="NZF9" s="5"/>
      <c r="NZG9" s="5"/>
      <c r="NZH9" s="5"/>
      <c r="NZI9" s="5"/>
      <c r="NZJ9" s="5"/>
      <c r="NZK9" s="5"/>
      <c r="NZL9" s="5"/>
      <c r="NZM9" s="5"/>
      <c r="NZN9" s="5"/>
      <c r="NZO9" s="5"/>
      <c r="NZP9" s="5"/>
      <c r="NZQ9" s="5"/>
      <c r="NZR9" s="5"/>
      <c r="NZS9" s="5"/>
      <c r="NZT9" s="5"/>
      <c r="NZU9" s="5"/>
      <c r="NZV9" s="5"/>
      <c r="NZW9" s="5"/>
      <c r="NZX9" s="5"/>
      <c r="NZY9" s="5"/>
      <c r="NZZ9" s="5"/>
      <c r="OAA9" s="5"/>
      <c r="OAB9" s="5"/>
      <c r="OAC9" s="5"/>
      <c r="OAD9" s="5"/>
      <c r="OAE9" s="5"/>
      <c r="OAF9" s="5"/>
      <c r="OAG9" s="5"/>
      <c r="OAH9" s="5"/>
      <c r="OAI9" s="5"/>
      <c r="OAJ9" s="5"/>
      <c r="OAK9" s="5"/>
      <c r="OAL9" s="5"/>
      <c r="OAM9" s="5"/>
      <c r="OAN9" s="5"/>
      <c r="OAO9" s="5"/>
      <c r="OAP9" s="5"/>
      <c r="OAQ9" s="5"/>
      <c r="OAR9" s="5"/>
      <c r="OAS9" s="5"/>
      <c r="OAT9" s="5"/>
      <c r="OAU9" s="5"/>
      <c r="OAV9" s="5"/>
      <c r="OAW9" s="5"/>
      <c r="OAX9" s="5"/>
      <c r="OAY9" s="5"/>
      <c r="OAZ9" s="5"/>
      <c r="OBA9" s="5"/>
      <c r="OBB9" s="5"/>
      <c r="OBC9" s="5"/>
      <c r="OBD9" s="5"/>
      <c r="OBE9" s="5"/>
      <c r="OBF9" s="5"/>
      <c r="OBG9" s="5"/>
      <c r="OBH9" s="5"/>
      <c r="OBI9" s="5"/>
      <c r="OBJ9" s="5"/>
      <c r="OBK9" s="5"/>
      <c r="OBL9" s="5"/>
      <c r="OBM9" s="5"/>
      <c r="OBN9" s="5"/>
      <c r="OBO9" s="5"/>
      <c r="OBP9" s="5"/>
      <c r="OBQ9" s="5"/>
      <c r="OBR9" s="5"/>
      <c r="OBS9" s="5"/>
      <c r="OBT9" s="5"/>
      <c r="OBU9" s="5"/>
      <c r="OBV9" s="5"/>
      <c r="OBW9" s="5"/>
      <c r="OBX9" s="5"/>
      <c r="OBY9" s="5"/>
      <c r="OBZ9" s="5"/>
      <c r="OCA9" s="5"/>
      <c r="OCB9" s="5"/>
      <c r="OCC9" s="5"/>
      <c r="OCD9" s="5"/>
      <c r="OCE9" s="5"/>
      <c r="OCF9" s="5"/>
      <c r="OCG9" s="5"/>
      <c r="OCH9" s="5"/>
      <c r="OCI9" s="5"/>
      <c r="OCJ9" s="5"/>
      <c r="OCK9" s="5"/>
      <c r="OCL9" s="5"/>
      <c r="OCM9" s="5"/>
      <c r="OCN9" s="5"/>
      <c r="OCO9" s="5"/>
      <c r="OCP9" s="5"/>
      <c r="OCQ9" s="5"/>
      <c r="OCR9" s="5"/>
      <c r="OCS9" s="5"/>
      <c r="OCT9" s="5"/>
      <c r="OCU9" s="5"/>
      <c r="OCV9" s="5"/>
      <c r="OCW9" s="5"/>
      <c r="OCX9" s="5"/>
      <c r="OCY9" s="5"/>
      <c r="OCZ9" s="5"/>
      <c r="ODA9" s="5"/>
      <c r="ODB9" s="5"/>
      <c r="ODC9" s="5"/>
      <c r="ODD9" s="5"/>
      <c r="ODE9" s="5"/>
      <c r="ODF9" s="5"/>
      <c r="ODG9" s="5"/>
      <c r="ODH9" s="5"/>
      <c r="ODI9" s="5"/>
      <c r="ODJ9" s="5"/>
      <c r="ODK9" s="5"/>
      <c r="ODL9" s="5"/>
      <c r="ODM9" s="5"/>
      <c r="ODN9" s="5"/>
      <c r="ODO9" s="5"/>
      <c r="ODP9" s="5"/>
      <c r="ODQ9" s="5"/>
      <c r="ODR9" s="5"/>
      <c r="ODS9" s="5"/>
      <c r="ODT9" s="5"/>
      <c r="ODU9" s="5"/>
      <c r="ODV9" s="5"/>
      <c r="ODW9" s="5"/>
      <c r="ODX9" s="5"/>
      <c r="ODY9" s="5"/>
      <c r="ODZ9" s="5"/>
      <c r="OEA9" s="5"/>
      <c r="OEB9" s="5"/>
      <c r="OEC9" s="5"/>
      <c r="OED9" s="5"/>
      <c r="OEE9" s="5"/>
      <c r="OEF9" s="5"/>
      <c r="OEG9" s="5"/>
      <c r="OEH9" s="5"/>
      <c r="OEI9" s="5"/>
      <c r="OEJ9" s="5"/>
      <c r="OEK9" s="5"/>
      <c r="OEL9" s="5"/>
      <c r="OEM9" s="5"/>
      <c r="OEN9" s="5"/>
      <c r="OEO9" s="5"/>
      <c r="OEP9" s="5"/>
      <c r="OEQ9" s="5"/>
      <c r="OER9" s="5"/>
      <c r="OES9" s="5"/>
      <c r="OET9" s="5"/>
      <c r="OEU9" s="5"/>
      <c r="OEV9" s="5"/>
      <c r="OEW9" s="5"/>
      <c r="OEX9" s="5"/>
      <c r="OEY9" s="5"/>
      <c r="OEZ9" s="5"/>
      <c r="OFA9" s="5"/>
      <c r="OFB9" s="5"/>
      <c r="OFC9" s="5"/>
      <c r="OFD9" s="5"/>
      <c r="OFE9" s="5"/>
      <c r="OFF9" s="5"/>
      <c r="OFG9" s="5"/>
      <c r="OFH9" s="5"/>
      <c r="OFI9" s="5"/>
      <c r="OFJ9" s="5"/>
      <c r="OFK9" s="5"/>
      <c r="OFL9" s="5"/>
      <c r="OFM9" s="5"/>
      <c r="OFN9" s="5"/>
      <c r="OFO9" s="5"/>
      <c r="OFP9" s="5"/>
      <c r="OFQ9" s="5"/>
      <c r="OFR9" s="5"/>
      <c r="OFS9" s="5"/>
      <c r="OFT9" s="5"/>
      <c r="OFU9" s="5"/>
      <c r="OFV9" s="5"/>
      <c r="OFW9" s="5"/>
      <c r="OFX9" s="5"/>
      <c r="OFY9" s="5"/>
      <c r="OFZ9" s="5"/>
      <c r="OGA9" s="5"/>
      <c r="OGB9" s="5"/>
      <c r="OGC9" s="5"/>
      <c r="OGD9" s="5"/>
      <c r="OGE9" s="5"/>
      <c r="OGF9" s="5"/>
      <c r="OGG9" s="5"/>
      <c r="OGH9" s="5"/>
      <c r="OGI9" s="5"/>
      <c r="OGJ9" s="5"/>
      <c r="OGK9" s="5"/>
      <c r="OGL9" s="5"/>
      <c r="OGM9" s="5"/>
      <c r="OGN9" s="5"/>
      <c r="OGO9" s="5"/>
      <c r="OGP9" s="5"/>
      <c r="OGQ9" s="5"/>
      <c r="OGR9" s="5"/>
      <c r="OGS9" s="5"/>
      <c r="OGT9" s="5"/>
      <c r="OGU9" s="5"/>
      <c r="OGV9" s="5"/>
      <c r="OGW9" s="5"/>
      <c r="OGX9" s="5"/>
      <c r="OGY9" s="5"/>
      <c r="OGZ9" s="5"/>
      <c r="OHA9" s="5"/>
      <c r="OHB9" s="5"/>
      <c r="OHC9" s="5"/>
      <c r="OHD9" s="5"/>
      <c r="OHE9" s="5"/>
      <c r="OHF9" s="5"/>
      <c r="OHG9" s="5"/>
      <c r="OHH9" s="5"/>
      <c r="OHI9" s="5"/>
      <c r="OHJ9" s="5"/>
      <c r="OHK9" s="5"/>
      <c r="OHL9" s="5"/>
      <c r="OHM9" s="5"/>
      <c r="OHN9" s="5"/>
      <c r="OHO9" s="5"/>
      <c r="OHP9" s="5"/>
      <c r="OHQ9" s="5"/>
      <c r="OHR9" s="5"/>
      <c r="OHS9" s="5"/>
      <c r="OHT9" s="5"/>
      <c r="OHU9" s="5"/>
      <c r="OHV9" s="5"/>
      <c r="OHW9" s="5"/>
      <c r="OHX9" s="5"/>
      <c r="OHY9" s="5"/>
      <c r="OHZ9" s="5"/>
      <c r="OIA9" s="5"/>
      <c r="OIB9" s="5"/>
      <c r="OIC9" s="5"/>
      <c r="OID9" s="5"/>
      <c r="OIE9" s="5"/>
      <c r="OIF9" s="5"/>
      <c r="OIG9" s="5"/>
      <c r="OIH9" s="5"/>
      <c r="OII9" s="5"/>
      <c r="OIJ9" s="5"/>
      <c r="OIK9" s="5"/>
      <c r="OIL9" s="5"/>
      <c r="OIM9" s="5"/>
      <c r="OIN9" s="5"/>
      <c r="OIO9" s="5"/>
      <c r="OIP9" s="5"/>
      <c r="OIQ9" s="5"/>
      <c r="OIR9" s="5"/>
      <c r="OIS9" s="5"/>
      <c r="OIT9" s="5"/>
      <c r="OIU9" s="5"/>
      <c r="OIV9" s="5"/>
      <c r="OIW9" s="5"/>
      <c r="OIX9" s="5"/>
      <c r="OIY9" s="5"/>
      <c r="OIZ9" s="5"/>
      <c r="OJA9" s="5"/>
      <c r="OJB9" s="5"/>
      <c r="OJC9" s="5"/>
      <c r="OJD9" s="5"/>
      <c r="OJE9" s="5"/>
      <c r="OJF9" s="5"/>
      <c r="OJG9" s="5"/>
      <c r="OJH9" s="5"/>
      <c r="OJI9" s="5"/>
      <c r="OJJ9" s="5"/>
      <c r="OJK9" s="5"/>
      <c r="OJL9" s="5"/>
      <c r="OJM9" s="5"/>
      <c r="OJN9" s="5"/>
      <c r="OJO9" s="5"/>
      <c r="OJP9" s="5"/>
      <c r="OJQ9" s="5"/>
      <c r="OJR9" s="5"/>
      <c r="OJS9" s="5"/>
      <c r="OJT9" s="5"/>
      <c r="OJU9" s="5"/>
      <c r="OJV9" s="5"/>
      <c r="OJW9" s="5"/>
      <c r="OJX9" s="5"/>
      <c r="OJY9" s="5"/>
      <c r="OJZ9" s="5"/>
      <c r="OKA9" s="5"/>
      <c r="OKB9" s="5"/>
      <c r="OKC9" s="5"/>
      <c r="OKD9" s="5"/>
      <c r="OKE9" s="5"/>
      <c r="OKF9" s="5"/>
      <c r="OKG9" s="5"/>
      <c r="OKH9" s="5"/>
      <c r="OKI9" s="5"/>
      <c r="OKJ9" s="5"/>
      <c r="OKK9" s="5"/>
      <c r="OKL9" s="5"/>
      <c r="OKM9" s="5"/>
      <c r="OKN9" s="5"/>
      <c r="OKO9" s="5"/>
      <c r="OKP9" s="5"/>
      <c r="OKQ9" s="5"/>
      <c r="OKR9" s="5"/>
      <c r="OKS9" s="5"/>
      <c r="OKT9" s="5"/>
      <c r="OKU9" s="5"/>
      <c r="OKV9" s="5"/>
      <c r="OKW9" s="5"/>
      <c r="OKX9" s="5"/>
      <c r="OKY9" s="5"/>
      <c r="OKZ9" s="5"/>
      <c r="OLA9" s="5"/>
      <c r="OLB9" s="5"/>
      <c r="OLC9" s="5"/>
      <c r="OLD9" s="5"/>
      <c r="OLE9" s="5"/>
      <c r="OLF9" s="5"/>
      <c r="OLG9" s="5"/>
      <c r="OLH9" s="5"/>
      <c r="OLI9" s="5"/>
      <c r="OLJ9" s="5"/>
      <c r="OLK9" s="5"/>
      <c r="OLL9" s="5"/>
      <c r="OLM9" s="5"/>
      <c r="OLN9" s="5"/>
      <c r="OLO9" s="5"/>
      <c r="OLP9" s="5"/>
      <c r="OLQ9" s="5"/>
      <c r="OLR9" s="5"/>
      <c r="OLS9" s="5"/>
      <c r="OLT9" s="5"/>
      <c r="OLU9" s="5"/>
      <c r="OLV9" s="5"/>
      <c r="OLW9" s="5"/>
      <c r="OLX9" s="5"/>
      <c r="OLY9" s="5"/>
      <c r="OLZ9" s="5"/>
      <c r="OMA9" s="5"/>
      <c r="OMB9" s="5"/>
      <c r="OMC9" s="5"/>
      <c r="OMD9" s="5"/>
      <c r="OME9" s="5"/>
      <c r="OMF9" s="5"/>
      <c r="OMG9" s="5"/>
      <c r="OMH9" s="5"/>
      <c r="OMI9" s="5"/>
      <c r="OMJ9" s="5"/>
      <c r="OMK9" s="5"/>
      <c r="OML9" s="5"/>
      <c r="OMM9" s="5"/>
      <c r="OMN9" s="5"/>
      <c r="OMO9" s="5"/>
      <c r="OMP9" s="5"/>
      <c r="OMQ9" s="5"/>
      <c r="OMR9" s="5"/>
      <c r="OMS9" s="5"/>
      <c r="OMT9" s="5"/>
      <c r="OMU9" s="5"/>
      <c r="OMV9" s="5"/>
      <c r="OMW9" s="5"/>
      <c r="OMX9" s="5"/>
      <c r="OMY9" s="5"/>
      <c r="OMZ9" s="5"/>
      <c r="ONA9" s="5"/>
      <c r="ONB9" s="5"/>
      <c r="ONC9" s="5"/>
      <c r="OND9" s="5"/>
      <c r="ONE9" s="5"/>
      <c r="ONF9" s="5"/>
      <c r="ONG9" s="5"/>
      <c r="ONH9" s="5"/>
      <c r="ONI9" s="5"/>
      <c r="ONJ9" s="5"/>
      <c r="ONK9" s="5"/>
      <c r="ONL9" s="5"/>
      <c r="ONM9" s="5"/>
      <c r="ONN9" s="5"/>
      <c r="ONO9" s="5"/>
      <c r="ONP9" s="5"/>
      <c r="ONQ9" s="5"/>
      <c r="ONR9" s="5"/>
      <c r="ONS9" s="5"/>
      <c r="ONT9" s="5"/>
      <c r="ONU9" s="5"/>
      <c r="ONV9" s="5"/>
      <c r="ONW9" s="5"/>
      <c r="ONX9" s="5"/>
      <c r="ONY9" s="5"/>
      <c r="ONZ9" s="5"/>
      <c r="OOA9" s="5"/>
      <c r="OOB9" s="5"/>
      <c r="OOC9" s="5"/>
      <c r="OOD9" s="5"/>
      <c r="OOE9" s="5"/>
      <c r="OOF9" s="5"/>
      <c r="OOG9" s="5"/>
      <c r="OOH9" s="5"/>
      <c r="OOI9" s="5"/>
      <c r="OOJ9" s="5"/>
      <c r="OOK9" s="5"/>
      <c r="OOL9" s="5"/>
      <c r="OOM9" s="5"/>
      <c r="OON9" s="5"/>
      <c r="OOO9" s="5"/>
      <c r="OOP9" s="5"/>
      <c r="OOQ9" s="5"/>
      <c r="OOR9" s="5"/>
      <c r="OOS9" s="5"/>
      <c r="OOT9" s="5"/>
      <c r="OOU9" s="5"/>
      <c r="OOV9" s="5"/>
      <c r="OOW9" s="5"/>
      <c r="OOX9" s="5"/>
      <c r="OOY9" s="5"/>
      <c r="OOZ9" s="5"/>
      <c r="OPA9" s="5"/>
      <c r="OPB9" s="5"/>
      <c r="OPC9" s="5"/>
      <c r="OPD9" s="5"/>
      <c r="OPE9" s="5"/>
      <c r="OPF9" s="5"/>
      <c r="OPG9" s="5"/>
      <c r="OPH9" s="5"/>
      <c r="OPI9" s="5"/>
      <c r="OPJ9" s="5"/>
      <c r="OPK9" s="5"/>
      <c r="OPL9" s="5"/>
      <c r="OPM9" s="5"/>
      <c r="OPN9" s="5"/>
      <c r="OPO9" s="5"/>
      <c r="OPP9" s="5"/>
      <c r="OPQ9" s="5"/>
      <c r="OPR9" s="5"/>
      <c r="OPS9" s="5"/>
      <c r="OPT9" s="5"/>
      <c r="OPU9" s="5"/>
      <c r="OPV9" s="5"/>
      <c r="OPW9" s="5"/>
      <c r="OPX9" s="5"/>
      <c r="OPY9" s="5"/>
      <c r="OPZ9" s="5"/>
      <c r="OQA9" s="5"/>
      <c r="OQB9" s="5"/>
      <c r="OQC9" s="5"/>
      <c r="OQD9" s="5"/>
      <c r="OQE9" s="5"/>
      <c r="OQF9" s="5"/>
      <c r="OQG9" s="5"/>
      <c r="OQH9" s="5"/>
      <c r="OQI9" s="5"/>
      <c r="OQJ9" s="5"/>
      <c r="OQK9" s="5"/>
      <c r="OQL9" s="5"/>
      <c r="OQM9" s="5"/>
      <c r="OQN9" s="5"/>
      <c r="OQO9" s="5"/>
      <c r="OQP9" s="5"/>
      <c r="OQQ9" s="5"/>
      <c r="OQR9" s="5"/>
      <c r="OQS9" s="5"/>
      <c r="OQT9" s="5"/>
      <c r="OQU9" s="5"/>
      <c r="OQV9" s="5"/>
      <c r="OQW9" s="5"/>
      <c r="OQX9" s="5"/>
      <c r="OQY9" s="5"/>
      <c r="OQZ9" s="5"/>
      <c r="ORA9" s="5"/>
      <c r="ORB9" s="5"/>
      <c r="ORC9" s="5"/>
      <c r="ORD9" s="5"/>
      <c r="ORE9" s="5"/>
      <c r="ORF9" s="5"/>
      <c r="ORG9" s="5"/>
      <c r="ORH9" s="5"/>
      <c r="ORI9" s="5"/>
      <c r="ORJ9" s="5"/>
      <c r="ORK9" s="5"/>
      <c r="ORL9" s="5"/>
      <c r="ORM9" s="5"/>
      <c r="ORN9" s="5"/>
      <c r="ORO9" s="5"/>
      <c r="ORP9" s="5"/>
      <c r="ORQ9" s="5"/>
      <c r="ORR9" s="5"/>
      <c r="ORS9" s="5"/>
      <c r="ORT9" s="5"/>
      <c r="ORU9" s="5"/>
      <c r="ORV9" s="5"/>
      <c r="ORW9" s="5"/>
      <c r="ORX9" s="5"/>
      <c r="ORY9" s="5"/>
      <c r="ORZ9" s="5"/>
      <c r="OSA9" s="5"/>
      <c r="OSB9" s="5"/>
      <c r="OSC9" s="5"/>
      <c r="OSD9" s="5"/>
      <c r="OSE9" s="5"/>
      <c r="OSF9" s="5"/>
      <c r="OSG9" s="5"/>
      <c r="OSH9" s="5"/>
      <c r="OSI9" s="5"/>
      <c r="OSJ9" s="5"/>
      <c r="OSK9" s="5"/>
      <c r="OSL9" s="5"/>
      <c r="OSM9" s="5"/>
      <c r="OSN9" s="5"/>
      <c r="OSO9" s="5"/>
      <c r="OSP9" s="5"/>
      <c r="OSQ9" s="5"/>
      <c r="OSR9" s="5"/>
      <c r="OSS9" s="5"/>
      <c r="OST9" s="5"/>
      <c r="OSU9" s="5"/>
      <c r="OSV9" s="5"/>
      <c r="OSW9" s="5"/>
      <c r="OSX9" s="5"/>
      <c r="OSY9" s="5"/>
      <c r="OSZ9" s="5"/>
      <c r="OTA9" s="5"/>
      <c r="OTB9" s="5"/>
      <c r="OTC9" s="5"/>
      <c r="OTD9" s="5"/>
      <c r="OTE9" s="5"/>
      <c r="OTF9" s="5"/>
      <c r="OTG9" s="5"/>
      <c r="OTH9" s="5"/>
      <c r="OTI9" s="5"/>
      <c r="OTJ9" s="5"/>
      <c r="OTK9" s="5"/>
      <c r="OTL9" s="5"/>
      <c r="OTM9" s="5"/>
      <c r="OTN9" s="5"/>
      <c r="OTO9" s="5"/>
      <c r="OTP9" s="5"/>
      <c r="OTQ9" s="5"/>
      <c r="OTR9" s="5"/>
      <c r="OTS9" s="5"/>
      <c r="OTT9" s="5"/>
      <c r="OTU9" s="5"/>
      <c r="OTV9" s="5"/>
      <c r="OTW9" s="5"/>
      <c r="OTX9" s="5"/>
      <c r="OTY9" s="5"/>
      <c r="OTZ9" s="5"/>
      <c r="OUA9" s="5"/>
      <c r="OUB9" s="5"/>
      <c r="OUC9" s="5"/>
      <c r="OUD9" s="5"/>
      <c r="OUE9" s="5"/>
      <c r="OUF9" s="5"/>
      <c r="OUG9" s="5"/>
      <c r="OUH9" s="5"/>
      <c r="OUI9" s="5"/>
      <c r="OUJ9" s="5"/>
      <c r="OUK9" s="5"/>
      <c r="OUL9" s="5"/>
      <c r="OUM9" s="5"/>
      <c r="OUN9" s="5"/>
      <c r="OUO9" s="5"/>
      <c r="OUP9" s="5"/>
      <c r="OUQ9" s="5"/>
      <c r="OUR9" s="5"/>
      <c r="OUS9" s="5"/>
      <c r="OUT9" s="5"/>
      <c r="OUU9" s="5"/>
      <c r="OUV9" s="5"/>
      <c r="OUW9" s="5"/>
      <c r="OUX9" s="5"/>
      <c r="OUY9" s="5"/>
      <c r="OUZ9" s="5"/>
      <c r="OVA9" s="5"/>
      <c r="OVB9" s="5"/>
      <c r="OVC9" s="5"/>
      <c r="OVD9" s="5"/>
      <c r="OVE9" s="5"/>
      <c r="OVF9" s="5"/>
      <c r="OVG9" s="5"/>
      <c r="OVH9" s="5"/>
      <c r="OVI9" s="5"/>
      <c r="OVJ9" s="5"/>
      <c r="OVK9" s="5"/>
      <c r="OVL9" s="5"/>
      <c r="OVM9" s="5"/>
      <c r="OVN9" s="5"/>
      <c r="OVO9" s="5"/>
      <c r="OVP9" s="5"/>
      <c r="OVQ9" s="5"/>
      <c r="OVR9" s="5"/>
      <c r="OVS9" s="5"/>
      <c r="OVT9" s="5"/>
      <c r="OVU9" s="5"/>
      <c r="OVV9" s="5"/>
      <c r="OVW9" s="5"/>
      <c r="OVX9" s="5"/>
      <c r="OVY9" s="5"/>
      <c r="OVZ9" s="5"/>
      <c r="OWA9" s="5"/>
      <c r="OWB9" s="5"/>
      <c r="OWC9" s="5"/>
      <c r="OWD9" s="5"/>
      <c r="OWE9" s="5"/>
      <c r="OWF9" s="5"/>
      <c r="OWG9" s="5"/>
      <c r="OWH9" s="5"/>
      <c r="OWI9" s="5"/>
      <c r="OWJ9" s="5"/>
      <c r="OWK9" s="5"/>
      <c r="OWL9" s="5"/>
      <c r="OWM9" s="5"/>
      <c r="OWN9" s="5"/>
      <c r="OWO9" s="5"/>
      <c r="OWP9" s="5"/>
      <c r="OWQ9" s="5"/>
      <c r="OWR9" s="5"/>
      <c r="OWS9" s="5"/>
      <c r="OWT9" s="5"/>
      <c r="OWU9" s="5"/>
      <c r="OWV9" s="5"/>
      <c r="OWW9" s="5"/>
      <c r="OWX9" s="5"/>
      <c r="OWY9" s="5"/>
      <c r="OWZ9" s="5"/>
      <c r="OXA9" s="5"/>
      <c r="OXB9" s="5"/>
      <c r="OXC9" s="5"/>
      <c r="OXD9" s="5"/>
      <c r="OXE9" s="5"/>
      <c r="OXF9" s="5"/>
      <c r="OXG9" s="5"/>
      <c r="OXH9" s="5"/>
      <c r="OXI9" s="5"/>
      <c r="OXJ9" s="5"/>
      <c r="OXK9" s="5"/>
      <c r="OXL9" s="5"/>
      <c r="OXM9" s="5"/>
      <c r="OXN9" s="5"/>
      <c r="OXO9" s="5"/>
      <c r="OXP9" s="5"/>
      <c r="OXQ9" s="5"/>
      <c r="OXR9" s="5"/>
      <c r="OXS9" s="5"/>
      <c r="OXT9" s="5"/>
      <c r="OXU9" s="5"/>
      <c r="OXV9" s="5"/>
      <c r="OXW9" s="5"/>
      <c r="OXX9" s="5"/>
      <c r="OXY9" s="5"/>
      <c r="OXZ9" s="5"/>
      <c r="OYA9" s="5"/>
      <c r="OYB9" s="5"/>
      <c r="OYC9" s="5"/>
      <c r="OYD9" s="5"/>
      <c r="OYE9" s="5"/>
      <c r="OYF9" s="5"/>
      <c r="OYG9" s="5"/>
      <c r="OYH9" s="5"/>
      <c r="OYI9" s="5"/>
      <c r="OYJ9" s="5"/>
      <c r="OYK9" s="5"/>
      <c r="OYL9" s="5"/>
      <c r="OYM9" s="5"/>
      <c r="OYN9" s="5"/>
      <c r="OYO9" s="5"/>
      <c r="OYP9" s="5"/>
      <c r="OYQ9" s="5"/>
      <c r="OYR9" s="5"/>
      <c r="OYS9" s="5"/>
      <c r="OYT9" s="5"/>
      <c r="OYU9" s="5"/>
      <c r="OYV9" s="5"/>
      <c r="OYW9" s="5"/>
      <c r="OYX9" s="5"/>
      <c r="OYY9" s="5"/>
      <c r="OYZ9" s="5"/>
      <c r="OZA9" s="5"/>
      <c r="OZB9" s="5"/>
      <c r="OZC9" s="5"/>
      <c r="OZD9" s="5"/>
      <c r="OZE9" s="5"/>
      <c r="OZF9" s="5"/>
      <c r="OZG9" s="5"/>
      <c r="OZH9" s="5"/>
      <c r="OZI9" s="5"/>
      <c r="OZJ9" s="5"/>
      <c r="OZK9" s="5"/>
      <c r="OZL9" s="5"/>
      <c r="OZM9" s="5"/>
      <c r="OZN9" s="5"/>
      <c r="OZO9" s="5"/>
      <c r="OZP9" s="5"/>
      <c r="OZQ9" s="5"/>
      <c r="OZR9" s="5"/>
      <c r="OZS9" s="5"/>
      <c r="OZT9" s="5"/>
      <c r="OZU9" s="5"/>
      <c r="OZV9" s="5"/>
      <c r="OZW9" s="5"/>
      <c r="OZX9" s="5"/>
      <c r="OZY9" s="5"/>
      <c r="OZZ9" s="5"/>
      <c r="PAA9" s="5"/>
      <c r="PAB9" s="5"/>
      <c r="PAC9" s="5"/>
      <c r="PAD9" s="5"/>
      <c r="PAE9" s="5"/>
      <c r="PAF9" s="5"/>
      <c r="PAG9" s="5"/>
      <c r="PAH9" s="5"/>
      <c r="PAI9" s="5"/>
      <c r="PAJ9" s="5"/>
      <c r="PAK9" s="5"/>
      <c r="PAL9" s="5"/>
      <c r="PAM9" s="5"/>
      <c r="PAN9" s="5"/>
      <c r="PAO9" s="5"/>
      <c r="PAP9" s="5"/>
      <c r="PAQ9" s="5"/>
      <c r="PAR9" s="5"/>
      <c r="PAS9" s="5"/>
      <c r="PAT9" s="5"/>
      <c r="PAU9" s="5"/>
      <c r="PAV9" s="5"/>
      <c r="PAW9" s="5"/>
      <c r="PAX9" s="5"/>
      <c r="PAY9" s="5"/>
      <c r="PAZ9" s="5"/>
      <c r="PBA9" s="5"/>
      <c r="PBB9" s="5"/>
      <c r="PBC9" s="5"/>
      <c r="PBD9" s="5"/>
      <c r="PBE9" s="5"/>
      <c r="PBF9" s="5"/>
      <c r="PBG9" s="5"/>
      <c r="PBH9" s="5"/>
      <c r="PBI9" s="5"/>
      <c r="PBJ9" s="5"/>
      <c r="PBK9" s="5"/>
      <c r="PBL9" s="5"/>
      <c r="PBM9" s="5"/>
      <c r="PBN9" s="5"/>
      <c r="PBO9" s="5"/>
      <c r="PBP9" s="5"/>
      <c r="PBQ9" s="5"/>
      <c r="PBR9" s="5"/>
      <c r="PBS9" s="5"/>
      <c r="PBT9" s="5"/>
      <c r="PBU9" s="5"/>
      <c r="PBV9" s="5"/>
      <c r="PBW9" s="5"/>
      <c r="PBX9" s="5"/>
      <c r="PBY9" s="5"/>
      <c r="PBZ9" s="5"/>
      <c r="PCA9" s="5"/>
      <c r="PCB9" s="5"/>
      <c r="PCC9" s="5"/>
      <c r="PCD9" s="5"/>
      <c r="PCE9" s="5"/>
      <c r="PCF9" s="5"/>
      <c r="PCG9" s="5"/>
      <c r="PCH9" s="5"/>
      <c r="PCI9" s="5"/>
      <c r="PCJ9" s="5"/>
      <c r="PCK9" s="5"/>
      <c r="PCL9" s="5"/>
      <c r="PCM9" s="5"/>
      <c r="PCN9" s="5"/>
      <c r="PCO9" s="5"/>
      <c r="PCP9" s="5"/>
      <c r="PCQ9" s="5"/>
      <c r="PCR9" s="5"/>
      <c r="PCS9" s="5"/>
      <c r="PCT9" s="5"/>
      <c r="PCU9" s="5"/>
      <c r="PCV9" s="5"/>
      <c r="PCW9" s="5"/>
      <c r="PCX9" s="5"/>
      <c r="PCY9" s="5"/>
      <c r="PCZ9" s="5"/>
      <c r="PDA9" s="5"/>
      <c r="PDB9" s="5"/>
      <c r="PDC9" s="5"/>
      <c r="PDD9" s="5"/>
      <c r="PDE9" s="5"/>
      <c r="PDF9" s="5"/>
      <c r="PDG9" s="5"/>
      <c r="PDH9" s="5"/>
      <c r="PDI9" s="5"/>
      <c r="PDJ9" s="5"/>
      <c r="PDK9" s="5"/>
      <c r="PDL9" s="5"/>
      <c r="PDM9" s="5"/>
      <c r="PDN9" s="5"/>
      <c r="PDO9" s="5"/>
      <c r="PDP9" s="5"/>
      <c r="PDQ9" s="5"/>
      <c r="PDR9" s="5"/>
      <c r="PDS9" s="5"/>
      <c r="PDT9" s="5"/>
      <c r="PDU9" s="5"/>
      <c r="PDV9" s="5"/>
      <c r="PDW9" s="5"/>
      <c r="PDX9" s="5"/>
      <c r="PDY9" s="5"/>
      <c r="PDZ9" s="5"/>
      <c r="PEA9" s="5"/>
      <c r="PEB9" s="5"/>
      <c r="PEC9" s="5"/>
      <c r="PED9" s="5"/>
      <c r="PEE9" s="5"/>
      <c r="PEF9" s="5"/>
      <c r="PEG9" s="5"/>
      <c r="PEH9" s="5"/>
      <c r="PEI9" s="5"/>
      <c r="PEJ9" s="5"/>
      <c r="PEK9" s="5"/>
      <c r="PEL9" s="5"/>
      <c r="PEM9" s="5"/>
      <c r="PEN9" s="5"/>
      <c r="PEO9" s="5"/>
      <c r="PEP9" s="5"/>
      <c r="PEQ9" s="5"/>
      <c r="PER9" s="5"/>
      <c r="PES9" s="5"/>
      <c r="PET9" s="5"/>
      <c r="PEU9" s="5"/>
      <c r="PEV9" s="5"/>
      <c r="PEW9" s="5"/>
      <c r="PEX9" s="5"/>
      <c r="PEY9" s="5"/>
      <c r="PEZ9" s="5"/>
      <c r="PFA9" s="5"/>
      <c r="PFB9" s="5"/>
      <c r="PFC9" s="5"/>
      <c r="PFD9" s="5"/>
      <c r="PFE9" s="5"/>
      <c r="PFF9" s="5"/>
      <c r="PFG9" s="5"/>
      <c r="PFH9" s="5"/>
      <c r="PFI9" s="5"/>
      <c r="PFJ9" s="5"/>
      <c r="PFK9" s="5"/>
      <c r="PFL9" s="5"/>
      <c r="PFM9" s="5"/>
      <c r="PFN9" s="5"/>
      <c r="PFO9" s="5"/>
      <c r="PFP9" s="5"/>
      <c r="PFQ9" s="5"/>
      <c r="PFR9" s="5"/>
      <c r="PFS9" s="5"/>
      <c r="PFT9" s="5"/>
      <c r="PFU9" s="5"/>
      <c r="PFV9" s="5"/>
      <c r="PFW9" s="5"/>
      <c r="PFX9" s="5"/>
      <c r="PFY9" s="5"/>
      <c r="PFZ9" s="5"/>
      <c r="PGA9" s="5"/>
      <c r="PGB9" s="5"/>
      <c r="PGC9" s="5"/>
      <c r="PGD9" s="5"/>
      <c r="PGE9" s="5"/>
      <c r="PGF9" s="5"/>
      <c r="PGG9" s="5"/>
      <c r="PGH9" s="5"/>
      <c r="PGI9" s="5"/>
      <c r="PGJ9" s="5"/>
      <c r="PGK9" s="5"/>
      <c r="PGL9" s="5"/>
      <c r="PGM9" s="5"/>
      <c r="PGN9" s="5"/>
      <c r="PGO9" s="5"/>
      <c r="PGP9" s="5"/>
      <c r="PGQ9" s="5"/>
      <c r="PGR9" s="5"/>
      <c r="PGS9" s="5"/>
      <c r="PGT9" s="5"/>
      <c r="PGU9" s="5"/>
      <c r="PGV9" s="5"/>
      <c r="PGW9" s="5"/>
      <c r="PGX9" s="5"/>
      <c r="PGY9" s="5"/>
      <c r="PGZ9" s="5"/>
      <c r="PHA9" s="5"/>
      <c r="PHB9" s="5"/>
      <c r="PHC9" s="5"/>
      <c r="PHD9" s="5"/>
      <c r="PHE9" s="5"/>
      <c r="PHF9" s="5"/>
      <c r="PHG9" s="5"/>
      <c r="PHH9" s="5"/>
      <c r="PHI9" s="5"/>
      <c r="PHJ9" s="5"/>
      <c r="PHK9" s="5"/>
      <c r="PHL9" s="5"/>
      <c r="PHM9" s="5"/>
      <c r="PHN9" s="5"/>
      <c r="PHO9" s="5"/>
      <c r="PHP9" s="5"/>
      <c r="PHQ9" s="5"/>
      <c r="PHR9" s="5"/>
      <c r="PHS9" s="5"/>
      <c r="PHT9" s="5"/>
      <c r="PHU9" s="5"/>
      <c r="PHV9" s="5"/>
      <c r="PHW9" s="5"/>
      <c r="PHX9" s="5"/>
      <c r="PHY9" s="5"/>
      <c r="PHZ9" s="5"/>
      <c r="PIA9" s="5"/>
      <c r="PIB9" s="5"/>
      <c r="PIC9" s="5"/>
      <c r="PID9" s="5"/>
      <c r="PIE9" s="5"/>
      <c r="PIF9" s="5"/>
      <c r="PIG9" s="5"/>
      <c r="PIH9" s="5"/>
      <c r="PII9" s="5"/>
      <c r="PIJ9" s="5"/>
      <c r="PIK9" s="5"/>
      <c r="PIL9" s="5"/>
      <c r="PIM9" s="5"/>
      <c r="PIN9" s="5"/>
      <c r="PIO9" s="5"/>
      <c r="PIP9" s="5"/>
      <c r="PIQ9" s="5"/>
      <c r="PIR9" s="5"/>
      <c r="PIS9" s="5"/>
      <c r="PIT9" s="5"/>
      <c r="PIU9" s="5"/>
      <c r="PIV9" s="5"/>
      <c r="PIW9" s="5"/>
      <c r="PIX9" s="5"/>
      <c r="PIY9" s="5"/>
      <c r="PIZ9" s="5"/>
      <c r="PJA9" s="5"/>
      <c r="PJB9" s="5"/>
      <c r="PJC9" s="5"/>
      <c r="PJD9" s="5"/>
      <c r="PJE9" s="5"/>
      <c r="PJF9" s="5"/>
      <c r="PJG9" s="5"/>
      <c r="PJH9" s="5"/>
      <c r="PJI9" s="5"/>
      <c r="PJJ9" s="5"/>
      <c r="PJK9" s="5"/>
      <c r="PJL9" s="5"/>
      <c r="PJM9" s="5"/>
      <c r="PJN9" s="5"/>
      <c r="PJO9" s="5"/>
      <c r="PJP9" s="5"/>
      <c r="PJQ9" s="5"/>
      <c r="PJR9" s="5"/>
      <c r="PJS9" s="5"/>
      <c r="PJT9" s="5"/>
      <c r="PJU9" s="5"/>
      <c r="PJV9" s="5"/>
      <c r="PJW9" s="5"/>
      <c r="PJX9" s="5"/>
      <c r="PJY9" s="5"/>
      <c r="PJZ9" s="5"/>
      <c r="PKA9" s="5"/>
      <c r="PKB9" s="5"/>
      <c r="PKC9" s="5"/>
      <c r="PKD9" s="5"/>
      <c r="PKE9" s="5"/>
      <c r="PKF9" s="5"/>
      <c r="PKG9" s="5"/>
      <c r="PKH9" s="5"/>
      <c r="PKI9" s="5"/>
      <c r="PKJ9" s="5"/>
      <c r="PKK9" s="5"/>
      <c r="PKL9" s="5"/>
      <c r="PKM9" s="5"/>
      <c r="PKN9" s="5"/>
      <c r="PKO9" s="5"/>
      <c r="PKP9" s="5"/>
      <c r="PKQ9" s="5"/>
      <c r="PKR9" s="5"/>
      <c r="PKS9" s="5"/>
      <c r="PKT9" s="5"/>
      <c r="PKU9" s="5"/>
      <c r="PKV9" s="5"/>
      <c r="PKW9" s="5"/>
      <c r="PKX9" s="5"/>
      <c r="PKY9" s="5"/>
      <c r="PKZ9" s="5"/>
      <c r="PLA9" s="5"/>
      <c r="PLB9" s="5"/>
      <c r="PLC9" s="5"/>
      <c r="PLD9" s="5"/>
      <c r="PLE9" s="5"/>
      <c r="PLF9" s="5"/>
      <c r="PLG9" s="5"/>
      <c r="PLH9" s="5"/>
      <c r="PLI9" s="5"/>
      <c r="PLJ9" s="5"/>
      <c r="PLK9" s="5"/>
      <c r="PLL9" s="5"/>
      <c r="PLM9" s="5"/>
      <c r="PLN9" s="5"/>
      <c r="PLO9" s="5"/>
      <c r="PLP9" s="5"/>
      <c r="PLQ9" s="5"/>
      <c r="PLR9" s="5"/>
      <c r="PLS9" s="5"/>
      <c r="PLT9" s="5"/>
      <c r="PLU9" s="5"/>
      <c r="PLV9" s="5"/>
      <c r="PLW9" s="5"/>
      <c r="PLX9" s="5"/>
      <c r="PLY9" s="5"/>
      <c r="PLZ9" s="5"/>
      <c r="PMA9" s="5"/>
      <c r="PMB9" s="5"/>
      <c r="PMC9" s="5"/>
      <c r="PMD9" s="5"/>
      <c r="PME9" s="5"/>
      <c r="PMF9" s="5"/>
      <c r="PMG9" s="5"/>
      <c r="PMH9" s="5"/>
      <c r="PMI9" s="5"/>
      <c r="PMJ9" s="5"/>
      <c r="PMK9" s="5"/>
      <c r="PML9" s="5"/>
      <c r="PMM9" s="5"/>
      <c r="PMN9" s="5"/>
      <c r="PMO9" s="5"/>
      <c r="PMP9" s="5"/>
      <c r="PMQ9" s="5"/>
      <c r="PMR9" s="5"/>
      <c r="PMS9" s="5"/>
      <c r="PMT9" s="5"/>
      <c r="PMU9" s="5"/>
      <c r="PMV9" s="5"/>
      <c r="PMW9" s="5"/>
      <c r="PMX9" s="5"/>
      <c r="PMY9" s="5"/>
      <c r="PMZ9" s="5"/>
      <c r="PNA9" s="5"/>
      <c r="PNB9" s="5"/>
      <c r="PNC9" s="5"/>
      <c r="PND9" s="5"/>
      <c r="PNE9" s="5"/>
      <c r="PNF9" s="5"/>
      <c r="PNG9" s="5"/>
      <c r="PNH9" s="5"/>
      <c r="PNI9" s="5"/>
      <c r="PNJ9" s="5"/>
      <c r="PNK9" s="5"/>
      <c r="PNL9" s="5"/>
      <c r="PNM9" s="5"/>
      <c r="PNN9" s="5"/>
      <c r="PNO9" s="5"/>
      <c r="PNP9" s="5"/>
      <c r="PNQ9" s="5"/>
      <c r="PNR9" s="5"/>
      <c r="PNS9" s="5"/>
      <c r="PNT9" s="5"/>
      <c r="PNU9" s="5"/>
      <c r="PNV9" s="5"/>
      <c r="PNW9" s="5"/>
      <c r="PNX9" s="5"/>
      <c r="PNY9" s="5"/>
      <c r="PNZ9" s="5"/>
      <c r="POA9" s="5"/>
      <c r="POB9" s="5"/>
      <c r="POC9" s="5"/>
      <c r="POD9" s="5"/>
      <c r="POE9" s="5"/>
      <c r="POF9" s="5"/>
      <c r="POG9" s="5"/>
      <c r="POH9" s="5"/>
      <c r="POI9" s="5"/>
      <c r="POJ9" s="5"/>
      <c r="POK9" s="5"/>
      <c r="POL9" s="5"/>
      <c r="POM9" s="5"/>
      <c r="PON9" s="5"/>
      <c r="POO9" s="5"/>
      <c r="POP9" s="5"/>
      <c r="POQ9" s="5"/>
      <c r="POR9" s="5"/>
      <c r="POS9" s="5"/>
      <c r="POT9" s="5"/>
      <c r="POU9" s="5"/>
      <c r="POV9" s="5"/>
      <c r="POW9" s="5"/>
      <c r="POX9" s="5"/>
      <c r="POY9" s="5"/>
      <c r="POZ9" s="5"/>
      <c r="PPA9" s="5"/>
      <c r="PPB9" s="5"/>
      <c r="PPC9" s="5"/>
      <c r="PPD9" s="5"/>
      <c r="PPE9" s="5"/>
      <c r="PPF9" s="5"/>
      <c r="PPG9" s="5"/>
      <c r="PPH9" s="5"/>
      <c r="PPI9" s="5"/>
      <c r="PPJ9" s="5"/>
      <c r="PPK9" s="5"/>
      <c r="PPL9" s="5"/>
      <c r="PPM9" s="5"/>
      <c r="PPN9" s="5"/>
      <c r="PPO9" s="5"/>
      <c r="PPP9" s="5"/>
      <c r="PPQ9" s="5"/>
      <c r="PPR9" s="5"/>
      <c r="PPS9" s="5"/>
      <c r="PPT9" s="5"/>
      <c r="PPU9" s="5"/>
      <c r="PPV9" s="5"/>
      <c r="PPW9" s="5"/>
      <c r="PPX9" s="5"/>
      <c r="PPY9" s="5"/>
      <c r="PPZ9" s="5"/>
      <c r="PQA9" s="5"/>
      <c r="PQB9" s="5"/>
      <c r="PQC9" s="5"/>
      <c r="PQD9" s="5"/>
      <c r="PQE9" s="5"/>
      <c r="PQF9" s="5"/>
      <c r="PQG9" s="5"/>
      <c r="PQH9" s="5"/>
      <c r="PQI9" s="5"/>
      <c r="PQJ9" s="5"/>
      <c r="PQK9" s="5"/>
      <c r="PQL9" s="5"/>
      <c r="PQM9" s="5"/>
      <c r="PQN9" s="5"/>
      <c r="PQO9" s="5"/>
      <c r="PQP9" s="5"/>
      <c r="PQQ9" s="5"/>
      <c r="PQR9" s="5"/>
      <c r="PQS9" s="5"/>
      <c r="PQT9" s="5"/>
      <c r="PQU9" s="5"/>
      <c r="PQV9" s="5"/>
      <c r="PQW9" s="5"/>
      <c r="PQX9" s="5"/>
      <c r="PQY9" s="5"/>
      <c r="PQZ9" s="5"/>
      <c r="PRA9" s="5"/>
      <c r="PRB9" s="5"/>
      <c r="PRC9" s="5"/>
      <c r="PRD9" s="5"/>
      <c r="PRE9" s="5"/>
      <c r="PRF9" s="5"/>
      <c r="PRG9" s="5"/>
      <c r="PRH9" s="5"/>
      <c r="PRI9" s="5"/>
      <c r="PRJ9" s="5"/>
      <c r="PRK9" s="5"/>
      <c r="PRL9" s="5"/>
      <c r="PRM9" s="5"/>
      <c r="PRN9" s="5"/>
      <c r="PRO9" s="5"/>
      <c r="PRP9" s="5"/>
      <c r="PRQ9" s="5"/>
      <c r="PRR9" s="5"/>
      <c r="PRS9" s="5"/>
      <c r="PRT9" s="5"/>
      <c r="PRU9" s="5"/>
      <c r="PRV9" s="5"/>
      <c r="PRW9" s="5"/>
      <c r="PRX9" s="5"/>
      <c r="PRY9" s="5"/>
      <c r="PRZ9" s="5"/>
      <c r="PSA9" s="5"/>
      <c r="PSB9" s="5"/>
      <c r="PSC9" s="5"/>
      <c r="PSD9" s="5"/>
      <c r="PSE9" s="5"/>
      <c r="PSF9" s="5"/>
      <c r="PSG9" s="5"/>
      <c r="PSH9" s="5"/>
      <c r="PSI9" s="5"/>
      <c r="PSJ9" s="5"/>
      <c r="PSK9" s="5"/>
      <c r="PSL9" s="5"/>
      <c r="PSM9" s="5"/>
      <c r="PSN9" s="5"/>
      <c r="PSO9" s="5"/>
      <c r="PSP9" s="5"/>
      <c r="PSQ9" s="5"/>
      <c r="PSR9" s="5"/>
      <c r="PSS9" s="5"/>
      <c r="PST9" s="5"/>
      <c r="PSU9" s="5"/>
      <c r="PSV9" s="5"/>
      <c r="PSW9" s="5"/>
      <c r="PSX9" s="5"/>
      <c r="PSY9" s="5"/>
      <c r="PSZ9" s="5"/>
      <c r="PTA9" s="5"/>
      <c r="PTB9" s="5"/>
      <c r="PTC9" s="5"/>
      <c r="PTD9" s="5"/>
      <c r="PTE9" s="5"/>
      <c r="PTF9" s="5"/>
      <c r="PTG9" s="5"/>
      <c r="PTH9" s="5"/>
      <c r="PTI9" s="5"/>
      <c r="PTJ9" s="5"/>
      <c r="PTK9" s="5"/>
      <c r="PTL9" s="5"/>
      <c r="PTM9" s="5"/>
      <c r="PTN9" s="5"/>
      <c r="PTO9" s="5"/>
      <c r="PTP9" s="5"/>
      <c r="PTQ9" s="5"/>
      <c r="PTR9" s="5"/>
      <c r="PTS9" s="5"/>
      <c r="PTT9" s="5"/>
      <c r="PTU9" s="5"/>
      <c r="PTV9" s="5"/>
      <c r="PTW9" s="5"/>
      <c r="PTX9" s="5"/>
      <c r="PTY9" s="5"/>
      <c r="PTZ9" s="5"/>
      <c r="PUA9" s="5"/>
      <c r="PUB9" s="5"/>
      <c r="PUC9" s="5"/>
      <c r="PUD9" s="5"/>
      <c r="PUE9" s="5"/>
      <c r="PUF9" s="5"/>
      <c r="PUG9" s="5"/>
      <c r="PUH9" s="5"/>
      <c r="PUI9" s="5"/>
      <c r="PUJ9" s="5"/>
      <c r="PUK9" s="5"/>
      <c r="PUL9" s="5"/>
      <c r="PUM9" s="5"/>
      <c r="PUN9" s="5"/>
      <c r="PUO9" s="5"/>
      <c r="PUP9" s="5"/>
      <c r="PUQ9" s="5"/>
      <c r="PUR9" s="5"/>
      <c r="PUS9" s="5"/>
      <c r="PUT9" s="5"/>
      <c r="PUU9" s="5"/>
      <c r="PUV9" s="5"/>
      <c r="PUW9" s="5"/>
      <c r="PUX9" s="5"/>
      <c r="PUY9" s="5"/>
      <c r="PUZ9" s="5"/>
      <c r="PVA9" s="5"/>
      <c r="PVB9" s="5"/>
      <c r="PVC9" s="5"/>
      <c r="PVD9" s="5"/>
      <c r="PVE9" s="5"/>
      <c r="PVF9" s="5"/>
      <c r="PVG9" s="5"/>
      <c r="PVH9" s="5"/>
      <c r="PVI9" s="5"/>
      <c r="PVJ9" s="5"/>
      <c r="PVK9" s="5"/>
      <c r="PVL9" s="5"/>
      <c r="PVM9" s="5"/>
      <c r="PVN9" s="5"/>
      <c r="PVO9" s="5"/>
      <c r="PVP9" s="5"/>
      <c r="PVQ9" s="5"/>
      <c r="PVR9" s="5"/>
      <c r="PVS9" s="5"/>
      <c r="PVT9" s="5"/>
      <c r="PVU9" s="5"/>
      <c r="PVV9" s="5"/>
      <c r="PVW9" s="5"/>
      <c r="PVX9" s="5"/>
      <c r="PVY9" s="5"/>
      <c r="PVZ9" s="5"/>
      <c r="PWA9" s="5"/>
      <c r="PWB9" s="5"/>
      <c r="PWC9" s="5"/>
      <c r="PWD9" s="5"/>
      <c r="PWE9" s="5"/>
      <c r="PWF9" s="5"/>
      <c r="PWG9" s="5"/>
      <c r="PWH9" s="5"/>
      <c r="PWI9" s="5"/>
      <c r="PWJ9" s="5"/>
      <c r="PWK9" s="5"/>
      <c r="PWL9" s="5"/>
      <c r="PWM9" s="5"/>
      <c r="PWN9" s="5"/>
      <c r="PWO9" s="5"/>
      <c r="PWP9" s="5"/>
      <c r="PWQ9" s="5"/>
      <c r="PWR9" s="5"/>
      <c r="PWS9" s="5"/>
      <c r="PWT9" s="5"/>
      <c r="PWU9" s="5"/>
      <c r="PWV9" s="5"/>
      <c r="PWW9" s="5"/>
      <c r="PWX9" s="5"/>
      <c r="PWY9" s="5"/>
      <c r="PWZ9" s="5"/>
      <c r="PXA9" s="5"/>
      <c r="PXB9" s="5"/>
      <c r="PXC9" s="5"/>
      <c r="PXD9" s="5"/>
      <c r="PXE9" s="5"/>
      <c r="PXF9" s="5"/>
      <c r="PXG9" s="5"/>
      <c r="PXH9" s="5"/>
      <c r="PXI9" s="5"/>
      <c r="PXJ9" s="5"/>
      <c r="PXK9" s="5"/>
      <c r="PXL9" s="5"/>
      <c r="PXM9" s="5"/>
      <c r="PXN9" s="5"/>
      <c r="PXO9" s="5"/>
      <c r="PXP9" s="5"/>
      <c r="PXQ9" s="5"/>
      <c r="PXR9" s="5"/>
      <c r="PXS9" s="5"/>
      <c r="PXT9" s="5"/>
      <c r="PXU9" s="5"/>
      <c r="PXV9" s="5"/>
      <c r="PXW9" s="5"/>
      <c r="PXX9" s="5"/>
      <c r="PXY9" s="5"/>
      <c r="PXZ9" s="5"/>
      <c r="PYA9" s="5"/>
      <c r="PYB9" s="5"/>
      <c r="PYC9" s="5"/>
      <c r="PYD9" s="5"/>
      <c r="PYE9" s="5"/>
      <c r="PYF9" s="5"/>
      <c r="PYG9" s="5"/>
      <c r="PYH9" s="5"/>
      <c r="PYI9" s="5"/>
      <c r="PYJ9" s="5"/>
      <c r="PYK9" s="5"/>
      <c r="PYL9" s="5"/>
      <c r="PYM9" s="5"/>
      <c r="PYN9" s="5"/>
      <c r="PYO9" s="5"/>
      <c r="PYP9" s="5"/>
      <c r="PYQ9" s="5"/>
      <c r="PYR9" s="5"/>
      <c r="PYS9" s="5"/>
      <c r="PYT9" s="5"/>
      <c r="PYU9" s="5"/>
      <c r="PYV9" s="5"/>
      <c r="PYW9" s="5"/>
      <c r="PYX9" s="5"/>
      <c r="PYY9" s="5"/>
      <c r="PYZ9" s="5"/>
      <c r="PZA9" s="5"/>
      <c r="PZB9" s="5"/>
      <c r="PZC9" s="5"/>
      <c r="PZD9" s="5"/>
      <c r="PZE9" s="5"/>
      <c r="PZF9" s="5"/>
      <c r="PZG9" s="5"/>
      <c r="PZH9" s="5"/>
      <c r="PZI9" s="5"/>
      <c r="PZJ9" s="5"/>
      <c r="PZK9" s="5"/>
      <c r="PZL9" s="5"/>
      <c r="PZM9" s="5"/>
      <c r="PZN9" s="5"/>
      <c r="PZO9" s="5"/>
      <c r="PZP9" s="5"/>
      <c r="PZQ9" s="5"/>
      <c r="PZR9" s="5"/>
      <c r="PZS9" s="5"/>
      <c r="PZT9" s="5"/>
      <c r="PZU9" s="5"/>
      <c r="PZV9" s="5"/>
      <c r="PZW9" s="5"/>
      <c r="PZX9" s="5"/>
      <c r="PZY9" s="5"/>
      <c r="PZZ9" s="5"/>
      <c r="QAA9" s="5"/>
      <c r="QAB9" s="5"/>
      <c r="QAC9" s="5"/>
      <c r="QAD9" s="5"/>
      <c r="QAE9" s="5"/>
      <c r="QAF9" s="5"/>
      <c r="QAG9" s="5"/>
      <c r="QAH9" s="5"/>
      <c r="QAI9" s="5"/>
      <c r="QAJ9" s="5"/>
      <c r="QAK9" s="5"/>
      <c r="QAL9" s="5"/>
      <c r="QAM9" s="5"/>
      <c r="QAN9" s="5"/>
      <c r="QAO9" s="5"/>
      <c r="QAP9" s="5"/>
      <c r="QAQ9" s="5"/>
      <c r="QAR9" s="5"/>
      <c r="QAS9" s="5"/>
      <c r="QAT9" s="5"/>
      <c r="QAU9" s="5"/>
      <c r="QAV9" s="5"/>
      <c r="QAW9" s="5"/>
      <c r="QAX9" s="5"/>
      <c r="QAY9" s="5"/>
      <c r="QAZ9" s="5"/>
      <c r="QBA9" s="5"/>
      <c r="QBB9" s="5"/>
      <c r="QBC9" s="5"/>
      <c r="QBD9" s="5"/>
      <c r="QBE9" s="5"/>
      <c r="QBF9" s="5"/>
      <c r="QBG9" s="5"/>
      <c r="QBH9" s="5"/>
      <c r="QBI9" s="5"/>
      <c r="QBJ9" s="5"/>
      <c r="QBK9" s="5"/>
      <c r="QBL9" s="5"/>
      <c r="QBM9" s="5"/>
      <c r="QBN9" s="5"/>
      <c r="QBO9" s="5"/>
      <c r="QBP9" s="5"/>
      <c r="QBQ9" s="5"/>
      <c r="QBR9" s="5"/>
      <c r="QBS9" s="5"/>
      <c r="QBT9" s="5"/>
      <c r="QBU9" s="5"/>
      <c r="QBV9" s="5"/>
      <c r="QBW9" s="5"/>
      <c r="QBX9" s="5"/>
      <c r="QBY9" s="5"/>
      <c r="QBZ9" s="5"/>
      <c r="QCA9" s="5"/>
      <c r="QCB9" s="5"/>
      <c r="QCC9" s="5"/>
      <c r="QCD9" s="5"/>
      <c r="QCE9" s="5"/>
      <c r="QCF9" s="5"/>
      <c r="QCG9" s="5"/>
      <c r="QCH9" s="5"/>
      <c r="QCI9" s="5"/>
      <c r="QCJ9" s="5"/>
      <c r="QCK9" s="5"/>
      <c r="QCL9" s="5"/>
      <c r="QCM9" s="5"/>
      <c r="QCN9" s="5"/>
      <c r="QCO9" s="5"/>
      <c r="QCP9" s="5"/>
      <c r="QCQ9" s="5"/>
      <c r="QCR9" s="5"/>
      <c r="QCS9" s="5"/>
      <c r="QCT9" s="5"/>
      <c r="QCU9" s="5"/>
      <c r="QCV9" s="5"/>
      <c r="QCW9" s="5"/>
      <c r="QCX9" s="5"/>
      <c r="QCY9" s="5"/>
      <c r="QCZ9" s="5"/>
      <c r="QDA9" s="5"/>
      <c r="QDB9" s="5"/>
      <c r="QDC9" s="5"/>
      <c r="QDD9" s="5"/>
      <c r="QDE9" s="5"/>
      <c r="QDF9" s="5"/>
      <c r="QDG9" s="5"/>
      <c r="QDH9" s="5"/>
      <c r="QDI9" s="5"/>
      <c r="QDJ9" s="5"/>
      <c r="QDK9" s="5"/>
      <c r="QDL9" s="5"/>
      <c r="QDM9" s="5"/>
      <c r="QDN9" s="5"/>
      <c r="QDO9" s="5"/>
      <c r="QDP9" s="5"/>
      <c r="QDQ9" s="5"/>
      <c r="QDR9" s="5"/>
      <c r="QDS9" s="5"/>
      <c r="QDT9" s="5"/>
      <c r="QDU9" s="5"/>
      <c r="QDV9" s="5"/>
      <c r="QDW9" s="5"/>
      <c r="QDX9" s="5"/>
      <c r="QDY9" s="5"/>
      <c r="QDZ9" s="5"/>
      <c r="QEA9" s="5"/>
      <c r="QEB9" s="5"/>
      <c r="QEC9" s="5"/>
      <c r="QED9" s="5"/>
      <c r="QEE9" s="5"/>
      <c r="QEF9" s="5"/>
      <c r="QEG9" s="5"/>
      <c r="QEH9" s="5"/>
      <c r="QEI9" s="5"/>
      <c r="QEJ9" s="5"/>
      <c r="QEK9" s="5"/>
      <c r="QEL9" s="5"/>
      <c r="QEM9" s="5"/>
      <c r="QEN9" s="5"/>
      <c r="QEO9" s="5"/>
      <c r="QEP9" s="5"/>
      <c r="QEQ9" s="5"/>
      <c r="QER9" s="5"/>
      <c r="QES9" s="5"/>
      <c r="QET9" s="5"/>
      <c r="QEU9" s="5"/>
      <c r="QEV9" s="5"/>
      <c r="QEW9" s="5"/>
      <c r="QEX9" s="5"/>
      <c r="QEY9" s="5"/>
      <c r="QEZ9" s="5"/>
      <c r="QFA9" s="5"/>
      <c r="QFB9" s="5"/>
      <c r="QFC9" s="5"/>
      <c r="QFD9" s="5"/>
      <c r="QFE9" s="5"/>
      <c r="QFF9" s="5"/>
      <c r="QFG9" s="5"/>
      <c r="QFH9" s="5"/>
      <c r="QFI9" s="5"/>
      <c r="QFJ9" s="5"/>
      <c r="QFK9" s="5"/>
      <c r="QFL9" s="5"/>
      <c r="QFM9" s="5"/>
      <c r="QFN9" s="5"/>
      <c r="QFO9" s="5"/>
      <c r="QFP9" s="5"/>
      <c r="QFQ9" s="5"/>
      <c r="QFR9" s="5"/>
      <c r="QFS9" s="5"/>
      <c r="QFT9" s="5"/>
      <c r="QFU9" s="5"/>
      <c r="QFV9" s="5"/>
      <c r="QFW9" s="5"/>
      <c r="QFX9" s="5"/>
      <c r="QFY9" s="5"/>
      <c r="QFZ9" s="5"/>
      <c r="QGA9" s="5"/>
      <c r="QGB9" s="5"/>
      <c r="QGC9" s="5"/>
      <c r="QGD9" s="5"/>
      <c r="QGE9" s="5"/>
      <c r="QGF9" s="5"/>
      <c r="QGG9" s="5"/>
      <c r="QGH9" s="5"/>
      <c r="QGI9" s="5"/>
      <c r="QGJ9" s="5"/>
      <c r="QGK9" s="5"/>
      <c r="QGL9" s="5"/>
      <c r="QGM9" s="5"/>
      <c r="QGN9" s="5"/>
      <c r="QGO9" s="5"/>
      <c r="QGP9" s="5"/>
      <c r="QGQ9" s="5"/>
      <c r="QGR9" s="5"/>
      <c r="QGS9" s="5"/>
      <c r="QGT9" s="5"/>
      <c r="QGU9" s="5"/>
      <c r="QGV9" s="5"/>
      <c r="QGW9" s="5"/>
      <c r="QGX9" s="5"/>
      <c r="QGY9" s="5"/>
      <c r="QGZ9" s="5"/>
      <c r="QHA9" s="5"/>
      <c r="QHB9" s="5"/>
      <c r="QHC9" s="5"/>
      <c r="QHD9" s="5"/>
      <c r="QHE9" s="5"/>
      <c r="QHF9" s="5"/>
      <c r="QHG9" s="5"/>
      <c r="QHH9" s="5"/>
      <c r="QHI9" s="5"/>
      <c r="QHJ9" s="5"/>
      <c r="QHK9" s="5"/>
      <c r="QHL9" s="5"/>
      <c r="QHM9" s="5"/>
      <c r="QHN9" s="5"/>
      <c r="QHO9" s="5"/>
      <c r="QHP9" s="5"/>
      <c r="QHQ9" s="5"/>
      <c r="QHR9" s="5"/>
      <c r="QHS9" s="5"/>
      <c r="QHT9" s="5"/>
      <c r="QHU9" s="5"/>
      <c r="QHV9" s="5"/>
      <c r="QHW9" s="5"/>
      <c r="QHX9" s="5"/>
      <c r="QHY9" s="5"/>
      <c r="QHZ9" s="5"/>
      <c r="QIA9" s="5"/>
      <c r="QIB9" s="5"/>
      <c r="QIC9" s="5"/>
      <c r="QID9" s="5"/>
      <c r="QIE9" s="5"/>
      <c r="QIF9" s="5"/>
      <c r="QIG9" s="5"/>
      <c r="QIH9" s="5"/>
      <c r="QII9" s="5"/>
      <c r="QIJ9" s="5"/>
      <c r="QIK9" s="5"/>
      <c r="QIL9" s="5"/>
      <c r="QIM9" s="5"/>
      <c r="QIN9" s="5"/>
      <c r="QIO9" s="5"/>
      <c r="QIP9" s="5"/>
      <c r="QIQ9" s="5"/>
      <c r="QIR9" s="5"/>
      <c r="QIS9" s="5"/>
      <c r="QIT9" s="5"/>
      <c r="QIU9" s="5"/>
      <c r="QIV9" s="5"/>
      <c r="QIW9" s="5"/>
      <c r="QIX9" s="5"/>
      <c r="QIY9" s="5"/>
      <c r="QIZ9" s="5"/>
      <c r="QJA9" s="5"/>
      <c r="QJB9" s="5"/>
      <c r="QJC9" s="5"/>
      <c r="QJD9" s="5"/>
      <c r="QJE9" s="5"/>
      <c r="QJF9" s="5"/>
      <c r="QJG9" s="5"/>
      <c r="QJH9" s="5"/>
      <c r="QJI9" s="5"/>
      <c r="QJJ9" s="5"/>
      <c r="QJK9" s="5"/>
      <c r="QJL9" s="5"/>
      <c r="QJM9" s="5"/>
      <c r="QJN9" s="5"/>
      <c r="QJO9" s="5"/>
      <c r="QJP9" s="5"/>
      <c r="QJQ9" s="5"/>
      <c r="QJR9" s="5"/>
      <c r="QJS9" s="5"/>
      <c r="QJT9" s="5"/>
      <c r="QJU9" s="5"/>
      <c r="QJV9" s="5"/>
      <c r="QJW9" s="5"/>
      <c r="QJX9" s="5"/>
      <c r="QJY9" s="5"/>
      <c r="QJZ9" s="5"/>
      <c r="QKA9" s="5"/>
      <c r="QKB9" s="5"/>
      <c r="QKC9" s="5"/>
      <c r="QKD9" s="5"/>
      <c r="QKE9" s="5"/>
      <c r="QKF9" s="5"/>
      <c r="QKG9" s="5"/>
      <c r="QKH9" s="5"/>
      <c r="QKI9" s="5"/>
      <c r="QKJ9" s="5"/>
      <c r="QKK9" s="5"/>
      <c r="QKL9" s="5"/>
      <c r="QKM9" s="5"/>
      <c r="QKN9" s="5"/>
      <c r="QKO9" s="5"/>
      <c r="QKP9" s="5"/>
      <c r="QKQ9" s="5"/>
      <c r="QKR9" s="5"/>
      <c r="QKS9" s="5"/>
      <c r="QKT9" s="5"/>
      <c r="QKU9" s="5"/>
      <c r="QKV9" s="5"/>
      <c r="QKW9" s="5"/>
      <c r="QKX9" s="5"/>
      <c r="QKY9" s="5"/>
      <c r="QKZ9" s="5"/>
      <c r="QLA9" s="5"/>
      <c r="QLB9" s="5"/>
      <c r="QLC9" s="5"/>
      <c r="QLD9" s="5"/>
      <c r="QLE9" s="5"/>
      <c r="QLF9" s="5"/>
      <c r="QLG9" s="5"/>
      <c r="QLH9" s="5"/>
      <c r="QLI9" s="5"/>
      <c r="QLJ9" s="5"/>
      <c r="QLK9" s="5"/>
      <c r="QLL9" s="5"/>
      <c r="QLM9" s="5"/>
      <c r="QLN9" s="5"/>
      <c r="QLO9" s="5"/>
      <c r="QLP9" s="5"/>
      <c r="QLQ9" s="5"/>
      <c r="QLR9" s="5"/>
      <c r="QLS9" s="5"/>
      <c r="QLT9" s="5"/>
      <c r="QLU9" s="5"/>
      <c r="QLV9" s="5"/>
      <c r="QLW9" s="5"/>
      <c r="QLX9" s="5"/>
      <c r="QLY9" s="5"/>
      <c r="QLZ9" s="5"/>
      <c r="QMA9" s="5"/>
      <c r="QMB9" s="5"/>
      <c r="QMC9" s="5"/>
      <c r="QMD9" s="5"/>
      <c r="QME9" s="5"/>
      <c r="QMF9" s="5"/>
      <c r="QMG9" s="5"/>
      <c r="QMH9" s="5"/>
      <c r="QMI9" s="5"/>
      <c r="QMJ9" s="5"/>
      <c r="QMK9" s="5"/>
      <c r="QML9" s="5"/>
      <c r="QMM9" s="5"/>
      <c r="QMN9" s="5"/>
      <c r="QMO9" s="5"/>
      <c r="QMP9" s="5"/>
      <c r="QMQ9" s="5"/>
      <c r="QMR9" s="5"/>
      <c r="QMS9" s="5"/>
      <c r="QMT9" s="5"/>
      <c r="QMU9" s="5"/>
      <c r="QMV9" s="5"/>
      <c r="QMW9" s="5"/>
      <c r="QMX9" s="5"/>
      <c r="QMY9" s="5"/>
      <c r="QMZ9" s="5"/>
      <c r="QNA9" s="5"/>
      <c r="QNB9" s="5"/>
      <c r="QNC9" s="5"/>
      <c r="QND9" s="5"/>
      <c r="QNE9" s="5"/>
      <c r="QNF9" s="5"/>
      <c r="QNG9" s="5"/>
      <c r="QNH9" s="5"/>
      <c r="QNI9" s="5"/>
      <c r="QNJ9" s="5"/>
      <c r="QNK9" s="5"/>
      <c r="QNL9" s="5"/>
      <c r="QNM9" s="5"/>
      <c r="QNN9" s="5"/>
      <c r="QNO9" s="5"/>
      <c r="QNP9" s="5"/>
      <c r="QNQ9" s="5"/>
      <c r="QNR9" s="5"/>
      <c r="QNS9" s="5"/>
      <c r="QNT9" s="5"/>
      <c r="QNU9" s="5"/>
      <c r="QNV9" s="5"/>
      <c r="QNW9" s="5"/>
      <c r="QNX9" s="5"/>
      <c r="QNY9" s="5"/>
      <c r="QNZ9" s="5"/>
      <c r="QOA9" s="5"/>
      <c r="QOB9" s="5"/>
      <c r="QOC9" s="5"/>
      <c r="QOD9" s="5"/>
      <c r="QOE9" s="5"/>
      <c r="QOF9" s="5"/>
      <c r="QOG9" s="5"/>
      <c r="QOH9" s="5"/>
      <c r="QOI9" s="5"/>
      <c r="QOJ9" s="5"/>
      <c r="QOK9" s="5"/>
      <c r="QOL9" s="5"/>
      <c r="QOM9" s="5"/>
      <c r="QON9" s="5"/>
      <c r="QOO9" s="5"/>
      <c r="QOP9" s="5"/>
      <c r="QOQ9" s="5"/>
      <c r="QOR9" s="5"/>
      <c r="QOS9" s="5"/>
      <c r="QOT9" s="5"/>
      <c r="QOU9" s="5"/>
      <c r="QOV9" s="5"/>
      <c r="QOW9" s="5"/>
      <c r="QOX9" s="5"/>
      <c r="QOY9" s="5"/>
      <c r="QOZ9" s="5"/>
      <c r="QPA9" s="5"/>
      <c r="QPB9" s="5"/>
      <c r="QPC9" s="5"/>
      <c r="QPD9" s="5"/>
      <c r="QPE9" s="5"/>
      <c r="QPF9" s="5"/>
      <c r="QPG9" s="5"/>
      <c r="QPH9" s="5"/>
      <c r="QPI9" s="5"/>
      <c r="QPJ9" s="5"/>
      <c r="QPK9" s="5"/>
      <c r="QPL9" s="5"/>
      <c r="QPM9" s="5"/>
      <c r="QPN9" s="5"/>
      <c r="QPO9" s="5"/>
      <c r="QPP9" s="5"/>
      <c r="QPQ9" s="5"/>
      <c r="QPR9" s="5"/>
      <c r="QPS9" s="5"/>
      <c r="QPT9" s="5"/>
      <c r="QPU9" s="5"/>
      <c r="QPV9" s="5"/>
      <c r="QPW9" s="5"/>
      <c r="QPX9" s="5"/>
      <c r="QPY9" s="5"/>
      <c r="QPZ9" s="5"/>
      <c r="QQA9" s="5"/>
      <c r="QQB9" s="5"/>
      <c r="QQC9" s="5"/>
      <c r="QQD9" s="5"/>
      <c r="QQE9" s="5"/>
      <c r="QQF9" s="5"/>
      <c r="QQG9" s="5"/>
      <c r="QQH9" s="5"/>
      <c r="QQI9" s="5"/>
      <c r="QQJ9" s="5"/>
      <c r="QQK9" s="5"/>
      <c r="QQL9" s="5"/>
      <c r="QQM9" s="5"/>
      <c r="QQN9" s="5"/>
      <c r="QQO9" s="5"/>
      <c r="QQP9" s="5"/>
      <c r="QQQ9" s="5"/>
      <c r="QQR9" s="5"/>
      <c r="QQS9" s="5"/>
      <c r="QQT9" s="5"/>
      <c r="QQU9" s="5"/>
      <c r="QQV9" s="5"/>
      <c r="QQW9" s="5"/>
      <c r="QQX9" s="5"/>
      <c r="QQY9" s="5"/>
      <c r="QQZ9" s="5"/>
      <c r="QRA9" s="5"/>
      <c r="QRB9" s="5"/>
      <c r="QRC9" s="5"/>
      <c r="QRD9" s="5"/>
      <c r="QRE9" s="5"/>
      <c r="QRF9" s="5"/>
      <c r="QRG9" s="5"/>
      <c r="QRH9" s="5"/>
      <c r="QRI9" s="5"/>
      <c r="QRJ9" s="5"/>
      <c r="QRK9" s="5"/>
      <c r="QRL9" s="5"/>
      <c r="QRM9" s="5"/>
      <c r="QRN9" s="5"/>
      <c r="QRO9" s="5"/>
      <c r="QRP9" s="5"/>
      <c r="QRQ9" s="5"/>
      <c r="QRR9" s="5"/>
      <c r="QRS9" s="5"/>
      <c r="QRT9" s="5"/>
      <c r="QRU9" s="5"/>
      <c r="QRV9" s="5"/>
      <c r="QRW9" s="5"/>
      <c r="QRX9" s="5"/>
      <c r="QRY9" s="5"/>
      <c r="QRZ9" s="5"/>
      <c r="QSA9" s="5"/>
      <c r="QSB9" s="5"/>
      <c r="QSC9" s="5"/>
      <c r="QSD9" s="5"/>
      <c r="QSE9" s="5"/>
      <c r="QSF9" s="5"/>
      <c r="QSG9" s="5"/>
      <c r="QSH9" s="5"/>
      <c r="QSI9" s="5"/>
      <c r="QSJ9" s="5"/>
      <c r="QSK9" s="5"/>
      <c r="QSL9" s="5"/>
      <c r="QSM9" s="5"/>
      <c r="QSN9" s="5"/>
      <c r="QSO9" s="5"/>
      <c r="QSP9" s="5"/>
      <c r="QSQ9" s="5"/>
      <c r="QSR9" s="5"/>
      <c r="QSS9" s="5"/>
      <c r="QST9" s="5"/>
      <c r="QSU9" s="5"/>
      <c r="QSV9" s="5"/>
      <c r="QSW9" s="5"/>
      <c r="QSX9" s="5"/>
      <c r="QSY9" s="5"/>
      <c r="QSZ9" s="5"/>
      <c r="QTA9" s="5"/>
      <c r="QTB9" s="5"/>
      <c r="QTC9" s="5"/>
      <c r="QTD9" s="5"/>
      <c r="QTE9" s="5"/>
      <c r="QTF9" s="5"/>
      <c r="QTG9" s="5"/>
      <c r="QTH9" s="5"/>
      <c r="QTI9" s="5"/>
      <c r="QTJ9" s="5"/>
      <c r="QTK9" s="5"/>
      <c r="QTL9" s="5"/>
      <c r="QTM9" s="5"/>
      <c r="QTN9" s="5"/>
      <c r="QTO9" s="5"/>
      <c r="QTP9" s="5"/>
      <c r="QTQ9" s="5"/>
      <c r="QTR9" s="5"/>
      <c r="QTS9" s="5"/>
      <c r="QTT9" s="5"/>
      <c r="QTU9" s="5"/>
      <c r="QTV9" s="5"/>
      <c r="QTW9" s="5"/>
      <c r="QTX9" s="5"/>
      <c r="QTY9" s="5"/>
      <c r="QTZ9" s="5"/>
      <c r="QUA9" s="5"/>
      <c r="QUB9" s="5"/>
      <c r="QUC9" s="5"/>
      <c r="QUD9" s="5"/>
      <c r="QUE9" s="5"/>
      <c r="QUF9" s="5"/>
      <c r="QUG9" s="5"/>
      <c r="QUH9" s="5"/>
      <c r="QUI9" s="5"/>
      <c r="QUJ9" s="5"/>
      <c r="QUK9" s="5"/>
      <c r="QUL9" s="5"/>
      <c r="QUM9" s="5"/>
      <c r="QUN9" s="5"/>
      <c r="QUO9" s="5"/>
      <c r="QUP9" s="5"/>
      <c r="QUQ9" s="5"/>
      <c r="QUR9" s="5"/>
      <c r="QUS9" s="5"/>
      <c r="QUT9" s="5"/>
      <c r="QUU9" s="5"/>
      <c r="QUV9" s="5"/>
      <c r="QUW9" s="5"/>
      <c r="QUX9" s="5"/>
      <c r="QUY9" s="5"/>
      <c r="QUZ9" s="5"/>
      <c r="QVA9" s="5"/>
      <c r="QVB9" s="5"/>
      <c r="QVC9" s="5"/>
      <c r="QVD9" s="5"/>
      <c r="QVE9" s="5"/>
      <c r="QVF9" s="5"/>
      <c r="QVG9" s="5"/>
      <c r="QVH9" s="5"/>
      <c r="QVI9" s="5"/>
      <c r="QVJ9" s="5"/>
      <c r="QVK9" s="5"/>
      <c r="QVL9" s="5"/>
      <c r="QVM9" s="5"/>
      <c r="QVN9" s="5"/>
      <c r="QVO9" s="5"/>
      <c r="QVP9" s="5"/>
      <c r="QVQ9" s="5"/>
      <c r="QVR9" s="5"/>
      <c r="QVS9" s="5"/>
      <c r="QVT9" s="5"/>
      <c r="QVU9" s="5"/>
      <c r="QVV9" s="5"/>
      <c r="QVW9" s="5"/>
      <c r="QVX9" s="5"/>
      <c r="QVY9" s="5"/>
      <c r="QVZ9" s="5"/>
      <c r="QWA9" s="5"/>
      <c r="QWB9" s="5"/>
      <c r="QWC9" s="5"/>
      <c r="QWD9" s="5"/>
      <c r="QWE9" s="5"/>
      <c r="QWF9" s="5"/>
      <c r="QWG9" s="5"/>
      <c r="QWH9" s="5"/>
      <c r="QWI9" s="5"/>
      <c r="QWJ9" s="5"/>
      <c r="QWK9" s="5"/>
      <c r="QWL9" s="5"/>
      <c r="QWM9" s="5"/>
      <c r="QWN9" s="5"/>
      <c r="QWO9" s="5"/>
      <c r="QWP9" s="5"/>
      <c r="QWQ9" s="5"/>
      <c r="QWR9" s="5"/>
      <c r="QWS9" s="5"/>
      <c r="QWT9" s="5"/>
      <c r="QWU9" s="5"/>
      <c r="QWV9" s="5"/>
      <c r="QWW9" s="5"/>
      <c r="QWX9" s="5"/>
      <c r="QWY9" s="5"/>
      <c r="QWZ9" s="5"/>
      <c r="QXA9" s="5"/>
      <c r="QXB9" s="5"/>
      <c r="QXC9" s="5"/>
      <c r="QXD9" s="5"/>
      <c r="QXE9" s="5"/>
      <c r="QXF9" s="5"/>
      <c r="QXG9" s="5"/>
      <c r="QXH9" s="5"/>
      <c r="QXI9" s="5"/>
      <c r="QXJ9" s="5"/>
      <c r="QXK9" s="5"/>
      <c r="QXL9" s="5"/>
      <c r="QXM9" s="5"/>
      <c r="QXN9" s="5"/>
      <c r="QXO9" s="5"/>
      <c r="QXP9" s="5"/>
      <c r="QXQ9" s="5"/>
      <c r="QXR9" s="5"/>
      <c r="QXS9" s="5"/>
      <c r="QXT9" s="5"/>
      <c r="QXU9" s="5"/>
      <c r="QXV9" s="5"/>
      <c r="QXW9" s="5"/>
      <c r="QXX9" s="5"/>
      <c r="QXY9" s="5"/>
      <c r="QXZ9" s="5"/>
      <c r="QYA9" s="5"/>
      <c r="QYB9" s="5"/>
      <c r="QYC9" s="5"/>
      <c r="QYD9" s="5"/>
      <c r="QYE9" s="5"/>
      <c r="QYF9" s="5"/>
      <c r="QYG9" s="5"/>
      <c r="QYH9" s="5"/>
      <c r="QYI9" s="5"/>
      <c r="QYJ9" s="5"/>
      <c r="QYK9" s="5"/>
      <c r="QYL9" s="5"/>
      <c r="QYM9" s="5"/>
      <c r="QYN9" s="5"/>
      <c r="QYO9" s="5"/>
      <c r="QYP9" s="5"/>
      <c r="QYQ9" s="5"/>
      <c r="QYR9" s="5"/>
      <c r="QYS9" s="5"/>
      <c r="QYT9" s="5"/>
      <c r="QYU9" s="5"/>
      <c r="QYV9" s="5"/>
      <c r="QYW9" s="5"/>
      <c r="QYX9" s="5"/>
      <c r="QYY9" s="5"/>
      <c r="QYZ9" s="5"/>
      <c r="QZA9" s="5"/>
      <c r="QZB9" s="5"/>
      <c r="QZC9" s="5"/>
      <c r="QZD9" s="5"/>
      <c r="QZE9" s="5"/>
      <c r="QZF9" s="5"/>
      <c r="QZG9" s="5"/>
      <c r="QZH9" s="5"/>
      <c r="QZI9" s="5"/>
      <c r="QZJ9" s="5"/>
      <c r="QZK9" s="5"/>
      <c r="QZL9" s="5"/>
      <c r="QZM9" s="5"/>
      <c r="QZN9" s="5"/>
      <c r="QZO9" s="5"/>
      <c r="QZP9" s="5"/>
      <c r="QZQ9" s="5"/>
      <c r="QZR9" s="5"/>
      <c r="QZS9" s="5"/>
      <c r="QZT9" s="5"/>
      <c r="QZU9" s="5"/>
      <c r="QZV9" s="5"/>
      <c r="QZW9" s="5"/>
      <c r="QZX9" s="5"/>
      <c r="QZY9" s="5"/>
      <c r="QZZ9" s="5"/>
      <c r="RAA9" s="5"/>
      <c r="RAB9" s="5"/>
      <c r="RAC9" s="5"/>
      <c r="RAD9" s="5"/>
      <c r="RAE9" s="5"/>
      <c r="RAF9" s="5"/>
      <c r="RAG9" s="5"/>
      <c r="RAH9" s="5"/>
      <c r="RAI9" s="5"/>
      <c r="RAJ9" s="5"/>
      <c r="RAK9" s="5"/>
      <c r="RAL9" s="5"/>
      <c r="RAM9" s="5"/>
      <c r="RAN9" s="5"/>
      <c r="RAO9" s="5"/>
      <c r="RAP9" s="5"/>
      <c r="RAQ9" s="5"/>
      <c r="RAR9" s="5"/>
      <c r="RAS9" s="5"/>
      <c r="RAT9" s="5"/>
      <c r="RAU9" s="5"/>
      <c r="RAV9" s="5"/>
      <c r="RAW9" s="5"/>
      <c r="RAX9" s="5"/>
      <c r="RAY9" s="5"/>
      <c r="RAZ9" s="5"/>
      <c r="RBA9" s="5"/>
      <c r="RBB9" s="5"/>
      <c r="RBC9" s="5"/>
      <c r="RBD9" s="5"/>
      <c r="RBE9" s="5"/>
      <c r="RBF9" s="5"/>
      <c r="RBG9" s="5"/>
      <c r="RBH9" s="5"/>
      <c r="RBI9" s="5"/>
      <c r="RBJ9" s="5"/>
      <c r="RBK9" s="5"/>
      <c r="RBL9" s="5"/>
      <c r="RBM9" s="5"/>
      <c r="RBN9" s="5"/>
      <c r="RBO9" s="5"/>
      <c r="RBP9" s="5"/>
      <c r="RBQ9" s="5"/>
      <c r="RBR9" s="5"/>
      <c r="RBS9" s="5"/>
      <c r="RBT9" s="5"/>
      <c r="RBU9" s="5"/>
      <c r="RBV9" s="5"/>
      <c r="RBW9" s="5"/>
      <c r="RBX9" s="5"/>
      <c r="RBY9" s="5"/>
      <c r="RBZ9" s="5"/>
      <c r="RCA9" s="5"/>
      <c r="RCB9" s="5"/>
      <c r="RCC9" s="5"/>
      <c r="RCD9" s="5"/>
      <c r="RCE9" s="5"/>
      <c r="RCF9" s="5"/>
      <c r="RCG9" s="5"/>
      <c r="RCH9" s="5"/>
      <c r="RCI9" s="5"/>
      <c r="RCJ9" s="5"/>
      <c r="RCK9" s="5"/>
      <c r="RCL9" s="5"/>
      <c r="RCM9" s="5"/>
      <c r="RCN9" s="5"/>
      <c r="RCO9" s="5"/>
      <c r="RCP9" s="5"/>
      <c r="RCQ9" s="5"/>
      <c r="RCR9" s="5"/>
      <c r="RCS9" s="5"/>
      <c r="RCT9" s="5"/>
      <c r="RCU9" s="5"/>
      <c r="RCV9" s="5"/>
      <c r="RCW9" s="5"/>
      <c r="RCX9" s="5"/>
      <c r="RCY9" s="5"/>
      <c r="RCZ9" s="5"/>
      <c r="RDA9" s="5"/>
      <c r="RDB9" s="5"/>
      <c r="RDC9" s="5"/>
      <c r="RDD9" s="5"/>
      <c r="RDE9" s="5"/>
      <c r="RDF9" s="5"/>
      <c r="RDG9" s="5"/>
      <c r="RDH9" s="5"/>
      <c r="RDI9" s="5"/>
      <c r="RDJ9" s="5"/>
      <c r="RDK9" s="5"/>
      <c r="RDL9" s="5"/>
      <c r="RDM9" s="5"/>
      <c r="RDN9" s="5"/>
      <c r="RDO9" s="5"/>
      <c r="RDP9" s="5"/>
      <c r="RDQ9" s="5"/>
      <c r="RDR9" s="5"/>
      <c r="RDS9" s="5"/>
      <c r="RDT9" s="5"/>
      <c r="RDU9" s="5"/>
      <c r="RDV9" s="5"/>
      <c r="RDW9" s="5"/>
      <c r="RDX9" s="5"/>
      <c r="RDY9" s="5"/>
      <c r="RDZ9" s="5"/>
      <c r="REA9" s="5"/>
      <c r="REB9" s="5"/>
      <c r="REC9" s="5"/>
      <c r="RED9" s="5"/>
      <c r="REE9" s="5"/>
      <c r="REF9" s="5"/>
      <c r="REG9" s="5"/>
      <c r="REH9" s="5"/>
      <c r="REI9" s="5"/>
      <c r="REJ9" s="5"/>
      <c r="REK9" s="5"/>
      <c r="REL9" s="5"/>
      <c r="REM9" s="5"/>
      <c r="REN9" s="5"/>
      <c r="REO9" s="5"/>
      <c r="REP9" s="5"/>
      <c r="REQ9" s="5"/>
      <c r="RER9" s="5"/>
      <c r="RES9" s="5"/>
      <c r="RET9" s="5"/>
      <c r="REU9" s="5"/>
      <c r="REV9" s="5"/>
      <c r="REW9" s="5"/>
      <c r="REX9" s="5"/>
      <c r="REY9" s="5"/>
      <c r="REZ9" s="5"/>
      <c r="RFA9" s="5"/>
      <c r="RFB9" s="5"/>
      <c r="RFC9" s="5"/>
      <c r="RFD9" s="5"/>
      <c r="RFE9" s="5"/>
      <c r="RFF9" s="5"/>
      <c r="RFG9" s="5"/>
      <c r="RFH9" s="5"/>
      <c r="RFI9" s="5"/>
      <c r="RFJ9" s="5"/>
      <c r="RFK9" s="5"/>
      <c r="RFL9" s="5"/>
      <c r="RFM9" s="5"/>
      <c r="RFN9" s="5"/>
      <c r="RFO9" s="5"/>
      <c r="RFP9" s="5"/>
      <c r="RFQ9" s="5"/>
      <c r="RFR9" s="5"/>
      <c r="RFS9" s="5"/>
      <c r="RFT9" s="5"/>
      <c r="RFU9" s="5"/>
      <c r="RFV9" s="5"/>
      <c r="RFW9" s="5"/>
      <c r="RFX9" s="5"/>
      <c r="RFY9" s="5"/>
      <c r="RFZ9" s="5"/>
      <c r="RGA9" s="5"/>
      <c r="RGB9" s="5"/>
      <c r="RGC9" s="5"/>
      <c r="RGD9" s="5"/>
      <c r="RGE9" s="5"/>
      <c r="RGF9" s="5"/>
      <c r="RGG9" s="5"/>
      <c r="RGH9" s="5"/>
      <c r="RGI9" s="5"/>
      <c r="RGJ9" s="5"/>
      <c r="RGK9" s="5"/>
      <c r="RGL9" s="5"/>
      <c r="RGM9" s="5"/>
      <c r="RGN9" s="5"/>
      <c r="RGO9" s="5"/>
      <c r="RGP9" s="5"/>
      <c r="RGQ9" s="5"/>
      <c r="RGR9" s="5"/>
      <c r="RGS9" s="5"/>
      <c r="RGT9" s="5"/>
      <c r="RGU9" s="5"/>
      <c r="RGV9" s="5"/>
      <c r="RGW9" s="5"/>
      <c r="RGX9" s="5"/>
      <c r="RGY9" s="5"/>
      <c r="RGZ9" s="5"/>
      <c r="RHA9" s="5"/>
      <c r="RHB9" s="5"/>
      <c r="RHC9" s="5"/>
      <c r="RHD9" s="5"/>
      <c r="RHE9" s="5"/>
      <c r="RHF9" s="5"/>
      <c r="RHG9" s="5"/>
      <c r="RHH9" s="5"/>
      <c r="RHI9" s="5"/>
      <c r="RHJ9" s="5"/>
      <c r="RHK9" s="5"/>
      <c r="RHL9" s="5"/>
      <c r="RHM9" s="5"/>
      <c r="RHN9" s="5"/>
      <c r="RHO9" s="5"/>
      <c r="RHP9" s="5"/>
      <c r="RHQ9" s="5"/>
      <c r="RHR9" s="5"/>
      <c r="RHS9" s="5"/>
      <c r="RHT9" s="5"/>
      <c r="RHU9" s="5"/>
      <c r="RHV9" s="5"/>
      <c r="RHW9" s="5"/>
      <c r="RHX9" s="5"/>
      <c r="RHY9" s="5"/>
      <c r="RHZ9" s="5"/>
      <c r="RIA9" s="5"/>
      <c r="RIB9" s="5"/>
      <c r="RIC9" s="5"/>
      <c r="RID9" s="5"/>
      <c r="RIE9" s="5"/>
      <c r="RIF9" s="5"/>
      <c r="RIG9" s="5"/>
      <c r="RIH9" s="5"/>
      <c r="RII9" s="5"/>
      <c r="RIJ9" s="5"/>
      <c r="RIK9" s="5"/>
      <c r="RIL9" s="5"/>
      <c r="RIM9" s="5"/>
      <c r="RIN9" s="5"/>
      <c r="RIO9" s="5"/>
      <c r="RIP9" s="5"/>
      <c r="RIQ9" s="5"/>
      <c r="RIR9" s="5"/>
      <c r="RIS9" s="5"/>
      <c r="RIT9" s="5"/>
      <c r="RIU9" s="5"/>
      <c r="RIV9" s="5"/>
      <c r="RIW9" s="5"/>
      <c r="RIX9" s="5"/>
      <c r="RIY9" s="5"/>
      <c r="RIZ9" s="5"/>
      <c r="RJA9" s="5"/>
      <c r="RJB9" s="5"/>
      <c r="RJC9" s="5"/>
      <c r="RJD9" s="5"/>
      <c r="RJE9" s="5"/>
      <c r="RJF9" s="5"/>
      <c r="RJG9" s="5"/>
      <c r="RJH9" s="5"/>
      <c r="RJI9" s="5"/>
      <c r="RJJ9" s="5"/>
      <c r="RJK9" s="5"/>
      <c r="RJL9" s="5"/>
      <c r="RJM9" s="5"/>
      <c r="RJN9" s="5"/>
      <c r="RJO9" s="5"/>
      <c r="RJP9" s="5"/>
      <c r="RJQ9" s="5"/>
      <c r="RJR9" s="5"/>
      <c r="RJS9" s="5"/>
      <c r="RJT9" s="5"/>
      <c r="RJU9" s="5"/>
      <c r="RJV9" s="5"/>
      <c r="RJW9" s="5"/>
      <c r="RJX9" s="5"/>
      <c r="RJY9" s="5"/>
      <c r="RJZ9" s="5"/>
      <c r="RKA9" s="5"/>
      <c r="RKB9" s="5"/>
      <c r="RKC9" s="5"/>
      <c r="RKD9" s="5"/>
      <c r="RKE9" s="5"/>
      <c r="RKF9" s="5"/>
      <c r="RKG9" s="5"/>
      <c r="RKH9" s="5"/>
      <c r="RKI9" s="5"/>
      <c r="RKJ9" s="5"/>
      <c r="RKK9" s="5"/>
      <c r="RKL9" s="5"/>
      <c r="RKM9" s="5"/>
      <c r="RKN9" s="5"/>
      <c r="RKO9" s="5"/>
      <c r="RKP9" s="5"/>
      <c r="RKQ9" s="5"/>
      <c r="RKR9" s="5"/>
      <c r="RKS9" s="5"/>
      <c r="RKT9" s="5"/>
      <c r="RKU9" s="5"/>
      <c r="RKV9" s="5"/>
      <c r="RKW9" s="5"/>
      <c r="RKX9" s="5"/>
      <c r="RKY9" s="5"/>
      <c r="RKZ9" s="5"/>
      <c r="RLA9" s="5"/>
      <c r="RLB9" s="5"/>
      <c r="RLC9" s="5"/>
      <c r="RLD9" s="5"/>
      <c r="RLE9" s="5"/>
      <c r="RLF9" s="5"/>
      <c r="RLG9" s="5"/>
      <c r="RLH9" s="5"/>
      <c r="RLI9" s="5"/>
      <c r="RLJ9" s="5"/>
      <c r="RLK9" s="5"/>
      <c r="RLL9" s="5"/>
      <c r="RLM9" s="5"/>
      <c r="RLN9" s="5"/>
      <c r="RLO9" s="5"/>
      <c r="RLP9" s="5"/>
      <c r="RLQ9" s="5"/>
      <c r="RLR9" s="5"/>
      <c r="RLS9" s="5"/>
      <c r="RLT9" s="5"/>
      <c r="RLU9" s="5"/>
      <c r="RLV9" s="5"/>
      <c r="RLW9" s="5"/>
      <c r="RLX9" s="5"/>
      <c r="RLY9" s="5"/>
      <c r="RLZ9" s="5"/>
      <c r="RMA9" s="5"/>
      <c r="RMB9" s="5"/>
      <c r="RMC9" s="5"/>
      <c r="RMD9" s="5"/>
      <c r="RME9" s="5"/>
      <c r="RMF9" s="5"/>
      <c r="RMG9" s="5"/>
      <c r="RMH9" s="5"/>
      <c r="RMI9" s="5"/>
      <c r="RMJ9" s="5"/>
      <c r="RMK9" s="5"/>
      <c r="RML9" s="5"/>
      <c r="RMM9" s="5"/>
      <c r="RMN9" s="5"/>
      <c r="RMO9" s="5"/>
      <c r="RMP9" s="5"/>
      <c r="RMQ9" s="5"/>
      <c r="RMR9" s="5"/>
      <c r="RMS9" s="5"/>
      <c r="RMT9" s="5"/>
      <c r="RMU9" s="5"/>
      <c r="RMV9" s="5"/>
      <c r="RMW9" s="5"/>
      <c r="RMX9" s="5"/>
      <c r="RMY9" s="5"/>
      <c r="RMZ9" s="5"/>
      <c r="RNA9" s="5"/>
      <c r="RNB9" s="5"/>
      <c r="RNC9" s="5"/>
      <c r="RND9" s="5"/>
      <c r="RNE9" s="5"/>
      <c r="RNF9" s="5"/>
      <c r="RNG9" s="5"/>
      <c r="RNH9" s="5"/>
      <c r="RNI9" s="5"/>
      <c r="RNJ9" s="5"/>
      <c r="RNK9" s="5"/>
      <c r="RNL9" s="5"/>
      <c r="RNM9" s="5"/>
      <c r="RNN9" s="5"/>
      <c r="RNO9" s="5"/>
      <c r="RNP9" s="5"/>
      <c r="RNQ9" s="5"/>
      <c r="RNR9" s="5"/>
      <c r="RNS9" s="5"/>
      <c r="RNT9" s="5"/>
      <c r="RNU9" s="5"/>
      <c r="RNV9" s="5"/>
      <c r="RNW9" s="5"/>
      <c r="RNX9" s="5"/>
      <c r="RNY9" s="5"/>
      <c r="RNZ9" s="5"/>
      <c r="ROA9" s="5"/>
      <c r="ROB9" s="5"/>
      <c r="ROC9" s="5"/>
      <c r="ROD9" s="5"/>
      <c r="ROE9" s="5"/>
      <c r="ROF9" s="5"/>
      <c r="ROG9" s="5"/>
      <c r="ROH9" s="5"/>
      <c r="ROI9" s="5"/>
      <c r="ROJ9" s="5"/>
      <c r="ROK9" s="5"/>
      <c r="ROL9" s="5"/>
      <c r="ROM9" s="5"/>
      <c r="RON9" s="5"/>
      <c r="ROO9" s="5"/>
      <c r="ROP9" s="5"/>
      <c r="ROQ9" s="5"/>
      <c r="ROR9" s="5"/>
      <c r="ROS9" s="5"/>
      <c r="ROT9" s="5"/>
      <c r="ROU9" s="5"/>
      <c r="ROV9" s="5"/>
      <c r="ROW9" s="5"/>
      <c r="ROX9" s="5"/>
      <c r="ROY9" s="5"/>
      <c r="ROZ9" s="5"/>
      <c r="RPA9" s="5"/>
      <c r="RPB9" s="5"/>
      <c r="RPC9" s="5"/>
      <c r="RPD9" s="5"/>
      <c r="RPE9" s="5"/>
      <c r="RPF9" s="5"/>
      <c r="RPG9" s="5"/>
      <c r="RPH9" s="5"/>
      <c r="RPI9" s="5"/>
      <c r="RPJ9" s="5"/>
      <c r="RPK9" s="5"/>
      <c r="RPL9" s="5"/>
      <c r="RPM9" s="5"/>
      <c r="RPN9" s="5"/>
      <c r="RPO9" s="5"/>
      <c r="RPP9" s="5"/>
      <c r="RPQ9" s="5"/>
      <c r="RPR9" s="5"/>
      <c r="RPS9" s="5"/>
      <c r="RPT9" s="5"/>
      <c r="RPU9" s="5"/>
      <c r="RPV9" s="5"/>
      <c r="RPW9" s="5"/>
      <c r="RPX9" s="5"/>
      <c r="RPY9" s="5"/>
      <c r="RPZ9" s="5"/>
      <c r="RQA9" s="5"/>
      <c r="RQB9" s="5"/>
      <c r="RQC9" s="5"/>
      <c r="RQD9" s="5"/>
      <c r="RQE9" s="5"/>
      <c r="RQF9" s="5"/>
      <c r="RQG9" s="5"/>
      <c r="RQH9" s="5"/>
      <c r="RQI9" s="5"/>
      <c r="RQJ9" s="5"/>
      <c r="RQK9" s="5"/>
      <c r="RQL9" s="5"/>
      <c r="RQM9" s="5"/>
      <c r="RQN9" s="5"/>
      <c r="RQO9" s="5"/>
      <c r="RQP9" s="5"/>
      <c r="RQQ9" s="5"/>
      <c r="RQR9" s="5"/>
      <c r="RQS9" s="5"/>
      <c r="RQT9" s="5"/>
      <c r="RQU9" s="5"/>
      <c r="RQV9" s="5"/>
      <c r="RQW9" s="5"/>
      <c r="RQX9" s="5"/>
      <c r="RQY9" s="5"/>
      <c r="RQZ9" s="5"/>
      <c r="RRA9" s="5"/>
      <c r="RRB9" s="5"/>
      <c r="RRC9" s="5"/>
      <c r="RRD9" s="5"/>
      <c r="RRE9" s="5"/>
      <c r="RRF9" s="5"/>
      <c r="RRG9" s="5"/>
      <c r="RRH9" s="5"/>
      <c r="RRI9" s="5"/>
      <c r="RRJ9" s="5"/>
      <c r="RRK9" s="5"/>
      <c r="RRL9" s="5"/>
      <c r="RRM9" s="5"/>
      <c r="RRN9" s="5"/>
      <c r="RRO9" s="5"/>
      <c r="RRP9" s="5"/>
      <c r="RRQ9" s="5"/>
      <c r="RRR9" s="5"/>
      <c r="RRS9" s="5"/>
      <c r="RRT9" s="5"/>
      <c r="RRU9" s="5"/>
      <c r="RRV9" s="5"/>
      <c r="RRW9" s="5"/>
      <c r="RRX9" s="5"/>
      <c r="RRY9" s="5"/>
      <c r="RRZ9" s="5"/>
      <c r="RSA9" s="5"/>
      <c r="RSB9" s="5"/>
      <c r="RSC9" s="5"/>
      <c r="RSD9" s="5"/>
      <c r="RSE9" s="5"/>
      <c r="RSF9" s="5"/>
      <c r="RSG9" s="5"/>
      <c r="RSH9" s="5"/>
      <c r="RSI9" s="5"/>
      <c r="RSJ9" s="5"/>
      <c r="RSK9" s="5"/>
      <c r="RSL9" s="5"/>
      <c r="RSM9" s="5"/>
      <c r="RSN9" s="5"/>
      <c r="RSO9" s="5"/>
      <c r="RSP9" s="5"/>
      <c r="RSQ9" s="5"/>
      <c r="RSR9" s="5"/>
      <c r="RSS9" s="5"/>
      <c r="RST9" s="5"/>
      <c r="RSU9" s="5"/>
      <c r="RSV9" s="5"/>
      <c r="RSW9" s="5"/>
      <c r="RSX9" s="5"/>
      <c r="RSY9" s="5"/>
      <c r="RSZ9" s="5"/>
      <c r="RTA9" s="5"/>
      <c r="RTB9" s="5"/>
      <c r="RTC9" s="5"/>
      <c r="RTD9" s="5"/>
      <c r="RTE9" s="5"/>
      <c r="RTF9" s="5"/>
      <c r="RTG9" s="5"/>
      <c r="RTH9" s="5"/>
      <c r="RTI9" s="5"/>
      <c r="RTJ9" s="5"/>
      <c r="RTK9" s="5"/>
      <c r="RTL9" s="5"/>
      <c r="RTM9" s="5"/>
      <c r="RTN9" s="5"/>
      <c r="RTO9" s="5"/>
      <c r="RTP9" s="5"/>
      <c r="RTQ9" s="5"/>
      <c r="RTR9" s="5"/>
      <c r="RTS9" s="5"/>
      <c r="RTT9" s="5"/>
      <c r="RTU9" s="5"/>
      <c r="RTV9" s="5"/>
      <c r="RTW9" s="5"/>
      <c r="RTX9" s="5"/>
      <c r="RTY9" s="5"/>
      <c r="RTZ9" s="5"/>
      <c r="RUA9" s="5"/>
      <c r="RUB9" s="5"/>
      <c r="RUC9" s="5"/>
      <c r="RUD9" s="5"/>
      <c r="RUE9" s="5"/>
      <c r="RUF9" s="5"/>
      <c r="RUG9" s="5"/>
      <c r="RUH9" s="5"/>
      <c r="RUI9" s="5"/>
      <c r="RUJ9" s="5"/>
      <c r="RUK9" s="5"/>
      <c r="RUL9" s="5"/>
      <c r="RUM9" s="5"/>
      <c r="RUN9" s="5"/>
      <c r="RUO9" s="5"/>
      <c r="RUP9" s="5"/>
      <c r="RUQ9" s="5"/>
      <c r="RUR9" s="5"/>
      <c r="RUS9" s="5"/>
      <c r="RUT9" s="5"/>
      <c r="RUU9" s="5"/>
      <c r="RUV9" s="5"/>
      <c r="RUW9" s="5"/>
      <c r="RUX9" s="5"/>
      <c r="RUY9" s="5"/>
      <c r="RUZ9" s="5"/>
      <c r="RVA9" s="5"/>
      <c r="RVB9" s="5"/>
      <c r="RVC9" s="5"/>
      <c r="RVD9" s="5"/>
      <c r="RVE9" s="5"/>
      <c r="RVF9" s="5"/>
      <c r="RVG9" s="5"/>
      <c r="RVH9" s="5"/>
      <c r="RVI9" s="5"/>
      <c r="RVJ9" s="5"/>
      <c r="RVK9" s="5"/>
      <c r="RVL9" s="5"/>
      <c r="RVM9" s="5"/>
      <c r="RVN9" s="5"/>
      <c r="RVO9" s="5"/>
      <c r="RVP9" s="5"/>
      <c r="RVQ9" s="5"/>
      <c r="RVR9" s="5"/>
      <c r="RVS9" s="5"/>
      <c r="RVT9" s="5"/>
      <c r="RVU9" s="5"/>
      <c r="RVV9" s="5"/>
      <c r="RVW9" s="5"/>
      <c r="RVX9" s="5"/>
      <c r="RVY9" s="5"/>
      <c r="RVZ9" s="5"/>
      <c r="RWA9" s="5"/>
      <c r="RWB9" s="5"/>
      <c r="RWC9" s="5"/>
      <c r="RWD9" s="5"/>
      <c r="RWE9" s="5"/>
      <c r="RWF9" s="5"/>
      <c r="RWG9" s="5"/>
      <c r="RWH9" s="5"/>
      <c r="RWI9" s="5"/>
      <c r="RWJ9" s="5"/>
      <c r="RWK9" s="5"/>
      <c r="RWL9" s="5"/>
      <c r="RWM9" s="5"/>
      <c r="RWN9" s="5"/>
      <c r="RWO9" s="5"/>
      <c r="RWP9" s="5"/>
      <c r="RWQ9" s="5"/>
      <c r="RWR9" s="5"/>
      <c r="RWS9" s="5"/>
      <c r="RWT9" s="5"/>
      <c r="RWU9" s="5"/>
      <c r="RWV9" s="5"/>
      <c r="RWW9" s="5"/>
      <c r="RWX9" s="5"/>
      <c r="RWY9" s="5"/>
      <c r="RWZ9" s="5"/>
      <c r="RXA9" s="5"/>
      <c r="RXB9" s="5"/>
      <c r="RXC9" s="5"/>
      <c r="RXD9" s="5"/>
      <c r="RXE9" s="5"/>
      <c r="RXF9" s="5"/>
      <c r="RXG9" s="5"/>
      <c r="RXH9" s="5"/>
      <c r="RXI9" s="5"/>
      <c r="RXJ9" s="5"/>
      <c r="RXK9" s="5"/>
      <c r="RXL9" s="5"/>
      <c r="RXM9" s="5"/>
      <c r="RXN9" s="5"/>
      <c r="RXO9" s="5"/>
      <c r="RXP9" s="5"/>
      <c r="RXQ9" s="5"/>
      <c r="RXR9" s="5"/>
      <c r="RXS9" s="5"/>
      <c r="RXT9" s="5"/>
      <c r="RXU9" s="5"/>
      <c r="RXV9" s="5"/>
      <c r="RXW9" s="5"/>
      <c r="RXX9" s="5"/>
      <c r="RXY9" s="5"/>
      <c r="RXZ9" s="5"/>
      <c r="RYA9" s="5"/>
      <c r="RYB9" s="5"/>
      <c r="RYC9" s="5"/>
      <c r="RYD9" s="5"/>
      <c r="RYE9" s="5"/>
      <c r="RYF9" s="5"/>
      <c r="RYG9" s="5"/>
      <c r="RYH9" s="5"/>
      <c r="RYI9" s="5"/>
      <c r="RYJ9" s="5"/>
      <c r="RYK9" s="5"/>
      <c r="RYL9" s="5"/>
      <c r="RYM9" s="5"/>
      <c r="RYN9" s="5"/>
      <c r="RYO9" s="5"/>
      <c r="RYP9" s="5"/>
      <c r="RYQ9" s="5"/>
      <c r="RYR9" s="5"/>
      <c r="RYS9" s="5"/>
      <c r="RYT9" s="5"/>
      <c r="RYU9" s="5"/>
      <c r="RYV9" s="5"/>
      <c r="RYW9" s="5"/>
      <c r="RYX9" s="5"/>
      <c r="RYY9" s="5"/>
      <c r="RYZ9" s="5"/>
      <c r="RZA9" s="5"/>
      <c r="RZB9" s="5"/>
      <c r="RZC9" s="5"/>
      <c r="RZD9" s="5"/>
      <c r="RZE9" s="5"/>
      <c r="RZF9" s="5"/>
      <c r="RZG9" s="5"/>
      <c r="RZH9" s="5"/>
      <c r="RZI9" s="5"/>
      <c r="RZJ9" s="5"/>
      <c r="RZK9" s="5"/>
      <c r="RZL9" s="5"/>
      <c r="RZM9" s="5"/>
      <c r="RZN9" s="5"/>
      <c r="RZO9" s="5"/>
      <c r="RZP9" s="5"/>
      <c r="RZQ9" s="5"/>
      <c r="RZR9" s="5"/>
      <c r="RZS9" s="5"/>
      <c r="RZT9" s="5"/>
      <c r="RZU9" s="5"/>
      <c r="RZV9" s="5"/>
      <c r="RZW9" s="5"/>
      <c r="RZX9" s="5"/>
      <c r="RZY9" s="5"/>
      <c r="RZZ9" s="5"/>
      <c r="SAA9" s="5"/>
      <c r="SAB9" s="5"/>
      <c r="SAC9" s="5"/>
      <c r="SAD9" s="5"/>
      <c r="SAE9" s="5"/>
      <c r="SAF9" s="5"/>
      <c r="SAG9" s="5"/>
      <c r="SAH9" s="5"/>
      <c r="SAI9" s="5"/>
      <c r="SAJ9" s="5"/>
      <c r="SAK9" s="5"/>
      <c r="SAL9" s="5"/>
      <c r="SAM9" s="5"/>
      <c r="SAN9" s="5"/>
      <c r="SAO9" s="5"/>
      <c r="SAP9" s="5"/>
      <c r="SAQ9" s="5"/>
      <c r="SAR9" s="5"/>
      <c r="SAS9" s="5"/>
      <c r="SAT9" s="5"/>
      <c r="SAU9" s="5"/>
      <c r="SAV9" s="5"/>
      <c r="SAW9" s="5"/>
      <c r="SAX9" s="5"/>
      <c r="SAY9" s="5"/>
      <c r="SAZ9" s="5"/>
      <c r="SBA9" s="5"/>
      <c r="SBB9" s="5"/>
      <c r="SBC9" s="5"/>
      <c r="SBD9" s="5"/>
      <c r="SBE9" s="5"/>
      <c r="SBF9" s="5"/>
      <c r="SBG9" s="5"/>
      <c r="SBH9" s="5"/>
      <c r="SBI9" s="5"/>
      <c r="SBJ9" s="5"/>
      <c r="SBK9" s="5"/>
      <c r="SBL9" s="5"/>
      <c r="SBM9" s="5"/>
      <c r="SBN9" s="5"/>
      <c r="SBO9" s="5"/>
      <c r="SBP9" s="5"/>
      <c r="SBQ9" s="5"/>
      <c r="SBR9" s="5"/>
      <c r="SBS9" s="5"/>
      <c r="SBT9" s="5"/>
      <c r="SBU9" s="5"/>
      <c r="SBV9" s="5"/>
      <c r="SBW9" s="5"/>
      <c r="SBX9" s="5"/>
      <c r="SBY9" s="5"/>
      <c r="SBZ9" s="5"/>
      <c r="SCA9" s="5"/>
      <c r="SCB9" s="5"/>
      <c r="SCC9" s="5"/>
      <c r="SCD9" s="5"/>
      <c r="SCE9" s="5"/>
      <c r="SCF9" s="5"/>
      <c r="SCG9" s="5"/>
      <c r="SCH9" s="5"/>
      <c r="SCI9" s="5"/>
      <c r="SCJ9" s="5"/>
      <c r="SCK9" s="5"/>
      <c r="SCL9" s="5"/>
      <c r="SCM9" s="5"/>
      <c r="SCN9" s="5"/>
      <c r="SCO9" s="5"/>
      <c r="SCP9" s="5"/>
      <c r="SCQ9" s="5"/>
      <c r="SCR9" s="5"/>
      <c r="SCS9" s="5"/>
      <c r="SCT9" s="5"/>
      <c r="SCU9" s="5"/>
      <c r="SCV9" s="5"/>
      <c r="SCW9" s="5"/>
      <c r="SCX9" s="5"/>
      <c r="SCY9" s="5"/>
      <c r="SCZ9" s="5"/>
      <c r="SDA9" s="5"/>
      <c r="SDB9" s="5"/>
      <c r="SDC9" s="5"/>
      <c r="SDD9" s="5"/>
      <c r="SDE9" s="5"/>
      <c r="SDF9" s="5"/>
      <c r="SDG9" s="5"/>
      <c r="SDH9" s="5"/>
      <c r="SDI9" s="5"/>
      <c r="SDJ9" s="5"/>
      <c r="SDK9" s="5"/>
      <c r="SDL9" s="5"/>
      <c r="SDM9" s="5"/>
      <c r="SDN9" s="5"/>
      <c r="SDO9" s="5"/>
      <c r="SDP9" s="5"/>
      <c r="SDQ9" s="5"/>
      <c r="SDR9" s="5"/>
      <c r="SDS9" s="5"/>
      <c r="SDT9" s="5"/>
      <c r="SDU9" s="5"/>
      <c r="SDV9" s="5"/>
      <c r="SDW9" s="5"/>
      <c r="SDX9" s="5"/>
      <c r="SDY9" s="5"/>
      <c r="SDZ9" s="5"/>
      <c r="SEA9" s="5"/>
      <c r="SEB9" s="5"/>
      <c r="SEC9" s="5"/>
      <c r="SED9" s="5"/>
      <c r="SEE9" s="5"/>
      <c r="SEF9" s="5"/>
      <c r="SEG9" s="5"/>
      <c r="SEH9" s="5"/>
      <c r="SEI9" s="5"/>
      <c r="SEJ9" s="5"/>
      <c r="SEK9" s="5"/>
      <c r="SEL9" s="5"/>
      <c r="SEM9" s="5"/>
      <c r="SEN9" s="5"/>
      <c r="SEO9" s="5"/>
      <c r="SEP9" s="5"/>
      <c r="SEQ9" s="5"/>
      <c r="SER9" s="5"/>
      <c r="SES9" s="5"/>
      <c r="SET9" s="5"/>
      <c r="SEU9" s="5"/>
      <c r="SEV9" s="5"/>
      <c r="SEW9" s="5"/>
      <c r="SEX9" s="5"/>
      <c r="SEY9" s="5"/>
      <c r="SEZ9" s="5"/>
      <c r="SFA9" s="5"/>
      <c r="SFB9" s="5"/>
      <c r="SFC9" s="5"/>
      <c r="SFD9" s="5"/>
      <c r="SFE9" s="5"/>
      <c r="SFF9" s="5"/>
      <c r="SFG9" s="5"/>
      <c r="SFH9" s="5"/>
      <c r="SFI9" s="5"/>
      <c r="SFJ9" s="5"/>
      <c r="SFK9" s="5"/>
      <c r="SFL9" s="5"/>
      <c r="SFM9" s="5"/>
      <c r="SFN9" s="5"/>
      <c r="SFO9" s="5"/>
      <c r="SFP9" s="5"/>
      <c r="SFQ9" s="5"/>
      <c r="SFR9" s="5"/>
      <c r="SFS9" s="5"/>
      <c r="SFT9" s="5"/>
      <c r="SFU9" s="5"/>
      <c r="SFV9" s="5"/>
      <c r="SFW9" s="5"/>
      <c r="SFX9" s="5"/>
      <c r="SFY9" s="5"/>
      <c r="SFZ9" s="5"/>
      <c r="SGA9" s="5"/>
      <c r="SGB9" s="5"/>
      <c r="SGC9" s="5"/>
      <c r="SGD9" s="5"/>
      <c r="SGE9" s="5"/>
      <c r="SGF9" s="5"/>
      <c r="SGG9" s="5"/>
      <c r="SGH9" s="5"/>
      <c r="SGI9" s="5"/>
      <c r="SGJ9" s="5"/>
      <c r="SGK9" s="5"/>
      <c r="SGL9" s="5"/>
      <c r="SGM9" s="5"/>
      <c r="SGN9" s="5"/>
      <c r="SGO9" s="5"/>
      <c r="SGP9" s="5"/>
      <c r="SGQ9" s="5"/>
      <c r="SGR9" s="5"/>
      <c r="SGS9" s="5"/>
      <c r="SGT9" s="5"/>
      <c r="SGU9" s="5"/>
      <c r="SGV9" s="5"/>
      <c r="SGW9" s="5"/>
      <c r="SGX9" s="5"/>
      <c r="SGY9" s="5"/>
      <c r="SGZ9" s="5"/>
      <c r="SHA9" s="5"/>
      <c r="SHB9" s="5"/>
      <c r="SHC9" s="5"/>
      <c r="SHD9" s="5"/>
      <c r="SHE9" s="5"/>
      <c r="SHF9" s="5"/>
      <c r="SHG9" s="5"/>
      <c r="SHH9" s="5"/>
      <c r="SHI9" s="5"/>
      <c r="SHJ9" s="5"/>
      <c r="SHK9" s="5"/>
      <c r="SHL9" s="5"/>
      <c r="SHM9" s="5"/>
      <c r="SHN9" s="5"/>
      <c r="SHO9" s="5"/>
      <c r="SHP9" s="5"/>
      <c r="SHQ9" s="5"/>
      <c r="SHR9" s="5"/>
      <c r="SHS9" s="5"/>
      <c r="SHT9" s="5"/>
      <c r="SHU9" s="5"/>
      <c r="SHV9" s="5"/>
      <c r="SHW9" s="5"/>
      <c r="SHX9" s="5"/>
      <c r="SHY9" s="5"/>
      <c r="SHZ9" s="5"/>
      <c r="SIA9" s="5"/>
      <c r="SIB9" s="5"/>
      <c r="SIC9" s="5"/>
      <c r="SID9" s="5"/>
      <c r="SIE9" s="5"/>
      <c r="SIF9" s="5"/>
      <c r="SIG9" s="5"/>
      <c r="SIH9" s="5"/>
      <c r="SII9" s="5"/>
      <c r="SIJ9" s="5"/>
      <c r="SIK9" s="5"/>
      <c r="SIL9" s="5"/>
      <c r="SIM9" s="5"/>
      <c r="SIN9" s="5"/>
      <c r="SIO9" s="5"/>
      <c r="SIP9" s="5"/>
      <c r="SIQ9" s="5"/>
      <c r="SIR9" s="5"/>
      <c r="SIS9" s="5"/>
      <c r="SIT9" s="5"/>
      <c r="SIU9" s="5"/>
      <c r="SIV9" s="5"/>
      <c r="SIW9" s="5"/>
      <c r="SIX9" s="5"/>
      <c r="SIY9" s="5"/>
      <c r="SIZ9" s="5"/>
      <c r="SJA9" s="5"/>
      <c r="SJB9" s="5"/>
      <c r="SJC9" s="5"/>
      <c r="SJD9" s="5"/>
      <c r="SJE9" s="5"/>
      <c r="SJF9" s="5"/>
      <c r="SJG9" s="5"/>
      <c r="SJH9" s="5"/>
      <c r="SJI9" s="5"/>
      <c r="SJJ9" s="5"/>
      <c r="SJK9" s="5"/>
      <c r="SJL9" s="5"/>
      <c r="SJM9" s="5"/>
      <c r="SJN9" s="5"/>
      <c r="SJO9" s="5"/>
      <c r="SJP9" s="5"/>
      <c r="SJQ9" s="5"/>
      <c r="SJR9" s="5"/>
      <c r="SJS9" s="5"/>
      <c r="SJT9" s="5"/>
      <c r="SJU9" s="5"/>
      <c r="SJV9" s="5"/>
      <c r="SJW9" s="5"/>
      <c r="SJX9" s="5"/>
      <c r="SJY9" s="5"/>
      <c r="SJZ9" s="5"/>
      <c r="SKA9" s="5"/>
      <c r="SKB9" s="5"/>
      <c r="SKC9" s="5"/>
      <c r="SKD9" s="5"/>
      <c r="SKE9" s="5"/>
      <c r="SKF9" s="5"/>
      <c r="SKG9" s="5"/>
      <c r="SKH9" s="5"/>
      <c r="SKI9" s="5"/>
      <c r="SKJ9" s="5"/>
      <c r="SKK9" s="5"/>
      <c r="SKL9" s="5"/>
      <c r="SKM9" s="5"/>
      <c r="SKN9" s="5"/>
      <c r="SKO9" s="5"/>
      <c r="SKP9" s="5"/>
      <c r="SKQ9" s="5"/>
      <c r="SKR9" s="5"/>
      <c r="SKS9" s="5"/>
      <c r="SKT9" s="5"/>
      <c r="SKU9" s="5"/>
      <c r="SKV9" s="5"/>
      <c r="SKW9" s="5"/>
      <c r="SKX9" s="5"/>
      <c r="SKY9" s="5"/>
      <c r="SKZ9" s="5"/>
      <c r="SLA9" s="5"/>
      <c r="SLB9" s="5"/>
      <c r="SLC9" s="5"/>
      <c r="SLD9" s="5"/>
      <c r="SLE9" s="5"/>
      <c r="SLF9" s="5"/>
      <c r="SLG9" s="5"/>
      <c r="SLH9" s="5"/>
      <c r="SLI9" s="5"/>
      <c r="SLJ9" s="5"/>
      <c r="SLK9" s="5"/>
      <c r="SLL9" s="5"/>
      <c r="SLM9" s="5"/>
      <c r="SLN9" s="5"/>
      <c r="SLO9" s="5"/>
      <c r="SLP9" s="5"/>
      <c r="SLQ9" s="5"/>
      <c r="SLR9" s="5"/>
      <c r="SLS9" s="5"/>
      <c r="SLT9" s="5"/>
      <c r="SLU9" s="5"/>
      <c r="SLV9" s="5"/>
      <c r="SLW9" s="5"/>
      <c r="SLX9" s="5"/>
      <c r="SLY9" s="5"/>
      <c r="SLZ9" s="5"/>
      <c r="SMA9" s="5"/>
      <c r="SMB9" s="5"/>
      <c r="SMC9" s="5"/>
      <c r="SMD9" s="5"/>
      <c r="SME9" s="5"/>
      <c r="SMF9" s="5"/>
      <c r="SMG9" s="5"/>
      <c r="SMH9" s="5"/>
      <c r="SMI9" s="5"/>
      <c r="SMJ9" s="5"/>
      <c r="SMK9" s="5"/>
      <c r="SML9" s="5"/>
      <c r="SMM9" s="5"/>
      <c r="SMN9" s="5"/>
      <c r="SMO9" s="5"/>
      <c r="SMP9" s="5"/>
      <c r="SMQ9" s="5"/>
      <c r="SMR9" s="5"/>
      <c r="SMS9" s="5"/>
      <c r="SMT9" s="5"/>
      <c r="SMU9" s="5"/>
      <c r="SMV9" s="5"/>
      <c r="SMW9" s="5"/>
      <c r="SMX9" s="5"/>
      <c r="SMY9" s="5"/>
      <c r="SMZ9" s="5"/>
      <c r="SNA9" s="5"/>
      <c r="SNB9" s="5"/>
      <c r="SNC9" s="5"/>
      <c r="SND9" s="5"/>
      <c r="SNE9" s="5"/>
      <c r="SNF9" s="5"/>
      <c r="SNG9" s="5"/>
      <c r="SNH9" s="5"/>
      <c r="SNI9" s="5"/>
      <c r="SNJ9" s="5"/>
      <c r="SNK9" s="5"/>
      <c r="SNL9" s="5"/>
      <c r="SNM9" s="5"/>
      <c r="SNN9" s="5"/>
      <c r="SNO9" s="5"/>
      <c r="SNP9" s="5"/>
      <c r="SNQ9" s="5"/>
      <c r="SNR9" s="5"/>
      <c r="SNS9" s="5"/>
      <c r="SNT9" s="5"/>
      <c r="SNU9" s="5"/>
      <c r="SNV9" s="5"/>
      <c r="SNW9" s="5"/>
      <c r="SNX9" s="5"/>
      <c r="SNY9" s="5"/>
      <c r="SNZ9" s="5"/>
      <c r="SOA9" s="5"/>
      <c r="SOB9" s="5"/>
      <c r="SOC9" s="5"/>
      <c r="SOD9" s="5"/>
      <c r="SOE9" s="5"/>
      <c r="SOF9" s="5"/>
      <c r="SOG9" s="5"/>
      <c r="SOH9" s="5"/>
      <c r="SOI9" s="5"/>
      <c r="SOJ9" s="5"/>
      <c r="SOK9" s="5"/>
      <c r="SOL9" s="5"/>
      <c r="SOM9" s="5"/>
      <c r="SON9" s="5"/>
      <c r="SOO9" s="5"/>
      <c r="SOP9" s="5"/>
      <c r="SOQ9" s="5"/>
      <c r="SOR9" s="5"/>
      <c r="SOS9" s="5"/>
      <c r="SOT9" s="5"/>
      <c r="SOU9" s="5"/>
      <c r="SOV9" s="5"/>
      <c r="SOW9" s="5"/>
      <c r="SOX9" s="5"/>
      <c r="SOY9" s="5"/>
      <c r="SOZ9" s="5"/>
      <c r="SPA9" s="5"/>
      <c r="SPB9" s="5"/>
      <c r="SPC9" s="5"/>
      <c r="SPD9" s="5"/>
      <c r="SPE9" s="5"/>
      <c r="SPF9" s="5"/>
      <c r="SPG9" s="5"/>
      <c r="SPH9" s="5"/>
      <c r="SPI9" s="5"/>
      <c r="SPJ9" s="5"/>
      <c r="SPK9" s="5"/>
      <c r="SPL9" s="5"/>
      <c r="SPM9" s="5"/>
      <c r="SPN9" s="5"/>
      <c r="SPO9" s="5"/>
      <c r="SPP9" s="5"/>
      <c r="SPQ9" s="5"/>
      <c r="SPR9" s="5"/>
      <c r="SPS9" s="5"/>
      <c r="SPT9" s="5"/>
      <c r="SPU9" s="5"/>
      <c r="SPV9" s="5"/>
      <c r="SPW9" s="5"/>
      <c r="SPX9" s="5"/>
      <c r="SPY9" s="5"/>
      <c r="SPZ9" s="5"/>
      <c r="SQA9" s="5"/>
      <c r="SQB9" s="5"/>
      <c r="SQC9" s="5"/>
      <c r="SQD9" s="5"/>
      <c r="SQE9" s="5"/>
      <c r="SQF9" s="5"/>
      <c r="SQG9" s="5"/>
      <c r="SQH9" s="5"/>
      <c r="SQI9" s="5"/>
      <c r="SQJ9" s="5"/>
      <c r="SQK9" s="5"/>
      <c r="SQL9" s="5"/>
      <c r="SQM9" s="5"/>
      <c r="SQN9" s="5"/>
      <c r="SQO9" s="5"/>
      <c r="SQP9" s="5"/>
      <c r="SQQ9" s="5"/>
      <c r="SQR9" s="5"/>
      <c r="SQS9" s="5"/>
      <c r="SQT9" s="5"/>
      <c r="SQU9" s="5"/>
      <c r="SQV9" s="5"/>
      <c r="SQW9" s="5"/>
      <c r="SQX9" s="5"/>
      <c r="SQY9" s="5"/>
      <c r="SQZ9" s="5"/>
      <c r="SRA9" s="5"/>
      <c r="SRB9" s="5"/>
      <c r="SRC9" s="5"/>
      <c r="SRD9" s="5"/>
      <c r="SRE9" s="5"/>
      <c r="SRF9" s="5"/>
      <c r="SRG9" s="5"/>
      <c r="SRH9" s="5"/>
      <c r="SRI9" s="5"/>
      <c r="SRJ9" s="5"/>
      <c r="SRK9" s="5"/>
      <c r="SRL9" s="5"/>
      <c r="SRM9" s="5"/>
      <c r="SRN9" s="5"/>
      <c r="SRO9" s="5"/>
      <c r="SRP9" s="5"/>
      <c r="SRQ9" s="5"/>
      <c r="SRR9" s="5"/>
      <c r="SRS9" s="5"/>
      <c r="SRT9" s="5"/>
      <c r="SRU9" s="5"/>
      <c r="SRV9" s="5"/>
      <c r="SRW9" s="5"/>
      <c r="SRX9" s="5"/>
      <c r="SRY9" s="5"/>
      <c r="SRZ9" s="5"/>
      <c r="SSA9" s="5"/>
      <c r="SSB9" s="5"/>
      <c r="SSC9" s="5"/>
      <c r="SSD9" s="5"/>
      <c r="SSE9" s="5"/>
      <c r="SSF9" s="5"/>
      <c r="SSG9" s="5"/>
      <c r="SSH9" s="5"/>
      <c r="SSI9" s="5"/>
      <c r="SSJ9" s="5"/>
      <c r="SSK9" s="5"/>
      <c r="SSL9" s="5"/>
      <c r="SSM9" s="5"/>
      <c r="SSN9" s="5"/>
      <c r="SSO9" s="5"/>
      <c r="SSP9" s="5"/>
      <c r="SSQ9" s="5"/>
      <c r="SSR9" s="5"/>
      <c r="SSS9" s="5"/>
      <c r="SST9" s="5"/>
      <c r="SSU9" s="5"/>
      <c r="SSV9" s="5"/>
      <c r="SSW9" s="5"/>
      <c r="SSX9" s="5"/>
      <c r="SSY9" s="5"/>
      <c r="SSZ9" s="5"/>
      <c r="STA9" s="5"/>
      <c r="STB9" s="5"/>
      <c r="STC9" s="5"/>
      <c r="STD9" s="5"/>
      <c r="STE9" s="5"/>
      <c r="STF9" s="5"/>
      <c r="STG9" s="5"/>
      <c r="STH9" s="5"/>
      <c r="STI9" s="5"/>
      <c r="STJ9" s="5"/>
      <c r="STK9" s="5"/>
      <c r="STL9" s="5"/>
      <c r="STM9" s="5"/>
      <c r="STN9" s="5"/>
      <c r="STO9" s="5"/>
      <c r="STP9" s="5"/>
      <c r="STQ9" s="5"/>
      <c r="STR9" s="5"/>
      <c r="STS9" s="5"/>
      <c r="STT9" s="5"/>
      <c r="STU9" s="5"/>
      <c r="STV9" s="5"/>
      <c r="STW9" s="5"/>
      <c r="STX9" s="5"/>
      <c r="STY9" s="5"/>
      <c r="STZ9" s="5"/>
      <c r="SUA9" s="5"/>
      <c r="SUB9" s="5"/>
      <c r="SUC9" s="5"/>
      <c r="SUD9" s="5"/>
      <c r="SUE9" s="5"/>
      <c r="SUF9" s="5"/>
      <c r="SUG9" s="5"/>
      <c r="SUH9" s="5"/>
      <c r="SUI9" s="5"/>
      <c r="SUJ9" s="5"/>
      <c r="SUK9" s="5"/>
      <c r="SUL9" s="5"/>
      <c r="SUM9" s="5"/>
      <c r="SUN9" s="5"/>
      <c r="SUO9" s="5"/>
      <c r="SUP9" s="5"/>
      <c r="SUQ9" s="5"/>
      <c r="SUR9" s="5"/>
      <c r="SUS9" s="5"/>
      <c r="SUT9" s="5"/>
      <c r="SUU9" s="5"/>
      <c r="SUV9" s="5"/>
      <c r="SUW9" s="5"/>
      <c r="SUX9" s="5"/>
      <c r="SUY9" s="5"/>
      <c r="SUZ9" s="5"/>
      <c r="SVA9" s="5"/>
      <c r="SVB9" s="5"/>
      <c r="SVC9" s="5"/>
      <c r="SVD9" s="5"/>
      <c r="SVE9" s="5"/>
      <c r="SVF9" s="5"/>
      <c r="SVG9" s="5"/>
      <c r="SVH9" s="5"/>
      <c r="SVI9" s="5"/>
      <c r="SVJ9" s="5"/>
      <c r="SVK9" s="5"/>
      <c r="SVL9" s="5"/>
      <c r="SVM9" s="5"/>
      <c r="SVN9" s="5"/>
      <c r="SVO9" s="5"/>
      <c r="SVP9" s="5"/>
      <c r="SVQ9" s="5"/>
      <c r="SVR9" s="5"/>
      <c r="SVS9" s="5"/>
      <c r="SVT9" s="5"/>
      <c r="SVU9" s="5"/>
      <c r="SVV9" s="5"/>
      <c r="SVW9" s="5"/>
      <c r="SVX9" s="5"/>
      <c r="SVY9" s="5"/>
      <c r="SVZ9" s="5"/>
      <c r="SWA9" s="5"/>
      <c r="SWB9" s="5"/>
      <c r="SWC9" s="5"/>
      <c r="SWD9" s="5"/>
      <c r="SWE9" s="5"/>
      <c r="SWF9" s="5"/>
      <c r="SWG9" s="5"/>
      <c r="SWH9" s="5"/>
      <c r="SWI9" s="5"/>
      <c r="SWJ9" s="5"/>
      <c r="SWK9" s="5"/>
      <c r="SWL9" s="5"/>
      <c r="SWM9" s="5"/>
      <c r="SWN9" s="5"/>
      <c r="SWO9" s="5"/>
      <c r="SWP9" s="5"/>
      <c r="SWQ9" s="5"/>
      <c r="SWR9" s="5"/>
      <c r="SWS9" s="5"/>
      <c r="SWT9" s="5"/>
      <c r="SWU9" s="5"/>
      <c r="SWV9" s="5"/>
      <c r="SWW9" s="5"/>
      <c r="SWX9" s="5"/>
      <c r="SWY9" s="5"/>
      <c r="SWZ9" s="5"/>
      <c r="SXA9" s="5"/>
      <c r="SXB9" s="5"/>
      <c r="SXC9" s="5"/>
      <c r="SXD9" s="5"/>
      <c r="SXE9" s="5"/>
      <c r="SXF9" s="5"/>
      <c r="SXG9" s="5"/>
      <c r="SXH9" s="5"/>
      <c r="SXI9" s="5"/>
      <c r="SXJ9" s="5"/>
      <c r="SXK9" s="5"/>
      <c r="SXL9" s="5"/>
      <c r="SXM9" s="5"/>
      <c r="SXN9" s="5"/>
      <c r="SXO9" s="5"/>
      <c r="SXP9" s="5"/>
      <c r="SXQ9" s="5"/>
      <c r="SXR9" s="5"/>
      <c r="SXS9" s="5"/>
      <c r="SXT9" s="5"/>
      <c r="SXU9" s="5"/>
      <c r="SXV9" s="5"/>
      <c r="SXW9" s="5"/>
      <c r="SXX9" s="5"/>
      <c r="SXY9" s="5"/>
      <c r="SXZ9" s="5"/>
      <c r="SYA9" s="5"/>
      <c r="SYB9" s="5"/>
      <c r="SYC9" s="5"/>
      <c r="SYD9" s="5"/>
      <c r="SYE9" s="5"/>
      <c r="SYF9" s="5"/>
      <c r="SYG9" s="5"/>
      <c r="SYH9" s="5"/>
      <c r="SYI9" s="5"/>
      <c r="SYJ9" s="5"/>
      <c r="SYK9" s="5"/>
      <c r="SYL9" s="5"/>
      <c r="SYM9" s="5"/>
      <c r="SYN9" s="5"/>
      <c r="SYO9" s="5"/>
      <c r="SYP9" s="5"/>
      <c r="SYQ9" s="5"/>
      <c r="SYR9" s="5"/>
      <c r="SYS9" s="5"/>
      <c r="SYT9" s="5"/>
      <c r="SYU9" s="5"/>
      <c r="SYV9" s="5"/>
      <c r="SYW9" s="5"/>
      <c r="SYX9" s="5"/>
      <c r="SYY9" s="5"/>
      <c r="SYZ9" s="5"/>
      <c r="SZA9" s="5"/>
      <c r="SZB9" s="5"/>
      <c r="SZC9" s="5"/>
      <c r="SZD9" s="5"/>
      <c r="SZE9" s="5"/>
      <c r="SZF9" s="5"/>
      <c r="SZG9" s="5"/>
      <c r="SZH9" s="5"/>
      <c r="SZI9" s="5"/>
      <c r="SZJ9" s="5"/>
      <c r="SZK9" s="5"/>
      <c r="SZL9" s="5"/>
      <c r="SZM9" s="5"/>
      <c r="SZN9" s="5"/>
      <c r="SZO9" s="5"/>
      <c r="SZP9" s="5"/>
      <c r="SZQ9" s="5"/>
      <c r="SZR9" s="5"/>
      <c r="SZS9" s="5"/>
      <c r="SZT9" s="5"/>
      <c r="SZU9" s="5"/>
      <c r="SZV9" s="5"/>
      <c r="SZW9" s="5"/>
      <c r="SZX9" s="5"/>
      <c r="SZY9" s="5"/>
      <c r="SZZ9" s="5"/>
      <c r="TAA9" s="5"/>
      <c r="TAB9" s="5"/>
      <c r="TAC9" s="5"/>
      <c r="TAD9" s="5"/>
      <c r="TAE9" s="5"/>
      <c r="TAF9" s="5"/>
      <c r="TAG9" s="5"/>
      <c r="TAH9" s="5"/>
      <c r="TAI9" s="5"/>
      <c r="TAJ9" s="5"/>
      <c r="TAK9" s="5"/>
      <c r="TAL9" s="5"/>
      <c r="TAM9" s="5"/>
      <c r="TAN9" s="5"/>
      <c r="TAO9" s="5"/>
      <c r="TAP9" s="5"/>
      <c r="TAQ9" s="5"/>
      <c r="TAR9" s="5"/>
      <c r="TAS9" s="5"/>
      <c r="TAT9" s="5"/>
      <c r="TAU9" s="5"/>
      <c r="TAV9" s="5"/>
      <c r="TAW9" s="5"/>
      <c r="TAX9" s="5"/>
      <c r="TAY9" s="5"/>
      <c r="TAZ9" s="5"/>
      <c r="TBA9" s="5"/>
      <c r="TBB9" s="5"/>
      <c r="TBC9" s="5"/>
      <c r="TBD9" s="5"/>
      <c r="TBE9" s="5"/>
      <c r="TBF9" s="5"/>
      <c r="TBG9" s="5"/>
      <c r="TBH9" s="5"/>
      <c r="TBI9" s="5"/>
      <c r="TBJ9" s="5"/>
      <c r="TBK9" s="5"/>
      <c r="TBL9" s="5"/>
      <c r="TBM9" s="5"/>
      <c r="TBN9" s="5"/>
      <c r="TBO9" s="5"/>
      <c r="TBP9" s="5"/>
      <c r="TBQ9" s="5"/>
      <c r="TBR9" s="5"/>
      <c r="TBS9" s="5"/>
      <c r="TBT9" s="5"/>
      <c r="TBU9" s="5"/>
      <c r="TBV9" s="5"/>
      <c r="TBW9" s="5"/>
      <c r="TBX9" s="5"/>
      <c r="TBY9" s="5"/>
      <c r="TBZ9" s="5"/>
      <c r="TCA9" s="5"/>
      <c r="TCB9" s="5"/>
      <c r="TCC9" s="5"/>
      <c r="TCD9" s="5"/>
      <c r="TCE9" s="5"/>
      <c r="TCF9" s="5"/>
      <c r="TCG9" s="5"/>
      <c r="TCH9" s="5"/>
      <c r="TCI9" s="5"/>
      <c r="TCJ9" s="5"/>
      <c r="TCK9" s="5"/>
      <c r="TCL9" s="5"/>
      <c r="TCM9" s="5"/>
      <c r="TCN9" s="5"/>
      <c r="TCO9" s="5"/>
      <c r="TCP9" s="5"/>
      <c r="TCQ9" s="5"/>
      <c r="TCR9" s="5"/>
      <c r="TCS9" s="5"/>
      <c r="TCT9" s="5"/>
      <c r="TCU9" s="5"/>
      <c r="TCV9" s="5"/>
      <c r="TCW9" s="5"/>
      <c r="TCX9" s="5"/>
      <c r="TCY9" s="5"/>
      <c r="TCZ9" s="5"/>
      <c r="TDA9" s="5"/>
      <c r="TDB9" s="5"/>
      <c r="TDC9" s="5"/>
      <c r="TDD9" s="5"/>
      <c r="TDE9" s="5"/>
      <c r="TDF9" s="5"/>
      <c r="TDG9" s="5"/>
      <c r="TDH9" s="5"/>
      <c r="TDI9" s="5"/>
      <c r="TDJ9" s="5"/>
      <c r="TDK9" s="5"/>
      <c r="TDL9" s="5"/>
      <c r="TDM9" s="5"/>
      <c r="TDN9" s="5"/>
      <c r="TDO9" s="5"/>
      <c r="TDP9" s="5"/>
      <c r="TDQ9" s="5"/>
      <c r="TDR9" s="5"/>
      <c r="TDS9" s="5"/>
      <c r="TDT9" s="5"/>
      <c r="TDU9" s="5"/>
      <c r="TDV9" s="5"/>
      <c r="TDW9" s="5"/>
      <c r="TDX9" s="5"/>
      <c r="TDY9" s="5"/>
      <c r="TDZ9" s="5"/>
      <c r="TEA9" s="5"/>
      <c r="TEB9" s="5"/>
      <c r="TEC9" s="5"/>
      <c r="TED9" s="5"/>
      <c r="TEE9" s="5"/>
      <c r="TEF9" s="5"/>
      <c r="TEG9" s="5"/>
      <c r="TEH9" s="5"/>
      <c r="TEI9" s="5"/>
      <c r="TEJ9" s="5"/>
      <c r="TEK9" s="5"/>
      <c r="TEL9" s="5"/>
      <c r="TEM9" s="5"/>
      <c r="TEN9" s="5"/>
      <c r="TEO9" s="5"/>
      <c r="TEP9" s="5"/>
      <c r="TEQ9" s="5"/>
      <c r="TER9" s="5"/>
      <c r="TES9" s="5"/>
      <c r="TET9" s="5"/>
      <c r="TEU9" s="5"/>
      <c r="TEV9" s="5"/>
      <c r="TEW9" s="5"/>
      <c r="TEX9" s="5"/>
      <c r="TEY9" s="5"/>
      <c r="TEZ9" s="5"/>
      <c r="TFA9" s="5"/>
      <c r="TFB9" s="5"/>
      <c r="TFC9" s="5"/>
      <c r="TFD9" s="5"/>
      <c r="TFE9" s="5"/>
      <c r="TFF9" s="5"/>
      <c r="TFG9" s="5"/>
      <c r="TFH9" s="5"/>
      <c r="TFI9" s="5"/>
      <c r="TFJ9" s="5"/>
      <c r="TFK9" s="5"/>
      <c r="TFL9" s="5"/>
      <c r="TFM9" s="5"/>
      <c r="TFN9" s="5"/>
      <c r="TFO9" s="5"/>
      <c r="TFP9" s="5"/>
      <c r="TFQ9" s="5"/>
      <c r="TFR9" s="5"/>
      <c r="TFS9" s="5"/>
      <c r="TFT9" s="5"/>
      <c r="TFU9" s="5"/>
      <c r="TFV9" s="5"/>
      <c r="TFW9" s="5"/>
      <c r="TFX9" s="5"/>
      <c r="TFY9" s="5"/>
      <c r="TFZ9" s="5"/>
      <c r="TGA9" s="5"/>
      <c r="TGB9" s="5"/>
      <c r="TGC9" s="5"/>
      <c r="TGD9" s="5"/>
      <c r="TGE9" s="5"/>
      <c r="TGF9" s="5"/>
      <c r="TGG9" s="5"/>
      <c r="TGH9" s="5"/>
      <c r="TGI9" s="5"/>
      <c r="TGJ9" s="5"/>
      <c r="TGK9" s="5"/>
      <c r="TGL9" s="5"/>
      <c r="TGM9" s="5"/>
      <c r="TGN9" s="5"/>
      <c r="TGO9" s="5"/>
      <c r="TGP9" s="5"/>
      <c r="TGQ9" s="5"/>
      <c r="TGR9" s="5"/>
      <c r="TGS9" s="5"/>
      <c r="TGT9" s="5"/>
      <c r="TGU9" s="5"/>
      <c r="TGV9" s="5"/>
      <c r="TGW9" s="5"/>
      <c r="TGX9" s="5"/>
      <c r="TGY9" s="5"/>
      <c r="TGZ9" s="5"/>
      <c r="THA9" s="5"/>
      <c r="THB9" s="5"/>
      <c r="THC9" s="5"/>
      <c r="THD9" s="5"/>
      <c r="THE9" s="5"/>
      <c r="THF9" s="5"/>
      <c r="THG9" s="5"/>
      <c r="THH9" s="5"/>
      <c r="THI9" s="5"/>
      <c r="THJ9" s="5"/>
      <c r="THK9" s="5"/>
      <c r="THL9" s="5"/>
      <c r="THM9" s="5"/>
      <c r="THN9" s="5"/>
      <c r="THO9" s="5"/>
      <c r="THP9" s="5"/>
      <c r="THQ9" s="5"/>
      <c r="THR9" s="5"/>
      <c r="THS9" s="5"/>
      <c r="THT9" s="5"/>
      <c r="THU9" s="5"/>
      <c r="THV9" s="5"/>
      <c r="THW9" s="5"/>
      <c r="THX9" s="5"/>
      <c r="THY9" s="5"/>
      <c r="THZ9" s="5"/>
      <c r="TIA9" s="5"/>
      <c r="TIB9" s="5"/>
      <c r="TIC9" s="5"/>
      <c r="TID9" s="5"/>
      <c r="TIE9" s="5"/>
      <c r="TIF9" s="5"/>
      <c r="TIG9" s="5"/>
      <c r="TIH9" s="5"/>
      <c r="TII9" s="5"/>
      <c r="TIJ9" s="5"/>
      <c r="TIK9" s="5"/>
      <c r="TIL9" s="5"/>
      <c r="TIM9" s="5"/>
      <c r="TIN9" s="5"/>
      <c r="TIO9" s="5"/>
      <c r="TIP9" s="5"/>
      <c r="TIQ9" s="5"/>
      <c r="TIR9" s="5"/>
      <c r="TIS9" s="5"/>
      <c r="TIT9" s="5"/>
      <c r="TIU9" s="5"/>
      <c r="TIV9" s="5"/>
      <c r="TIW9" s="5"/>
      <c r="TIX9" s="5"/>
      <c r="TIY9" s="5"/>
      <c r="TIZ9" s="5"/>
      <c r="TJA9" s="5"/>
      <c r="TJB9" s="5"/>
      <c r="TJC9" s="5"/>
      <c r="TJD9" s="5"/>
      <c r="TJE9" s="5"/>
      <c r="TJF9" s="5"/>
      <c r="TJG9" s="5"/>
      <c r="TJH9" s="5"/>
      <c r="TJI9" s="5"/>
      <c r="TJJ9" s="5"/>
      <c r="TJK9" s="5"/>
      <c r="TJL9" s="5"/>
      <c r="TJM9" s="5"/>
      <c r="TJN9" s="5"/>
      <c r="TJO9" s="5"/>
      <c r="TJP9" s="5"/>
      <c r="TJQ9" s="5"/>
      <c r="TJR9" s="5"/>
      <c r="TJS9" s="5"/>
      <c r="TJT9" s="5"/>
      <c r="TJU9" s="5"/>
      <c r="TJV9" s="5"/>
      <c r="TJW9" s="5"/>
      <c r="TJX9" s="5"/>
      <c r="TJY9" s="5"/>
      <c r="TJZ9" s="5"/>
      <c r="TKA9" s="5"/>
      <c r="TKB9" s="5"/>
      <c r="TKC9" s="5"/>
      <c r="TKD9" s="5"/>
      <c r="TKE9" s="5"/>
      <c r="TKF9" s="5"/>
      <c r="TKG9" s="5"/>
      <c r="TKH9" s="5"/>
      <c r="TKI9" s="5"/>
      <c r="TKJ9" s="5"/>
      <c r="TKK9" s="5"/>
      <c r="TKL9" s="5"/>
      <c r="TKM9" s="5"/>
      <c r="TKN9" s="5"/>
      <c r="TKO9" s="5"/>
      <c r="TKP9" s="5"/>
      <c r="TKQ9" s="5"/>
      <c r="TKR9" s="5"/>
      <c r="TKS9" s="5"/>
      <c r="TKT9" s="5"/>
      <c r="TKU9" s="5"/>
      <c r="TKV9" s="5"/>
      <c r="TKW9" s="5"/>
      <c r="TKX9" s="5"/>
      <c r="TKY9" s="5"/>
      <c r="TKZ9" s="5"/>
      <c r="TLA9" s="5"/>
      <c r="TLB9" s="5"/>
      <c r="TLC9" s="5"/>
      <c r="TLD9" s="5"/>
      <c r="TLE9" s="5"/>
      <c r="TLF9" s="5"/>
      <c r="TLG9" s="5"/>
      <c r="TLH9" s="5"/>
      <c r="TLI9" s="5"/>
      <c r="TLJ9" s="5"/>
      <c r="TLK9" s="5"/>
      <c r="TLL9" s="5"/>
      <c r="TLM9" s="5"/>
      <c r="TLN9" s="5"/>
      <c r="TLO9" s="5"/>
      <c r="TLP9" s="5"/>
      <c r="TLQ9" s="5"/>
      <c r="TLR9" s="5"/>
      <c r="TLS9" s="5"/>
      <c r="TLT9" s="5"/>
      <c r="TLU9" s="5"/>
      <c r="TLV9" s="5"/>
      <c r="TLW9" s="5"/>
      <c r="TLX9" s="5"/>
      <c r="TLY9" s="5"/>
      <c r="TLZ9" s="5"/>
      <c r="TMA9" s="5"/>
      <c r="TMB9" s="5"/>
      <c r="TMC9" s="5"/>
      <c r="TMD9" s="5"/>
      <c r="TME9" s="5"/>
      <c r="TMF9" s="5"/>
      <c r="TMG9" s="5"/>
      <c r="TMH9" s="5"/>
      <c r="TMI9" s="5"/>
      <c r="TMJ9" s="5"/>
      <c r="TMK9" s="5"/>
      <c r="TML9" s="5"/>
      <c r="TMM9" s="5"/>
      <c r="TMN9" s="5"/>
      <c r="TMO9" s="5"/>
      <c r="TMP9" s="5"/>
      <c r="TMQ9" s="5"/>
      <c r="TMR9" s="5"/>
      <c r="TMS9" s="5"/>
      <c r="TMT9" s="5"/>
      <c r="TMU9" s="5"/>
      <c r="TMV9" s="5"/>
      <c r="TMW9" s="5"/>
      <c r="TMX9" s="5"/>
      <c r="TMY9" s="5"/>
      <c r="TMZ9" s="5"/>
      <c r="TNA9" s="5"/>
      <c r="TNB9" s="5"/>
      <c r="TNC9" s="5"/>
      <c r="TND9" s="5"/>
      <c r="TNE9" s="5"/>
      <c r="TNF9" s="5"/>
      <c r="TNG9" s="5"/>
      <c r="TNH9" s="5"/>
      <c r="TNI9" s="5"/>
      <c r="TNJ9" s="5"/>
      <c r="TNK9" s="5"/>
      <c r="TNL9" s="5"/>
      <c r="TNM9" s="5"/>
      <c r="TNN9" s="5"/>
      <c r="TNO9" s="5"/>
      <c r="TNP9" s="5"/>
      <c r="TNQ9" s="5"/>
      <c r="TNR9" s="5"/>
      <c r="TNS9" s="5"/>
      <c r="TNT9" s="5"/>
      <c r="TNU9" s="5"/>
      <c r="TNV9" s="5"/>
      <c r="TNW9" s="5"/>
      <c r="TNX9" s="5"/>
      <c r="TNY9" s="5"/>
      <c r="TNZ9" s="5"/>
      <c r="TOA9" s="5"/>
      <c r="TOB9" s="5"/>
      <c r="TOC9" s="5"/>
      <c r="TOD9" s="5"/>
      <c r="TOE9" s="5"/>
      <c r="TOF9" s="5"/>
      <c r="TOG9" s="5"/>
      <c r="TOH9" s="5"/>
      <c r="TOI9" s="5"/>
      <c r="TOJ9" s="5"/>
      <c r="TOK9" s="5"/>
      <c r="TOL9" s="5"/>
      <c r="TOM9" s="5"/>
      <c r="TON9" s="5"/>
      <c r="TOO9" s="5"/>
      <c r="TOP9" s="5"/>
      <c r="TOQ9" s="5"/>
      <c r="TOR9" s="5"/>
      <c r="TOS9" s="5"/>
      <c r="TOT9" s="5"/>
      <c r="TOU9" s="5"/>
      <c r="TOV9" s="5"/>
      <c r="TOW9" s="5"/>
      <c r="TOX9" s="5"/>
      <c r="TOY9" s="5"/>
      <c r="TOZ9" s="5"/>
      <c r="TPA9" s="5"/>
      <c r="TPB9" s="5"/>
      <c r="TPC9" s="5"/>
      <c r="TPD9" s="5"/>
      <c r="TPE9" s="5"/>
      <c r="TPF9" s="5"/>
      <c r="TPG9" s="5"/>
      <c r="TPH9" s="5"/>
      <c r="TPI9" s="5"/>
      <c r="TPJ9" s="5"/>
      <c r="TPK9" s="5"/>
      <c r="TPL9" s="5"/>
      <c r="TPM9" s="5"/>
      <c r="TPN9" s="5"/>
      <c r="TPO9" s="5"/>
      <c r="TPP9" s="5"/>
      <c r="TPQ9" s="5"/>
      <c r="TPR9" s="5"/>
      <c r="TPS9" s="5"/>
      <c r="TPT9" s="5"/>
      <c r="TPU9" s="5"/>
      <c r="TPV9" s="5"/>
      <c r="TPW9" s="5"/>
      <c r="TPX9" s="5"/>
      <c r="TPY9" s="5"/>
      <c r="TPZ9" s="5"/>
      <c r="TQA9" s="5"/>
      <c r="TQB9" s="5"/>
      <c r="TQC9" s="5"/>
      <c r="TQD9" s="5"/>
      <c r="TQE9" s="5"/>
      <c r="TQF9" s="5"/>
      <c r="TQG9" s="5"/>
      <c r="TQH9" s="5"/>
      <c r="TQI9" s="5"/>
      <c r="TQJ9" s="5"/>
      <c r="TQK9" s="5"/>
      <c r="TQL9" s="5"/>
      <c r="TQM9" s="5"/>
      <c r="TQN9" s="5"/>
      <c r="TQO9" s="5"/>
      <c r="TQP9" s="5"/>
      <c r="TQQ9" s="5"/>
      <c r="TQR9" s="5"/>
      <c r="TQS9" s="5"/>
      <c r="TQT9" s="5"/>
      <c r="TQU9" s="5"/>
      <c r="TQV9" s="5"/>
      <c r="TQW9" s="5"/>
      <c r="TQX9" s="5"/>
      <c r="TQY9" s="5"/>
      <c r="TQZ9" s="5"/>
      <c r="TRA9" s="5"/>
      <c r="TRB9" s="5"/>
      <c r="TRC9" s="5"/>
      <c r="TRD9" s="5"/>
      <c r="TRE9" s="5"/>
      <c r="TRF9" s="5"/>
      <c r="TRG9" s="5"/>
      <c r="TRH9" s="5"/>
      <c r="TRI9" s="5"/>
      <c r="TRJ9" s="5"/>
      <c r="TRK9" s="5"/>
      <c r="TRL9" s="5"/>
      <c r="TRM9" s="5"/>
      <c r="TRN9" s="5"/>
      <c r="TRO9" s="5"/>
      <c r="TRP9" s="5"/>
      <c r="TRQ9" s="5"/>
      <c r="TRR9" s="5"/>
      <c r="TRS9" s="5"/>
      <c r="TRT9" s="5"/>
      <c r="TRU9" s="5"/>
      <c r="TRV9" s="5"/>
      <c r="TRW9" s="5"/>
      <c r="TRX9" s="5"/>
      <c r="TRY9" s="5"/>
      <c r="TRZ9" s="5"/>
      <c r="TSA9" s="5"/>
      <c r="TSB9" s="5"/>
      <c r="TSC9" s="5"/>
      <c r="TSD9" s="5"/>
      <c r="TSE9" s="5"/>
      <c r="TSF9" s="5"/>
      <c r="TSG9" s="5"/>
      <c r="TSH9" s="5"/>
      <c r="TSI9" s="5"/>
      <c r="TSJ9" s="5"/>
      <c r="TSK9" s="5"/>
      <c r="TSL9" s="5"/>
      <c r="TSM9" s="5"/>
      <c r="TSN9" s="5"/>
      <c r="TSO9" s="5"/>
      <c r="TSP9" s="5"/>
      <c r="TSQ9" s="5"/>
      <c r="TSR9" s="5"/>
      <c r="TSS9" s="5"/>
      <c r="TST9" s="5"/>
      <c r="TSU9" s="5"/>
      <c r="TSV9" s="5"/>
      <c r="TSW9" s="5"/>
      <c r="TSX9" s="5"/>
      <c r="TSY9" s="5"/>
      <c r="TSZ9" s="5"/>
      <c r="TTA9" s="5"/>
      <c r="TTB9" s="5"/>
      <c r="TTC9" s="5"/>
      <c r="TTD9" s="5"/>
      <c r="TTE9" s="5"/>
      <c r="TTF9" s="5"/>
      <c r="TTG9" s="5"/>
      <c r="TTH9" s="5"/>
      <c r="TTI9" s="5"/>
      <c r="TTJ9" s="5"/>
      <c r="TTK9" s="5"/>
      <c r="TTL9" s="5"/>
      <c r="TTM9" s="5"/>
      <c r="TTN9" s="5"/>
      <c r="TTO9" s="5"/>
      <c r="TTP9" s="5"/>
      <c r="TTQ9" s="5"/>
      <c r="TTR9" s="5"/>
      <c r="TTS9" s="5"/>
      <c r="TTT9" s="5"/>
      <c r="TTU9" s="5"/>
      <c r="TTV9" s="5"/>
      <c r="TTW9" s="5"/>
      <c r="TTX9" s="5"/>
      <c r="TTY9" s="5"/>
      <c r="TTZ9" s="5"/>
      <c r="TUA9" s="5"/>
      <c r="TUB9" s="5"/>
      <c r="TUC9" s="5"/>
      <c r="TUD9" s="5"/>
      <c r="TUE9" s="5"/>
      <c r="TUF9" s="5"/>
      <c r="TUG9" s="5"/>
      <c r="TUH9" s="5"/>
      <c r="TUI9" s="5"/>
      <c r="TUJ9" s="5"/>
      <c r="TUK9" s="5"/>
      <c r="TUL9" s="5"/>
      <c r="TUM9" s="5"/>
      <c r="TUN9" s="5"/>
      <c r="TUO9" s="5"/>
      <c r="TUP9" s="5"/>
      <c r="TUQ9" s="5"/>
      <c r="TUR9" s="5"/>
      <c r="TUS9" s="5"/>
      <c r="TUT9" s="5"/>
      <c r="TUU9" s="5"/>
      <c r="TUV9" s="5"/>
      <c r="TUW9" s="5"/>
      <c r="TUX9" s="5"/>
      <c r="TUY9" s="5"/>
      <c r="TUZ9" s="5"/>
      <c r="TVA9" s="5"/>
      <c r="TVB9" s="5"/>
      <c r="TVC9" s="5"/>
      <c r="TVD9" s="5"/>
      <c r="TVE9" s="5"/>
      <c r="TVF9" s="5"/>
      <c r="TVG9" s="5"/>
      <c r="TVH9" s="5"/>
      <c r="TVI9" s="5"/>
      <c r="TVJ9" s="5"/>
      <c r="TVK9" s="5"/>
      <c r="TVL9" s="5"/>
      <c r="TVM9" s="5"/>
      <c r="TVN9" s="5"/>
      <c r="TVO9" s="5"/>
      <c r="TVP9" s="5"/>
      <c r="TVQ9" s="5"/>
      <c r="TVR9" s="5"/>
      <c r="TVS9" s="5"/>
      <c r="TVT9" s="5"/>
      <c r="TVU9" s="5"/>
      <c r="TVV9" s="5"/>
      <c r="TVW9" s="5"/>
      <c r="TVX9" s="5"/>
      <c r="TVY9" s="5"/>
      <c r="TVZ9" s="5"/>
      <c r="TWA9" s="5"/>
      <c r="TWB9" s="5"/>
      <c r="TWC9" s="5"/>
      <c r="TWD9" s="5"/>
      <c r="TWE9" s="5"/>
      <c r="TWF9" s="5"/>
      <c r="TWG9" s="5"/>
      <c r="TWH9" s="5"/>
      <c r="TWI9" s="5"/>
      <c r="TWJ9" s="5"/>
      <c r="TWK9" s="5"/>
      <c r="TWL9" s="5"/>
      <c r="TWM9" s="5"/>
      <c r="TWN9" s="5"/>
      <c r="TWO9" s="5"/>
      <c r="TWP9" s="5"/>
      <c r="TWQ9" s="5"/>
      <c r="TWR9" s="5"/>
      <c r="TWS9" s="5"/>
      <c r="TWT9" s="5"/>
      <c r="TWU9" s="5"/>
      <c r="TWV9" s="5"/>
      <c r="TWW9" s="5"/>
      <c r="TWX9" s="5"/>
      <c r="TWY9" s="5"/>
      <c r="TWZ9" s="5"/>
      <c r="TXA9" s="5"/>
      <c r="TXB9" s="5"/>
      <c r="TXC9" s="5"/>
      <c r="TXD9" s="5"/>
      <c r="TXE9" s="5"/>
      <c r="TXF9" s="5"/>
      <c r="TXG9" s="5"/>
      <c r="TXH9" s="5"/>
      <c r="TXI9" s="5"/>
      <c r="TXJ9" s="5"/>
      <c r="TXK9" s="5"/>
      <c r="TXL9" s="5"/>
      <c r="TXM9" s="5"/>
      <c r="TXN9" s="5"/>
      <c r="TXO9" s="5"/>
      <c r="TXP9" s="5"/>
      <c r="TXQ9" s="5"/>
      <c r="TXR9" s="5"/>
      <c r="TXS9" s="5"/>
      <c r="TXT9" s="5"/>
      <c r="TXU9" s="5"/>
      <c r="TXV9" s="5"/>
      <c r="TXW9" s="5"/>
      <c r="TXX9" s="5"/>
      <c r="TXY9" s="5"/>
      <c r="TXZ9" s="5"/>
      <c r="TYA9" s="5"/>
      <c r="TYB9" s="5"/>
      <c r="TYC9" s="5"/>
      <c r="TYD9" s="5"/>
      <c r="TYE9" s="5"/>
      <c r="TYF9" s="5"/>
      <c r="TYG9" s="5"/>
      <c r="TYH9" s="5"/>
      <c r="TYI9" s="5"/>
      <c r="TYJ9" s="5"/>
      <c r="TYK9" s="5"/>
      <c r="TYL9" s="5"/>
      <c r="TYM9" s="5"/>
      <c r="TYN9" s="5"/>
      <c r="TYO9" s="5"/>
      <c r="TYP9" s="5"/>
      <c r="TYQ9" s="5"/>
      <c r="TYR9" s="5"/>
      <c r="TYS9" s="5"/>
      <c r="TYT9" s="5"/>
      <c r="TYU9" s="5"/>
      <c r="TYV9" s="5"/>
      <c r="TYW9" s="5"/>
      <c r="TYX9" s="5"/>
      <c r="TYY9" s="5"/>
      <c r="TYZ9" s="5"/>
      <c r="TZA9" s="5"/>
      <c r="TZB9" s="5"/>
      <c r="TZC9" s="5"/>
      <c r="TZD9" s="5"/>
      <c r="TZE9" s="5"/>
      <c r="TZF9" s="5"/>
      <c r="TZG9" s="5"/>
      <c r="TZH9" s="5"/>
      <c r="TZI9" s="5"/>
      <c r="TZJ9" s="5"/>
      <c r="TZK9" s="5"/>
      <c r="TZL9" s="5"/>
      <c r="TZM9" s="5"/>
      <c r="TZN9" s="5"/>
      <c r="TZO9" s="5"/>
      <c r="TZP9" s="5"/>
      <c r="TZQ9" s="5"/>
      <c r="TZR9" s="5"/>
      <c r="TZS9" s="5"/>
      <c r="TZT9" s="5"/>
      <c r="TZU9" s="5"/>
      <c r="TZV9" s="5"/>
      <c r="TZW9" s="5"/>
      <c r="TZX9" s="5"/>
      <c r="TZY9" s="5"/>
      <c r="TZZ9" s="5"/>
      <c r="UAA9" s="5"/>
      <c r="UAB9" s="5"/>
      <c r="UAC9" s="5"/>
      <c r="UAD9" s="5"/>
      <c r="UAE9" s="5"/>
      <c r="UAF9" s="5"/>
      <c r="UAG9" s="5"/>
      <c r="UAH9" s="5"/>
      <c r="UAI9" s="5"/>
      <c r="UAJ9" s="5"/>
      <c r="UAK9" s="5"/>
      <c r="UAL9" s="5"/>
      <c r="UAM9" s="5"/>
      <c r="UAN9" s="5"/>
      <c r="UAO9" s="5"/>
      <c r="UAP9" s="5"/>
      <c r="UAQ9" s="5"/>
      <c r="UAR9" s="5"/>
      <c r="UAS9" s="5"/>
      <c r="UAT9" s="5"/>
      <c r="UAU9" s="5"/>
      <c r="UAV9" s="5"/>
      <c r="UAW9" s="5"/>
      <c r="UAX9" s="5"/>
      <c r="UAY9" s="5"/>
      <c r="UAZ9" s="5"/>
      <c r="UBA9" s="5"/>
      <c r="UBB9" s="5"/>
      <c r="UBC9" s="5"/>
      <c r="UBD9" s="5"/>
      <c r="UBE9" s="5"/>
      <c r="UBF9" s="5"/>
      <c r="UBG9" s="5"/>
      <c r="UBH9" s="5"/>
      <c r="UBI9" s="5"/>
      <c r="UBJ9" s="5"/>
      <c r="UBK9" s="5"/>
      <c r="UBL9" s="5"/>
      <c r="UBM9" s="5"/>
      <c r="UBN9" s="5"/>
      <c r="UBO9" s="5"/>
      <c r="UBP9" s="5"/>
      <c r="UBQ9" s="5"/>
      <c r="UBR9" s="5"/>
      <c r="UBS9" s="5"/>
      <c r="UBT9" s="5"/>
      <c r="UBU9" s="5"/>
      <c r="UBV9" s="5"/>
      <c r="UBW9" s="5"/>
      <c r="UBX9" s="5"/>
      <c r="UBY9" s="5"/>
      <c r="UBZ9" s="5"/>
      <c r="UCA9" s="5"/>
      <c r="UCB9" s="5"/>
      <c r="UCC9" s="5"/>
      <c r="UCD9" s="5"/>
      <c r="UCE9" s="5"/>
      <c r="UCF9" s="5"/>
      <c r="UCG9" s="5"/>
      <c r="UCH9" s="5"/>
      <c r="UCI9" s="5"/>
      <c r="UCJ9" s="5"/>
      <c r="UCK9" s="5"/>
      <c r="UCL9" s="5"/>
      <c r="UCM9" s="5"/>
      <c r="UCN9" s="5"/>
      <c r="UCO9" s="5"/>
      <c r="UCP9" s="5"/>
      <c r="UCQ9" s="5"/>
      <c r="UCR9" s="5"/>
      <c r="UCS9" s="5"/>
      <c r="UCT9" s="5"/>
      <c r="UCU9" s="5"/>
      <c r="UCV9" s="5"/>
      <c r="UCW9" s="5"/>
      <c r="UCX9" s="5"/>
      <c r="UCY9" s="5"/>
      <c r="UCZ9" s="5"/>
      <c r="UDA9" s="5"/>
      <c r="UDB9" s="5"/>
      <c r="UDC9" s="5"/>
      <c r="UDD9" s="5"/>
      <c r="UDE9" s="5"/>
      <c r="UDF9" s="5"/>
      <c r="UDG9" s="5"/>
      <c r="UDH9" s="5"/>
      <c r="UDI9" s="5"/>
      <c r="UDJ9" s="5"/>
      <c r="UDK9" s="5"/>
      <c r="UDL9" s="5"/>
      <c r="UDM9" s="5"/>
      <c r="UDN9" s="5"/>
      <c r="UDO9" s="5"/>
      <c r="UDP9" s="5"/>
      <c r="UDQ9" s="5"/>
      <c r="UDR9" s="5"/>
      <c r="UDS9" s="5"/>
      <c r="UDT9" s="5"/>
      <c r="UDU9" s="5"/>
      <c r="UDV9" s="5"/>
      <c r="UDW9" s="5"/>
      <c r="UDX9" s="5"/>
      <c r="UDY9" s="5"/>
      <c r="UDZ9" s="5"/>
      <c r="UEA9" s="5"/>
      <c r="UEB9" s="5"/>
      <c r="UEC9" s="5"/>
      <c r="UED9" s="5"/>
      <c r="UEE9" s="5"/>
      <c r="UEF9" s="5"/>
      <c r="UEG9" s="5"/>
      <c r="UEH9" s="5"/>
      <c r="UEI9" s="5"/>
      <c r="UEJ9" s="5"/>
      <c r="UEK9" s="5"/>
      <c r="UEL9" s="5"/>
      <c r="UEM9" s="5"/>
      <c r="UEN9" s="5"/>
      <c r="UEO9" s="5"/>
      <c r="UEP9" s="5"/>
      <c r="UEQ9" s="5"/>
      <c r="UER9" s="5"/>
      <c r="UES9" s="5"/>
      <c r="UET9" s="5"/>
      <c r="UEU9" s="5"/>
      <c r="UEV9" s="5"/>
      <c r="UEW9" s="5"/>
      <c r="UEX9" s="5"/>
      <c r="UEY9" s="5"/>
      <c r="UEZ9" s="5"/>
      <c r="UFA9" s="5"/>
      <c r="UFB9" s="5"/>
      <c r="UFC9" s="5"/>
      <c r="UFD9" s="5"/>
      <c r="UFE9" s="5"/>
      <c r="UFF9" s="5"/>
      <c r="UFG9" s="5"/>
      <c r="UFH9" s="5"/>
      <c r="UFI9" s="5"/>
      <c r="UFJ9" s="5"/>
      <c r="UFK9" s="5"/>
      <c r="UFL9" s="5"/>
      <c r="UFM9" s="5"/>
      <c r="UFN9" s="5"/>
      <c r="UFO9" s="5"/>
      <c r="UFP9" s="5"/>
      <c r="UFQ9" s="5"/>
      <c r="UFR9" s="5"/>
      <c r="UFS9" s="5"/>
      <c r="UFT9" s="5"/>
      <c r="UFU9" s="5"/>
      <c r="UFV9" s="5"/>
      <c r="UFW9" s="5"/>
      <c r="UFX9" s="5"/>
      <c r="UFY9" s="5"/>
      <c r="UFZ9" s="5"/>
      <c r="UGA9" s="5"/>
      <c r="UGB9" s="5"/>
      <c r="UGC9" s="5"/>
      <c r="UGD9" s="5"/>
      <c r="UGE9" s="5"/>
      <c r="UGF9" s="5"/>
      <c r="UGG9" s="5"/>
      <c r="UGH9" s="5"/>
      <c r="UGI9" s="5"/>
      <c r="UGJ9" s="5"/>
      <c r="UGK9" s="5"/>
      <c r="UGL9" s="5"/>
      <c r="UGM9" s="5"/>
      <c r="UGN9" s="5"/>
      <c r="UGO9" s="5"/>
      <c r="UGP9" s="5"/>
      <c r="UGQ9" s="5"/>
      <c r="UGR9" s="5"/>
      <c r="UGS9" s="5"/>
      <c r="UGT9" s="5"/>
      <c r="UGU9" s="5"/>
      <c r="UGV9" s="5"/>
      <c r="UGW9" s="5"/>
      <c r="UGX9" s="5"/>
      <c r="UGY9" s="5"/>
      <c r="UGZ9" s="5"/>
      <c r="UHA9" s="5"/>
      <c r="UHB9" s="5"/>
      <c r="UHC9" s="5"/>
      <c r="UHD9" s="5"/>
      <c r="UHE9" s="5"/>
      <c r="UHF9" s="5"/>
      <c r="UHG9" s="5"/>
      <c r="UHH9" s="5"/>
      <c r="UHI9" s="5"/>
      <c r="UHJ9" s="5"/>
      <c r="UHK9" s="5"/>
      <c r="UHL9" s="5"/>
      <c r="UHM9" s="5"/>
      <c r="UHN9" s="5"/>
      <c r="UHO9" s="5"/>
      <c r="UHP9" s="5"/>
      <c r="UHQ9" s="5"/>
      <c r="UHR9" s="5"/>
      <c r="UHS9" s="5"/>
      <c r="UHT9" s="5"/>
      <c r="UHU9" s="5"/>
      <c r="UHV9" s="5"/>
      <c r="UHW9" s="5"/>
      <c r="UHX9" s="5"/>
      <c r="UHY9" s="5"/>
      <c r="UHZ9" s="5"/>
      <c r="UIA9" s="5"/>
      <c r="UIB9" s="5"/>
      <c r="UIC9" s="5"/>
      <c r="UID9" s="5"/>
      <c r="UIE9" s="5"/>
      <c r="UIF9" s="5"/>
      <c r="UIG9" s="5"/>
      <c r="UIH9" s="5"/>
      <c r="UII9" s="5"/>
      <c r="UIJ9" s="5"/>
      <c r="UIK9" s="5"/>
      <c r="UIL9" s="5"/>
      <c r="UIM9" s="5"/>
      <c r="UIN9" s="5"/>
      <c r="UIO9" s="5"/>
      <c r="UIP9" s="5"/>
      <c r="UIQ9" s="5"/>
      <c r="UIR9" s="5"/>
      <c r="UIS9" s="5"/>
      <c r="UIT9" s="5"/>
      <c r="UIU9" s="5"/>
      <c r="UIV9" s="5"/>
      <c r="UIW9" s="5"/>
      <c r="UIX9" s="5"/>
      <c r="UIY9" s="5"/>
      <c r="UIZ9" s="5"/>
      <c r="UJA9" s="5"/>
      <c r="UJB9" s="5"/>
      <c r="UJC9" s="5"/>
      <c r="UJD9" s="5"/>
      <c r="UJE9" s="5"/>
      <c r="UJF9" s="5"/>
      <c r="UJG9" s="5"/>
      <c r="UJH9" s="5"/>
      <c r="UJI9" s="5"/>
      <c r="UJJ9" s="5"/>
      <c r="UJK9" s="5"/>
      <c r="UJL9" s="5"/>
      <c r="UJM9" s="5"/>
      <c r="UJN9" s="5"/>
      <c r="UJO9" s="5"/>
      <c r="UJP9" s="5"/>
      <c r="UJQ9" s="5"/>
      <c r="UJR9" s="5"/>
      <c r="UJS9" s="5"/>
      <c r="UJT9" s="5"/>
      <c r="UJU9" s="5"/>
      <c r="UJV9" s="5"/>
      <c r="UJW9" s="5"/>
      <c r="UJX9" s="5"/>
      <c r="UJY9" s="5"/>
      <c r="UJZ9" s="5"/>
      <c r="UKA9" s="5"/>
      <c r="UKB9" s="5"/>
      <c r="UKC9" s="5"/>
      <c r="UKD9" s="5"/>
      <c r="UKE9" s="5"/>
      <c r="UKF9" s="5"/>
      <c r="UKG9" s="5"/>
      <c r="UKH9" s="5"/>
      <c r="UKI9" s="5"/>
      <c r="UKJ9" s="5"/>
      <c r="UKK9" s="5"/>
      <c r="UKL9" s="5"/>
      <c r="UKM9" s="5"/>
      <c r="UKN9" s="5"/>
      <c r="UKO9" s="5"/>
      <c r="UKP9" s="5"/>
      <c r="UKQ9" s="5"/>
      <c r="UKR9" s="5"/>
      <c r="UKS9" s="5"/>
      <c r="UKT9" s="5"/>
      <c r="UKU9" s="5"/>
      <c r="UKV9" s="5"/>
      <c r="UKW9" s="5"/>
      <c r="UKX9" s="5"/>
      <c r="UKY9" s="5"/>
      <c r="UKZ9" s="5"/>
      <c r="ULA9" s="5"/>
      <c r="ULB9" s="5"/>
      <c r="ULC9" s="5"/>
      <c r="ULD9" s="5"/>
      <c r="ULE9" s="5"/>
      <c r="ULF9" s="5"/>
      <c r="ULG9" s="5"/>
      <c r="ULH9" s="5"/>
      <c r="ULI9" s="5"/>
      <c r="ULJ9" s="5"/>
      <c r="ULK9" s="5"/>
      <c r="ULL9" s="5"/>
      <c r="ULM9" s="5"/>
      <c r="ULN9" s="5"/>
      <c r="ULO9" s="5"/>
      <c r="ULP9" s="5"/>
      <c r="ULQ9" s="5"/>
      <c r="ULR9" s="5"/>
      <c r="ULS9" s="5"/>
      <c r="ULT9" s="5"/>
      <c r="ULU9" s="5"/>
      <c r="ULV9" s="5"/>
      <c r="ULW9" s="5"/>
      <c r="ULX9" s="5"/>
      <c r="ULY9" s="5"/>
      <c r="ULZ9" s="5"/>
      <c r="UMA9" s="5"/>
      <c r="UMB9" s="5"/>
      <c r="UMC9" s="5"/>
      <c r="UMD9" s="5"/>
      <c r="UME9" s="5"/>
      <c r="UMF9" s="5"/>
      <c r="UMG9" s="5"/>
      <c r="UMH9" s="5"/>
      <c r="UMI9" s="5"/>
      <c r="UMJ9" s="5"/>
      <c r="UMK9" s="5"/>
      <c r="UML9" s="5"/>
      <c r="UMM9" s="5"/>
      <c r="UMN9" s="5"/>
      <c r="UMO9" s="5"/>
      <c r="UMP9" s="5"/>
      <c r="UMQ9" s="5"/>
      <c r="UMR9" s="5"/>
      <c r="UMS9" s="5"/>
      <c r="UMT9" s="5"/>
      <c r="UMU9" s="5"/>
      <c r="UMV9" s="5"/>
      <c r="UMW9" s="5"/>
      <c r="UMX9" s="5"/>
      <c r="UMY9" s="5"/>
      <c r="UMZ9" s="5"/>
      <c r="UNA9" s="5"/>
      <c r="UNB9" s="5"/>
      <c r="UNC9" s="5"/>
      <c r="UND9" s="5"/>
      <c r="UNE9" s="5"/>
      <c r="UNF9" s="5"/>
      <c r="UNG9" s="5"/>
      <c r="UNH9" s="5"/>
      <c r="UNI9" s="5"/>
      <c r="UNJ9" s="5"/>
      <c r="UNK9" s="5"/>
      <c r="UNL9" s="5"/>
      <c r="UNM9" s="5"/>
      <c r="UNN9" s="5"/>
      <c r="UNO9" s="5"/>
      <c r="UNP9" s="5"/>
      <c r="UNQ9" s="5"/>
      <c r="UNR9" s="5"/>
      <c r="UNS9" s="5"/>
      <c r="UNT9" s="5"/>
      <c r="UNU9" s="5"/>
      <c r="UNV9" s="5"/>
      <c r="UNW9" s="5"/>
      <c r="UNX9" s="5"/>
      <c r="UNY9" s="5"/>
      <c r="UNZ9" s="5"/>
      <c r="UOA9" s="5"/>
      <c r="UOB9" s="5"/>
      <c r="UOC9" s="5"/>
      <c r="UOD9" s="5"/>
      <c r="UOE9" s="5"/>
      <c r="UOF9" s="5"/>
      <c r="UOG9" s="5"/>
      <c r="UOH9" s="5"/>
      <c r="UOI9" s="5"/>
      <c r="UOJ9" s="5"/>
      <c r="UOK9" s="5"/>
      <c r="UOL9" s="5"/>
      <c r="UOM9" s="5"/>
      <c r="UON9" s="5"/>
      <c r="UOO9" s="5"/>
      <c r="UOP9" s="5"/>
      <c r="UOQ9" s="5"/>
      <c r="UOR9" s="5"/>
      <c r="UOS9" s="5"/>
      <c r="UOT9" s="5"/>
      <c r="UOU9" s="5"/>
      <c r="UOV9" s="5"/>
      <c r="UOW9" s="5"/>
      <c r="UOX9" s="5"/>
      <c r="UOY9" s="5"/>
      <c r="UOZ9" s="5"/>
      <c r="UPA9" s="5"/>
      <c r="UPB9" s="5"/>
      <c r="UPC9" s="5"/>
      <c r="UPD9" s="5"/>
      <c r="UPE9" s="5"/>
      <c r="UPF9" s="5"/>
      <c r="UPG9" s="5"/>
      <c r="UPH9" s="5"/>
      <c r="UPI9" s="5"/>
      <c r="UPJ9" s="5"/>
      <c r="UPK9" s="5"/>
      <c r="UPL9" s="5"/>
      <c r="UPM9" s="5"/>
      <c r="UPN9" s="5"/>
      <c r="UPO9" s="5"/>
      <c r="UPP9" s="5"/>
      <c r="UPQ9" s="5"/>
      <c r="UPR9" s="5"/>
      <c r="UPS9" s="5"/>
      <c r="UPT9" s="5"/>
      <c r="UPU9" s="5"/>
      <c r="UPV9" s="5"/>
      <c r="UPW9" s="5"/>
      <c r="UPX9" s="5"/>
      <c r="UPY9" s="5"/>
      <c r="UPZ9" s="5"/>
      <c r="UQA9" s="5"/>
      <c r="UQB9" s="5"/>
      <c r="UQC9" s="5"/>
      <c r="UQD9" s="5"/>
      <c r="UQE9" s="5"/>
      <c r="UQF9" s="5"/>
      <c r="UQG9" s="5"/>
      <c r="UQH9" s="5"/>
      <c r="UQI9" s="5"/>
      <c r="UQJ9" s="5"/>
      <c r="UQK9" s="5"/>
      <c r="UQL9" s="5"/>
      <c r="UQM9" s="5"/>
      <c r="UQN9" s="5"/>
      <c r="UQO9" s="5"/>
      <c r="UQP9" s="5"/>
      <c r="UQQ9" s="5"/>
      <c r="UQR9" s="5"/>
      <c r="UQS9" s="5"/>
      <c r="UQT9" s="5"/>
      <c r="UQU9" s="5"/>
      <c r="UQV9" s="5"/>
      <c r="UQW9" s="5"/>
      <c r="UQX9" s="5"/>
      <c r="UQY9" s="5"/>
      <c r="UQZ9" s="5"/>
      <c r="URA9" s="5"/>
      <c r="URB9" s="5"/>
      <c r="URC9" s="5"/>
      <c r="URD9" s="5"/>
      <c r="URE9" s="5"/>
      <c r="URF9" s="5"/>
      <c r="URG9" s="5"/>
      <c r="URH9" s="5"/>
      <c r="URI9" s="5"/>
      <c r="URJ9" s="5"/>
      <c r="URK9" s="5"/>
      <c r="URL9" s="5"/>
      <c r="URM9" s="5"/>
      <c r="URN9" s="5"/>
      <c r="URO9" s="5"/>
      <c r="URP9" s="5"/>
      <c r="URQ9" s="5"/>
      <c r="URR9" s="5"/>
      <c r="URS9" s="5"/>
      <c r="URT9" s="5"/>
      <c r="URU9" s="5"/>
      <c r="URV9" s="5"/>
      <c r="URW9" s="5"/>
      <c r="URX9" s="5"/>
      <c r="URY9" s="5"/>
      <c r="URZ9" s="5"/>
      <c r="USA9" s="5"/>
      <c r="USB9" s="5"/>
      <c r="USC9" s="5"/>
      <c r="USD9" s="5"/>
      <c r="USE9" s="5"/>
      <c r="USF9" s="5"/>
      <c r="USG9" s="5"/>
      <c r="USH9" s="5"/>
      <c r="USI9" s="5"/>
      <c r="USJ9" s="5"/>
      <c r="USK9" s="5"/>
      <c r="USL9" s="5"/>
      <c r="USM9" s="5"/>
      <c r="USN9" s="5"/>
      <c r="USO9" s="5"/>
      <c r="USP9" s="5"/>
      <c r="USQ9" s="5"/>
      <c r="USR9" s="5"/>
      <c r="USS9" s="5"/>
      <c r="UST9" s="5"/>
      <c r="USU9" s="5"/>
      <c r="USV9" s="5"/>
      <c r="USW9" s="5"/>
      <c r="USX9" s="5"/>
      <c r="USY9" s="5"/>
      <c r="USZ9" s="5"/>
      <c r="UTA9" s="5"/>
      <c r="UTB9" s="5"/>
      <c r="UTC9" s="5"/>
      <c r="UTD9" s="5"/>
      <c r="UTE9" s="5"/>
      <c r="UTF9" s="5"/>
      <c r="UTG9" s="5"/>
      <c r="UTH9" s="5"/>
      <c r="UTI9" s="5"/>
      <c r="UTJ9" s="5"/>
      <c r="UTK9" s="5"/>
      <c r="UTL9" s="5"/>
      <c r="UTM9" s="5"/>
      <c r="UTN9" s="5"/>
      <c r="UTO9" s="5"/>
      <c r="UTP9" s="5"/>
      <c r="UTQ9" s="5"/>
      <c r="UTR9" s="5"/>
      <c r="UTS9" s="5"/>
      <c r="UTT9" s="5"/>
      <c r="UTU9" s="5"/>
      <c r="UTV9" s="5"/>
      <c r="UTW9" s="5"/>
      <c r="UTX9" s="5"/>
      <c r="UTY9" s="5"/>
      <c r="UTZ9" s="5"/>
      <c r="UUA9" s="5"/>
      <c r="UUB9" s="5"/>
      <c r="UUC9" s="5"/>
      <c r="UUD9" s="5"/>
      <c r="UUE9" s="5"/>
      <c r="UUF9" s="5"/>
      <c r="UUG9" s="5"/>
      <c r="UUH9" s="5"/>
      <c r="UUI9" s="5"/>
      <c r="UUJ9" s="5"/>
      <c r="UUK9" s="5"/>
      <c r="UUL9" s="5"/>
      <c r="UUM9" s="5"/>
      <c r="UUN9" s="5"/>
      <c r="UUO9" s="5"/>
      <c r="UUP9" s="5"/>
      <c r="UUQ9" s="5"/>
      <c r="UUR9" s="5"/>
      <c r="UUS9" s="5"/>
      <c r="UUT9" s="5"/>
      <c r="UUU9" s="5"/>
      <c r="UUV9" s="5"/>
      <c r="UUW9" s="5"/>
      <c r="UUX9" s="5"/>
      <c r="UUY9" s="5"/>
      <c r="UUZ9" s="5"/>
      <c r="UVA9" s="5"/>
      <c r="UVB9" s="5"/>
      <c r="UVC9" s="5"/>
      <c r="UVD9" s="5"/>
      <c r="UVE9" s="5"/>
      <c r="UVF9" s="5"/>
      <c r="UVG9" s="5"/>
      <c r="UVH9" s="5"/>
      <c r="UVI9" s="5"/>
      <c r="UVJ9" s="5"/>
      <c r="UVK9" s="5"/>
      <c r="UVL9" s="5"/>
      <c r="UVM9" s="5"/>
      <c r="UVN9" s="5"/>
      <c r="UVO9" s="5"/>
      <c r="UVP9" s="5"/>
      <c r="UVQ9" s="5"/>
      <c r="UVR9" s="5"/>
      <c r="UVS9" s="5"/>
      <c r="UVT9" s="5"/>
      <c r="UVU9" s="5"/>
      <c r="UVV9" s="5"/>
      <c r="UVW9" s="5"/>
      <c r="UVX9" s="5"/>
      <c r="UVY9" s="5"/>
      <c r="UVZ9" s="5"/>
      <c r="UWA9" s="5"/>
      <c r="UWB9" s="5"/>
      <c r="UWC9" s="5"/>
      <c r="UWD9" s="5"/>
      <c r="UWE9" s="5"/>
      <c r="UWF9" s="5"/>
      <c r="UWG9" s="5"/>
      <c r="UWH9" s="5"/>
      <c r="UWI9" s="5"/>
      <c r="UWJ9" s="5"/>
      <c r="UWK9" s="5"/>
      <c r="UWL9" s="5"/>
      <c r="UWM9" s="5"/>
      <c r="UWN9" s="5"/>
      <c r="UWO9" s="5"/>
      <c r="UWP9" s="5"/>
      <c r="UWQ9" s="5"/>
      <c r="UWR9" s="5"/>
      <c r="UWS9" s="5"/>
      <c r="UWT9" s="5"/>
      <c r="UWU9" s="5"/>
      <c r="UWV9" s="5"/>
      <c r="UWW9" s="5"/>
      <c r="UWX9" s="5"/>
      <c r="UWY9" s="5"/>
      <c r="UWZ9" s="5"/>
      <c r="UXA9" s="5"/>
      <c r="UXB9" s="5"/>
      <c r="UXC9" s="5"/>
      <c r="UXD9" s="5"/>
      <c r="UXE9" s="5"/>
      <c r="UXF9" s="5"/>
      <c r="UXG9" s="5"/>
      <c r="UXH9" s="5"/>
      <c r="UXI9" s="5"/>
      <c r="UXJ9" s="5"/>
      <c r="UXK9" s="5"/>
      <c r="UXL9" s="5"/>
      <c r="UXM9" s="5"/>
      <c r="UXN9" s="5"/>
      <c r="UXO9" s="5"/>
      <c r="UXP9" s="5"/>
      <c r="UXQ9" s="5"/>
      <c r="UXR9" s="5"/>
      <c r="UXS9" s="5"/>
      <c r="UXT9" s="5"/>
      <c r="UXU9" s="5"/>
      <c r="UXV9" s="5"/>
      <c r="UXW9" s="5"/>
      <c r="UXX9" s="5"/>
      <c r="UXY9" s="5"/>
      <c r="UXZ9" s="5"/>
      <c r="UYA9" s="5"/>
      <c r="UYB9" s="5"/>
      <c r="UYC9" s="5"/>
      <c r="UYD9" s="5"/>
      <c r="UYE9" s="5"/>
      <c r="UYF9" s="5"/>
      <c r="UYG9" s="5"/>
      <c r="UYH9" s="5"/>
      <c r="UYI9" s="5"/>
      <c r="UYJ9" s="5"/>
      <c r="UYK9" s="5"/>
      <c r="UYL9" s="5"/>
      <c r="UYM9" s="5"/>
      <c r="UYN9" s="5"/>
      <c r="UYO9" s="5"/>
      <c r="UYP9" s="5"/>
      <c r="UYQ9" s="5"/>
      <c r="UYR9" s="5"/>
      <c r="UYS9" s="5"/>
      <c r="UYT9" s="5"/>
      <c r="UYU9" s="5"/>
      <c r="UYV9" s="5"/>
      <c r="UYW9" s="5"/>
      <c r="UYX9" s="5"/>
      <c r="UYY9" s="5"/>
      <c r="UYZ9" s="5"/>
      <c r="UZA9" s="5"/>
      <c r="UZB9" s="5"/>
      <c r="UZC9" s="5"/>
      <c r="UZD9" s="5"/>
      <c r="UZE9" s="5"/>
      <c r="UZF9" s="5"/>
      <c r="UZG9" s="5"/>
      <c r="UZH9" s="5"/>
      <c r="UZI9" s="5"/>
      <c r="UZJ9" s="5"/>
      <c r="UZK9" s="5"/>
      <c r="UZL9" s="5"/>
      <c r="UZM9" s="5"/>
      <c r="UZN9" s="5"/>
      <c r="UZO9" s="5"/>
      <c r="UZP9" s="5"/>
      <c r="UZQ9" s="5"/>
      <c r="UZR9" s="5"/>
      <c r="UZS9" s="5"/>
      <c r="UZT9" s="5"/>
      <c r="UZU9" s="5"/>
      <c r="UZV9" s="5"/>
      <c r="UZW9" s="5"/>
      <c r="UZX9" s="5"/>
      <c r="UZY9" s="5"/>
      <c r="UZZ9" s="5"/>
      <c r="VAA9" s="5"/>
      <c r="VAB9" s="5"/>
      <c r="VAC9" s="5"/>
      <c r="VAD9" s="5"/>
      <c r="VAE9" s="5"/>
      <c r="VAF9" s="5"/>
      <c r="VAG9" s="5"/>
      <c r="VAH9" s="5"/>
      <c r="VAI9" s="5"/>
      <c r="VAJ9" s="5"/>
      <c r="VAK9" s="5"/>
      <c r="VAL9" s="5"/>
      <c r="VAM9" s="5"/>
      <c r="VAN9" s="5"/>
      <c r="VAO9" s="5"/>
      <c r="VAP9" s="5"/>
      <c r="VAQ9" s="5"/>
      <c r="VAR9" s="5"/>
      <c r="VAS9" s="5"/>
      <c r="VAT9" s="5"/>
      <c r="VAU9" s="5"/>
      <c r="VAV9" s="5"/>
      <c r="VAW9" s="5"/>
      <c r="VAX9" s="5"/>
      <c r="VAY9" s="5"/>
      <c r="VAZ9" s="5"/>
      <c r="VBA9" s="5"/>
      <c r="VBB9" s="5"/>
      <c r="VBC9" s="5"/>
      <c r="VBD9" s="5"/>
      <c r="VBE9" s="5"/>
      <c r="VBF9" s="5"/>
      <c r="VBG9" s="5"/>
      <c r="VBH9" s="5"/>
      <c r="VBI9" s="5"/>
      <c r="VBJ9" s="5"/>
      <c r="VBK9" s="5"/>
      <c r="VBL9" s="5"/>
      <c r="VBM9" s="5"/>
      <c r="VBN9" s="5"/>
      <c r="VBO9" s="5"/>
      <c r="VBP9" s="5"/>
      <c r="VBQ9" s="5"/>
      <c r="VBR9" s="5"/>
      <c r="VBS9" s="5"/>
      <c r="VBT9" s="5"/>
      <c r="VBU9" s="5"/>
      <c r="VBV9" s="5"/>
      <c r="VBW9" s="5"/>
      <c r="VBX9" s="5"/>
      <c r="VBY9" s="5"/>
      <c r="VBZ9" s="5"/>
      <c r="VCA9" s="5"/>
      <c r="VCB9" s="5"/>
      <c r="VCC9" s="5"/>
      <c r="VCD9" s="5"/>
      <c r="VCE9" s="5"/>
      <c r="VCF9" s="5"/>
      <c r="VCG9" s="5"/>
      <c r="VCH9" s="5"/>
      <c r="VCI9" s="5"/>
      <c r="VCJ9" s="5"/>
      <c r="VCK9" s="5"/>
      <c r="VCL9" s="5"/>
      <c r="VCM9" s="5"/>
      <c r="VCN9" s="5"/>
      <c r="VCO9" s="5"/>
      <c r="VCP9" s="5"/>
      <c r="VCQ9" s="5"/>
      <c r="VCR9" s="5"/>
      <c r="VCS9" s="5"/>
      <c r="VCT9" s="5"/>
      <c r="VCU9" s="5"/>
      <c r="VCV9" s="5"/>
      <c r="VCW9" s="5"/>
      <c r="VCX9" s="5"/>
      <c r="VCY9" s="5"/>
      <c r="VCZ9" s="5"/>
      <c r="VDA9" s="5"/>
      <c r="VDB9" s="5"/>
      <c r="VDC9" s="5"/>
      <c r="VDD9" s="5"/>
      <c r="VDE9" s="5"/>
      <c r="VDF9" s="5"/>
      <c r="VDG9" s="5"/>
      <c r="VDH9" s="5"/>
      <c r="VDI9" s="5"/>
      <c r="VDJ9" s="5"/>
      <c r="VDK9" s="5"/>
      <c r="VDL9" s="5"/>
      <c r="VDM9" s="5"/>
      <c r="VDN9" s="5"/>
      <c r="VDO9" s="5"/>
      <c r="VDP9" s="5"/>
      <c r="VDQ9" s="5"/>
      <c r="VDR9" s="5"/>
      <c r="VDS9" s="5"/>
      <c r="VDT9" s="5"/>
      <c r="VDU9" s="5"/>
      <c r="VDV9" s="5"/>
      <c r="VDW9" s="5"/>
      <c r="VDX9" s="5"/>
      <c r="VDY9" s="5"/>
      <c r="VDZ9" s="5"/>
      <c r="VEA9" s="5"/>
      <c r="VEB9" s="5"/>
      <c r="VEC9" s="5"/>
      <c r="VED9" s="5"/>
      <c r="VEE9" s="5"/>
      <c r="VEF9" s="5"/>
      <c r="VEG9" s="5"/>
      <c r="VEH9" s="5"/>
      <c r="VEI9" s="5"/>
      <c r="VEJ9" s="5"/>
      <c r="VEK9" s="5"/>
      <c r="VEL9" s="5"/>
      <c r="VEM9" s="5"/>
      <c r="VEN9" s="5"/>
      <c r="VEO9" s="5"/>
      <c r="VEP9" s="5"/>
      <c r="VEQ9" s="5"/>
      <c r="VER9" s="5"/>
      <c r="VES9" s="5"/>
      <c r="VET9" s="5"/>
      <c r="VEU9" s="5"/>
      <c r="VEV9" s="5"/>
      <c r="VEW9" s="5"/>
      <c r="VEX9" s="5"/>
      <c r="VEY9" s="5"/>
      <c r="VEZ9" s="5"/>
      <c r="VFA9" s="5"/>
      <c r="VFB9" s="5"/>
      <c r="VFC9" s="5"/>
      <c r="VFD9" s="5"/>
      <c r="VFE9" s="5"/>
      <c r="VFF9" s="5"/>
      <c r="VFG9" s="5"/>
      <c r="VFH9" s="5"/>
      <c r="VFI9" s="5"/>
      <c r="VFJ9" s="5"/>
      <c r="VFK9" s="5"/>
      <c r="VFL9" s="5"/>
      <c r="VFM9" s="5"/>
      <c r="VFN9" s="5"/>
      <c r="VFO9" s="5"/>
      <c r="VFP9" s="5"/>
      <c r="VFQ9" s="5"/>
      <c r="VFR9" s="5"/>
      <c r="VFS9" s="5"/>
      <c r="VFT9" s="5"/>
      <c r="VFU9" s="5"/>
      <c r="VFV9" s="5"/>
      <c r="VFW9" s="5"/>
      <c r="VFX9" s="5"/>
      <c r="VFY9" s="5"/>
      <c r="VFZ9" s="5"/>
      <c r="VGA9" s="5"/>
      <c r="VGB9" s="5"/>
      <c r="VGC9" s="5"/>
      <c r="VGD9" s="5"/>
      <c r="VGE9" s="5"/>
      <c r="VGF9" s="5"/>
      <c r="VGG9" s="5"/>
      <c r="VGH9" s="5"/>
      <c r="VGI9" s="5"/>
      <c r="VGJ9" s="5"/>
      <c r="VGK9" s="5"/>
      <c r="VGL9" s="5"/>
      <c r="VGM9" s="5"/>
      <c r="VGN9" s="5"/>
      <c r="VGO9" s="5"/>
      <c r="VGP9" s="5"/>
      <c r="VGQ9" s="5"/>
      <c r="VGR9" s="5"/>
      <c r="VGS9" s="5"/>
      <c r="VGT9" s="5"/>
      <c r="VGU9" s="5"/>
      <c r="VGV9" s="5"/>
      <c r="VGW9" s="5"/>
      <c r="VGX9" s="5"/>
      <c r="VGY9" s="5"/>
      <c r="VGZ9" s="5"/>
      <c r="VHA9" s="5"/>
      <c r="VHB9" s="5"/>
      <c r="VHC9" s="5"/>
      <c r="VHD9" s="5"/>
      <c r="VHE9" s="5"/>
      <c r="VHF9" s="5"/>
      <c r="VHG9" s="5"/>
      <c r="VHH9" s="5"/>
      <c r="VHI9" s="5"/>
      <c r="VHJ9" s="5"/>
      <c r="VHK9" s="5"/>
      <c r="VHL9" s="5"/>
      <c r="VHM9" s="5"/>
      <c r="VHN9" s="5"/>
      <c r="VHO9" s="5"/>
      <c r="VHP9" s="5"/>
      <c r="VHQ9" s="5"/>
      <c r="VHR9" s="5"/>
      <c r="VHS9" s="5"/>
      <c r="VHT9" s="5"/>
      <c r="VHU9" s="5"/>
      <c r="VHV9" s="5"/>
      <c r="VHW9" s="5"/>
      <c r="VHX9" s="5"/>
      <c r="VHY9" s="5"/>
      <c r="VHZ9" s="5"/>
      <c r="VIA9" s="5"/>
      <c r="VIB9" s="5"/>
      <c r="VIC9" s="5"/>
      <c r="VID9" s="5"/>
      <c r="VIE9" s="5"/>
      <c r="VIF9" s="5"/>
      <c r="VIG9" s="5"/>
      <c r="VIH9" s="5"/>
      <c r="VII9" s="5"/>
      <c r="VIJ9" s="5"/>
      <c r="VIK9" s="5"/>
      <c r="VIL9" s="5"/>
      <c r="VIM9" s="5"/>
      <c r="VIN9" s="5"/>
      <c r="VIO9" s="5"/>
      <c r="VIP9" s="5"/>
      <c r="VIQ9" s="5"/>
      <c r="VIR9" s="5"/>
      <c r="VIS9" s="5"/>
      <c r="VIT9" s="5"/>
      <c r="VIU9" s="5"/>
      <c r="VIV9" s="5"/>
      <c r="VIW9" s="5"/>
      <c r="VIX9" s="5"/>
      <c r="VIY9" s="5"/>
      <c r="VIZ9" s="5"/>
      <c r="VJA9" s="5"/>
      <c r="VJB9" s="5"/>
      <c r="VJC9" s="5"/>
      <c r="VJD9" s="5"/>
      <c r="VJE9" s="5"/>
      <c r="VJF9" s="5"/>
      <c r="VJG9" s="5"/>
      <c r="VJH9" s="5"/>
      <c r="VJI9" s="5"/>
      <c r="VJJ9" s="5"/>
      <c r="VJK9" s="5"/>
      <c r="VJL9" s="5"/>
      <c r="VJM9" s="5"/>
      <c r="VJN9" s="5"/>
      <c r="VJO9" s="5"/>
      <c r="VJP9" s="5"/>
      <c r="VJQ9" s="5"/>
      <c r="VJR9" s="5"/>
      <c r="VJS9" s="5"/>
      <c r="VJT9" s="5"/>
      <c r="VJU9" s="5"/>
      <c r="VJV9" s="5"/>
      <c r="VJW9" s="5"/>
      <c r="VJX9" s="5"/>
      <c r="VJY9" s="5"/>
      <c r="VJZ9" s="5"/>
      <c r="VKA9" s="5"/>
      <c r="VKB9" s="5"/>
      <c r="VKC9" s="5"/>
      <c r="VKD9" s="5"/>
      <c r="VKE9" s="5"/>
      <c r="VKF9" s="5"/>
      <c r="VKG9" s="5"/>
      <c r="VKH9" s="5"/>
      <c r="VKI9" s="5"/>
      <c r="VKJ9" s="5"/>
      <c r="VKK9" s="5"/>
      <c r="VKL9" s="5"/>
      <c r="VKM9" s="5"/>
      <c r="VKN9" s="5"/>
      <c r="VKO9" s="5"/>
      <c r="VKP9" s="5"/>
      <c r="VKQ9" s="5"/>
      <c r="VKR9" s="5"/>
      <c r="VKS9" s="5"/>
      <c r="VKT9" s="5"/>
      <c r="VKU9" s="5"/>
      <c r="VKV9" s="5"/>
      <c r="VKW9" s="5"/>
      <c r="VKX9" s="5"/>
      <c r="VKY9" s="5"/>
      <c r="VKZ9" s="5"/>
      <c r="VLA9" s="5"/>
      <c r="VLB9" s="5"/>
      <c r="VLC9" s="5"/>
      <c r="VLD9" s="5"/>
      <c r="VLE9" s="5"/>
      <c r="VLF9" s="5"/>
      <c r="VLG9" s="5"/>
      <c r="VLH9" s="5"/>
      <c r="VLI9" s="5"/>
      <c r="VLJ9" s="5"/>
      <c r="VLK9" s="5"/>
      <c r="VLL9" s="5"/>
      <c r="VLM9" s="5"/>
      <c r="VLN9" s="5"/>
      <c r="VLO9" s="5"/>
      <c r="VLP9" s="5"/>
      <c r="VLQ9" s="5"/>
      <c r="VLR9" s="5"/>
      <c r="VLS9" s="5"/>
      <c r="VLT9" s="5"/>
      <c r="VLU9" s="5"/>
      <c r="VLV9" s="5"/>
      <c r="VLW9" s="5"/>
      <c r="VLX9" s="5"/>
      <c r="VLY9" s="5"/>
      <c r="VLZ9" s="5"/>
      <c r="VMA9" s="5"/>
      <c r="VMB9" s="5"/>
      <c r="VMC9" s="5"/>
      <c r="VMD9" s="5"/>
      <c r="VME9" s="5"/>
      <c r="VMF9" s="5"/>
      <c r="VMG9" s="5"/>
      <c r="VMH9" s="5"/>
      <c r="VMI9" s="5"/>
      <c r="VMJ9" s="5"/>
      <c r="VMK9" s="5"/>
      <c r="VML9" s="5"/>
      <c r="VMM9" s="5"/>
      <c r="VMN9" s="5"/>
      <c r="VMO9" s="5"/>
      <c r="VMP9" s="5"/>
      <c r="VMQ9" s="5"/>
      <c r="VMR9" s="5"/>
      <c r="VMS9" s="5"/>
      <c r="VMT9" s="5"/>
      <c r="VMU9" s="5"/>
      <c r="VMV9" s="5"/>
      <c r="VMW9" s="5"/>
      <c r="VMX9" s="5"/>
      <c r="VMY9" s="5"/>
      <c r="VMZ9" s="5"/>
      <c r="VNA9" s="5"/>
      <c r="VNB9" s="5"/>
      <c r="VNC9" s="5"/>
      <c r="VND9" s="5"/>
      <c r="VNE9" s="5"/>
      <c r="VNF9" s="5"/>
      <c r="VNG9" s="5"/>
      <c r="VNH9" s="5"/>
      <c r="VNI9" s="5"/>
      <c r="VNJ9" s="5"/>
      <c r="VNK9" s="5"/>
      <c r="VNL9" s="5"/>
      <c r="VNM9" s="5"/>
      <c r="VNN9" s="5"/>
      <c r="VNO9" s="5"/>
      <c r="VNP9" s="5"/>
      <c r="VNQ9" s="5"/>
      <c r="VNR9" s="5"/>
      <c r="VNS9" s="5"/>
      <c r="VNT9" s="5"/>
      <c r="VNU9" s="5"/>
      <c r="VNV9" s="5"/>
      <c r="VNW9" s="5"/>
      <c r="VNX9" s="5"/>
      <c r="VNY9" s="5"/>
      <c r="VNZ9" s="5"/>
      <c r="VOA9" s="5"/>
      <c r="VOB9" s="5"/>
      <c r="VOC9" s="5"/>
      <c r="VOD9" s="5"/>
      <c r="VOE9" s="5"/>
      <c r="VOF9" s="5"/>
      <c r="VOG9" s="5"/>
      <c r="VOH9" s="5"/>
      <c r="VOI9" s="5"/>
      <c r="VOJ9" s="5"/>
      <c r="VOK9" s="5"/>
      <c r="VOL9" s="5"/>
      <c r="VOM9" s="5"/>
      <c r="VON9" s="5"/>
      <c r="VOO9" s="5"/>
      <c r="VOP9" s="5"/>
      <c r="VOQ9" s="5"/>
      <c r="VOR9" s="5"/>
      <c r="VOS9" s="5"/>
      <c r="VOT9" s="5"/>
      <c r="VOU9" s="5"/>
      <c r="VOV9" s="5"/>
      <c r="VOW9" s="5"/>
      <c r="VOX9" s="5"/>
      <c r="VOY9" s="5"/>
      <c r="VOZ9" s="5"/>
      <c r="VPA9" s="5"/>
      <c r="VPB9" s="5"/>
      <c r="VPC9" s="5"/>
      <c r="VPD9" s="5"/>
      <c r="VPE9" s="5"/>
      <c r="VPF9" s="5"/>
      <c r="VPG9" s="5"/>
      <c r="VPH9" s="5"/>
      <c r="VPI9" s="5"/>
      <c r="VPJ9" s="5"/>
      <c r="VPK9" s="5"/>
      <c r="VPL9" s="5"/>
      <c r="VPM9" s="5"/>
      <c r="VPN9" s="5"/>
      <c r="VPO9" s="5"/>
      <c r="VPP9" s="5"/>
      <c r="VPQ9" s="5"/>
      <c r="VPR9" s="5"/>
      <c r="VPS9" s="5"/>
      <c r="VPT9" s="5"/>
      <c r="VPU9" s="5"/>
      <c r="VPV9" s="5"/>
      <c r="VPW9" s="5"/>
      <c r="VPX9" s="5"/>
      <c r="VPY9" s="5"/>
      <c r="VPZ9" s="5"/>
      <c r="VQA9" s="5"/>
      <c r="VQB9" s="5"/>
      <c r="VQC9" s="5"/>
      <c r="VQD9" s="5"/>
      <c r="VQE9" s="5"/>
      <c r="VQF9" s="5"/>
      <c r="VQG9" s="5"/>
      <c r="VQH9" s="5"/>
      <c r="VQI9" s="5"/>
      <c r="VQJ9" s="5"/>
      <c r="VQK9" s="5"/>
      <c r="VQL9" s="5"/>
      <c r="VQM9" s="5"/>
      <c r="VQN9" s="5"/>
      <c r="VQO9" s="5"/>
      <c r="VQP9" s="5"/>
      <c r="VQQ9" s="5"/>
      <c r="VQR9" s="5"/>
      <c r="VQS9" s="5"/>
      <c r="VQT9" s="5"/>
      <c r="VQU9" s="5"/>
      <c r="VQV9" s="5"/>
      <c r="VQW9" s="5"/>
      <c r="VQX9" s="5"/>
      <c r="VQY9" s="5"/>
      <c r="VQZ9" s="5"/>
      <c r="VRA9" s="5"/>
      <c r="VRB9" s="5"/>
      <c r="VRC9" s="5"/>
      <c r="VRD9" s="5"/>
      <c r="VRE9" s="5"/>
      <c r="VRF9" s="5"/>
      <c r="VRG9" s="5"/>
      <c r="VRH9" s="5"/>
      <c r="VRI9" s="5"/>
      <c r="VRJ9" s="5"/>
      <c r="VRK9" s="5"/>
      <c r="VRL9" s="5"/>
      <c r="VRM9" s="5"/>
      <c r="VRN9" s="5"/>
      <c r="VRO9" s="5"/>
      <c r="VRP9" s="5"/>
      <c r="VRQ9" s="5"/>
      <c r="VRR9" s="5"/>
      <c r="VRS9" s="5"/>
      <c r="VRT9" s="5"/>
      <c r="VRU9" s="5"/>
      <c r="VRV9" s="5"/>
      <c r="VRW9" s="5"/>
      <c r="VRX9" s="5"/>
      <c r="VRY9" s="5"/>
      <c r="VRZ9" s="5"/>
      <c r="VSA9" s="5"/>
      <c r="VSB9" s="5"/>
      <c r="VSC9" s="5"/>
      <c r="VSD9" s="5"/>
      <c r="VSE9" s="5"/>
      <c r="VSF9" s="5"/>
      <c r="VSG9" s="5"/>
      <c r="VSH9" s="5"/>
      <c r="VSI9" s="5"/>
      <c r="VSJ9" s="5"/>
      <c r="VSK9" s="5"/>
      <c r="VSL9" s="5"/>
      <c r="VSM9" s="5"/>
      <c r="VSN9" s="5"/>
      <c r="VSO9" s="5"/>
      <c r="VSP9" s="5"/>
      <c r="VSQ9" s="5"/>
      <c r="VSR9" s="5"/>
      <c r="VSS9" s="5"/>
      <c r="VST9" s="5"/>
      <c r="VSU9" s="5"/>
      <c r="VSV9" s="5"/>
      <c r="VSW9" s="5"/>
      <c r="VSX9" s="5"/>
      <c r="VSY9" s="5"/>
      <c r="VSZ9" s="5"/>
      <c r="VTA9" s="5"/>
      <c r="VTB9" s="5"/>
      <c r="VTC9" s="5"/>
      <c r="VTD9" s="5"/>
      <c r="VTE9" s="5"/>
      <c r="VTF9" s="5"/>
      <c r="VTG9" s="5"/>
      <c r="VTH9" s="5"/>
      <c r="VTI9" s="5"/>
      <c r="VTJ9" s="5"/>
      <c r="VTK9" s="5"/>
      <c r="VTL9" s="5"/>
      <c r="VTM9" s="5"/>
      <c r="VTN9" s="5"/>
      <c r="VTO9" s="5"/>
      <c r="VTP9" s="5"/>
      <c r="VTQ9" s="5"/>
      <c r="VTR9" s="5"/>
      <c r="VTS9" s="5"/>
      <c r="VTT9" s="5"/>
      <c r="VTU9" s="5"/>
      <c r="VTV9" s="5"/>
      <c r="VTW9" s="5"/>
      <c r="VTX9" s="5"/>
      <c r="VTY9" s="5"/>
      <c r="VTZ9" s="5"/>
      <c r="VUA9" s="5"/>
      <c r="VUB9" s="5"/>
      <c r="VUC9" s="5"/>
      <c r="VUD9" s="5"/>
      <c r="VUE9" s="5"/>
      <c r="VUF9" s="5"/>
      <c r="VUG9" s="5"/>
      <c r="VUH9" s="5"/>
      <c r="VUI9" s="5"/>
      <c r="VUJ9" s="5"/>
      <c r="VUK9" s="5"/>
      <c r="VUL9" s="5"/>
      <c r="VUM9" s="5"/>
      <c r="VUN9" s="5"/>
      <c r="VUO9" s="5"/>
      <c r="VUP9" s="5"/>
      <c r="VUQ9" s="5"/>
      <c r="VUR9" s="5"/>
      <c r="VUS9" s="5"/>
      <c r="VUT9" s="5"/>
      <c r="VUU9" s="5"/>
      <c r="VUV9" s="5"/>
      <c r="VUW9" s="5"/>
      <c r="VUX9" s="5"/>
      <c r="VUY9" s="5"/>
      <c r="VUZ9" s="5"/>
      <c r="VVA9" s="5"/>
      <c r="VVB9" s="5"/>
      <c r="VVC9" s="5"/>
      <c r="VVD9" s="5"/>
      <c r="VVE9" s="5"/>
      <c r="VVF9" s="5"/>
      <c r="VVG9" s="5"/>
      <c r="VVH9" s="5"/>
      <c r="VVI9" s="5"/>
      <c r="VVJ9" s="5"/>
      <c r="VVK9" s="5"/>
      <c r="VVL9" s="5"/>
      <c r="VVM9" s="5"/>
      <c r="VVN9" s="5"/>
      <c r="VVO9" s="5"/>
      <c r="VVP9" s="5"/>
      <c r="VVQ9" s="5"/>
      <c r="VVR9" s="5"/>
      <c r="VVS9" s="5"/>
      <c r="VVT9" s="5"/>
      <c r="VVU9" s="5"/>
      <c r="VVV9" s="5"/>
      <c r="VVW9" s="5"/>
      <c r="VVX9" s="5"/>
      <c r="VVY9" s="5"/>
      <c r="VVZ9" s="5"/>
      <c r="VWA9" s="5"/>
      <c r="VWB9" s="5"/>
      <c r="VWC9" s="5"/>
      <c r="VWD9" s="5"/>
      <c r="VWE9" s="5"/>
      <c r="VWF9" s="5"/>
      <c r="VWG9" s="5"/>
      <c r="VWH9" s="5"/>
      <c r="VWI9" s="5"/>
      <c r="VWJ9" s="5"/>
      <c r="VWK9" s="5"/>
      <c r="VWL9" s="5"/>
      <c r="VWM9" s="5"/>
      <c r="VWN9" s="5"/>
      <c r="VWO9" s="5"/>
      <c r="VWP9" s="5"/>
      <c r="VWQ9" s="5"/>
      <c r="VWR9" s="5"/>
      <c r="VWS9" s="5"/>
      <c r="VWT9" s="5"/>
      <c r="VWU9" s="5"/>
      <c r="VWV9" s="5"/>
      <c r="VWW9" s="5"/>
      <c r="VWX9" s="5"/>
      <c r="VWY9" s="5"/>
      <c r="VWZ9" s="5"/>
      <c r="VXA9" s="5"/>
      <c r="VXB9" s="5"/>
      <c r="VXC9" s="5"/>
      <c r="VXD9" s="5"/>
      <c r="VXE9" s="5"/>
      <c r="VXF9" s="5"/>
      <c r="VXG9" s="5"/>
      <c r="VXH9" s="5"/>
      <c r="VXI9" s="5"/>
      <c r="VXJ9" s="5"/>
      <c r="VXK9" s="5"/>
      <c r="VXL9" s="5"/>
      <c r="VXM9" s="5"/>
      <c r="VXN9" s="5"/>
      <c r="VXO9" s="5"/>
      <c r="VXP9" s="5"/>
      <c r="VXQ9" s="5"/>
      <c r="VXR9" s="5"/>
      <c r="VXS9" s="5"/>
      <c r="VXT9" s="5"/>
      <c r="VXU9" s="5"/>
      <c r="VXV9" s="5"/>
      <c r="VXW9" s="5"/>
      <c r="VXX9" s="5"/>
      <c r="VXY9" s="5"/>
      <c r="VXZ9" s="5"/>
      <c r="VYA9" s="5"/>
      <c r="VYB9" s="5"/>
      <c r="VYC9" s="5"/>
      <c r="VYD9" s="5"/>
      <c r="VYE9" s="5"/>
      <c r="VYF9" s="5"/>
      <c r="VYG9" s="5"/>
      <c r="VYH9" s="5"/>
      <c r="VYI9" s="5"/>
      <c r="VYJ9" s="5"/>
      <c r="VYK9" s="5"/>
      <c r="VYL9" s="5"/>
      <c r="VYM9" s="5"/>
      <c r="VYN9" s="5"/>
      <c r="VYO9" s="5"/>
      <c r="VYP9" s="5"/>
      <c r="VYQ9" s="5"/>
      <c r="VYR9" s="5"/>
      <c r="VYS9" s="5"/>
      <c r="VYT9" s="5"/>
      <c r="VYU9" s="5"/>
      <c r="VYV9" s="5"/>
      <c r="VYW9" s="5"/>
      <c r="VYX9" s="5"/>
      <c r="VYY9" s="5"/>
      <c r="VYZ9" s="5"/>
      <c r="VZA9" s="5"/>
      <c r="VZB9" s="5"/>
      <c r="VZC9" s="5"/>
      <c r="VZD9" s="5"/>
      <c r="VZE9" s="5"/>
      <c r="VZF9" s="5"/>
      <c r="VZG9" s="5"/>
      <c r="VZH9" s="5"/>
      <c r="VZI9" s="5"/>
      <c r="VZJ9" s="5"/>
      <c r="VZK9" s="5"/>
      <c r="VZL9" s="5"/>
      <c r="VZM9" s="5"/>
      <c r="VZN9" s="5"/>
      <c r="VZO9" s="5"/>
      <c r="VZP9" s="5"/>
      <c r="VZQ9" s="5"/>
      <c r="VZR9" s="5"/>
      <c r="VZS9" s="5"/>
      <c r="VZT9" s="5"/>
      <c r="VZU9" s="5"/>
      <c r="VZV9" s="5"/>
      <c r="VZW9" s="5"/>
      <c r="VZX9" s="5"/>
      <c r="VZY9" s="5"/>
      <c r="VZZ9" s="5"/>
      <c r="WAA9" s="5"/>
      <c r="WAB9" s="5"/>
      <c r="WAC9" s="5"/>
      <c r="WAD9" s="5"/>
      <c r="WAE9" s="5"/>
      <c r="WAF9" s="5"/>
      <c r="WAG9" s="5"/>
      <c r="WAH9" s="5"/>
      <c r="WAI9" s="5"/>
      <c r="WAJ9" s="5"/>
      <c r="WAK9" s="5"/>
      <c r="WAL9" s="5"/>
      <c r="WAM9" s="5"/>
      <c r="WAN9" s="5"/>
      <c r="WAO9" s="5"/>
      <c r="WAP9" s="5"/>
      <c r="WAQ9" s="5"/>
      <c r="WAR9" s="5"/>
      <c r="WAS9" s="5"/>
      <c r="WAT9" s="5"/>
      <c r="WAU9" s="5"/>
      <c r="WAV9" s="5"/>
      <c r="WAW9" s="5"/>
      <c r="WAX9" s="5"/>
      <c r="WAY9" s="5"/>
      <c r="WAZ9" s="5"/>
      <c r="WBA9" s="5"/>
      <c r="WBB9" s="5"/>
      <c r="WBC9" s="5"/>
      <c r="WBD9" s="5"/>
      <c r="WBE9" s="5"/>
      <c r="WBF9" s="5"/>
      <c r="WBG9" s="5"/>
      <c r="WBH9" s="5"/>
      <c r="WBI9" s="5"/>
      <c r="WBJ9" s="5"/>
      <c r="WBK9" s="5"/>
      <c r="WBL9" s="5"/>
      <c r="WBM9" s="5"/>
      <c r="WBN9" s="5"/>
      <c r="WBO9" s="5"/>
      <c r="WBP9" s="5"/>
      <c r="WBQ9" s="5"/>
      <c r="WBR9" s="5"/>
      <c r="WBS9" s="5"/>
      <c r="WBT9" s="5"/>
      <c r="WBU9" s="5"/>
      <c r="WBV9" s="5"/>
      <c r="WBW9" s="5"/>
      <c r="WBX9" s="5"/>
      <c r="WBY9" s="5"/>
      <c r="WBZ9" s="5"/>
      <c r="WCA9" s="5"/>
      <c r="WCB9" s="5"/>
      <c r="WCC9" s="5"/>
      <c r="WCD9" s="5"/>
      <c r="WCE9" s="5"/>
      <c r="WCF9" s="5"/>
      <c r="WCG9" s="5"/>
      <c r="WCH9" s="5"/>
      <c r="WCI9" s="5"/>
      <c r="WCJ9" s="5"/>
      <c r="WCK9" s="5"/>
      <c r="WCL9" s="5"/>
      <c r="WCM9" s="5"/>
      <c r="WCN9" s="5"/>
      <c r="WCO9" s="5"/>
      <c r="WCP9" s="5"/>
      <c r="WCQ9" s="5"/>
      <c r="WCR9" s="5"/>
      <c r="WCS9" s="5"/>
      <c r="WCT9" s="5"/>
      <c r="WCU9" s="5"/>
      <c r="WCV9" s="5"/>
      <c r="WCW9" s="5"/>
      <c r="WCX9" s="5"/>
      <c r="WCY9" s="5"/>
      <c r="WCZ9" s="5"/>
      <c r="WDA9" s="5"/>
      <c r="WDB9" s="5"/>
      <c r="WDC9" s="5"/>
      <c r="WDD9" s="5"/>
      <c r="WDE9" s="5"/>
      <c r="WDF9" s="5"/>
      <c r="WDG9" s="5"/>
      <c r="WDH9" s="5"/>
      <c r="WDI9" s="5"/>
      <c r="WDJ9" s="5"/>
      <c r="WDK9" s="5"/>
      <c r="WDL9" s="5"/>
      <c r="WDM9" s="5"/>
      <c r="WDN9" s="5"/>
      <c r="WDO9" s="5"/>
      <c r="WDP9" s="5"/>
      <c r="WDQ9" s="5"/>
      <c r="WDR9" s="5"/>
      <c r="WDS9" s="5"/>
      <c r="WDT9" s="5"/>
      <c r="WDU9" s="5"/>
      <c r="WDV9" s="5"/>
      <c r="WDW9" s="5"/>
      <c r="WDX9" s="5"/>
      <c r="WDY9" s="5"/>
      <c r="WDZ9" s="5"/>
      <c r="WEA9" s="5"/>
      <c r="WEB9" s="5"/>
      <c r="WEC9" s="5"/>
      <c r="WED9" s="5"/>
      <c r="WEE9" s="5"/>
      <c r="WEF9" s="5"/>
      <c r="WEG9" s="5"/>
      <c r="WEH9" s="5"/>
      <c r="WEI9" s="5"/>
      <c r="WEJ9" s="5"/>
      <c r="WEK9" s="5"/>
      <c r="WEL9" s="5"/>
      <c r="WEM9" s="5"/>
      <c r="WEN9" s="5"/>
      <c r="WEO9" s="5"/>
      <c r="WEP9" s="5"/>
      <c r="WEQ9" s="5"/>
      <c r="WER9" s="5"/>
      <c r="WES9" s="5"/>
      <c r="WET9" s="5"/>
      <c r="WEU9" s="5"/>
      <c r="WEV9" s="5"/>
      <c r="WEW9" s="5"/>
      <c r="WEX9" s="5"/>
      <c r="WEY9" s="5"/>
      <c r="WEZ9" s="5"/>
      <c r="WFA9" s="5"/>
      <c r="WFB9" s="5"/>
      <c r="WFC9" s="5"/>
      <c r="WFD9" s="5"/>
      <c r="WFE9" s="5"/>
      <c r="WFF9" s="5"/>
      <c r="WFG9" s="5"/>
      <c r="WFH9" s="5"/>
      <c r="WFI9" s="5"/>
      <c r="WFJ9" s="5"/>
      <c r="WFK9" s="5"/>
      <c r="WFL9" s="5"/>
      <c r="WFM9" s="5"/>
      <c r="WFN9" s="5"/>
      <c r="WFO9" s="5"/>
      <c r="WFP9" s="5"/>
      <c r="WFQ9" s="5"/>
      <c r="WFR9" s="5"/>
      <c r="WFS9" s="5"/>
      <c r="WFT9" s="5"/>
      <c r="WFU9" s="5"/>
      <c r="WFV9" s="5"/>
      <c r="WFW9" s="5"/>
      <c r="WFX9" s="5"/>
      <c r="WFY9" s="5"/>
      <c r="WFZ9" s="5"/>
      <c r="WGA9" s="5"/>
      <c r="WGB9" s="5"/>
      <c r="WGC9" s="5"/>
      <c r="WGD9" s="5"/>
      <c r="WGE9" s="5"/>
      <c r="WGF9" s="5"/>
      <c r="WGG9" s="5"/>
      <c r="WGH9" s="5"/>
      <c r="WGI9" s="5"/>
      <c r="WGJ9" s="5"/>
      <c r="WGK9" s="5"/>
      <c r="WGL9" s="5"/>
      <c r="WGM9" s="5"/>
      <c r="WGN9" s="5"/>
      <c r="WGO9" s="5"/>
      <c r="WGP9" s="5"/>
      <c r="WGQ9" s="5"/>
      <c r="WGR9" s="5"/>
      <c r="WGS9" s="5"/>
      <c r="WGT9" s="5"/>
      <c r="WGU9" s="5"/>
      <c r="WGV9" s="5"/>
      <c r="WGW9" s="5"/>
      <c r="WGX9" s="5"/>
      <c r="WGY9" s="5"/>
      <c r="WGZ9" s="5"/>
      <c r="WHA9" s="5"/>
      <c r="WHB9" s="5"/>
      <c r="WHC9" s="5"/>
      <c r="WHD9" s="5"/>
      <c r="WHE9" s="5"/>
      <c r="WHF9" s="5"/>
      <c r="WHG9" s="5"/>
      <c r="WHH9" s="5"/>
      <c r="WHI9" s="5"/>
      <c r="WHJ9" s="5"/>
      <c r="WHK9" s="5"/>
      <c r="WHL9" s="5"/>
      <c r="WHM9" s="5"/>
      <c r="WHN9" s="5"/>
      <c r="WHO9" s="5"/>
      <c r="WHP9" s="5"/>
      <c r="WHQ9" s="5"/>
      <c r="WHR9" s="5"/>
      <c r="WHS9" s="5"/>
      <c r="WHT9" s="5"/>
      <c r="WHU9" s="5"/>
      <c r="WHV9" s="5"/>
      <c r="WHW9" s="5"/>
      <c r="WHX9" s="5"/>
      <c r="WHY9" s="5"/>
      <c r="WHZ9" s="5"/>
      <c r="WIA9" s="5"/>
      <c r="WIB9" s="5"/>
      <c r="WIC9" s="5"/>
      <c r="WID9" s="5"/>
      <c r="WIE9" s="5"/>
      <c r="WIF9" s="5"/>
      <c r="WIG9" s="5"/>
      <c r="WIH9" s="5"/>
      <c r="WII9" s="5"/>
      <c r="WIJ9" s="5"/>
      <c r="WIK9" s="5"/>
      <c r="WIL9" s="5"/>
      <c r="WIM9" s="5"/>
      <c r="WIN9" s="5"/>
      <c r="WIO9" s="5"/>
      <c r="WIP9" s="5"/>
      <c r="WIQ9" s="5"/>
      <c r="WIR9" s="5"/>
      <c r="WIS9" s="5"/>
      <c r="WIT9" s="5"/>
      <c r="WIU9" s="5"/>
      <c r="WIV9" s="5"/>
      <c r="WIW9" s="5"/>
      <c r="WIX9" s="5"/>
      <c r="WIY9" s="5"/>
      <c r="WIZ9" s="5"/>
      <c r="WJA9" s="5"/>
      <c r="WJB9" s="5"/>
      <c r="WJC9" s="5"/>
      <c r="WJD9" s="5"/>
      <c r="WJE9" s="5"/>
      <c r="WJF9" s="5"/>
      <c r="WJG9" s="5"/>
      <c r="WJH9" s="5"/>
      <c r="WJI9" s="5"/>
      <c r="WJJ9" s="5"/>
      <c r="WJK9" s="5"/>
      <c r="WJL9" s="5"/>
      <c r="WJM9" s="5"/>
      <c r="WJN9" s="5"/>
      <c r="WJO9" s="5"/>
      <c r="WJP9" s="5"/>
      <c r="WJQ9" s="5"/>
      <c r="WJR9" s="5"/>
      <c r="WJS9" s="5"/>
      <c r="WJT9" s="5"/>
      <c r="WJU9" s="5"/>
      <c r="WJV9" s="5"/>
      <c r="WJW9" s="5"/>
      <c r="WJX9" s="5"/>
      <c r="WJY9" s="5"/>
      <c r="WJZ9" s="5"/>
      <c r="WKA9" s="5"/>
      <c r="WKB9" s="5"/>
      <c r="WKC9" s="5"/>
      <c r="WKD9" s="5"/>
      <c r="WKE9" s="5"/>
      <c r="WKF9" s="5"/>
      <c r="WKG9" s="5"/>
      <c r="WKH9" s="5"/>
      <c r="WKI9" s="5"/>
      <c r="WKJ9" s="5"/>
      <c r="WKK9" s="5"/>
      <c r="WKL9" s="5"/>
      <c r="WKM9" s="5"/>
      <c r="WKN9" s="5"/>
      <c r="WKO9" s="5"/>
      <c r="WKP9" s="5"/>
      <c r="WKQ9" s="5"/>
      <c r="WKR9" s="5"/>
      <c r="WKS9" s="5"/>
      <c r="WKT9" s="5"/>
      <c r="WKU9" s="5"/>
      <c r="WKV9" s="5"/>
      <c r="WKW9" s="5"/>
      <c r="WKX9" s="5"/>
      <c r="WKY9" s="5"/>
      <c r="WKZ9" s="5"/>
      <c r="WLA9" s="5"/>
      <c r="WLB9" s="5"/>
      <c r="WLC9" s="5"/>
      <c r="WLD9" s="5"/>
      <c r="WLE9" s="5"/>
      <c r="WLF9" s="5"/>
      <c r="WLG9" s="5"/>
      <c r="WLH9" s="5"/>
      <c r="WLI9" s="5"/>
      <c r="WLJ9" s="5"/>
      <c r="WLK9" s="5"/>
      <c r="WLL9" s="5"/>
      <c r="WLM9" s="5"/>
      <c r="WLN9" s="5"/>
      <c r="WLO9" s="5"/>
      <c r="WLP9" s="5"/>
      <c r="WLQ9" s="5"/>
      <c r="WLR9" s="5"/>
      <c r="WLS9" s="5"/>
      <c r="WLT9" s="5"/>
      <c r="WLU9" s="5"/>
      <c r="WLV9" s="5"/>
      <c r="WLW9" s="5"/>
      <c r="WLX9" s="5"/>
      <c r="WLY9" s="5"/>
      <c r="WLZ9" s="5"/>
      <c r="WMA9" s="5"/>
      <c r="WMB9" s="5"/>
      <c r="WMC9" s="5"/>
      <c r="WMD9" s="5"/>
      <c r="WME9" s="5"/>
      <c r="WMF9" s="5"/>
      <c r="WMG9" s="5"/>
      <c r="WMH9" s="5"/>
      <c r="WMI9" s="5"/>
      <c r="WMJ9" s="5"/>
      <c r="WMK9" s="5"/>
      <c r="WML9" s="5"/>
      <c r="WMM9" s="5"/>
      <c r="WMN9" s="5"/>
      <c r="WMO9" s="5"/>
      <c r="WMP9" s="5"/>
      <c r="WMQ9" s="5"/>
      <c r="WMR9" s="5"/>
      <c r="WMS9" s="5"/>
      <c r="WMT9" s="5"/>
      <c r="WMU9" s="5"/>
      <c r="WMV9" s="5"/>
      <c r="WMW9" s="5"/>
      <c r="WMX9" s="5"/>
      <c r="WMY9" s="5"/>
      <c r="WMZ9" s="5"/>
      <c r="WNA9" s="5"/>
      <c r="WNB9" s="5"/>
      <c r="WNC9" s="5"/>
      <c r="WND9" s="5"/>
      <c r="WNE9" s="5"/>
      <c r="WNF9" s="5"/>
      <c r="WNG9" s="5"/>
      <c r="WNH9" s="5"/>
      <c r="WNI9" s="5"/>
      <c r="WNJ9" s="5"/>
      <c r="WNK9" s="5"/>
      <c r="WNL9" s="5"/>
      <c r="WNM9" s="5"/>
      <c r="WNN9" s="5"/>
      <c r="WNO9" s="5"/>
      <c r="WNP9" s="5"/>
      <c r="WNQ9" s="5"/>
      <c r="WNR9" s="5"/>
      <c r="WNS9" s="5"/>
      <c r="WNT9" s="5"/>
      <c r="WNU9" s="5"/>
      <c r="WNV9" s="5"/>
      <c r="WNW9" s="5"/>
      <c r="WNX9" s="5"/>
      <c r="WNY9" s="5"/>
      <c r="WNZ9" s="5"/>
      <c r="WOA9" s="5"/>
      <c r="WOB9" s="5"/>
      <c r="WOC9" s="5"/>
      <c r="WOD9" s="5"/>
      <c r="WOE9" s="5"/>
      <c r="WOF9" s="5"/>
      <c r="WOG9" s="5"/>
      <c r="WOH9" s="5"/>
      <c r="WOI9" s="5"/>
      <c r="WOJ9" s="5"/>
      <c r="WOK9" s="5"/>
      <c r="WOL9" s="5"/>
      <c r="WOM9" s="5"/>
      <c r="WON9" s="5"/>
      <c r="WOO9" s="5"/>
      <c r="WOP9" s="5"/>
      <c r="WOQ9" s="5"/>
      <c r="WOR9" s="5"/>
      <c r="WOS9" s="5"/>
      <c r="WOT9" s="5"/>
      <c r="WOU9" s="5"/>
      <c r="WOV9" s="5"/>
      <c r="WOW9" s="5"/>
      <c r="WOX9" s="5"/>
      <c r="WOY9" s="5"/>
      <c r="WOZ9" s="5"/>
      <c r="WPA9" s="5"/>
      <c r="WPB9" s="5"/>
      <c r="WPC9" s="5"/>
      <c r="WPD9" s="5"/>
      <c r="WPE9" s="5"/>
      <c r="WPF9" s="5"/>
      <c r="WPG9" s="5"/>
      <c r="WPH9" s="5"/>
      <c r="WPI9" s="5"/>
      <c r="WPJ9" s="5"/>
      <c r="WPK9" s="5"/>
      <c r="WPL9" s="5"/>
      <c r="WPM9" s="5"/>
      <c r="WPN9" s="5"/>
      <c r="WPO9" s="5"/>
      <c r="WPP9" s="5"/>
      <c r="WPQ9" s="5"/>
      <c r="WPR9" s="5"/>
      <c r="WPS9" s="5"/>
      <c r="WPT9" s="5"/>
      <c r="WPU9" s="5"/>
      <c r="WPV9" s="5"/>
      <c r="WPW9" s="5"/>
      <c r="WPX9" s="5"/>
      <c r="WPY9" s="5"/>
      <c r="WPZ9" s="5"/>
      <c r="WQA9" s="5"/>
      <c r="WQB9" s="5"/>
      <c r="WQC9" s="5"/>
      <c r="WQD9" s="5"/>
      <c r="WQE9" s="5"/>
      <c r="WQF9" s="5"/>
      <c r="WQG9" s="5"/>
      <c r="WQH9" s="5"/>
      <c r="WQI9" s="5"/>
      <c r="WQJ9" s="5"/>
      <c r="WQK9" s="5"/>
      <c r="WQL9" s="5"/>
      <c r="WQM9" s="5"/>
      <c r="WQN9" s="5"/>
      <c r="WQO9" s="5"/>
      <c r="WQP9" s="5"/>
      <c r="WQQ9" s="5"/>
      <c r="WQR9" s="5"/>
      <c r="WQS9" s="5"/>
      <c r="WQT9" s="5"/>
      <c r="WQU9" s="5"/>
      <c r="WQV9" s="5"/>
      <c r="WQW9" s="5"/>
      <c r="WQX9" s="5"/>
      <c r="WQY9" s="5"/>
      <c r="WQZ9" s="5"/>
      <c r="WRA9" s="5"/>
      <c r="WRB9" s="5"/>
      <c r="WRC9" s="5"/>
      <c r="WRD9" s="5"/>
      <c r="WRE9" s="5"/>
      <c r="WRF9" s="5"/>
      <c r="WRG9" s="5"/>
      <c r="WRH9" s="5"/>
      <c r="WRI9" s="5"/>
      <c r="WRJ9" s="5"/>
      <c r="WRK9" s="5"/>
      <c r="WRL9" s="5"/>
      <c r="WRM9" s="5"/>
      <c r="WRN9" s="5"/>
      <c r="WRO9" s="5"/>
      <c r="WRP9" s="5"/>
      <c r="WRQ9" s="5"/>
      <c r="WRR9" s="5"/>
      <c r="WRS9" s="5"/>
      <c r="WRT9" s="5"/>
      <c r="WRU9" s="5"/>
      <c r="WRV9" s="5"/>
      <c r="WRW9" s="5"/>
      <c r="WRX9" s="5"/>
      <c r="WRY9" s="5"/>
      <c r="WRZ9" s="5"/>
      <c r="WSA9" s="5"/>
      <c r="WSB9" s="5"/>
      <c r="WSC9" s="5"/>
      <c r="WSD9" s="5"/>
      <c r="WSE9" s="5"/>
      <c r="WSF9" s="5"/>
      <c r="WSG9" s="5"/>
      <c r="WSH9" s="5"/>
      <c r="WSI9" s="5"/>
      <c r="WSJ9" s="5"/>
      <c r="WSK9" s="5"/>
      <c r="WSL9" s="5"/>
      <c r="WSM9" s="5"/>
      <c r="WSN9" s="5"/>
      <c r="WSO9" s="5"/>
      <c r="WSP9" s="5"/>
      <c r="WSQ9" s="5"/>
      <c r="WSR9" s="5"/>
      <c r="WSS9" s="5"/>
      <c r="WST9" s="5"/>
      <c r="WSU9" s="5"/>
      <c r="WSV9" s="5"/>
      <c r="WSW9" s="5"/>
      <c r="WSX9" s="5"/>
      <c r="WSY9" s="5"/>
      <c r="WSZ9" s="5"/>
      <c r="WTA9" s="5"/>
      <c r="WTB9" s="5"/>
      <c r="WTC9" s="5"/>
      <c r="WTD9" s="5"/>
      <c r="WTE9" s="5"/>
      <c r="WTF9" s="5"/>
      <c r="WTG9" s="5"/>
      <c r="WTH9" s="5"/>
      <c r="WTI9" s="5"/>
      <c r="WTJ9" s="5"/>
      <c r="WTK9" s="5"/>
      <c r="WTL9" s="5"/>
      <c r="WTM9" s="5"/>
      <c r="WTN9" s="5"/>
      <c r="WTO9" s="5"/>
      <c r="WTP9" s="5"/>
      <c r="WTQ9" s="5"/>
      <c r="WTR9" s="5"/>
      <c r="WTS9" s="5"/>
      <c r="WTT9" s="5"/>
      <c r="WTU9" s="5"/>
      <c r="WTV9" s="5"/>
      <c r="WTW9" s="5"/>
      <c r="WTX9" s="5"/>
      <c r="WTY9" s="5"/>
      <c r="WTZ9" s="5"/>
      <c r="WUA9" s="5"/>
      <c r="WUB9" s="5"/>
      <c r="WUC9" s="5"/>
      <c r="WUD9" s="5"/>
      <c r="WUE9" s="5"/>
      <c r="WUF9" s="5"/>
      <c r="WUG9" s="5"/>
      <c r="WUH9" s="5"/>
      <c r="WUI9" s="5"/>
      <c r="WUJ9" s="5"/>
      <c r="WUK9" s="5"/>
      <c r="WUL9" s="5"/>
      <c r="WUM9" s="5"/>
      <c r="WUN9" s="5"/>
      <c r="WUO9" s="5"/>
      <c r="WUP9" s="5"/>
      <c r="WUQ9" s="5"/>
      <c r="WUR9" s="5"/>
      <c r="WUS9" s="5"/>
      <c r="WUT9" s="5"/>
      <c r="WUU9" s="5"/>
      <c r="WUV9" s="5"/>
      <c r="WUW9" s="5"/>
      <c r="WUX9" s="5"/>
      <c r="WUY9" s="5"/>
      <c r="WUZ9" s="5"/>
      <c r="WVA9" s="5"/>
      <c r="WVB9" s="5"/>
      <c r="WVC9" s="5"/>
      <c r="WVD9" s="5"/>
      <c r="WVE9" s="5"/>
      <c r="WVF9" s="5"/>
      <c r="WVG9" s="5"/>
      <c r="WVH9" s="5"/>
      <c r="WVI9" s="5"/>
      <c r="WVJ9" s="5"/>
      <c r="WVK9" s="5"/>
      <c r="WVL9" s="5"/>
      <c r="WVM9" s="5"/>
      <c r="WVN9" s="5"/>
      <c r="WVO9" s="5"/>
      <c r="WVP9" s="5"/>
      <c r="WVQ9" s="5"/>
      <c r="WVR9" s="5"/>
      <c r="WVS9" s="5"/>
      <c r="WVT9" s="5"/>
      <c r="WVU9" s="5"/>
      <c r="WVV9" s="5"/>
      <c r="WVW9" s="5"/>
      <c r="WVX9" s="5"/>
      <c r="WVY9" s="5"/>
      <c r="WVZ9" s="5"/>
      <c r="WWA9" s="5"/>
      <c r="WWB9" s="5"/>
      <c r="WWC9" s="5"/>
      <c r="WWD9" s="5"/>
      <c r="WWE9" s="5"/>
      <c r="WWF9" s="5"/>
      <c r="WWG9" s="5"/>
      <c r="WWH9" s="5"/>
      <c r="WWI9" s="5"/>
      <c r="WWJ9" s="5"/>
      <c r="WWK9" s="5"/>
      <c r="WWL9" s="5"/>
      <c r="WWM9" s="5"/>
      <c r="WWN9" s="5"/>
      <c r="WWO9" s="5"/>
      <c r="WWP9" s="5"/>
      <c r="WWQ9" s="5"/>
      <c r="WWR9" s="5"/>
      <c r="WWS9" s="5"/>
      <c r="WWT9" s="5"/>
      <c r="WWU9" s="5"/>
      <c r="WWV9" s="5"/>
      <c r="WWW9" s="5"/>
      <c r="WWX9" s="5"/>
      <c r="WWY9" s="5"/>
      <c r="WWZ9" s="5"/>
      <c r="WXA9" s="5"/>
      <c r="WXB9" s="5"/>
      <c r="WXC9" s="5"/>
      <c r="WXD9" s="5"/>
      <c r="WXE9" s="5"/>
      <c r="WXF9" s="5"/>
      <c r="WXG9" s="5"/>
      <c r="WXH9" s="5"/>
      <c r="WXI9" s="5"/>
      <c r="WXJ9" s="5"/>
      <c r="WXK9" s="5"/>
      <c r="WXL9" s="5"/>
      <c r="WXM9" s="5"/>
      <c r="WXN9" s="5"/>
      <c r="WXO9" s="5"/>
      <c r="WXP9" s="5"/>
      <c r="WXQ9" s="5"/>
      <c r="WXR9" s="5"/>
      <c r="WXS9" s="5"/>
      <c r="WXT9" s="5"/>
      <c r="WXU9" s="5"/>
      <c r="WXV9" s="5"/>
      <c r="WXW9" s="5"/>
      <c r="WXX9" s="5"/>
      <c r="WXY9" s="5"/>
      <c r="WXZ9" s="5"/>
      <c r="WYA9" s="5"/>
      <c r="WYB9" s="5"/>
      <c r="WYC9" s="5"/>
      <c r="WYD9" s="5"/>
      <c r="WYE9" s="5"/>
      <c r="WYF9" s="5"/>
      <c r="WYG9" s="5"/>
      <c r="WYH9" s="5"/>
      <c r="WYI9" s="5"/>
      <c r="WYJ9" s="5"/>
      <c r="WYK9" s="5"/>
      <c r="WYL9" s="5"/>
      <c r="WYM9" s="5"/>
      <c r="WYN9" s="5"/>
      <c r="WYO9" s="5"/>
      <c r="WYP9" s="5"/>
      <c r="WYQ9" s="5"/>
      <c r="WYR9" s="5"/>
      <c r="WYS9" s="5"/>
      <c r="WYT9" s="5"/>
      <c r="WYU9" s="5"/>
      <c r="WYV9" s="5"/>
      <c r="WYW9" s="5"/>
      <c r="WYX9" s="5"/>
      <c r="WYY9" s="5"/>
      <c r="WYZ9" s="5"/>
      <c r="WZA9" s="5"/>
      <c r="WZB9" s="5"/>
      <c r="WZC9" s="5"/>
      <c r="WZD9" s="5"/>
      <c r="WZE9" s="5"/>
      <c r="WZF9" s="5"/>
      <c r="WZG9" s="5"/>
      <c r="WZH9" s="5"/>
      <c r="WZI9" s="5"/>
      <c r="WZJ9" s="5"/>
      <c r="WZK9" s="5"/>
      <c r="WZL9" s="5"/>
      <c r="WZM9" s="5"/>
      <c r="WZN9" s="5"/>
      <c r="WZO9" s="5"/>
      <c r="WZP9" s="5"/>
      <c r="WZQ9" s="5"/>
      <c r="WZR9" s="5"/>
      <c r="WZS9" s="5"/>
      <c r="WZT9" s="5"/>
      <c r="WZU9" s="5"/>
      <c r="WZV9" s="5"/>
      <c r="WZW9" s="5"/>
      <c r="WZX9" s="5"/>
      <c r="WZY9" s="5"/>
      <c r="WZZ9" s="5"/>
      <c r="XAA9" s="5"/>
      <c r="XAB9" s="5"/>
      <c r="XAC9" s="5"/>
      <c r="XAD9" s="5"/>
      <c r="XAE9" s="5"/>
      <c r="XAF9" s="5"/>
      <c r="XAG9" s="5"/>
      <c r="XAH9" s="5"/>
      <c r="XAI9" s="5"/>
      <c r="XAJ9" s="5"/>
      <c r="XAK9" s="5"/>
      <c r="XAL9" s="5"/>
      <c r="XAM9" s="5"/>
      <c r="XAN9" s="5"/>
      <c r="XAO9" s="5"/>
      <c r="XAP9" s="5"/>
      <c r="XAQ9" s="5"/>
      <c r="XAR9" s="5"/>
      <c r="XAS9" s="5"/>
      <c r="XAT9" s="5"/>
      <c r="XAU9" s="5"/>
      <c r="XAV9" s="5"/>
      <c r="XAW9" s="5"/>
      <c r="XAX9" s="5"/>
      <c r="XAY9" s="5"/>
      <c r="XAZ9" s="5"/>
      <c r="XBA9" s="5"/>
      <c r="XBB9" s="5"/>
      <c r="XBC9" s="5"/>
      <c r="XBD9" s="5"/>
      <c r="XBE9" s="5"/>
      <c r="XBF9" s="5"/>
      <c r="XBG9" s="5"/>
      <c r="XBH9" s="5"/>
      <c r="XBI9" s="5"/>
      <c r="XBJ9" s="5"/>
      <c r="XBK9" s="5"/>
      <c r="XBL9" s="5"/>
      <c r="XBM9" s="5"/>
      <c r="XBN9" s="5"/>
      <c r="XBO9" s="5"/>
      <c r="XBP9" s="5"/>
      <c r="XBQ9" s="5"/>
      <c r="XBR9" s="5"/>
      <c r="XBS9" s="5"/>
      <c r="XBT9" s="5"/>
      <c r="XBU9" s="5"/>
      <c r="XBV9" s="5"/>
      <c r="XBW9" s="5"/>
      <c r="XBX9" s="5"/>
      <c r="XBY9" s="5"/>
      <c r="XBZ9" s="5"/>
      <c r="XCA9" s="5"/>
      <c r="XCB9" s="5"/>
      <c r="XCC9" s="5"/>
      <c r="XCD9" s="5"/>
      <c r="XCE9" s="5"/>
      <c r="XCF9" s="5"/>
      <c r="XCG9" s="5"/>
      <c r="XCH9" s="5"/>
      <c r="XCI9" s="5"/>
      <c r="XCJ9" s="5"/>
      <c r="XCK9" s="5"/>
      <c r="XCL9" s="5"/>
      <c r="XCM9" s="5"/>
      <c r="XCN9" s="5"/>
      <c r="XCO9" s="5"/>
      <c r="XCP9" s="5"/>
      <c r="XCQ9" s="5"/>
      <c r="XCR9" s="5"/>
      <c r="XCS9" s="5"/>
      <c r="XCT9" s="5"/>
      <c r="XCU9" s="5"/>
      <c r="XCV9" s="5"/>
      <c r="XCW9" s="5"/>
      <c r="XCX9" s="5"/>
      <c r="XCY9" s="5"/>
      <c r="XCZ9" s="5"/>
      <c r="XDA9" s="5"/>
      <c r="XDB9" s="5"/>
      <c r="XDC9" s="5"/>
      <c r="XDD9" s="5"/>
      <c r="XDE9" s="5"/>
      <c r="XDF9" s="5"/>
      <c r="XDG9" s="5"/>
      <c r="XDH9" s="5"/>
      <c r="XDI9" s="5"/>
      <c r="XDJ9" s="5"/>
      <c r="XDK9" s="5"/>
      <c r="XDL9" s="5"/>
      <c r="XDM9" s="5"/>
      <c r="XDN9" s="5"/>
      <c r="XDO9" s="5"/>
      <c r="XDP9" s="5"/>
      <c r="XDQ9" s="5"/>
      <c r="XDR9" s="5"/>
      <c r="XDS9" s="5"/>
      <c r="XDT9" s="5"/>
      <c r="XDU9" s="5"/>
      <c r="XDV9" s="5"/>
      <c r="XDW9" s="5"/>
      <c r="XDX9" s="5"/>
      <c r="XDY9" s="5"/>
      <c r="XDZ9" s="5"/>
      <c r="XEA9" s="5"/>
      <c r="XEB9" s="5"/>
      <c r="XEC9" s="5"/>
      <c r="XED9" s="5"/>
      <c r="XEE9" s="5"/>
      <c r="XEF9" s="5"/>
      <c r="XEG9" s="5"/>
      <c r="XEH9" s="5"/>
      <c r="XEI9" s="5"/>
      <c r="XEJ9" s="5"/>
      <c r="XEK9" s="5"/>
      <c r="XEL9" s="5"/>
      <c r="XEM9" s="5"/>
      <c r="XEN9" s="5"/>
      <c r="XEO9" s="5"/>
      <c r="XEP9" s="5"/>
      <c r="XEQ9" s="5"/>
      <c r="XER9" s="5"/>
      <c r="XES9" s="5"/>
      <c r="XET9" s="5"/>
      <c r="XEU9" s="5"/>
      <c r="XEV9" s="5"/>
      <c r="XEW9" s="5"/>
      <c r="XEX9" s="5"/>
      <c r="XEY9" s="5"/>
      <c r="XEZ9" s="5"/>
      <c r="XFA9" s="5"/>
      <c r="XFB9" s="5"/>
      <c r="XFC9" s="5"/>
      <c r="XFD9" s="5"/>
    </row>
    <row r="10" spans="1:16384" x14ac:dyDescent="0.25">
      <c r="A10" s="485"/>
      <c r="B10" s="485"/>
      <c r="C10" s="48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c r="AAA10" s="5"/>
      <c r="AAB10" s="5"/>
      <c r="AAC10" s="5"/>
      <c r="AAD10" s="5"/>
      <c r="AAE10" s="5"/>
      <c r="AAF10" s="5"/>
      <c r="AAG10" s="5"/>
      <c r="AAH10" s="5"/>
      <c r="AAI10" s="5"/>
      <c r="AAJ10" s="5"/>
      <c r="AAK10" s="5"/>
      <c r="AAL10" s="5"/>
      <c r="AAM10" s="5"/>
      <c r="AAN10" s="5"/>
      <c r="AAO10" s="5"/>
      <c r="AAP10" s="5"/>
      <c r="AAQ10" s="5"/>
      <c r="AAR10" s="5"/>
      <c r="AAS10" s="5"/>
      <c r="AAT10" s="5"/>
      <c r="AAU10" s="5"/>
      <c r="AAV10" s="5"/>
      <c r="AAW10" s="5"/>
      <c r="AAX10" s="5"/>
      <c r="AAY10" s="5"/>
      <c r="AAZ10" s="5"/>
      <c r="ABA10" s="5"/>
      <c r="ABB10" s="5"/>
      <c r="ABC10" s="5"/>
      <c r="ABD10" s="5"/>
      <c r="ABE10" s="5"/>
      <c r="ABF10" s="5"/>
      <c r="ABG10" s="5"/>
      <c r="ABH10" s="5"/>
      <c r="ABI10" s="5"/>
      <c r="ABJ10" s="5"/>
      <c r="ABK10" s="5"/>
      <c r="ABL10" s="5"/>
      <c r="ABM10" s="5"/>
      <c r="ABN10" s="5"/>
      <c r="ABO10" s="5"/>
      <c r="ABP10" s="5"/>
      <c r="ABQ10" s="5"/>
      <c r="ABR10" s="5"/>
      <c r="ABS10" s="5"/>
      <c r="ABT10" s="5"/>
      <c r="ABU10" s="5"/>
      <c r="ABV10" s="5"/>
      <c r="ABW10" s="5"/>
      <c r="ABX10" s="5"/>
      <c r="ABY10" s="5"/>
      <c r="ABZ10" s="5"/>
      <c r="ACA10" s="5"/>
      <c r="ACB10" s="5"/>
      <c r="ACC10" s="5"/>
      <c r="ACD10" s="5"/>
      <c r="ACE10" s="5"/>
      <c r="ACF10" s="5"/>
      <c r="ACG10" s="5"/>
      <c r="ACH10" s="5"/>
      <c r="ACI10" s="5"/>
      <c r="ACJ10" s="5"/>
      <c r="ACK10" s="5"/>
      <c r="ACL10" s="5"/>
      <c r="ACM10" s="5"/>
      <c r="ACN10" s="5"/>
      <c r="ACO10" s="5"/>
      <c r="ACP10" s="5"/>
      <c r="ACQ10" s="5"/>
      <c r="ACR10" s="5"/>
      <c r="ACS10" s="5"/>
      <c r="ACT10" s="5"/>
      <c r="ACU10" s="5"/>
      <c r="ACV10" s="5"/>
      <c r="ACW10" s="5"/>
      <c r="ACX10" s="5"/>
      <c r="ACY10" s="5"/>
      <c r="ACZ10" s="5"/>
      <c r="ADA10" s="5"/>
      <c r="ADB10" s="5"/>
      <c r="ADC10" s="5"/>
      <c r="ADD10" s="5"/>
      <c r="ADE10" s="5"/>
      <c r="ADF10" s="5"/>
      <c r="ADG10" s="5"/>
      <c r="ADH10" s="5"/>
      <c r="ADI10" s="5"/>
      <c r="ADJ10" s="5"/>
      <c r="ADK10" s="5"/>
      <c r="ADL10" s="5"/>
      <c r="ADM10" s="5"/>
      <c r="ADN10" s="5"/>
      <c r="ADO10" s="5"/>
      <c r="ADP10" s="5"/>
      <c r="ADQ10" s="5"/>
      <c r="ADR10" s="5"/>
      <c r="ADS10" s="5"/>
      <c r="ADT10" s="5"/>
      <c r="ADU10" s="5"/>
      <c r="ADV10" s="5"/>
      <c r="ADW10" s="5"/>
      <c r="ADX10" s="5"/>
      <c r="ADY10" s="5"/>
      <c r="ADZ10" s="5"/>
      <c r="AEA10" s="5"/>
      <c r="AEB10" s="5"/>
      <c r="AEC10" s="5"/>
      <c r="AED10" s="5"/>
      <c r="AEE10" s="5"/>
      <c r="AEF10" s="5"/>
      <c r="AEG10" s="5"/>
      <c r="AEH10" s="5"/>
      <c r="AEI10" s="5"/>
      <c r="AEJ10" s="5"/>
      <c r="AEK10" s="5"/>
      <c r="AEL10" s="5"/>
      <c r="AEM10" s="5"/>
      <c r="AEN10" s="5"/>
      <c r="AEO10" s="5"/>
      <c r="AEP10" s="5"/>
      <c r="AEQ10" s="5"/>
      <c r="AER10" s="5"/>
      <c r="AES10" s="5"/>
      <c r="AET10" s="5"/>
      <c r="AEU10" s="5"/>
      <c r="AEV10" s="5"/>
      <c r="AEW10" s="5"/>
      <c r="AEX10" s="5"/>
      <c r="AEY10" s="5"/>
      <c r="AEZ10" s="5"/>
      <c r="AFA10" s="5"/>
      <c r="AFB10" s="5"/>
      <c r="AFC10" s="5"/>
      <c r="AFD10" s="5"/>
      <c r="AFE10" s="5"/>
      <c r="AFF10" s="5"/>
      <c r="AFG10" s="5"/>
      <c r="AFH10" s="5"/>
      <c r="AFI10" s="5"/>
      <c r="AFJ10" s="5"/>
      <c r="AFK10" s="5"/>
      <c r="AFL10" s="5"/>
      <c r="AFM10" s="5"/>
      <c r="AFN10" s="5"/>
      <c r="AFO10" s="5"/>
      <c r="AFP10" s="5"/>
      <c r="AFQ10" s="5"/>
      <c r="AFR10" s="5"/>
      <c r="AFS10" s="5"/>
      <c r="AFT10" s="5"/>
      <c r="AFU10" s="5"/>
      <c r="AFV10" s="5"/>
      <c r="AFW10" s="5"/>
      <c r="AFX10" s="5"/>
      <c r="AFY10" s="5"/>
      <c r="AFZ10" s="5"/>
      <c r="AGA10" s="5"/>
      <c r="AGB10" s="5"/>
      <c r="AGC10" s="5"/>
      <c r="AGD10" s="5"/>
      <c r="AGE10" s="5"/>
      <c r="AGF10" s="5"/>
      <c r="AGG10" s="5"/>
      <c r="AGH10" s="5"/>
      <c r="AGI10" s="5"/>
      <c r="AGJ10" s="5"/>
      <c r="AGK10" s="5"/>
      <c r="AGL10" s="5"/>
      <c r="AGM10" s="5"/>
      <c r="AGN10" s="5"/>
      <c r="AGO10" s="5"/>
      <c r="AGP10" s="5"/>
      <c r="AGQ10" s="5"/>
      <c r="AGR10" s="5"/>
      <c r="AGS10" s="5"/>
      <c r="AGT10" s="5"/>
      <c r="AGU10" s="5"/>
      <c r="AGV10" s="5"/>
      <c r="AGW10" s="5"/>
      <c r="AGX10" s="5"/>
      <c r="AGY10" s="5"/>
      <c r="AGZ10" s="5"/>
      <c r="AHA10" s="5"/>
      <c r="AHB10" s="5"/>
      <c r="AHC10" s="5"/>
      <c r="AHD10" s="5"/>
      <c r="AHE10" s="5"/>
      <c r="AHF10" s="5"/>
      <c r="AHG10" s="5"/>
      <c r="AHH10" s="5"/>
      <c r="AHI10" s="5"/>
      <c r="AHJ10" s="5"/>
      <c r="AHK10" s="5"/>
      <c r="AHL10" s="5"/>
      <c r="AHM10" s="5"/>
      <c r="AHN10" s="5"/>
      <c r="AHO10" s="5"/>
      <c r="AHP10" s="5"/>
      <c r="AHQ10" s="5"/>
      <c r="AHR10" s="5"/>
      <c r="AHS10" s="5"/>
      <c r="AHT10" s="5"/>
      <c r="AHU10" s="5"/>
      <c r="AHV10" s="5"/>
      <c r="AHW10" s="5"/>
      <c r="AHX10" s="5"/>
      <c r="AHY10" s="5"/>
      <c r="AHZ10" s="5"/>
      <c r="AIA10" s="5"/>
      <c r="AIB10" s="5"/>
      <c r="AIC10" s="5"/>
      <c r="AID10" s="5"/>
      <c r="AIE10" s="5"/>
      <c r="AIF10" s="5"/>
      <c r="AIG10" s="5"/>
      <c r="AIH10" s="5"/>
      <c r="AII10" s="5"/>
      <c r="AIJ10" s="5"/>
      <c r="AIK10" s="5"/>
      <c r="AIL10" s="5"/>
      <c r="AIM10" s="5"/>
      <c r="AIN10" s="5"/>
      <c r="AIO10" s="5"/>
      <c r="AIP10" s="5"/>
      <c r="AIQ10" s="5"/>
      <c r="AIR10" s="5"/>
      <c r="AIS10" s="5"/>
      <c r="AIT10" s="5"/>
      <c r="AIU10" s="5"/>
      <c r="AIV10" s="5"/>
      <c r="AIW10" s="5"/>
      <c r="AIX10" s="5"/>
      <c r="AIY10" s="5"/>
      <c r="AIZ10" s="5"/>
      <c r="AJA10" s="5"/>
      <c r="AJB10" s="5"/>
      <c r="AJC10" s="5"/>
      <c r="AJD10" s="5"/>
      <c r="AJE10" s="5"/>
      <c r="AJF10" s="5"/>
      <c r="AJG10" s="5"/>
      <c r="AJH10" s="5"/>
      <c r="AJI10" s="5"/>
      <c r="AJJ10" s="5"/>
      <c r="AJK10" s="5"/>
      <c r="AJL10" s="5"/>
      <c r="AJM10" s="5"/>
      <c r="AJN10" s="5"/>
      <c r="AJO10" s="5"/>
      <c r="AJP10" s="5"/>
      <c r="AJQ10" s="5"/>
      <c r="AJR10" s="5"/>
      <c r="AJS10" s="5"/>
      <c r="AJT10" s="5"/>
      <c r="AJU10" s="5"/>
      <c r="AJV10" s="5"/>
      <c r="AJW10" s="5"/>
      <c r="AJX10" s="5"/>
      <c r="AJY10" s="5"/>
      <c r="AJZ10" s="5"/>
      <c r="AKA10" s="5"/>
      <c r="AKB10" s="5"/>
      <c r="AKC10" s="5"/>
      <c r="AKD10" s="5"/>
      <c r="AKE10" s="5"/>
      <c r="AKF10" s="5"/>
      <c r="AKG10" s="5"/>
      <c r="AKH10" s="5"/>
      <c r="AKI10" s="5"/>
      <c r="AKJ10" s="5"/>
      <c r="AKK10" s="5"/>
      <c r="AKL10" s="5"/>
      <c r="AKM10" s="5"/>
      <c r="AKN10" s="5"/>
      <c r="AKO10" s="5"/>
      <c r="AKP10" s="5"/>
      <c r="AKQ10" s="5"/>
      <c r="AKR10" s="5"/>
      <c r="AKS10" s="5"/>
      <c r="AKT10" s="5"/>
      <c r="AKU10" s="5"/>
      <c r="AKV10" s="5"/>
      <c r="AKW10" s="5"/>
      <c r="AKX10" s="5"/>
      <c r="AKY10" s="5"/>
      <c r="AKZ10" s="5"/>
      <c r="ALA10" s="5"/>
      <c r="ALB10" s="5"/>
      <c r="ALC10" s="5"/>
      <c r="ALD10" s="5"/>
      <c r="ALE10" s="5"/>
      <c r="ALF10" s="5"/>
      <c r="ALG10" s="5"/>
      <c r="ALH10" s="5"/>
      <c r="ALI10" s="5"/>
      <c r="ALJ10" s="5"/>
      <c r="ALK10" s="5"/>
      <c r="ALL10" s="5"/>
      <c r="ALM10" s="5"/>
      <c r="ALN10" s="5"/>
      <c r="ALO10" s="5"/>
      <c r="ALP10" s="5"/>
      <c r="ALQ10" s="5"/>
      <c r="ALR10" s="5"/>
      <c r="ALS10" s="5"/>
      <c r="ALT10" s="5"/>
      <c r="ALU10" s="5"/>
      <c r="ALV10" s="5"/>
      <c r="ALW10" s="5"/>
      <c r="ALX10" s="5"/>
      <c r="ALY10" s="5"/>
      <c r="ALZ10" s="5"/>
      <c r="AMA10" s="5"/>
      <c r="AMB10" s="5"/>
      <c r="AMC10" s="5"/>
      <c r="AMD10" s="5"/>
      <c r="AME10" s="5"/>
      <c r="AMF10" s="5"/>
      <c r="AMG10" s="5"/>
      <c r="AMH10" s="5"/>
      <c r="AMI10" s="5"/>
      <c r="AMJ10" s="5"/>
      <c r="AMK10" s="5"/>
      <c r="AML10" s="5"/>
      <c r="AMM10" s="5"/>
      <c r="AMN10" s="5"/>
      <c r="AMO10" s="5"/>
      <c r="AMP10" s="5"/>
      <c r="AMQ10" s="5"/>
      <c r="AMR10" s="5"/>
      <c r="AMS10" s="5"/>
      <c r="AMT10" s="5"/>
      <c r="AMU10" s="5"/>
      <c r="AMV10" s="5"/>
      <c r="AMW10" s="5"/>
      <c r="AMX10" s="5"/>
      <c r="AMY10" s="5"/>
      <c r="AMZ10" s="5"/>
      <c r="ANA10" s="5"/>
      <c r="ANB10" s="5"/>
      <c r="ANC10" s="5"/>
      <c r="AND10" s="5"/>
      <c r="ANE10" s="5"/>
      <c r="ANF10" s="5"/>
      <c r="ANG10" s="5"/>
      <c r="ANH10" s="5"/>
      <c r="ANI10" s="5"/>
      <c r="ANJ10" s="5"/>
      <c r="ANK10" s="5"/>
      <c r="ANL10" s="5"/>
      <c r="ANM10" s="5"/>
      <c r="ANN10" s="5"/>
      <c r="ANO10" s="5"/>
      <c r="ANP10" s="5"/>
      <c r="ANQ10" s="5"/>
      <c r="ANR10" s="5"/>
      <c r="ANS10" s="5"/>
      <c r="ANT10" s="5"/>
      <c r="ANU10" s="5"/>
      <c r="ANV10" s="5"/>
      <c r="ANW10" s="5"/>
      <c r="ANX10" s="5"/>
      <c r="ANY10" s="5"/>
      <c r="ANZ10" s="5"/>
      <c r="AOA10" s="5"/>
      <c r="AOB10" s="5"/>
      <c r="AOC10" s="5"/>
      <c r="AOD10" s="5"/>
      <c r="AOE10" s="5"/>
      <c r="AOF10" s="5"/>
      <c r="AOG10" s="5"/>
      <c r="AOH10" s="5"/>
      <c r="AOI10" s="5"/>
      <c r="AOJ10" s="5"/>
      <c r="AOK10" s="5"/>
      <c r="AOL10" s="5"/>
      <c r="AOM10" s="5"/>
      <c r="AON10" s="5"/>
      <c r="AOO10" s="5"/>
      <c r="AOP10" s="5"/>
      <c r="AOQ10" s="5"/>
      <c r="AOR10" s="5"/>
      <c r="AOS10" s="5"/>
      <c r="AOT10" s="5"/>
      <c r="AOU10" s="5"/>
      <c r="AOV10" s="5"/>
      <c r="AOW10" s="5"/>
      <c r="AOX10" s="5"/>
      <c r="AOY10" s="5"/>
      <c r="AOZ10" s="5"/>
      <c r="APA10" s="5"/>
      <c r="APB10" s="5"/>
      <c r="APC10" s="5"/>
      <c r="APD10" s="5"/>
      <c r="APE10" s="5"/>
      <c r="APF10" s="5"/>
      <c r="APG10" s="5"/>
      <c r="APH10" s="5"/>
      <c r="API10" s="5"/>
      <c r="APJ10" s="5"/>
      <c r="APK10" s="5"/>
      <c r="APL10" s="5"/>
      <c r="APM10" s="5"/>
      <c r="APN10" s="5"/>
      <c r="APO10" s="5"/>
      <c r="APP10" s="5"/>
      <c r="APQ10" s="5"/>
      <c r="APR10" s="5"/>
      <c r="APS10" s="5"/>
      <c r="APT10" s="5"/>
      <c r="APU10" s="5"/>
      <c r="APV10" s="5"/>
      <c r="APW10" s="5"/>
      <c r="APX10" s="5"/>
      <c r="APY10" s="5"/>
      <c r="APZ10" s="5"/>
      <c r="AQA10" s="5"/>
      <c r="AQB10" s="5"/>
      <c r="AQC10" s="5"/>
      <c r="AQD10" s="5"/>
      <c r="AQE10" s="5"/>
      <c r="AQF10" s="5"/>
      <c r="AQG10" s="5"/>
      <c r="AQH10" s="5"/>
      <c r="AQI10" s="5"/>
      <c r="AQJ10" s="5"/>
      <c r="AQK10" s="5"/>
      <c r="AQL10" s="5"/>
      <c r="AQM10" s="5"/>
      <c r="AQN10" s="5"/>
      <c r="AQO10" s="5"/>
      <c r="AQP10" s="5"/>
      <c r="AQQ10" s="5"/>
      <c r="AQR10" s="5"/>
      <c r="AQS10" s="5"/>
      <c r="AQT10" s="5"/>
      <c r="AQU10" s="5"/>
      <c r="AQV10" s="5"/>
      <c r="AQW10" s="5"/>
      <c r="AQX10" s="5"/>
      <c r="AQY10" s="5"/>
      <c r="AQZ10" s="5"/>
      <c r="ARA10" s="5"/>
      <c r="ARB10" s="5"/>
      <c r="ARC10" s="5"/>
      <c r="ARD10" s="5"/>
      <c r="ARE10" s="5"/>
      <c r="ARF10" s="5"/>
      <c r="ARG10" s="5"/>
      <c r="ARH10" s="5"/>
      <c r="ARI10" s="5"/>
      <c r="ARJ10" s="5"/>
      <c r="ARK10" s="5"/>
      <c r="ARL10" s="5"/>
      <c r="ARM10" s="5"/>
      <c r="ARN10" s="5"/>
      <c r="ARO10" s="5"/>
      <c r="ARP10" s="5"/>
      <c r="ARQ10" s="5"/>
      <c r="ARR10" s="5"/>
      <c r="ARS10" s="5"/>
      <c r="ART10" s="5"/>
      <c r="ARU10" s="5"/>
      <c r="ARV10" s="5"/>
      <c r="ARW10" s="5"/>
      <c r="ARX10" s="5"/>
      <c r="ARY10" s="5"/>
      <c r="ARZ10" s="5"/>
      <c r="ASA10" s="5"/>
      <c r="ASB10" s="5"/>
      <c r="ASC10" s="5"/>
      <c r="ASD10" s="5"/>
      <c r="ASE10" s="5"/>
      <c r="ASF10" s="5"/>
      <c r="ASG10" s="5"/>
      <c r="ASH10" s="5"/>
      <c r="ASI10" s="5"/>
      <c r="ASJ10" s="5"/>
      <c r="ASK10" s="5"/>
      <c r="ASL10" s="5"/>
      <c r="ASM10" s="5"/>
      <c r="ASN10" s="5"/>
      <c r="ASO10" s="5"/>
      <c r="ASP10" s="5"/>
      <c r="ASQ10" s="5"/>
      <c r="ASR10" s="5"/>
      <c r="ASS10" s="5"/>
      <c r="AST10" s="5"/>
      <c r="ASU10" s="5"/>
      <c r="ASV10" s="5"/>
      <c r="ASW10" s="5"/>
      <c r="ASX10" s="5"/>
      <c r="ASY10" s="5"/>
      <c r="ASZ10" s="5"/>
      <c r="ATA10" s="5"/>
      <c r="ATB10" s="5"/>
      <c r="ATC10" s="5"/>
      <c r="ATD10" s="5"/>
      <c r="ATE10" s="5"/>
      <c r="ATF10" s="5"/>
      <c r="ATG10" s="5"/>
      <c r="ATH10" s="5"/>
      <c r="ATI10" s="5"/>
      <c r="ATJ10" s="5"/>
      <c r="ATK10" s="5"/>
      <c r="ATL10" s="5"/>
      <c r="ATM10" s="5"/>
      <c r="ATN10" s="5"/>
      <c r="ATO10" s="5"/>
      <c r="ATP10" s="5"/>
      <c r="ATQ10" s="5"/>
      <c r="ATR10" s="5"/>
      <c r="ATS10" s="5"/>
      <c r="ATT10" s="5"/>
      <c r="ATU10" s="5"/>
      <c r="ATV10" s="5"/>
      <c r="ATW10" s="5"/>
      <c r="ATX10" s="5"/>
      <c r="ATY10" s="5"/>
      <c r="ATZ10" s="5"/>
      <c r="AUA10" s="5"/>
      <c r="AUB10" s="5"/>
      <c r="AUC10" s="5"/>
      <c r="AUD10" s="5"/>
      <c r="AUE10" s="5"/>
      <c r="AUF10" s="5"/>
      <c r="AUG10" s="5"/>
      <c r="AUH10" s="5"/>
      <c r="AUI10" s="5"/>
      <c r="AUJ10" s="5"/>
      <c r="AUK10" s="5"/>
      <c r="AUL10" s="5"/>
      <c r="AUM10" s="5"/>
      <c r="AUN10" s="5"/>
      <c r="AUO10" s="5"/>
      <c r="AUP10" s="5"/>
      <c r="AUQ10" s="5"/>
      <c r="AUR10" s="5"/>
      <c r="AUS10" s="5"/>
      <c r="AUT10" s="5"/>
      <c r="AUU10" s="5"/>
      <c r="AUV10" s="5"/>
      <c r="AUW10" s="5"/>
      <c r="AUX10" s="5"/>
      <c r="AUY10" s="5"/>
      <c r="AUZ10" s="5"/>
      <c r="AVA10" s="5"/>
      <c r="AVB10" s="5"/>
      <c r="AVC10" s="5"/>
      <c r="AVD10" s="5"/>
      <c r="AVE10" s="5"/>
      <c r="AVF10" s="5"/>
      <c r="AVG10" s="5"/>
      <c r="AVH10" s="5"/>
      <c r="AVI10" s="5"/>
      <c r="AVJ10" s="5"/>
      <c r="AVK10" s="5"/>
      <c r="AVL10" s="5"/>
      <c r="AVM10" s="5"/>
      <c r="AVN10" s="5"/>
      <c r="AVO10" s="5"/>
      <c r="AVP10" s="5"/>
      <c r="AVQ10" s="5"/>
      <c r="AVR10" s="5"/>
      <c r="AVS10" s="5"/>
      <c r="AVT10" s="5"/>
      <c r="AVU10" s="5"/>
      <c r="AVV10" s="5"/>
      <c r="AVW10" s="5"/>
      <c r="AVX10" s="5"/>
      <c r="AVY10" s="5"/>
      <c r="AVZ10" s="5"/>
      <c r="AWA10" s="5"/>
      <c r="AWB10" s="5"/>
      <c r="AWC10" s="5"/>
      <c r="AWD10" s="5"/>
      <c r="AWE10" s="5"/>
      <c r="AWF10" s="5"/>
      <c r="AWG10" s="5"/>
      <c r="AWH10" s="5"/>
      <c r="AWI10" s="5"/>
      <c r="AWJ10" s="5"/>
      <c r="AWK10" s="5"/>
      <c r="AWL10" s="5"/>
      <c r="AWM10" s="5"/>
      <c r="AWN10" s="5"/>
      <c r="AWO10" s="5"/>
      <c r="AWP10" s="5"/>
      <c r="AWQ10" s="5"/>
      <c r="AWR10" s="5"/>
      <c r="AWS10" s="5"/>
      <c r="AWT10" s="5"/>
      <c r="AWU10" s="5"/>
      <c r="AWV10" s="5"/>
      <c r="AWW10" s="5"/>
      <c r="AWX10" s="5"/>
      <c r="AWY10" s="5"/>
      <c r="AWZ10" s="5"/>
      <c r="AXA10" s="5"/>
      <c r="AXB10" s="5"/>
      <c r="AXC10" s="5"/>
      <c r="AXD10" s="5"/>
      <c r="AXE10" s="5"/>
      <c r="AXF10" s="5"/>
      <c r="AXG10" s="5"/>
      <c r="AXH10" s="5"/>
      <c r="AXI10" s="5"/>
      <c r="AXJ10" s="5"/>
      <c r="AXK10" s="5"/>
      <c r="AXL10" s="5"/>
      <c r="AXM10" s="5"/>
      <c r="AXN10" s="5"/>
      <c r="AXO10" s="5"/>
      <c r="AXP10" s="5"/>
      <c r="AXQ10" s="5"/>
      <c r="AXR10" s="5"/>
      <c r="AXS10" s="5"/>
      <c r="AXT10" s="5"/>
      <c r="AXU10" s="5"/>
      <c r="AXV10" s="5"/>
      <c r="AXW10" s="5"/>
      <c r="AXX10" s="5"/>
      <c r="AXY10" s="5"/>
      <c r="AXZ10" s="5"/>
      <c r="AYA10" s="5"/>
      <c r="AYB10" s="5"/>
      <c r="AYC10" s="5"/>
      <c r="AYD10" s="5"/>
      <c r="AYE10" s="5"/>
      <c r="AYF10" s="5"/>
      <c r="AYG10" s="5"/>
      <c r="AYH10" s="5"/>
      <c r="AYI10" s="5"/>
      <c r="AYJ10" s="5"/>
      <c r="AYK10" s="5"/>
      <c r="AYL10" s="5"/>
      <c r="AYM10" s="5"/>
      <c r="AYN10" s="5"/>
      <c r="AYO10" s="5"/>
      <c r="AYP10" s="5"/>
      <c r="AYQ10" s="5"/>
      <c r="AYR10" s="5"/>
      <c r="AYS10" s="5"/>
      <c r="AYT10" s="5"/>
      <c r="AYU10" s="5"/>
      <c r="AYV10" s="5"/>
      <c r="AYW10" s="5"/>
      <c r="AYX10" s="5"/>
      <c r="AYY10" s="5"/>
      <c r="AYZ10" s="5"/>
      <c r="AZA10" s="5"/>
      <c r="AZB10" s="5"/>
      <c r="AZC10" s="5"/>
      <c r="AZD10" s="5"/>
      <c r="AZE10" s="5"/>
      <c r="AZF10" s="5"/>
      <c r="AZG10" s="5"/>
      <c r="AZH10" s="5"/>
      <c r="AZI10" s="5"/>
      <c r="AZJ10" s="5"/>
      <c r="AZK10" s="5"/>
      <c r="AZL10" s="5"/>
      <c r="AZM10" s="5"/>
      <c r="AZN10" s="5"/>
      <c r="AZO10" s="5"/>
      <c r="AZP10" s="5"/>
      <c r="AZQ10" s="5"/>
      <c r="AZR10" s="5"/>
      <c r="AZS10" s="5"/>
      <c r="AZT10" s="5"/>
      <c r="AZU10" s="5"/>
      <c r="AZV10" s="5"/>
      <c r="AZW10" s="5"/>
      <c r="AZX10" s="5"/>
      <c r="AZY10" s="5"/>
      <c r="AZZ10" s="5"/>
      <c r="BAA10" s="5"/>
      <c r="BAB10" s="5"/>
      <c r="BAC10" s="5"/>
      <c r="BAD10" s="5"/>
      <c r="BAE10" s="5"/>
      <c r="BAF10" s="5"/>
      <c r="BAG10" s="5"/>
      <c r="BAH10" s="5"/>
      <c r="BAI10" s="5"/>
      <c r="BAJ10" s="5"/>
      <c r="BAK10" s="5"/>
      <c r="BAL10" s="5"/>
      <c r="BAM10" s="5"/>
      <c r="BAN10" s="5"/>
      <c r="BAO10" s="5"/>
      <c r="BAP10" s="5"/>
      <c r="BAQ10" s="5"/>
      <c r="BAR10" s="5"/>
      <c r="BAS10" s="5"/>
      <c r="BAT10" s="5"/>
      <c r="BAU10" s="5"/>
      <c r="BAV10" s="5"/>
      <c r="BAW10" s="5"/>
      <c r="BAX10" s="5"/>
      <c r="BAY10" s="5"/>
      <c r="BAZ10" s="5"/>
      <c r="BBA10" s="5"/>
      <c r="BBB10" s="5"/>
      <c r="BBC10" s="5"/>
      <c r="BBD10" s="5"/>
      <c r="BBE10" s="5"/>
      <c r="BBF10" s="5"/>
      <c r="BBG10" s="5"/>
      <c r="BBH10" s="5"/>
      <c r="BBI10" s="5"/>
      <c r="BBJ10" s="5"/>
      <c r="BBK10" s="5"/>
      <c r="BBL10" s="5"/>
      <c r="BBM10" s="5"/>
      <c r="BBN10" s="5"/>
      <c r="BBO10" s="5"/>
      <c r="BBP10" s="5"/>
      <c r="BBQ10" s="5"/>
      <c r="BBR10" s="5"/>
      <c r="BBS10" s="5"/>
      <c r="BBT10" s="5"/>
      <c r="BBU10" s="5"/>
      <c r="BBV10" s="5"/>
      <c r="BBW10" s="5"/>
      <c r="BBX10" s="5"/>
      <c r="BBY10" s="5"/>
      <c r="BBZ10" s="5"/>
      <c r="BCA10" s="5"/>
      <c r="BCB10" s="5"/>
      <c r="BCC10" s="5"/>
      <c r="BCD10" s="5"/>
      <c r="BCE10" s="5"/>
      <c r="BCF10" s="5"/>
      <c r="BCG10" s="5"/>
      <c r="BCH10" s="5"/>
      <c r="BCI10" s="5"/>
      <c r="BCJ10" s="5"/>
      <c r="BCK10" s="5"/>
      <c r="BCL10" s="5"/>
      <c r="BCM10" s="5"/>
      <c r="BCN10" s="5"/>
      <c r="BCO10" s="5"/>
      <c r="BCP10" s="5"/>
      <c r="BCQ10" s="5"/>
      <c r="BCR10" s="5"/>
      <c r="BCS10" s="5"/>
      <c r="BCT10" s="5"/>
      <c r="BCU10" s="5"/>
      <c r="BCV10" s="5"/>
      <c r="BCW10" s="5"/>
      <c r="BCX10" s="5"/>
      <c r="BCY10" s="5"/>
      <c r="BCZ10" s="5"/>
      <c r="BDA10" s="5"/>
      <c r="BDB10" s="5"/>
      <c r="BDC10" s="5"/>
      <c r="BDD10" s="5"/>
      <c r="BDE10" s="5"/>
      <c r="BDF10" s="5"/>
      <c r="BDG10" s="5"/>
      <c r="BDH10" s="5"/>
      <c r="BDI10" s="5"/>
      <c r="BDJ10" s="5"/>
      <c r="BDK10" s="5"/>
      <c r="BDL10" s="5"/>
      <c r="BDM10" s="5"/>
      <c r="BDN10" s="5"/>
      <c r="BDO10" s="5"/>
      <c r="BDP10" s="5"/>
      <c r="BDQ10" s="5"/>
      <c r="BDR10" s="5"/>
      <c r="BDS10" s="5"/>
      <c r="BDT10" s="5"/>
      <c r="BDU10" s="5"/>
      <c r="BDV10" s="5"/>
      <c r="BDW10" s="5"/>
      <c r="BDX10" s="5"/>
      <c r="BDY10" s="5"/>
      <c r="BDZ10" s="5"/>
      <c r="BEA10" s="5"/>
      <c r="BEB10" s="5"/>
      <c r="BEC10" s="5"/>
      <c r="BED10" s="5"/>
      <c r="BEE10" s="5"/>
      <c r="BEF10" s="5"/>
      <c r="BEG10" s="5"/>
      <c r="BEH10" s="5"/>
      <c r="BEI10" s="5"/>
      <c r="BEJ10" s="5"/>
      <c r="BEK10" s="5"/>
      <c r="BEL10" s="5"/>
      <c r="BEM10" s="5"/>
      <c r="BEN10" s="5"/>
      <c r="BEO10" s="5"/>
      <c r="BEP10" s="5"/>
      <c r="BEQ10" s="5"/>
      <c r="BER10" s="5"/>
      <c r="BES10" s="5"/>
      <c r="BET10" s="5"/>
      <c r="BEU10" s="5"/>
      <c r="BEV10" s="5"/>
      <c r="BEW10" s="5"/>
      <c r="BEX10" s="5"/>
      <c r="BEY10" s="5"/>
      <c r="BEZ10" s="5"/>
      <c r="BFA10" s="5"/>
      <c r="BFB10" s="5"/>
      <c r="BFC10" s="5"/>
      <c r="BFD10" s="5"/>
      <c r="BFE10" s="5"/>
      <c r="BFF10" s="5"/>
      <c r="BFG10" s="5"/>
      <c r="BFH10" s="5"/>
      <c r="BFI10" s="5"/>
      <c r="BFJ10" s="5"/>
      <c r="BFK10" s="5"/>
      <c r="BFL10" s="5"/>
      <c r="BFM10" s="5"/>
      <c r="BFN10" s="5"/>
      <c r="BFO10" s="5"/>
      <c r="BFP10" s="5"/>
      <c r="BFQ10" s="5"/>
      <c r="BFR10" s="5"/>
      <c r="BFS10" s="5"/>
      <c r="BFT10" s="5"/>
      <c r="BFU10" s="5"/>
      <c r="BFV10" s="5"/>
      <c r="BFW10" s="5"/>
      <c r="BFX10" s="5"/>
      <c r="BFY10" s="5"/>
      <c r="BFZ10" s="5"/>
      <c r="BGA10" s="5"/>
      <c r="BGB10" s="5"/>
      <c r="BGC10" s="5"/>
      <c r="BGD10" s="5"/>
      <c r="BGE10" s="5"/>
      <c r="BGF10" s="5"/>
      <c r="BGG10" s="5"/>
      <c r="BGH10" s="5"/>
      <c r="BGI10" s="5"/>
      <c r="BGJ10" s="5"/>
      <c r="BGK10" s="5"/>
      <c r="BGL10" s="5"/>
      <c r="BGM10" s="5"/>
      <c r="BGN10" s="5"/>
      <c r="BGO10" s="5"/>
      <c r="BGP10" s="5"/>
      <c r="BGQ10" s="5"/>
      <c r="BGR10" s="5"/>
      <c r="BGS10" s="5"/>
      <c r="BGT10" s="5"/>
      <c r="BGU10" s="5"/>
      <c r="BGV10" s="5"/>
      <c r="BGW10" s="5"/>
      <c r="BGX10" s="5"/>
      <c r="BGY10" s="5"/>
      <c r="BGZ10" s="5"/>
      <c r="BHA10" s="5"/>
      <c r="BHB10" s="5"/>
      <c r="BHC10" s="5"/>
      <c r="BHD10" s="5"/>
      <c r="BHE10" s="5"/>
      <c r="BHF10" s="5"/>
      <c r="BHG10" s="5"/>
      <c r="BHH10" s="5"/>
      <c r="BHI10" s="5"/>
      <c r="BHJ10" s="5"/>
      <c r="BHK10" s="5"/>
      <c r="BHL10" s="5"/>
      <c r="BHM10" s="5"/>
      <c r="BHN10" s="5"/>
      <c r="BHO10" s="5"/>
      <c r="BHP10" s="5"/>
      <c r="BHQ10" s="5"/>
      <c r="BHR10" s="5"/>
      <c r="BHS10" s="5"/>
      <c r="BHT10" s="5"/>
      <c r="BHU10" s="5"/>
      <c r="BHV10" s="5"/>
      <c r="BHW10" s="5"/>
      <c r="BHX10" s="5"/>
      <c r="BHY10" s="5"/>
      <c r="BHZ10" s="5"/>
      <c r="BIA10" s="5"/>
      <c r="BIB10" s="5"/>
      <c r="BIC10" s="5"/>
      <c r="BID10" s="5"/>
      <c r="BIE10" s="5"/>
      <c r="BIF10" s="5"/>
      <c r="BIG10" s="5"/>
      <c r="BIH10" s="5"/>
      <c r="BII10" s="5"/>
      <c r="BIJ10" s="5"/>
      <c r="BIK10" s="5"/>
      <c r="BIL10" s="5"/>
      <c r="BIM10" s="5"/>
      <c r="BIN10" s="5"/>
      <c r="BIO10" s="5"/>
      <c r="BIP10" s="5"/>
      <c r="BIQ10" s="5"/>
      <c r="BIR10" s="5"/>
      <c r="BIS10" s="5"/>
      <c r="BIT10" s="5"/>
      <c r="BIU10" s="5"/>
      <c r="BIV10" s="5"/>
      <c r="BIW10" s="5"/>
      <c r="BIX10" s="5"/>
      <c r="BIY10" s="5"/>
      <c r="BIZ10" s="5"/>
      <c r="BJA10" s="5"/>
      <c r="BJB10" s="5"/>
      <c r="BJC10" s="5"/>
      <c r="BJD10" s="5"/>
      <c r="BJE10" s="5"/>
      <c r="BJF10" s="5"/>
      <c r="BJG10" s="5"/>
      <c r="BJH10" s="5"/>
      <c r="BJI10" s="5"/>
      <c r="BJJ10" s="5"/>
      <c r="BJK10" s="5"/>
      <c r="BJL10" s="5"/>
      <c r="BJM10" s="5"/>
      <c r="BJN10" s="5"/>
      <c r="BJO10" s="5"/>
      <c r="BJP10" s="5"/>
      <c r="BJQ10" s="5"/>
      <c r="BJR10" s="5"/>
      <c r="BJS10" s="5"/>
      <c r="BJT10" s="5"/>
      <c r="BJU10" s="5"/>
      <c r="BJV10" s="5"/>
      <c r="BJW10" s="5"/>
      <c r="BJX10" s="5"/>
      <c r="BJY10" s="5"/>
      <c r="BJZ10" s="5"/>
      <c r="BKA10" s="5"/>
      <c r="BKB10" s="5"/>
      <c r="BKC10" s="5"/>
      <c r="BKD10" s="5"/>
      <c r="BKE10" s="5"/>
      <c r="BKF10" s="5"/>
      <c r="BKG10" s="5"/>
      <c r="BKH10" s="5"/>
      <c r="BKI10" s="5"/>
      <c r="BKJ10" s="5"/>
      <c r="BKK10" s="5"/>
      <c r="BKL10" s="5"/>
      <c r="BKM10" s="5"/>
      <c r="BKN10" s="5"/>
      <c r="BKO10" s="5"/>
      <c r="BKP10" s="5"/>
      <c r="BKQ10" s="5"/>
      <c r="BKR10" s="5"/>
      <c r="BKS10" s="5"/>
      <c r="BKT10" s="5"/>
      <c r="BKU10" s="5"/>
      <c r="BKV10" s="5"/>
      <c r="BKW10" s="5"/>
      <c r="BKX10" s="5"/>
      <c r="BKY10" s="5"/>
      <c r="BKZ10" s="5"/>
      <c r="BLA10" s="5"/>
      <c r="BLB10" s="5"/>
      <c r="BLC10" s="5"/>
      <c r="BLD10" s="5"/>
      <c r="BLE10" s="5"/>
      <c r="BLF10" s="5"/>
      <c r="BLG10" s="5"/>
      <c r="BLH10" s="5"/>
      <c r="BLI10" s="5"/>
      <c r="BLJ10" s="5"/>
      <c r="BLK10" s="5"/>
      <c r="BLL10" s="5"/>
      <c r="BLM10" s="5"/>
      <c r="BLN10" s="5"/>
      <c r="BLO10" s="5"/>
      <c r="BLP10" s="5"/>
      <c r="BLQ10" s="5"/>
      <c r="BLR10" s="5"/>
      <c r="BLS10" s="5"/>
      <c r="BLT10" s="5"/>
      <c r="BLU10" s="5"/>
      <c r="BLV10" s="5"/>
      <c r="BLW10" s="5"/>
      <c r="BLX10" s="5"/>
      <c r="BLY10" s="5"/>
      <c r="BLZ10" s="5"/>
      <c r="BMA10" s="5"/>
      <c r="BMB10" s="5"/>
      <c r="BMC10" s="5"/>
      <c r="BMD10" s="5"/>
      <c r="BME10" s="5"/>
      <c r="BMF10" s="5"/>
      <c r="BMG10" s="5"/>
      <c r="BMH10" s="5"/>
      <c r="BMI10" s="5"/>
      <c r="BMJ10" s="5"/>
      <c r="BMK10" s="5"/>
      <c r="BML10" s="5"/>
      <c r="BMM10" s="5"/>
      <c r="BMN10" s="5"/>
      <c r="BMO10" s="5"/>
      <c r="BMP10" s="5"/>
      <c r="BMQ10" s="5"/>
      <c r="BMR10" s="5"/>
      <c r="BMS10" s="5"/>
      <c r="BMT10" s="5"/>
      <c r="BMU10" s="5"/>
      <c r="BMV10" s="5"/>
      <c r="BMW10" s="5"/>
      <c r="BMX10" s="5"/>
      <c r="BMY10" s="5"/>
      <c r="BMZ10" s="5"/>
      <c r="BNA10" s="5"/>
      <c r="BNB10" s="5"/>
      <c r="BNC10" s="5"/>
      <c r="BND10" s="5"/>
      <c r="BNE10" s="5"/>
      <c r="BNF10" s="5"/>
      <c r="BNG10" s="5"/>
      <c r="BNH10" s="5"/>
      <c r="BNI10" s="5"/>
      <c r="BNJ10" s="5"/>
      <c r="BNK10" s="5"/>
      <c r="BNL10" s="5"/>
      <c r="BNM10" s="5"/>
      <c r="BNN10" s="5"/>
      <c r="BNO10" s="5"/>
      <c r="BNP10" s="5"/>
      <c r="BNQ10" s="5"/>
      <c r="BNR10" s="5"/>
      <c r="BNS10" s="5"/>
      <c r="BNT10" s="5"/>
      <c r="BNU10" s="5"/>
      <c r="BNV10" s="5"/>
      <c r="BNW10" s="5"/>
      <c r="BNX10" s="5"/>
      <c r="BNY10" s="5"/>
      <c r="BNZ10" s="5"/>
      <c r="BOA10" s="5"/>
      <c r="BOB10" s="5"/>
      <c r="BOC10" s="5"/>
      <c r="BOD10" s="5"/>
      <c r="BOE10" s="5"/>
      <c r="BOF10" s="5"/>
      <c r="BOG10" s="5"/>
      <c r="BOH10" s="5"/>
      <c r="BOI10" s="5"/>
      <c r="BOJ10" s="5"/>
      <c r="BOK10" s="5"/>
      <c r="BOL10" s="5"/>
      <c r="BOM10" s="5"/>
      <c r="BON10" s="5"/>
      <c r="BOO10" s="5"/>
      <c r="BOP10" s="5"/>
      <c r="BOQ10" s="5"/>
      <c r="BOR10" s="5"/>
      <c r="BOS10" s="5"/>
      <c r="BOT10" s="5"/>
      <c r="BOU10" s="5"/>
      <c r="BOV10" s="5"/>
      <c r="BOW10" s="5"/>
      <c r="BOX10" s="5"/>
      <c r="BOY10" s="5"/>
      <c r="BOZ10" s="5"/>
      <c r="BPA10" s="5"/>
      <c r="BPB10" s="5"/>
      <c r="BPC10" s="5"/>
      <c r="BPD10" s="5"/>
      <c r="BPE10" s="5"/>
      <c r="BPF10" s="5"/>
      <c r="BPG10" s="5"/>
      <c r="BPH10" s="5"/>
      <c r="BPI10" s="5"/>
      <c r="BPJ10" s="5"/>
      <c r="BPK10" s="5"/>
      <c r="BPL10" s="5"/>
      <c r="BPM10" s="5"/>
      <c r="BPN10" s="5"/>
      <c r="BPO10" s="5"/>
      <c r="BPP10" s="5"/>
      <c r="BPQ10" s="5"/>
      <c r="BPR10" s="5"/>
      <c r="BPS10" s="5"/>
      <c r="BPT10" s="5"/>
      <c r="BPU10" s="5"/>
      <c r="BPV10" s="5"/>
      <c r="BPW10" s="5"/>
      <c r="BPX10" s="5"/>
      <c r="BPY10" s="5"/>
      <c r="BPZ10" s="5"/>
      <c r="BQA10" s="5"/>
      <c r="BQB10" s="5"/>
      <c r="BQC10" s="5"/>
      <c r="BQD10" s="5"/>
      <c r="BQE10" s="5"/>
      <c r="BQF10" s="5"/>
      <c r="BQG10" s="5"/>
      <c r="BQH10" s="5"/>
      <c r="BQI10" s="5"/>
      <c r="BQJ10" s="5"/>
      <c r="BQK10" s="5"/>
      <c r="BQL10" s="5"/>
      <c r="BQM10" s="5"/>
      <c r="BQN10" s="5"/>
      <c r="BQO10" s="5"/>
      <c r="BQP10" s="5"/>
      <c r="BQQ10" s="5"/>
      <c r="BQR10" s="5"/>
      <c r="BQS10" s="5"/>
      <c r="BQT10" s="5"/>
      <c r="BQU10" s="5"/>
      <c r="BQV10" s="5"/>
      <c r="BQW10" s="5"/>
      <c r="BQX10" s="5"/>
      <c r="BQY10" s="5"/>
      <c r="BQZ10" s="5"/>
      <c r="BRA10" s="5"/>
      <c r="BRB10" s="5"/>
      <c r="BRC10" s="5"/>
      <c r="BRD10" s="5"/>
      <c r="BRE10" s="5"/>
      <c r="BRF10" s="5"/>
      <c r="BRG10" s="5"/>
      <c r="BRH10" s="5"/>
      <c r="BRI10" s="5"/>
      <c r="BRJ10" s="5"/>
      <c r="BRK10" s="5"/>
      <c r="BRL10" s="5"/>
      <c r="BRM10" s="5"/>
      <c r="BRN10" s="5"/>
      <c r="BRO10" s="5"/>
      <c r="BRP10" s="5"/>
      <c r="BRQ10" s="5"/>
      <c r="BRR10" s="5"/>
      <c r="BRS10" s="5"/>
      <c r="BRT10" s="5"/>
      <c r="BRU10" s="5"/>
      <c r="BRV10" s="5"/>
      <c r="BRW10" s="5"/>
      <c r="BRX10" s="5"/>
      <c r="BRY10" s="5"/>
      <c r="BRZ10" s="5"/>
      <c r="BSA10" s="5"/>
      <c r="BSB10" s="5"/>
      <c r="BSC10" s="5"/>
      <c r="BSD10" s="5"/>
      <c r="BSE10" s="5"/>
      <c r="BSF10" s="5"/>
      <c r="BSG10" s="5"/>
      <c r="BSH10" s="5"/>
      <c r="BSI10" s="5"/>
      <c r="BSJ10" s="5"/>
      <c r="BSK10" s="5"/>
      <c r="BSL10" s="5"/>
      <c r="BSM10" s="5"/>
      <c r="BSN10" s="5"/>
      <c r="BSO10" s="5"/>
      <c r="BSP10" s="5"/>
      <c r="BSQ10" s="5"/>
      <c r="BSR10" s="5"/>
      <c r="BSS10" s="5"/>
      <c r="BST10" s="5"/>
      <c r="BSU10" s="5"/>
      <c r="BSV10" s="5"/>
      <c r="BSW10" s="5"/>
      <c r="BSX10" s="5"/>
      <c r="BSY10" s="5"/>
      <c r="BSZ10" s="5"/>
      <c r="BTA10" s="5"/>
      <c r="BTB10" s="5"/>
      <c r="BTC10" s="5"/>
      <c r="BTD10" s="5"/>
      <c r="BTE10" s="5"/>
      <c r="BTF10" s="5"/>
      <c r="BTG10" s="5"/>
      <c r="BTH10" s="5"/>
      <c r="BTI10" s="5"/>
      <c r="BTJ10" s="5"/>
      <c r="BTK10" s="5"/>
      <c r="BTL10" s="5"/>
      <c r="BTM10" s="5"/>
      <c r="BTN10" s="5"/>
      <c r="BTO10" s="5"/>
      <c r="BTP10" s="5"/>
      <c r="BTQ10" s="5"/>
      <c r="BTR10" s="5"/>
      <c r="BTS10" s="5"/>
      <c r="BTT10" s="5"/>
      <c r="BTU10" s="5"/>
      <c r="BTV10" s="5"/>
      <c r="BTW10" s="5"/>
      <c r="BTX10" s="5"/>
      <c r="BTY10" s="5"/>
      <c r="BTZ10" s="5"/>
      <c r="BUA10" s="5"/>
      <c r="BUB10" s="5"/>
      <c r="BUC10" s="5"/>
      <c r="BUD10" s="5"/>
      <c r="BUE10" s="5"/>
      <c r="BUF10" s="5"/>
      <c r="BUG10" s="5"/>
      <c r="BUH10" s="5"/>
      <c r="BUI10" s="5"/>
      <c r="BUJ10" s="5"/>
      <c r="BUK10" s="5"/>
      <c r="BUL10" s="5"/>
      <c r="BUM10" s="5"/>
      <c r="BUN10" s="5"/>
      <c r="BUO10" s="5"/>
      <c r="BUP10" s="5"/>
      <c r="BUQ10" s="5"/>
      <c r="BUR10" s="5"/>
      <c r="BUS10" s="5"/>
      <c r="BUT10" s="5"/>
      <c r="BUU10" s="5"/>
      <c r="BUV10" s="5"/>
      <c r="BUW10" s="5"/>
      <c r="BUX10" s="5"/>
      <c r="BUY10" s="5"/>
      <c r="BUZ10" s="5"/>
      <c r="BVA10" s="5"/>
      <c r="BVB10" s="5"/>
      <c r="BVC10" s="5"/>
      <c r="BVD10" s="5"/>
      <c r="BVE10" s="5"/>
      <c r="BVF10" s="5"/>
      <c r="BVG10" s="5"/>
      <c r="BVH10" s="5"/>
      <c r="BVI10" s="5"/>
      <c r="BVJ10" s="5"/>
      <c r="BVK10" s="5"/>
      <c r="BVL10" s="5"/>
      <c r="BVM10" s="5"/>
      <c r="BVN10" s="5"/>
      <c r="BVO10" s="5"/>
      <c r="BVP10" s="5"/>
      <c r="BVQ10" s="5"/>
      <c r="BVR10" s="5"/>
      <c r="BVS10" s="5"/>
      <c r="BVT10" s="5"/>
      <c r="BVU10" s="5"/>
      <c r="BVV10" s="5"/>
      <c r="BVW10" s="5"/>
      <c r="BVX10" s="5"/>
      <c r="BVY10" s="5"/>
      <c r="BVZ10" s="5"/>
      <c r="BWA10" s="5"/>
      <c r="BWB10" s="5"/>
      <c r="BWC10" s="5"/>
      <c r="BWD10" s="5"/>
      <c r="BWE10" s="5"/>
      <c r="BWF10" s="5"/>
      <c r="BWG10" s="5"/>
      <c r="BWH10" s="5"/>
      <c r="BWI10" s="5"/>
      <c r="BWJ10" s="5"/>
      <c r="BWK10" s="5"/>
      <c r="BWL10" s="5"/>
      <c r="BWM10" s="5"/>
      <c r="BWN10" s="5"/>
      <c r="BWO10" s="5"/>
      <c r="BWP10" s="5"/>
      <c r="BWQ10" s="5"/>
      <c r="BWR10" s="5"/>
      <c r="BWS10" s="5"/>
      <c r="BWT10" s="5"/>
      <c r="BWU10" s="5"/>
      <c r="BWV10" s="5"/>
      <c r="BWW10" s="5"/>
      <c r="BWX10" s="5"/>
      <c r="BWY10" s="5"/>
      <c r="BWZ10" s="5"/>
      <c r="BXA10" s="5"/>
      <c r="BXB10" s="5"/>
      <c r="BXC10" s="5"/>
      <c r="BXD10" s="5"/>
      <c r="BXE10" s="5"/>
      <c r="BXF10" s="5"/>
      <c r="BXG10" s="5"/>
      <c r="BXH10" s="5"/>
      <c r="BXI10" s="5"/>
      <c r="BXJ10" s="5"/>
      <c r="BXK10" s="5"/>
      <c r="BXL10" s="5"/>
      <c r="BXM10" s="5"/>
      <c r="BXN10" s="5"/>
      <c r="BXO10" s="5"/>
      <c r="BXP10" s="5"/>
      <c r="BXQ10" s="5"/>
      <c r="BXR10" s="5"/>
      <c r="BXS10" s="5"/>
      <c r="BXT10" s="5"/>
      <c r="BXU10" s="5"/>
      <c r="BXV10" s="5"/>
      <c r="BXW10" s="5"/>
      <c r="BXX10" s="5"/>
      <c r="BXY10" s="5"/>
      <c r="BXZ10" s="5"/>
      <c r="BYA10" s="5"/>
      <c r="BYB10" s="5"/>
      <c r="BYC10" s="5"/>
      <c r="BYD10" s="5"/>
      <c r="BYE10" s="5"/>
      <c r="BYF10" s="5"/>
      <c r="BYG10" s="5"/>
      <c r="BYH10" s="5"/>
      <c r="BYI10" s="5"/>
      <c r="BYJ10" s="5"/>
      <c r="BYK10" s="5"/>
      <c r="BYL10" s="5"/>
      <c r="BYM10" s="5"/>
      <c r="BYN10" s="5"/>
      <c r="BYO10" s="5"/>
      <c r="BYP10" s="5"/>
      <c r="BYQ10" s="5"/>
      <c r="BYR10" s="5"/>
      <c r="BYS10" s="5"/>
      <c r="BYT10" s="5"/>
      <c r="BYU10" s="5"/>
      <c r="BYV10" s="5"/>
      <c r="BYW10" s="5"/>
      <c r="BYX10" s="5"/>
      <c r="BYY10" s="5"/>
      <c r="BYZ10" s="5"/>
      <c r="BZA10" s="5"/>
      <c r="BZB10" s="5"/>
      <c r="BZC10" s="5"/>
      <c r="BZD10" s="5"/>
      <c r="BZE10" s="5"/>
      <c r="BZF10" s="5"/>
      <c r="BZG10" s="5"/>
      <c r="BZH10" s="5"/>
      <c r="BZI10" s="5"/>
      <c r="BZJ10" s="5"/>
      <c r="BZK10" s="5"/>
      <c r="BZL10" s="5"/>
      <c r="BZM10" s="5"/>
      <c r="BZN10" s="5"/>
      <c r="BZO10" s="5"/>
      <c r="BZP10" s="5"/>
      <c r="BZQ10" s="5"/>
      <c r="BZR10" s="5"/>
      <c r="BZS10" s="5"/>
      <c r="BZT10" s="5"/>
      <c r="BZU10" s="5"/>
      <c r="BZV10" s="5"/>
      <c r="BZW10" s="5"/>
      <c r="BZX10" s="5"/>
      <c r="BZY10" s="5"/>
      <c r="BZZ10" s="5"/>
      <c r="CAA10" s="5"/>
      <c r="CAB10" s="5"/>
      <c r="CAC10" s="5"/>
      <c r="CAD10" s="5"/>
      <c r="CAE10" s="5"/>
      <c r="CAF10" s="5"/>
      <c r="CAG10" s="5"/>
      <c r="CAH10" s="5"/>
      <c r="CAI10" s="5"/>
      <c r="CAJ10" s="5"/>
      <c r="CAK10" s="5"/>
      <c r="CAL10" s="5"/>
      <c r="CAM10" s="5"/>
      <c r="CAN10" s="5"/>
      <c r="CAO10" s="5"/>
      <c r="CAP10" s="5"/>
      <c r="CAQ10" s="5"/>
      <c r="CAR10" s="5"/>
      <c r="CAS10" s="5"/>
      <c r="CAT10" s="5"/>
      <c r="CAU10" s="5"/>
      <c r="CAV10" s="5"/>
      <c r="CAW10" s="5"/>
      <c r="CAX10" s="5"/>
      <c r="CAY10" s="5"/>
      <c r="CAZ10" s="5"/>
      <c r="CBA10" s="5"/>
      <c r="CBB10" s="5"/>
      <c r="CBC10" s="5"/>
      <c r="CBD10" s="5"/>
      <c r="CBE10" s="5"/>
      <c r="CBF10" s="5"/>
      <c r="CBG10" s="5"/>
      <c r="CBH10" s="5"/>
      <c r="CBI10" s="5"/>
      <c r="CBJ10" s="5"/>
      <c r="CBK10" s="5"/>
      <c r="CBL10" s="5"/>
      <c r="CBM10" s="5"/>
      <c r="CBN10" s="5"/>
      <c r="CBO10" s="5"/>
      <c r="CBP10" s="5"/>
      <c r="CBQ10" s="5"/>
      <c r="CBR10" s="5"/>
      <c r="CBS10" s="5"/>
      <c r="CBT10" s="5"/>
      <c r="CBU10" s="5"/>
      <c r="CBV10" s="5"/>
      <c r="CBW10" s="5"/>
      <c r="CBX10" s="5"/>
      <c r="CBY10" s="5"/>
      <c r="CBZ10" s="5"/>
      <c r="CCA10" s="5"/>
      <c r="CCB10" s="5"/>
      <c r="CCC10" s="5"/>
      <c r="CCD10" s="5"/>
      <c r="CCE10" s="5"/>
      <c r="CCF10" s="5"/>
      <c r="CCG10" s="5"/>
      <c r="CCH10" s="5"/>
      <c r="CCI10" s="5"/>
      <c r="CCJ10" s="5"/>
      <c r="CCK10" s="5"/>
      <c r="CCL10" s="5"/>
      <c r="CCM10" s="5"/>
      <c r="CCN10" s="5"/>
      <c r="CCO10" s="5"/>
      <c r="CCP10" s="5"/>
      <c r="CCQ10" s="5"/>
      <c r="CCR10" s="5"/>
      <c r="CCS10" s="5"/>
      <c r="CCT10" s="5"/>
      <c r="CCU10" s="5"/>
      <c r="CCV10" s="5"/>
      <c r="CCW10" s="5"/>
      <c r="CCX10" s="5"/>
      <c r="CCY10" s="5"/>
      <c r="CCZ10" s="5"/>
      <c r="CDA10" s="5"/>
      <c r="CDB10" s="5"/>
      <c r="CDC10" s="5"/>
      <c r="CDD10" s="5"/>
      <c r="CDE10" s="5"/>
      <c r="CDF10" s="5"/>
      <c r="CDG10" s="5"/>
      <c r="CDH10" s="5"/>
      <c r="CDI10" s="5"/>
      <c r="CDJ10" s="5"/>
      <c r="CDK10" s="5"/>
      <c r="CDL10" s="5"/>
      <c r="CDM10" s="5"/>
      <c r="CDN10" s="5"/>
      <c r="CDO10" s="5"/>
      <c r="CDP10" s="5"/>
      <c r="CDQ10" s="5"/>
      <c r="CDR10" s="5"/>
      <c r="CDS10" s="5"/>
      <c r="CDT10" s="5"/>
      <c r="CDU10" s="5"/>
      <c r="CDV10" s="5"/>
      <c r="CDW10" s="5"/>
      <c r="CDX10" s="5"/>
      <c r="CDY10" s="5"/>
      <c r="CDZ10" s="5"/>
      <c r="CEA10" s="5"/>
      <c r="CEB10" s="5"/>
      <c r="CEC10" s="5"/>
      <c r="CED10" s="5"/>
      <c r="CEE10" s="5"/>
      <c r="CEF10" s="5"/>
      <c r="CEG10" s="5"/>
      <c r="CEH10" s="5"/>
      <c r="CEI10" s="5"/>
      <c r="CEJ10" s="5"/>
      <c r="CEK10" s="5"/>
      <c r="CEL10" s="5"/>
      <c r="CEM10" s="5"/>
      <c r="CEN10" s="5"/>
      <c r="CEO10" s="5"/>
      <c r="CEP10" s="5"/>
      <c r="CEQ10" s="5"/>
      <c r="CER10" s="5"/>
      <c r="CES10" s="5"/>
      <c r="CET10" s="5"/>
      <c r="CEU10" s="5"/>
      <c r="CEV10" s="5"/>
      <c r="CEW10" s="5"/>
      <c r="CEX10" s="5"/>
      <c r="CEY10" s="5"/>
      <c r="CEZ10" s="5"/>
      <c r="CFA10" s="5"/>
      <c r="CFB10" s="5"/>
      <c r="CFC10" s="5"/>
      <c r="CFD10" s="5"/>
      <c r="CFE10" s="5"/>
      <c r="CFF10" s="5"/>
      <c r="CFG10" s="5"/>
      <c r="CFH10" s="5"/>
      <c r="CFI10" s="5"/>
      <c r="CFJ10" s="5"/>
      <c r="CFK10" s="5"/>
      <c r="CFL10" s="5"/>
      <c r="CFM10" s="5"/>
      <c r="CFN10" s="5"/>
      <c r="CFO10" s="5"/>
      <c r="CFP10" s="5"/>
      <c r="CFQ10" s="5"/>
      <c r="CFR10" s="5"/>
      <c r="CFS10" s="5"/>
      <c r="CFT10" s="5"/>
      <c r="CFU10" s="5"/>
      <c r="CFV10" s="5"/>
      <c r="CFW10" s="5"/>
      <c r="CFX10" s="5"/>
      <c r="CFY10" s="5"/>
      <c r="CFZ10" s="5"/>
      <c r="CGA10" s="5"/>
      <c r="CGB10" s="5"/>
      <c r="CGC10" s="5"/>
      <c r="CGD10" s="5"/>
      <c r="CGE10" s="5"/>
      <c r="CGF10" s="5"/>
      <c r="CGG10" s="5"/>
      <c r="CGH10" s="5"/>
      <c r="CGI10" s="5"/>
      <c r="CGJ10" s="5"/>
      <c r="CGK10" s="5"/>
      <c r="CGL10" s="5"/>
      <c r="CGM10" s="5"/>
      <c r="CGN10" s="5"/>
      <c r="CGO10" s="5"/>
      <c r="CGP10" s="5"/>
      <c r="CGQ10" s="5"/>
      <c r="CGR10" s="5"/>
      <c r="CGS10" s="5"/>
      <c r="CGT10" s="5"/>
      <c r="CGU10" s="5"/>
      <c r="CGV10" s="5"/>
      <c r="CGW10" s="5"/>
      <c r="CGX10" s="5"/>
      <c r="CGY10" s="5"/>
      <c r="CGZ10" s="5"/>
      <c r="CHA10" s="5"/>
      <c r="CHB10" s="5"/>
      <c r="CHC10" s="5"/>
      <c r="CHD10" s="5"/>
      <c r="CHE10" s="5"/>
      <c r="CHF10" s="5"/>
      <c r="CHG10" s="5"/>
      <c r="CHH10" s="5"/>
      <c r="CHI10" s="5"/>
      <c r="CHJ10" s="5"/>
      <c r="CHK10" s="5"/>
      <c r="CHL10" s="5"/>
      <c r="CHM10" s="5"/>
      <c r="CHN10" s="5"/>
      <c r="CHO10" s="5"/>
      <c r="CHP10" s="5"/>
      <c r="CHQ10" s="5"/>
      <c r="CHR10" s="5"/>
      <c r="CHS10" s="5"/>
      <c r="CHT10" s="5"/>
      <c r="CHU10" s="5"/>
      <c r="CHV10" s="5"/>
      <c r="CHW10" s="5"/>
      <c r="CHX10" s="5"/>
      <c r="CHY10" s="5"/>
      <c r="CHZ10" s="5"/>
      <c r="CIA10" s="5"/>
      <c r="CIB10" s="5"/>
      <c r="CIC10" s="5"/>
      <c r="CID10" s="5"/>
      <c r="CIE10" s="5"/>
      <c r="CIF10" s="5"/>
      <c r="CIG10" s="5"/>
      <c r="CIH10" s="5"/>
      <c r="CII10" s="5"/>
      <c r="CIJ10" s="5"/>
      <c r="CIK10" s="5"/>
      <c r="CIL10" s="5"/>
      <c r="CIM10" s="5"/>
      <c r="CIN10" s="5"/>
      <c r="CIO10" s="5"/>
      <c r="CIP10" s="5"/>
      <c r="CIQ10" s="5"/>
      <c r="CIR10" s="5"/>
      <c r="CIS10" s="5"/>
      <c r="CIT10" s="5"/>
      <c r="CIU10" s="5"/>
      <c r="CIV10" s="5"/>
      <c r="CIW10" s="5"/>
      <c r="CIX10" s="5"/>
      <c r="CIY10" s="5"/>
      <c r="CIZ10" s="5"/>
      <c r="CJA10" s="5"/>
      <c r="CJB10" s="5"/>
      <c r="CJC10" s="5"/>
      <c r="CJD10" s="5"/>
      <c r="CJE10" s="5"/>
      <c r="CJF10" s="5"/>
      <c r="CJG10" s="5"/>
      <c r="CJH10" s="5"/>
      <c r="CJI10" s="5"/>
      <c r="CJJ10" s="5"/>
      <c r="CJK10" s="5"/>
      <c r="CJL10" s="5"/>
      <c r="CJM10" s="5"/>
      <c r="CJN10" s="5"/>
      <c r="CJO10" s="5"/>
      <c r="CJP10" s="5"/>
      <c r="CJQ10" s="5"/>
      <c r="CJR10" s="5"/>
      <c r="CJS10" s="5"/>
      <c r="CJT10" s="5"/>
      <c r="CJU10" s="5"/>
      <c r="CJV10" s="5"/>
      <c r="CJW10" s="5"/>
      <c r="CJX10" s="5"/>
      <c r="CJY10" s="5"/>
      <c r="CJZ10" s="5"/>
      <c r="CKA10" s="5"/>
      <c r="CKB10" s="5"/>
      <c r="CKC10" s="5"/>
      <c r="CKD10" s="5"/>
      <c r="CKE10" s="5"/>
      <c r="CKF10" s="5"/>
      <c r="CKG10" s="5"/>
      <c r="CKH10" s="5"/>
      <c r="CKI10" s="5"/>
      <c r="CKJ10" s="5"/>
      <c r="CKK10" s="5"/>
      <c r="CKL10" s="5"/>
      <c r="CKM10" s="5"/>
      <c r="CKN10" s="5"/>
      <c r="CKO10" s="5"/>
      <c r="CKP10" s="5"/>
      <c r="CKQ10" s="5"/>
      <c r="CKR10" s="5"/>
      <c r="CKS10" s="5"/>
      <c r="CKT10" s="5"/>
      <c r="CKU10" s="5"/>
      <c r="CKV10" s="5"/>
      <c r="CKW10" s="5"/>
      <c r="CKX10" s="5"/>
      <c r="CKY10" s="5"/>
      <c r="CKZ10" s="5"/>
      <c r="CLA10" s="5"/>
      <c r="CLB10" s="5"/>
      <c r="CLC10" s="5"/>
      <c r="CLD10" s="5"/>
      <c r="CLE10" s="5"/>
      <c r="CLF10" s="5"/>
      <c r="CLG10" s="5"/>
      <c r="CLH10" s="5"/>
      <c r="CLI10" s="5"/>
      <c r="CLJ10" s="5"/>
      <c r="CLK10" s="5"/>
      <c r="CLL10" s="5"/>
      <c r="CLM10" s="5"/>
      <c r="CLN10" s="5"/>
      <c r="CLO10" s="5"/>
      <c r="CLP10" s="5"/>
      <c r="CLQ10" s="5"/>
      <c r="CLR10" s="5"/>
      <c r="CLS10" s="5"/>
      <c r="CLT10" s="5"/>
      <c r="CLU10" s="5"/>
      <c r="CLV10" s="5"/>
      <c r="CLW10" s="5"/>
      <c r="CLX10" s="5"/>
      <c r="CLY10" s="5"/>
      <c r="CLZ10" s="5"/>
      <c r="CMA10" s="5"/>
      <c r="CMB10" s="5"/>
      <c r="CMC10" s="5"/>
      <c r="CMD10" s="5"/>
      <c r="CME10" s="5"/>
      <c r="CMF10" s="5"/>
      <c r="CMG10" s="5"/>
      <c r="CMH10" s="5"/>
      <c r="CMI10" s="5"/>
      <c r="CMJ10" s="5"/>
      <c r="CMK10" s="5"/>
      <c r="CML10" s="5"/>
      <c r="CMM10" s="5"/>
      <c r="CMN10" s="5"/>
      <c r="CMO10" s="5"/>
      <c r="CMP10" s="5"/>
      <c r="CMQ10" s="5"/>
      <c r="CMR10" s="5"/>
      <c r="CMS10" s="5"/>
      <c r="CMT10" s="5"/>
      <c r="CMU10" s="5"/>
      <c r="CMV10" s="5"/>
      <c r="CMW10" s="5"/>
      <c r="CMX10" s="5"/>
      <c r="CMY10" s="5"/>
      <c r="CMZ10" s="5"/>
      <c r="CNA10" s="5"/>
      <c r="CNB10" s="5"/>
      <c r="CNC10" s="5"/>
      <c r="CND10" s="5"/>
      <c r="CNE10" s="5"/>
      <c r="CNF10" s="5"/>
      <c r="CNG10" s="5"/>
      <c r="CNH10" s="5"/>
      <c r="CNI10" s="5"/>
      <c r="CNJ10" s="5"/>
      <c r="CNK10" s="5"/>
      <c r="CNL10" s="5"/>
      <c r="CNM10" s="5"/>
      <c r="CNN10" s="5"/>
      <c r="CNO10" s="5"/>
      <c r="CNP10" s="5"/>
      <c r="CNQ10" s="5"/>
      <c r="CNR10" s="5"/>
      <c r="CNS10" s="5"/>
      <c r="CNT10" s="5"/>
      <c r="CNU10" s="5"/>
      <c r="CNV10" s="5"/>
      <c r="CNW10" s="5"/>
      <c r="CNX10" s="5"/>
      <c r="CNY10" s="5"/>
      <c r="CNZ10" s="5"/>
      <c r="COA10" s="5"/>
      <c r="COB10" s="5"/>
      <c r="COC10" s="5"/>
      <c r="COD10" s="5"/>
      <c r="COE10" s="5"/>
      <c r="COF10" s="5"/>
      <c r="COG10" s="5"/>
      <c r="COH10" s="5"/>
      <c r="COI10" s="5"/>
      <c r="COJ10" s="5"/>
      <c r="COK10" s="5"/>
      <c r="COL10" s="5"/>
      <c r="COM10" s="5"/>
      <c r="CON10" s="5"/>
      <c r="COO10" s="5"/>
      <c r="COP10" s="5"/>
      <c r="COQ10" s="5"/>
      <c r="COR10" s="5"/>
      <c r="COS10" s="5"/>
      <c r="COT10" s="5"/>
      <c r="COU10" s="5"/>
      <c r="COV10" s="5"/>
      <c r="COW10" s="5"/>
      <c r="COX10" s="5"/>
      <c r="COY10" s="5"/>
      <c r="COZ10" s="5"/>
      <c r="CPA10" s="5"/>
      <c r="CPB10" s="5"/>
      <c r="CPC10" s="5"/>
      <c r="CPD10" s="5"/>
      <c r="CPE10" s="5"/>
      <c r="CPF10" s="5"/>
      <c r="CPG10" s="5"/>
      <c r="CPH10" s="5"/>
      <c r="CPI10" s="5"/>
      <c r="CPJ10" s="5"/>
      <c r="CPK10" s="5"/>
      <c r="CPL10" s="5"/>
      <c r="CPM10" s="5"/>
      <c r="CPN10" s="5"/>
      <c r="CPO10" s="5"/>
      <c r="CPP10" s="5"/>
      <c r="CPQ10" s="5"/>
      <c r="CPR10" s="5"/>
      <c r="CPS10" s="5"/>
      <c r="CPT10" s="5"/>
      <c r="CPU10" s="5"/>
      <c r="CPV10" s="5"/>
      <c r="CPW10" s="5"/>
      <c r="CPX10" s="5"/>
      <c r="CPY10" s="5"/>
      <c r="CPZ10" s="5"/>
      <c r="CQA10" s="5"/>
      <c r="CQB10" s="5"/>
      <c r="CQC10" s="5"/>
      <c r="CQD10" s="5"/>
      <c r="CQE10" s="5"/>
      <c r="CQF10" s="5"/>
      <c r="CQG10" s="5"/>
      <c r="CQH10" s="5"/>
      <c r="CQI10" s="5"/>
      <c r="CQJ10" s="5"/>
      <c r="CQK10" s="5"/>
      <c r="CQL10" s="5"/>
      <c r="CQM10" s="5"/>
      <c r="CQN10" s="5"/>
      <c r="CQO10" s="5"/>
      <c r="CQP10" s="5"/>
      <c r="CQQ10" s="5"/>
      <c r="CQR10" s="5"/>
      <c r="CQS10" s="5"/>
      <c r="CQT10" s="5"/>
      <c r="CQU10" s="5"/>
      <c r="CQV10" s="5"/>
      <c r="CQW10" s="5"/>
      <c r="CQX10" s="5"/>
      <c r="CQY10" s="5"/>
      <c r="CQZ10" s="5"/>
      <c r="CRA10" s="5"/>
      <c r="CRB10" s="5"/>
      <c r="CRC10" s="5"/>
      <c r="CRD10" s="5"/>
      <c r="CRE10" s="5"/>
      <c r="CRF10" s="5"/>
      <c r="CRG10" s="5"/>
      <c r="CRH10" s="5"/>
      <c r="CRI10" s="5"/>
      <c r="CRJ10" s="5"/>
      <c r="CRK10" s="5"/>
      <c r="CRL10" s="5"/>
      <c r="CRM10" s="5"/>
      <c r="CRN10" s="5"/>
      <c r="CRO10" s="5"/>
      <c r="CRP10" s="5"/>
      <c r="CRQ10" s="5"/>
      <c r="CRR10" s="5"/>
      <c r="CRS10" s="5"/>
      <c r="CRT10" s="5"/>
      <c r="CRU10" s="5"/>
      <c r="CRV10" s="5"/>
      <c r="CRW10" s="5"/>
      <c r="CRX10" s="5"/>
      <c r="CRY10" s="5"/>
      <c r="CRZ10" s="5"/>
      <c r="CSA10" s="5"/>
      <c r="CSB10" s="5"/>
      <c r="CSC10" s="5"/>
      <c r="CSD10" s="5"/>
      <c r="CSE10" s="5"/>
      <c r="CSF10" s="5"/>
      <c r="CSG10" s="5"/>
      <c r="CSH10" s="5"/>
      <c r="CSI10" s="5"/>
      <c r="CSJ10" s="5"/>
      <c r="CSK10" s="5"/>
      <c r="CSL10" s="5"/>
      <c r="CSM10" s="5"/>
      <c r="CSN10" s="5"/>
      <c r="CSO10" s="5"/>
      <c r="CSP10" s="5"/>
      <c r="CSQ10" s="5"/>
      <c r="CSR10" s="5"/>
      <c r="CSS10" s="5"/>
      <c r="CST10" s="5"/>
      <c r="CSU10" s="5"/>
      <c r="CSV10" s="5"/>
      <c r="CSW10" s="5"/>
      <c r="CSX10" s="5"/>
      <c r="CSY10" s="5"/>
      <c r="CSZ10" s="5"/>
      <c r="CTA10" s="5"/>
      <c r="CTB10" s="5"/>
      <c r="CTC10" s="5"/>
      <c r="CTD10" s="5"/>
      <c r="CTE10" s="5"/>
      <c r="CTF10" s="5"/>
      <c r="CTG10" s="5"/>
      <c r="CTH10" s="5"/>
      <c r="CTI10" s="5"/>
      <c r="CTJ10" s="5"/>
      <c r="CTK10" s="5"/>
      <c r="CTL10" s="5"/>
      <c r="CTM10" s="5"/>
      <c r="CTN10" s="5"/>
      <c r="CTO10" s="5"/>
      <c r="CTP10" s="5"/>
      <c r="CTQ10" s="5"/>
      <c r="CTR10" s="5"/>
      <c r="CTS10" s="5"/>
      <c r="CTT10" s="5"/>
      <c r="CTU10" s="5"/>
      <c r="CTV10" s="5"/>
      <c r="CTW10" s="5"/>
      <c r="CTX10" s="5"/>
      <c r="CTY10" s="5"/>
      <c r="CTZ10" s="5"/>
      <c r="CUA10" s="5"/>
      <c r="CUB10" s="5"/>
      <c r="CUC10" s="5"/>
      <c r="CUD10" s="5"/>
      <c r="CUE10" s="5"/>
      <c r="CUF10" s="5"/>
      <c r="CUG10" s="5"/>
      <c r="CUH10" s="5"/>
      <c r="CUI10" s="5"/>
      <c r="CUJ10" s="5"/>
      <c r="CUK10" s="5"/>
      <c r="CUL10" s="5"/>
      <c r="CUM10" s="5"/>
      <c r="CUN10" s="5"/>
      <c r="CUO10" s="5"/>
      <c r="CUP10" s="5"/>
      <c r="CUQ10" s="5"/>
      <c r="CUR10" s="5"/>
      <c r="CUS10" s="5"/>
      <c r="CUT10" s="5"/>
      <c r="CUU10" s="5"/>
      <c r="CUV10" s="5"/>
      <c r="CUW10" s="5"/>
      <c r="CUX10" s="5"/>
      <c r="CUY10" s="5"/>
      <c r="CUZ10" s="5"/>
      <c r="CVA10" s="5"/>
      <c r="CVB10" s="5"/>
      <c r="CVC10" s="5"/>
      <c r="CVD10" s="5"/>
      <c r="CVE10" s="5"/>
      <c r="CVF10" s="5"/>
      <c r="CVG10" s="5"/>
      <c r="CVH10" s="5"/>
      <c r="CVI10" s="5"/>
      <c r="CVJ10" s="5"/>
      <c r="CVK10" s="5"/>
      <c r="CVL10" s="5"/>
      <c r="CVM10" s="5"/>
      <c r="CVN10" s="5"/>
      <c r="CVO10" s="5"/>
      <c r="CVP10" s="5"/>
      <c r="CVQ10" s="5"/>
      <c r="CVR10" s="5"/>
      <c r="CVS10" s="5"/>
      <c r="CVT10" s="5"/>
      <c r="CVU10" s="5"/>
      <c r="CVV10" s="5"/>
      <c r="CVW10" s="5"/>
      <c r="CVX10" s="5"/>
      <c r="CVY10" s="5"/>
      <c r="CVZ10" s="5"/>
      <c r="CWA10" s="5"/>
      <c r="CWB10" s="5"/>
      <c r="CWC10" s="5"/>
      <c r="CWD10" s="5"/>
      <c r="CWE10" s="5"/>
      <c r="CWF10" s="5"/>
      <c r="CWG10" s="5"/>
      <c r="CWH10" s="5"/>
      <c r="CWI10" s="5"/>
      <c r="CWJ10" s="5"/>
      <c r="CWK10" s="5"/>
      <c r="CWL10" s="5"/>
      <c r="CWM10" s="5"/>
      <c r="CWN10" s="5"/>
      <c r="CWO10" s="5"/>
      <c r="CWP10" s="5"/>
      <c r="CWQ10" s="5"/>
      <c r="CWR10" s="5"/>
      <c r="CWS10" s="5"/>
      <c r="CWT10" s="5"/>
      <c r="CWU10" s="5"/>
      <c r="CWV10" s="5"/>
      <c r="CWW10" s="5"/>
      <c r="CWX10" s="5"/>
      <c r="CWY10" s="5"/>
      <c r="CWZ10" s="5"/>
      <c r="CXA10" s="5"/>
      <c r="CXB10" s="5"/>
      <c r="CXC10" s="5"/>
      <c r="CXD10" s="5"/>
      <c r="CXE10" s="5"/>
      <c r="CXF10" s="5"/>
      <c r="CXG10" s="5"/>
      <c r="CXH10" s="5"/>
      <c r="CXI10" s="5"/>
      <c r="CXJ10" s="5"/>
      <c r="CXK10" s="5"/>
      <c r="CXL10" s="5"/>
      <c r="CXM10" s="5"/>
      <c r="CXN10" s="5"/>
      <c r="CXO10" s="5"/>
      <c r="CXP10" s="5"/>
      <c r="CXQ10" s="5"/>
      <c r="CXR10" s="5"/>
      <c r="CXS10" s="5"/>
      <c r="CXT10" s="5"/>
      <c r="CXU10" s="5"/>
      <c r="CXV10" s="5"/>
      <c r="CXW10" s="5"/>
      <c r="CXX10" s="5"/>
      <c r="CXY10" s="5"/>
      <c r="CXZ10" s="5"/>
      <c r="CYA10" s="5"/>
      <c r="CYB10" s="5"/>
      <c r="CYC10" s="5"/>
      <c r="CYD10" s="5"/>
      <c r="CYE10" s="5"/>
      <c r="CYF10" s="5"/>
      <c r="CYG10" s="5"/>
      <c r="CYH10" s="5"/>
      <c r="CYI10" s="5"/>
      <c r="CYJ10" s="5"/>
      <c r="CYK10" s="5"/>
      <c r="CYL10" s="5"/>
      <c r="CYM10" s="5"/>
      <c r="CYN10" s="5"/>
      <c r="CYO10" s="5"/>
      <c r="CYP10" s="5"/>
      <c r="CYQ10" s="5"/>
      <c r="CYR10" s="5"/>
      <c r="CYS10" s="5"/>
      <c r="CYT10" s="5"/>
      <c r="CYU10" s="5"/>
      <c r="CYV10" s="5"/>
      <c r="CYW10" s="5"/>
      <c r="CYX10" s="5"/>
      <c r="CYY10" s="5"/>
      <c r="CYZ10" s="5"/>
      <c r="CZA10" s="5"/>
      <c r="CZB10" s="5"/>
      <c r="CZC10" s="5"/>
      <c r="CZD10" s="5"/>
      <c r="CZE10" s="5"/>
      <c r="CZF10" s="5"/>
      <c r="CZG10" s="5"/>
      <c r="CZH10" s="5"/>
      <c r="CZI10" s="5"/>
      <c r="CZJ10" s="5"/>
      <c r="CZK10" s="5"/>
      <c r="CZL10" s="5"/>
      <c r="CZM10" s="5"/>
      <c r="CZN10" s="5"/>
      <c r="CZO10" s="5"/>
      <c r="CZP10" s="5"/>
      <c r="CZQ10" s="5"/>
      <c r="CZR10" s="5"/>
      <c r="CZS10" s="5"/>
      <c r="CZT10" s="5"/>
      <c r="CZU10" s="5"/>
      <c r="CZV10" s="5"/>
      <c r="CZW10" s="5"/>
      <c r="CZX10" s="5"/>
      <c r="CZY10" s="5"/>
      <c r="CZZ10" s="5"/>
      <c r="DAA10" s="5"/>
      <c r="DAB10" s="5"/>
      <c r="DAC10" s="5"/>
      <c r="DAD10" s="5"/>
      <c r="DAE10" s="5"/>
      <c r="DAF10" s="5"/>
      <c r="DAG10" s="5"/>
      <c r="DAH10" s="5"/>
      <c r="DAI10" s="5"/>
      <c r="DAJ10" s="5"/>
      <c r="DAK10" s="5"/>
      <c r="DAL10" s="5"/>
      <c r="DAM10" s="5"/>
      <c r="DAN10" s="5"/>
      <c r="DAO10" s="5"/>
      <c r="DAP10" s="5"/>
      <c r="DAQ10" s="5"/>
      <c r="DAR10" s="5"/>
      <c r="DAS10" s="5"/>
      <c r="DAT10" s="5"/>
      <c r="DAU10" s="5"/>
      <c r="DAV10" s="5"/>
      <c r="DAW10" s="5"/>
      <c r="DAX10" s="5"/>
      <c r="DAY10" s="5"/>
      <c r="DAZ10" s="5"/>
      <c r="DBA10" s="5"/>
      <c r="DBB10" s="5"/>
      <c r="DBC10" s="5"/>
      <c r="DBD10" s="5"/>
      <c r="DBE10" s="5"/>
      <c r="DBF10" s="5"/>
      <c r="DBG10" s="5"/>
      <c r="DBH10" s="5"/>
      <c r="DBI10" s="5"/>
      <c r="DBJ10" s="5"/>
      <c r="DBK10" s="5"/>
      <c r="DBL10" s="5"/>
      <c r="DBM10" s="5"/>
      <c r="DBN10" s="5"/>
      <c r="DBO10" s="5"/>
      <c r="DBP10" s="5"/>
      <c r="DBQ10" s="5"/>
      <c r="DBR10" s="5"/>
      <c r="DBS10" s="5"/>
      <c r="DBT10" s="5"/>
      <c r="DBU10" s="5"/>
      <c r="DBV10" s="5"/>
      <c r="DBW10" s="5"/>
      <c r="DBX10" s="5"/>
      <c r="DBY10" s="5"/>
      <c r="DBZ10" s="5"/>
      <c r="DCA10" s="5"/>
      <c r="DCB10" s="5"/>
      <c r="DCC10" s="5"/>
      <c r="DCD10" s="5"/>
      <c r="DCE10" s="5"/>
      <c r="DCF10" s="5"/>
      <c r="DCG10" s="5"/>
      <c r="DCH10" s="5"/>
      <c r="DCI10" s="5"/>
      <c r="DCJ10" s="5"/>
      <c r="DCK10" s="5"/>
      <c r="DCL10" s="5"/>
      <c r="DCM10" s="5"/>
      <c r="DCN10" s="5"/>
      <c r="DCO10" s="5"/>
      <c r="DCP10" s="5"/>
      <c r="DCQ10" s="5"/>
      <c r="DCR10" s="5"/>
      <c r="DCS10" s="5"/>
      <c r="DCT10" s="5"/>
      <c r="DCU10" s="5"/>
      <c r="DCV10" s="5"/>
      <c r="DCW10" s="5"/>
      <c r="DCX10" s="5"/>
      <c r="DCY10" s="5"/>
      <c r="DCZ10" s="5"/>
      <c r="DDA10" s="5"/>
      <c r="DDB10" s="5"/>
      <c r="DDC10" s="5"/>
      <c r="DDD10" s="5"/>
      <c r="DDE10" s="5"/>
      <c r="DDF10" s="5"/>
      <c r="DDG10" s="5"/>
      <c r="DDH10" s="5"/>
      <c r="DDI10" s="5"/>
      <c r="DDJ10" s="5"/>
      <c r="DDK10" s="5"/>
      <c r="DDL10" s="5"/>
      <c r="DDM10" s="5"/>
      <c r="DDN10" s="5"/>
      <c r="DDO10" s="5"/>
      <c r="DDP10" s="5"/>
      <c r="DDQ10" s="5"/>
      <c r="DDR10" s="5"/>
      <c r="DDS10" s="5"/>
      <c r="DDT10" s="5"/>
      <c r="DDU10" s="5"/>
      <c r="DDV10" s="5"/>
      <c r="DDW10" s="5"/>
      <c r="DDX10" s="5"/>
      <c r="DDY10" s="5"/>
      <c r="DDZ10" s="5"/>
      <c r="DEA10" s="5"/>
      <c r="DEB10" s="5"/>
      <c r="DEC10" s="5"/>
      <c r="DED10" s="5"/>
      <c r="DEE10" s="5"/>
      <c r="DEF10" s="5"/>
      <c r="DEG10" s="5"/>
      <c r="DEH10" s="5"/>
      <c r="DEI10" s="5"/>
      <c r="DEJ10" s="5"/>
      <c r="DEK10" s="5"/>
      <c r="DEL10" s="5"/>
      <c r="DEM10" s="5"/>
      <c r="DEN10" s="5"/>
      <c r="DEO10" s="5"/>
      <c r="DEP10" s="5"/>
      <c r="DEQ10" s="5"/>
      <c r="DER10" s="5"/>
      <c r="DES10" s="5"/>
      <c r="DET10" s="5"/>
      <c r="DEU10" s="5"/>
      <c r="DEV10" s="5"/>
      <c r="DEW10" s="5"/>
      <c r="DEX10" s="5"/>
      <c r="DEY10" s="5"/>
      <c r="DEZ10" s="5"/>
      <c r="DFA10" s="5"/>
      <c r="DFB10" s="5"/>
      <c r="DFC10" s="5"/>
      <c r="DFD10" s="5"/>
      <c r="DFE10" s="5"/>
      <c r="DFF10" s="5"/>
      <c r="DFG10" s="5"/>
      <c r="DFH10" s="5"/>
      <c r="DFI10" s="5"/>
      <c r="DFJ10" s="5"/>
      <c r="DFK10" s="5"/>
      <c r="DFL10" s="5"/>
      <c r="DFM10" s="5"/>
      <c r="DFN10" s="5"/>
      <c r="DFO10" s="5"/>
      <c r="DFP10" s="5"/>
      <c r="DFQ10" s="5"/>
      <c r="DFR10" s="5"/>
      <c r="DFS10" s="5"/>
      <c r="DFT10" s="5"/>
      <c r="DFU10" s="5"/>
      <c r="DFV10" s="5"/>
      <c r="DFW10" s="5"/>
      <c r="DFX10" s="5"/>
      <c r="DFY10" s="5"/>
      <c r="DFZ10" s="5"/>
      <c r="DGA10" s="5"/>
      <c r="DGB10" s="5"/>
      <c r="DGC10" s="5"/>
      <c r="DGD10" s="5"/>
      <c r="DGE10" s="5"/>
      <c r="DGF10" s="5"/>
      <c r="DGG10" s="5"/>
      <c r="DGH10" s="5"/>
      <c r="DGI10" s="5"/>
      <c r="DGJ10" s="5"/>
      <c r="DGK10" s="5"/>
      <c r="DGL10" s="5"/>
      <c r="DGM10" s="5"/>
      <c r="DGN10" s="5"/>
      <c r="DGO10" s="5"/>
      <c r="DGP10" s="5"/>
      <c r="DGQ10" s="5"/>
      <c r="DGR10" s="5"/>
      <c r="DGS10" s="5"/>
      <c r="DGT10" s="5"/>
      <c r="DGU10" s="5"/>
      <c r="DGV10" s="5"/>
      <c r="DGW10" s="5"/>
      <c r="DGX10" s="5"/>
      <c r="DGY10" s="5"/>
      <c r="DGZ10" s="5"/>
      <c r="DHA10" s="5"/>
      <c r="DHB10" s="5"/>
      <c r="DHC10" s="5"/>
      <c r="DHD10" s="5"/>
      <c r="DHE10" s="5"/>
      <c r="DHF10" s="5"/>
      <c r="DHG10" s="5"/>
      <c r="DHH10" s="5"/>
      <c r="DHI10" s="5"/>
      <c r="DHJ10" s="5"/>
      <c r="DHK10" s="5"/>
      <c r="DHL10" s="5"/>
      <c r="DHM10" s="5"/>
      <c r="DHN10" s="5"/>
      <c r="DHO10" s="5"/>
      <c r="DHP10" s="5"/>
      <c r="DHQ10" s="5"/>
      <c r="DHR10" s="5"/>
      <c r="DHS10" s="5"/>
      <c r="DHT10" s="5"/>
      <c r="DHU10" s="5"/>
      <c r="DHV10" s="5"/>
      <c r="DHW10" s="5"/>
      <c r="DHX10" s="5"/>
      <c r="DHY10" s="5"/>
      <c r="DHZ10" s="5"/>
      <c r="DIA10" s="5"/>
      <c r="DIB10" s="5"/>
      <c r="DIC10" s="5"/>
      <c r="DID10" s="5"/>
      <c r="DIE10" s="5"/>
      <c r="DIF10" s="5"/>
      <c r="DIG10" s="5"/>
      <c r="DIH10" s="5"/>
      <c r="DII10" s="5"/>
      <c r="DIJ10" s="5"/>
      <c r="DIK10" s="5"/>
      <c r="DIL10" s="5"/>
      <c r="DIM10" s="5"/>
      <c r="DIN10" s="5"/>
      <c r="DIO10" s="5"/>
      <c r="DIP10" s="5"/>
      <c r="DIQ10" s="5"/>
      <c r="DIR10" s="5"/>
      <c r="DIS10" s="5"/>
      <c r="DIT10" s="5"/>
      <c r="DIU10" s="5"/>
      <c r="DIV10" s="5"/>
      <c r="DIW10" s="5"/>
      <c r="DIX10" s="5"/>
      <c r="DIY10" s="5"/>
      <c r="DIZ10" s="5"/>
      <c r="DJA10" s="5"/>
      <c r="DJB10" s="5"/>
      <c r="DJC10" s="5"/>
      <c r="DJD10" s="5"/>
      <c r="DJE10" s="5"/>
      <c r="DJF10" s="5"/>
      <c r="DJG10" s="5"/>
      <c r="DJH10" s="5"/>
      <c r="DJI10" s="5"/>
      <c r="DJJ10" s="5"/>
      <c r="DJK10" s="5"/>
      <c r="DJL10" s="5"/>
      <c r="DJM10" s="5"/>
      <c r="DJN10" s="5"/>
      <c r="DJO10" s="5"/>
      <c r="DJP10" s="5"/>
      <c r="DJQ10" s="5"/>
      <c r="DJR10" s="5"/>
      <c r="DJS10" s="5"/>
      <c r="DJT10" s="5"/>
      <c r="DJU10" s="5"/>
      <c r="DJV10" s="5"/>
      <c r="DJW10" s="5"/>
      <c r="DJX10" s="5"/>
      <c r="DJY10" s="5"/>
      <c r="DJZ10" s="5"/>
      <c r="DKA10" s="5"/>
      <c r="DKB10" s="5"/>
      <c r="DKC10" s="5"/>
      <c r="DKD10" s="5"/>
      <c r="DKE10" s="5"/>
      <c r="DKF10" s="5"/>
      <c r="DKG10" s="5"/>
      <c r="DKH10" s="5"/>
      <c r="DKI10" s="5"/>
      <c r="DKJ10" s="5"/>
      <c r="DKK10" s="5"/>
      <c r="DKL10" s="5"/>
      <c r="DKM10" s="5"/>
      <c r="DKN10" s="5"/>
      <c r="DKO10" s="5"/>
      <c r="DKP10" s="5"/>
      <c r="DKQ10" s="5"/>
      <c r="DKR10" s="5"/>
      <c r="DKS10" s="5"/>
      <c r="DKT10" s="5"/>
      <c r="DKU10" s="5"/>
      <c r="DKV10" s="5"/>
      <c r="DKW10" s="5"/>
      <c r="DKX10" s="5"/>
      <c r="DKY10" s="5"/>
      <c r="DKZ10" s="5"/>
      <c r="DLA10" s="5"/>
      <c r="DLB10" s="5"/>
      <c r="DLC10" s="5"/>
      <c r="DLD10" s="5"/>
      <c r="DLE10" s="5"/>
      <c r="DLF10" s="5"/>
      <c r="DLG10" s="5"/>
      <c r="DLH10" s="5"/>
      <c r="DLI10" s="5"/>
      <c r="DLJ10" s="5"/>
      <c r="DLK10" s="5"/>
      <c r="DLL10" s="5"/>
      <c r="DLM10" s="5"/>
      <c r="DLN10" s="5"/>
      <c r="DLO10" s="5"/>
      <c r="DLP10" s="5"/>
      <c r="DLQ10" s="5"/>
      <c r="DLR10" s="5"/>
      <c r="DLS10" s="5"/>
      <c r="DLT10" s="5"/>
      <c r="DLU10" s="5"/>
      <c r="DLV10" s="5"/>
      <c r="DLW10" s="5"/>
      <c r="DLX10" s="5"/>
      <c r="DLY10" s="5"/>
      <c r="DLZ10" s="5"/>
      <c r="DMA10" s="5"/>
      <c r="DMB10" s="5"/>
      <c r="DMC10" s="5"/>
      <c r="DMD10" s="5"/>
      <c r="DME10" s="5"/>
      <c r="DMF10" s="5"/>
      <c r="DMG10" s="5"/>
      <c r="DMH10" s="5"/>
      <c r="DMI10" s="5"/>
      <c r="DMJ10" s="5"/>
      <c r="DMK10" s="5"/>
      <c r="DML10" s="5"/>
      <c r="DMM10" s="5"/>
      <c r="DMN10" s="5"/>
      <c r="DMO10" s="5"/>
      <c r="DMP10" s="5"/>
      <c r="DMQ10" s="5"/>
      <c r="DMR10" s="5"/>
      <c r="DMS10" s="5"/>
      <c r="DMT10" s="5"/>
      <c r="DMU10" s="5"/>
      <c r="DMV10" s="5"/>
      <c r="DMW10" s="5"/>
      <c r="DMX10" s="5"/>
      <c r="DMY10" s="5"/>
      <c r="DMZ10" s="5"/>
      <c r="DNA10" s="5"/>
      <c r="DNB10" s="5"/>
      <c r="DNC10" s="5"/>
      <c r="DND10" s="5"/>
      <c r="DNE10" s="5"/>
      <c r="DNF10" s="5"/>
      <c r="DNG10" s="5"/>
      <c r="DNH10" s="5"/>
      <c r="DNI10" s="5"/>
      <c r="DNJ10" s="5"/>
      <c r="DNK10" s="5"/>
      <c r="DNL10" s="5"/>
      <c r="DNM10" s="5"/>
      <c r="DNN10" s="5"/>
      <c r="DNO10" s="5"/>
      <c r="DNP10" s="5"/>
      <c r="DNQ10" s="5"/>
      <c r="DNR10" s="5"/>
      <c r="DNS10" s="5"/>
      <c r="DNT10" s="5"/>
      <c r="DNU10" s="5"/>
      <c r="DNV10" s="5"/>
      <c r="DNW10" s="5"/>
      <c r="DNX10" s="5"/>
      <c r="DNY10" s="5"/>
      <c r="DNZ10" s="5"/>
      <c r="DOA10" s="5"/>
      <c r="DOB10" s="5"/>
      <c r="DOC10" s="5"/>
      <c r="DOD10" s="5"/>
      <c r="DOE10" s="5"/>
      <c r="DOF10" s="5"/>
      <c r="DOG10" s="5"/>
      <c r="DOH10" s="5"/>
      <c r="DOI10" s="5"/>
      <c r="DOJ10" s="5"/>
      <c r="DOK10" s="5"/>
      <c r="DOL10" s="5"/>
      <c r="DOM10" s="5"/>
      <c r="DON10" s="5"/>
      <c r="DOO10" s="5"/>
      <c r="DOP10" s="5"/>
      <c r="DOQ10" s="5"/>
      <c r="DOR10" s="5"/>
      <c r="DOS10" s="5"/>
      <c r="DOT10" s="5"/>
      <c r="DOU10" s="5"/>
      <c r="DOV10" s="5"/>
      <c r="DOW10" s="5"/>
      <c r="DOX10" s="5"/>
      <c r="DOY10" s="5"/>
      <c r="DOZ10" s="5"/>
      <c r="DPA10" s="5"/>
      <c r="DPB10" s="5"/>
      <c r="DPC10" s="5"/>
      <c r="DPD10" s="5"/>
      <c r="DPE10" s="5"/>
      <c r="DPF10" s="5"/>
      <c r="DPG10" s="5"/>
      <c r="DPH10" s="5"/>
      <c r="DPI10" s="5"/>
      <c r="DPJ10" s="5"/>
      <c r="DPK10" s="5"/>
      <c r="DPL10" s="5"/>
      <c r="DPM10" s="5"/>
      <c r="DPN10" s="5"/>
      <c r="DPO10" s="5"/>
      <c r="DPP10" s="5"/>
      <c r="DPQ10" s="5"/>
      <c r="DPR10" s="5"/>
      <c r="DPS10" s="5"/>
      <c r="DPT10" s="5"/>
      <c r="DPU10" s="5"/>
      <c r="DPV10" s="5"/>
      <c r="DPW10" s="5"/>
      <c r="DPX10" s="5"/>
      <c r="DPY10" s="5"/>
      <c r="DPZ10" s="5"/>
      <c r="DQA10" s="5"/>
      <c r="DQB10" s="5"/>
      <c r="DQC10" s="5"/>
      <c r="DQD10" s="5"/>
      <c r="DQE10" s="5"/>
      <c r="DQF10" s="5"/>
      <c r="DQG10" s="5"/>
      <c r="DQH10" s="5"/>
      <c r="DQI10" s="5"/>
      <c r="DQJ10" s="5"/>
      <c r="DQK10" s="5"/>
      <c r="DQL10" s="5"/>
      <c r="DQM10" s="5"/>
      <c r="DQN10" s="5"/>
      <c r="DQO10" s="5"/>
      <c r="DQP10" s="5"/>
      <c r="DQQ10" s="5"/>
      <c r="DQR10" s="5"/>
      <c r="DQS10" s="5"/>
      <c r="DQT10" s="5"/>
      <c r="DQU10" s="5"/>
      <c r="DQV10" s="5"/>
      <c r="DQW10" s="5"/>
      <c r="DQX10" s="5"/>
      <c r="DQY10" s="5"/>
      <c r="DQZ10" s="5"/>
      <c r="DRA10" s="5"/>
      <c r="DRB10" s="5"/>
      <c r="DRC10" s="5"/>
      <c r="DRD10" s="5"/>
      <c r="DRE10" s="5"/>
      <c r="DRF10" s="5"/>
      <c r="DRG10" s="5"/>
      <c r="DRH10" s="5"/>
      <c r="DRI10" s="5"/>
      <c r="DRJ10" s="5"/>
      <c r="DRK10" s="5"/>
      <c r="DRL10" s="5"/>
      <c r="DRM10" s="5"/>
      <c r="DRN10" s="5"/>
      <c r="DRO10" s="5"/>
      <c r="DRP10" s="5"/>
      <c r="DRQ10" s="5"/>
      <c r="DRR10" s="5"/>
      <c r="DRS10" s="5"/>
      <c r="DRT10" s="5"/>
      <c r="DRU10" s="5"/>
      <c r="DRV10" s="5"/>
      <c r="DRW10" s="5"/>
      <c r="DRX10" s="5"/>
      <c r="DRY10" s="5"/>
      <c r="DRZ10" s="5"/>
      <c r="DSA10" s="5"/>
      <c r="DSB10" s="5"/>
      <c r="DSC10" s="5"/>
      <c r="DSD10" s="5"/>
      <c r="DSE10" s="5"/>
      <c r="DSF10" s="5"/>
      <c r="DSG10" s="5"/>
      <c r="DSH10" s="5"/>
      <c r="DSI10" s="5"/>
      <c r="DSJ10" s="5"/>
      <c r="DSK10" s="5"/>
      <c r="DSL10" s="5"/>
      <c r="DSM10" s="5"/>
      <c r="DSN10" s="5"/>
      <c r="DSO10" s="5"/>
      <c r="DSP10" s="5"/>
      <c r="DSQ10" s="5"/>
      <c r="DSR10" s="5"/>
      <c r="DSS10" s="5"/>
      <c r="DST10" s="5"/>
      <c r="DSU10" s="5"/>
      <c r="DSV10" s="5"/>
      <c r="DSW10" s="5"/>
      <c r="DSX10" s="5"/>
      <c r="DSY10" s="5"/>
      <c r="DSZ10" s="5"/>
      <c r="DTA10" s="5"/>
      <c r="DTB10" s="5"/>
      <c r="DTC10" s="5"/>
      <c r="DTD10" s="5"/>
      <c r="DTE10" s="5"/>
      <c r="DTF10" s="5"/>
      <c r="DTG10" s="5"/>
      <c r="DTH10" s="5"/>
      <c r="DTI10" s="5"/>
      <c r="DTJ10" s="5"/>
      <c r="DTK10" s="5"/>
      <c r="DTL10" s="5"/>
      <c r="DTM10" s="5"/>
      <c r="DTN10" s="5"/>
      <c r="DTO10" s="5"/>
      <c r="DTP10" s="5"/>
      <c r="DTQ10" s="5"/>
      <c r="DTR10" s="5"/>
      <c r="DTS10" s="5"/>
      <c r="DTT10" s="5"/>
      <c r="DTU10" s="5"/>
      <c r="DTV10" s="5"/>
      <c r="DTW10" s="5"/>
      <c r="DTX10" s="5"/>
      <c r="DTY10" s="5"/>
      <c r="DTZ10" s="5"/>
      <c r="DUA10" s="5"/>
      <c r="DUB10" s="5"/>
      <c r="DUC10" s="5"/>
      <c r="DUD10" s="5"/>
      <c r="DUE10" s="5"/>
      <c r="DUF10" s="5"/>
      <c r="DUG10" s="5"/>
      <c r="DUH10" s="5"/>
      <c r="DUI10" s="5"/>
      <c r="DUJ10" s="5"/>
      <c r="DUK10" s="5"/>
      <c r="DUL10" s="5"/>
      <c r="DUM10" s="5"/>
      <c r="DUN10" s="5"/>
      <c r="DUO10" s="5"/>
      <c r="DUP10" s="5"/>
      <c r="DUQ10" s="5"/>
      <c r="DUR10" s="5"/>
      <c r="DUS10" s="5"/>
      <c r="DUT10" s="5"/>
      <c r="DUU10" s="5"/>
      <c r="DUV10" s="5"/>
      <c r="DUW10" s="5"/>
      <c r="DUX10" s="5"/>
      <c r="DUY10" s="5"/>
      <c r="DUZ10" s="5"/>
      <c r="DVA10" s="5"/>
      <c r="DVB10" s="5"/>
      <c r="DVC10" s="5"/>
      <c r="DVD10" s="5"/>
      <c r="DVE10" s="5"/>
      <c r="DVF10" s="5"/>
      <c r="DVG10" s="5"/>
      <c r="DVH10" s="5"/>
      <c r="DVI10" s="5"/>
      <c r="DVJ10" s="5"/>
      <c r="DVK10" s="5"/>
      <c r="DVL10" s="5"/>
      <c r="DVM10" s="5"/>
      <c r="DVN10" s="5"/>
      <c r="DVO10" s="5"/>
      <c r="DVP10" s="5"/>
      <c r="DVQ10" s="5"/>
      <c r="DVR10" s="5"/>
      <c r="DVS10" s="5"/>
      <c r="DVT10" s="5"/>
      <c r="DVU10" s="5"/>
      <c r="DVV10" s="5"/>
      <c r="DVW10" s="5"/>
      <c r="DVX10" s="5"/>
      <c r="DVY10" s="5"/>
      <c r="DVZ10" s="5"/>
      <c r="DWA10" s="5"/>
      <c r="DWB10" s="5"/>
      <c r="DWC10" s="5"/>
      <c r="DWD10" s="5"/>
      <c r="DWE10" s="5"/>
      <c r="DWF10" s="5"/>
      <c r="DWG10" s="5"/>
      <c r="DWH10" s="5"/>
      <c r="DWI10" s="5"/>
      <c r="DWJ10" s="5"/>
      <c r="DWK10" s="5"/>
      <c r="DWL10" s="5"/>
      <c r="DWM10" s="5"/>
      <c r="DWN10" s="5"/>
      <c r="DWO10" s="5"/>
      <c r="DWP10" s="5"/>
      <c r="DWQ10" s="5"/>
      <c r="DWR10" s="5"/>
      <c r="DWS10" s="5"/>
      <c r="DWT10" s="5"/>
      <c r="DWU10" s="5"/>
      <c r="DWV10" s="5"/>
      <c r="DWW10" s="5"/>
      <c r="DWX10" s="5"/>
      <c r="DWY10" s="5"/>
      <c r="DWZ10" s="5"/>
      <c r="DXA10" s="5"/>
      <c r="DXB10" s="5"/>
      <c r="DXC10" s="5"/>
      <c r="DXD10" s="5"/>
      <c r="DXE10" s="5"/>
      <c r="DXF10" s="5"/>
      <c r="DXG10" s="5"/>
      <c r="DXH10" s="5"/>
      <c r="DXI10" s="5"/>
      <c r="DXJ10" s="5"/>
      <c r="DXK10" s="5"/>
      <c r="DXL10" s="5"/>
      <c r="DXM10" s="5"/>
      <c r="DXN10" s="5"/>
      <c r="DXO10" s="5"/>
      <c r="DXP10" s="5"/>
      <c r="DXQ10" s="5"/>
      <c r="DXR10" s="5"/>
      <c r="DXS10" s="5"/>
      <c r="DXT10" s="5"/>
      <c r="DXU10" s="5"/>
      <c r="DXV10" s="5"/>
      <c r="DXW10" s="5"/>
      <c r="DXX10" s="5"/>
      <c r="DXY10" s="5"/>
      <c r="DXZ10" s="5"/>
      <c r="DYA10" s="5"/>
      <c r="DYB10" s="5"/>
      <c r="DYC10" s="5"/>
      <c r="DYD10" s="5"/>
      <c r="DYE10" s="5"/>
      <c r="DYF10" s="5"/>
      <c r="DYG10" s="5"/>
      <c r="DYH10" s="5"/>
      <c r="DYI10" s="5"/>
      <c r="DYJ10" s="5"/>
      <c r="DYK10" s="5"/>
      <c r="DYL10" s="5"/>
      <c r="DYM10" s="5"/>
      <c r="DYN10" s="5"/>
      <c r="DYO10" s="5"/>
      <c r="DYP10" s="5"/>
      <c r="DYQ10" s="5"/>
      <c r="DYR10" s="5"/>
      <c r="DYS10" s="5"/>
      <c r="DYT10" s="5"/>
      <c r="DYU10" s="5"/>
      <c r="DYV10" s="5"/>
      <c r="DYW10" s="5"/>
      <c r="DYX10" s="5"/>
      <c r="DYY10" s="5"/>
      <c r="DYZ10" s="5"/>
      <c r="DZA10" s="5"/>
      <c r="DZB10" s="5"/>
      <c r="DZC10" s="5"/>
      <c r="DZD10" s="5"/>
      <c r="DZE10" s="5"/>
      <c r="DZF10" s="5"/>
      <c r="DZG10" s="5"/>
      <c r="DZH10" s="5"/>
      <c r="DZI10" s="5"/>
      <c r="DZJ10" s="5"/>
      <c r="DZK10" s="5"/>
      <c r="DZL10" s="5"/>
      <c r="DZM10" s="5"/>
      <c r="DZN10" s="5"/>
      <c r="DZO10" s="5"/>
      <c r="DZP10" s="5"/>
      <c r="DZQ10" s="5"/>
      <c r="DZR10" s="5"/>
      <c r="DZS10" s="5"/>
      <c r="DZT10" s="5"/>
      <c r="DZU10" s="5"/>
      <c r="DZV10" s="5"/>
      <c r="DZW10" s="5"/>
      <c r="DZX10" s="5"/>
      <c r="DZY10" s="5"/>
      <c r="DZZ10" s="5"/>
      <c r="EAA10" s="5"/>
      <c r="EAB10" s="5"/>
      <c r="EAC10" s="5"/>
      <c r="EAD10" s="5"/>
      <c r="EAE10" s="5"/>
      <c r="EAF10" s="5"/>
      <c r="EAG10" s="5"/>
      <c r="EAH10" s="5"/>
      <c r="EAI10" s="5"/>
      <c r="EAJ10" s="5"/>
      <c r="EAK10" s="5"/>
      <c r="EAL10" s="5"/>
      <c r="EAM10" s="5"/>
      <c r="EAN10" s="5"/>
      <c r="EAO10" s="5"/>
      <c r="EAP10" s="5"/>
      <c r="EAQ10" s="5"/>
      <c r="EAR10" s="5"/>
      <c r="EAS10" s="5"/>
      <c r="EAT10" s="5"/>
      <c r="EAU10" s="5"/>
      <c r="EAV10" s="5"/>
      <c r="EAW10" s="5"/>
      <c r="EAX10" s="5"/>
      <c r="EAY10" s="5"/>
      <c r="EAZ10" s="5"/>
      <c r="EBA10" s="5"/>
      <c r="EBB10" s="5"/>
      <c r="EBC10" s="5"/>
      <c r="EBD10" s="5"/>
      <c r="EBE10" s="5"/>
      <c r="EBF10" s="5"/>
      <c r="EBG10" s="5"/>
      <c r="EBH10" s="5"/>
      <c r="EBI10" s="5"/>
      <c r="EBJ10" s="5"/>
      <c r="EBK10" s="5"/>
      <c r="EBL10" s="5"/>
      <c r="EBM10" s="5"/>
      <c r="EBN10" s="5"/>
      <c r="EBO10" s="5"/>
      <c r="EBP10" s="5"/>
      <c r="EBQ10" s="5"/>
      <c r="EBR10" s="5"/>
      <c r="EBS10" s="5"/>
      <c r="EBT10" s="5"/>
      <c r="EBU10" s="5"/>
      <c r="EBV10" s="5"/>
      <c r="EBW10" s="5"/>
      <c r="EBX10" s="5"/>
      <c r="EBY10" s="5"/>
      <c r="EBZ10" s="5"/>
      <c r="ECA10" s="5"/>
      <c r="ECB10" s="5"/>
      <c r="ECC10" s="5"/>
      <c r="ECD10" s="5"/>
      <c r="ECE10" s="5"/>
      <c r="ECF10" s="5"/>
      <c r="ECG10" s="5"/>
      <c r="ECH10" s="5"/>
      <c r="ECI10" s="5"/>
      <c r="ECJ10" s="5"/>
      <c r="ECK10" s="5"/>
      <c r="ECL10" s="5"/>
      <c r="ECM10" s="5"/>
      <c r="ECN10" s="5"/>
      <c r="ECO10" s="5"/>
      <c r="ECP10" s="5"/>
      <c r="ECQ10" s="5"/>
      <c r="ECR10" s="5"/>
      <c r="ECS10" s="5"/>
      <c r="ECT10" s="5"/>
      <c r="ECU10" s="5"/>
      <c r="ECV10" s="5"/>
      <c r="ECW10" s="5"/>
      <c r="ECX10" s="5"/>
      <c r="ECY10" s="5"/>
      <c r="ECZ10" s="5"/>
      <c r="EDA10" s="5"/>
      <c r="EDB10" s="5"/>
      <c r="EDC10" s="5"/>
      <c r="EDD10" s="5"/>
      <c r="EDE10" s="5"/>
      <c r="EDF10" s="5"/>
      <c r="EDG10" s="5"/>
      <c r="EDH10" s="5"/>
      <c r="EDI10" s="5"/>
      <c r="EDJ10" s="5"/>
      <c r="EDK10" s="5"/>
      <c r="EDL10" s="5"/>
      <c r="EDM10" s="5"/>
      <c r="EDN10" s="5"/>
      <c r="EDO10" s="5"/>
      <c r="EDP10" s="5"/>
      <c r="EDQ10" s="5"/>
      <c r="EDR10" s="5"/>
      <c r="EDS10" s="5"/>
      <c r="EDT10" s="5"/>
      <c r="EDU10" s="5"/>
      <c r="EDV10" s="5"/>
      <c r="EDW10" s="5"/>
      <c r="EDX10" s="5"/>
      <c r="EDY10" s="5"/>
      <c r="EDZ10" s="5"/>
      <c r="EEA10" s="5"/>
      <c r="EEB10" s="5"/>
      <c r="EEC10" s="5"/>
      <c r="EED10" s="5"/>
      <c r="EEE10" s="5"/>
      <c r="EEF10" s="5"/>
      <c r="EEG10" s="5"/>
      <c r="EEH10" s="5"/>
      <c r="EEI10" s="5"/>
      <c r="EEJ10" s="5"/>
      <c r="EEK10" s="5"/>
      <c r="EEL10" s="5"/>
      <c r="EEM10" s="5"/>
      <c r="EEN10" s="5"/>
      <c r="EEO10" s="5"/>
      <c r="EEP10" s="5"/>
      <c r="EEQ10" s="5"/>
      <c r="EER10" s="5"/>
      <c r="EES10" s="5"/>
      <c r="EET10" s="5"/>
      <c r="EEU10" s="5"/>
      <c r="EEV10" s="5"/>
      <c r="EEW10" s="5"/>
      <c r="EEX10" s="5"/>
      <c r="EEY10" s="5"/>
      <c r="EEZ10" s="5"/>
      <c r="EFA10" s="5"/>
      <c r="EFB10" s="5"/>
      <c r="EFC10" s="5"/>
      <c r="EFD10" s="5"/>
      <c r="EFE10" s="5"/>
      <c r="EFF10" s="5"/>
      <c r="EFG10" s="5"/>
      <c r="EFH10" s="5"/>
      <c r="EFI10" s="5"/>
      <c r="EFJ10" s="5"/>
      <c r="EFK10" s="5"/>
      <c r="EFL10" s="5"/>
      <c r="EFM10" s="5"/>
      <c r="EFN10" s="5"/>
      <c r="EFO10" s="5"/>
      <c r="EFP10" s="5"/>
      <c r="EFQ10" s="5"/>
      <c r="EFR10" s="5"/>
      <c r="EFS10" s="5"/>
      <c r="EFT10" s="5"/>
      <c r="EFU10" s="5"/>
      <c r="EFV10" s="5"/>
      <c r="EFW10" s="5"/>
      <c r="EFX10" s="5"/>
      <c r="EFY10" s="5"/>
      <c r="EFZ10" s="5"/>
      <c r="EGA10" s="5"/>
      <c r="EGB10" s="5"/>
      <c r="EGC10" s="5"/>
      <c r="EGD10" s="5"/>
      <c r="EGE10" s="5"/>
      <c r="EGF10" s="5"/>
      <c r="EGG10" s="5"/>
      <c r="EGH10" s="5"/>
      <c r="EGI10" s="5"/>
      <c r="EGJ10" s="5"/>
      <c r="EGK10" s="5"/>
      <c r="EGL10" s="5"/>
      <c r="EGM10" s="5"/>
      <c r="EGN10" s="5"/>
      <c r="EGO10" s="5"/>
      <c r="EGP10" s="5"/>
      <c r="EGQ10" s="5"/>
      <c r="EGR10" s="5"/>
      <c r="EGS10" s="5"/>
      <c r="EGT10" s="5"/>
      <c r="EGU10" s="5"/>
      <c r="EGV10" s="5"/>
      <c r="EGW10" s="5"/>
      <c r="EGX10" s="5"/>
      <c r="EGY10" s="5"/>
      <c r="EGZ10" s="5"/>
      <c r="EHA10" s="5"/>
      <c r="EHB10" s="5"/>
      <c r="EHC10" s="5"/>
      <c r="EHD10" s="5"/>
      <c r="EHE10" s="5"/>
      <c r="EHF10" s="5"/>
      <c r="EHG10" s="5"/>
      <c r="EHH10" s="5"/>
      <c r="EHI10" s="5"/>
      <c r="EHJ10" s="5"/>
      <c r="EHK10" s="5"/>
      <c r="EHL10" s="5"/>
      <c r="EHM10" s="5"/>
      <c r="EHN10" s="5"/>
      <c r="EHO10" s="5"/>
      <c r="EHP10" s="5"/>
      <c r="EHQ10" s="5"/>
      <c r="EHR10" s="5"/>
      <c r="EHS10" s="5"/>
      <c r="EHT10" s="5"/>
      <c r="EHU10" s="5"/>
      <c r="EHV10" s="5"/>
      <c r="EHW10" s="5"/>
      <c r="EHX10" s="5"/>
      <c r="EHY10" s="5"/>
      <c r="EHZ10" s="5"/>
      <c r="EIA10" s="5"/>
      <c r="EIB10" s="5"/>
      <c r="EIC10" s="5"/>
      <c r="EID10" s="5"/>
      <c r="EIE10" s="5"/>
      <c r="EIF10" s="5"/>
      <c r="EIG10" s="5"/>
      <c r="EIH10" s="5"/>
      <c r="EII10" s="5"/>
      <c r="EIJ10" s="5"/>
      <c r="EIK10" s="5"/>
      <c r="EIL10" s="5"/>
      <c r="EIM10" s="5"/>
      <c r="EIN10" s="5"/>
      <c r="EIO10" s="5"/>
      <c r="EIP10" s="5"/>
      <c r="EIQ10" s="5"/>
      <c r="EIR10" s="5"/>
      <c r="EIS10" s="5"/>
      <c r="EIT10" s="5"/>
      <c r="EIU10" s="5"/>
      <c r="EIV10" s="5"/>
      <c r="EIW10" s="5"/>
      <c r="EIX10" s="5"/>
      <c r="EIY10" s="5"/>
      <c r="EIZ10" s="5"/>
      <c r="EJA10" s="5"/>
      <c r="EJB10" s="5"/>
      <c r="EJC10" s="5"/>
      <c r="EJD10" s="5"/>
      <c r="EJE10" s="5"/>
      <c r="EJF10" s="5"/>
      <c r="EJG10" s="5"/>
      <c r="EJH10" s="5"/>
      <c r="EJI10" s="5"/>
      <c r="EJJ10" s="5"/>
      <c r="EJK10" s="5"/>
      <c r="EJL10" s="5"/>
      <c r="EJM10" s="5"/>
      <c r="EJN10" s="5"/>
      <c r="EJO10" s="5"/>
      <c r="EJP10" s="5"/>
      <c r="EJQ10" s="5"/>
      <c r="EJR10" s="5"/>
      <c r="EJS10" s="5"/>
      <c r="EJT10" s="5"/>
      <c r="EJU10" s="5"/>
      <c r="EJV10" s="5"/>
      <c r="EJW10" s="5"/>
      <c r="EJX10" s="5"/>
      <c r="EJY10" s="5"/>
      <c r="EJZ10" s="5"/>
      <c r="EKA10" s="5"/>
      <c r="EKB10" s="5"/>
      <c r="EKC10" s="5"/>
      <c r="EKD10" s="5"/>
      <c r="EKE10" s="5"/>
      <c r="EKF10" s="5"/>
      <c r="EKG10" s="5"/>
      <c r="EKH10" s="5"/>
      <c r="EKI10" s="5"/>
      <c r="EKJ10" s="5"/>
      <c r="EKK10" s="5"/>
      <c r="EKL10" s="5"/>
      <c r="EKM10" s="5"/>
      <c r="EKN10" s="5"/>
      <c r="EKO10" s="5"/>
      <c r="EKP10" s="5"/>
      <c r="EKQ10" s="5"/>
      <c r="EKR10" s="5"/>
      <c r="EKS10" s="5"/>
      <c r="EKT10" s="5"/>
      <c r="EKU10" s="5"/>
      <c r="EKV10" s="5"/>
      <c r="EKW10" s="5"/>
      <c r="EKX10" s="5"/>
      <c r="EKY10" s="5"/>
      <c r="EKZ10" s="5"/>
      <c r="ELA10" s="5"/>
      <c r="ELB10" s="5"/>
      <c r="ELC10" s="5"/>
      <c r="ELD10" s="5"/>
      <c r="ELE10" s="5"/>
      <c r="ELF10" s="5"/>
      <c r="ELG10" s="5"/>
      <c r="ELH10" s="5"/>
      <c r="ELI10" s="5"/>
      <c r="ELJ10" s="5"/>
      <c r="ELK10" s="5"/>
      <c r="ELL10" s="5"/>
      <c r="ELM10" s="5"/>
      <c r="ELN10" s="5"/>
      <c r="ELO10" s="5"/>
      <c r="ELP10" s="5"/>
      <c r="ELQ10" s="5"/>
      <c r="ELR10" s="5"/>
      <c r="ELS10" s="5"/>
      <c r="ELT10" s="5"/>
      <c r="ELU10" s="5"/>
      <c r="ELV10" s="5"/>
      <c r="ELW10" s="5"/>
      <c r="ELX10" s="5"/>
      <c r="ELY10" s="5"/>
      <c r="ELZ10" s="5"/>
      <c r="EMA10" s="5"/>
      <c r="EMB10" s="5"/>
      <c r="EMC10" s="5"/>
      <c r="EMD10" s="5"/>
      <c r="EME10" s="5"/>
      <c r="EMF10" s="5"/>
      <c r="EMG10" s="5"/>
      <c r="EMH10" s="5"/>
      <c r="EMI10" s="5"/>
      <c r="EMJ10" s="5"/>
      <c r="EMK10" s="5"/>
      <c r="EML10" s="5"/>
      <c r="EMM10" s="5"/>
      <c r="EMN10" s="5"/>
      <c r="EMO10" s="5"/>
      <c r="EMP10" s="5"/>
      <c r="EMQ10" s="5"/>
      <c r="EMR10" s="5"/>
      <c r="EMS10" s="5"/>
      <c r="EMT10" s="5"/>
      <c r="EMU10" s="5"/>
      <c r="EMV10" s="5"/>
      <c r="EMW10" s="5"/>
      <c r="EMX10" s="5"/>
      <c r="EMY10" s="5"/>
      <c r="EMZ10" s="5"/>
      <c r="ENA10" s="5"/>
      <c r="ENB10" s="5"/>
      <c r="ENC10" s="5"/>
      <c r="END10" s="5"/>
      <c r="ENE10" s="5"/>
      <c r="ENF10" s="5"/>
      <c r="ENG10" s="5"/>
      <c r="ENH10" s="5"/>
      <c r="ENI10" s="5"/>
      <c r="ENJ10" s="5"/>
      <c r="ENK10" s="5"/>
      <c r="ENL10" s="5"/>
      <c r="ENM10" s="5"/>
      <c r="ENN10" s="5"/>
      <c r="ENO10" s="5"/>
      <c r="ENP10" s="5"/>
      <c r="ENQ10" s="5"/>
      <c r="ENR10" s="5"/>
      <c r="ENS10" s="5"/>
      <c r="ENT10" s="5"/>
      <c r="ENU10" s="5"/>
      <c r="ENV10" s="5"/>
      <c r="ENW10" s="5"/>
      <c r="ENX10" s="5"/>
      <c r="ENY10" s="5"/>
      <c r="ENZ10" s="5"/>
      <c r="EOA10" s="5"/>
      <c r="EOB10" s="5"/>
      <c r="EOC10" s="5"/>
      <c r="EOD10" s="5"/>
      <c r="EOE10" s="5"/>
      <c r="EOF10" s="5"/>
      <c r="EOG10" s="5"/>
      <c r="EOH10" s="5"/>
      <c r="EOI10" s="5"/>
      <c r="EOJ10" s="5"/>
      <c r="EOK10" s="5"/>
      <c r="EOL10" s="5"/>
      <c r="EOM10" s="5"/>
      <c r="EON10" s="5"/>
      <c r="EOO10" s="5"/>
      <c r="EOP10" s="5"/>
      <c r="EOQ10" s="5"/>
      <c r="EOR10" s="5"/>
      <c r="EOS10" s="5"/>
      <c r="EOT10" s="5"/>
      <c r="EOU10" s="5"/>
      <c r="EOV10" s="5"/>
      <c r="EOW10" s="5"/>
      <c r="EOX10" s="5"/>
      <c r="EOY10" s="5"/>
      <c r="EOZ10" s="5"/>
      <c r="EPA10" s="5"/>
      <c r="EPB10" s="5"/>
      <c r="EPC10" s="5"/>
      <c r="EPD10" s="5"/>
      <c r="EPE10" s="5"/>
      <c r="EPF10" s="5"/>
      <c r="EPG10" s="5"/>
      <c r="EPH10" s="5"/>
      <c r="EPI10" s="5"/>
      <c r="EPJ10" s="5"/>
      <c r="EPK10" s="5"/>
      <c r="EPL10" s="5"/>
      <c r="EPM10" s="5"/>
      <c r="EPN10" s="5"/>
      <c r="EPO10" s="5"/>
      <c r="EPP10" s="5"/>
      <c r="EPQ10" s="5"/>
      <c r="EPR10" s="5"/>
      <c r="EPS10" s="5"/>
      <c r="EPT10" s="5"/>
      <c r="EPU10" s="5"/>
      <c r="EPV10" s="5"/>
      <c r="EPW10" s="5"/>
      <c r="EPX10" s="5"/>
      <c r="EPY10" s="5"/>
      <c r="EPZ10" s="5"/>
      <c r="EQA10" s="5"/>
      <c r="EQB10" s="5"/>
      <c r="EQC10" s="5"/>
      <c r="EQD10" s="5"/>
      <c r="EQE10" s="5"/>
      <c r="EQF10" s="5"/>
      <c r="EQG10" s="5"/>
      <c r="EQH10" s="5"/>
      <c r="EQI10" s="5"/>
      <c r="EQJ10" s="5"/>
      <c r="EQK10" s="5"/>
      <c r="EQL10" s="5"/>
      <c r="EQM10" s="5"/>
      <c r="EQN10" s="5"/>
      <c r="EQO10" s="5"/>
      <c r="EQP10" s="5"/>
      <c r="EQQ10" s="5"/>
      <c r="EQR10" s="5"/>
      <c r="EQS10" s="5"/>
      <c r="EQT10" s="5"/>
      <c r="EQU10" s="5"/>
      <c r="EQV10" s="5"/>
      <c r="EQW10" s="5"/>
      <c r="EQX10" s="5"/>
      <c r="EQY10" s="5"/>
      <c r="EQZ10" s="5"/>
      <c r="ERA10" s="5"/>
      <c r="ERB10" s="5"/>
      <c r="ERC10" s="5"/>
      <c r="ERD10" s="5"/>
      <c r="ERE10" s="5"/>
      <c r="ERF10" s="5"/>
      <c r="ERG10" s="5"/>
      <c r="ERH10" s="5"/>
      <c r="ERI10" s="5"/>
      <c r="ERJ10" s="5"/>
      <c r="ERK10" s="5"/>
      <c r="ERL10" s="5"/>
      <c r="ERM10" s="5"/>
      <c r="ERN10" s="5"/>
      <c r="ERO10" s="5"/>
      <c r="ERP10" s="5"/>
      <c r="ERQ10" s="5"/>
      <c r="ERR10" s="5"/>
      <c r="ERS10" s="5"/>
      <c r="ERT10" s="5"/>
      <c r="ERU10" s="5"/>
      <c r="ERV10" s="5"/>
      <c r="ERW10" s="5"/>
      <c r="ERX10" s="5"/>
      <c r="ERY10" s="5"/>
      <c r="ERZ10" s="5"/>
      <c r="ESA10" s="5"/>
      <c r="ESB10" s="5"/>
      <c r="ESC10" s="5"/>
      <c r="ESD10" s="5"/>
      <c r="ESE10" s="5"/>
      <c r="ESF10" s="5"/>
      <c r="ESG10" s="5"/>
      <c r="ESH10" s="5"/>
      <c r="ESI10" s="5"/>
      <c r="ESJ10" s="5"/>
      <c r="ESK10" s="5"/>
      <c r="ESL10" s="5"/>
      <c r="ESM10" s="5"/>
      <c r="ESN10" s="5"/>
      <c r="ESO10" s="5"/>
      <c r="ESP10" s="5"/>
      <c r="ESQ10" s="5"/>
      <c r="ESR10" s="5"/>
      <c r="ESS10" s="5"/>
      <c r="EST10" s="5"/>
      <c r="ESU10" s="5"/>
      <c r="ESV10" s="5"/>
      <c r="ESW10" s="5"/>
      <c r="ESX10" s="5"/>
      <c r="ESY10" s="5"/>
      <c r="ESZ10" s="5"/>
      <c r="ETA10" s="5"/>
      <c r="ETB10" s="5"/>
      <c r="ETC10" s="5"/>
      <c r="ETD10" s="5"/>
      <c r="ETE10" s="5"/>
      <c r="ETF10" s="5"/>
      <c r="ETG10" s="5"/>
      <c r="ETH10" s="5"/>
      <c r="ETI10" s="5"/>
      <c r="ETJ10" s="5"/>
      <c r="ETK10" s="5"/>
      <c r="ETL10" s="5"/>
      <c r="ETM10" s="5"/>
      <c r="ETN10" s="5"/>
      <c r="ETO10" s="5"/>
      <c r="ETP10" s="5"/>
      <c r="ETQ10" s="5"/>
      <c r="ETR10" s="5"/>
      <c r="ETS10" s="5"/>
      <c r="ETT10" s="5"/>
      <c r="ETU10" s="5"/>
      <c r="ETV10" s="5"/>
      <c r="ETW10" s="5"/>
      <c r="ETX10" s="5"/>
      <c r="ETY10" s="5"/>
      <c r="ETZ10" s="5"/>
      <c r="EUA10" s="5"/>
      <c r="EUB10" s="5"/>
      <c r="EUC10" s="5"/>
      <c r="EUD10" s="5"/>
      <c r="EUE10" s="5"/>
      <c r="EUF10" s="5"/>
      <c r="EUG10" s="5"/>
      <c r="EUH10" s="5"/>
      <c r="EUI10" s="5"/>
      <c r="EUJ10" s="5"/>
      <c r="EUK10" s="5"/>
      <c r="EUL10" s="5"/>
      <c r="EUM10" s="5"/>
      <c r="EUN10" s="5"/>
      <c r="EUO10" s="5"/>
      <c r="EUP10" s="5"/>
      <c r="EUQ10" s="5"/>
      <c r="EUR10" s="5"/>
      <c r="EUS10" s="5"/>
      <c r="EUT10" s="5"/>
      <c r="EUU10" s="5"/>
      <c r="EUV10" s="5"/>
      <c r="EUW10" s="5"/>
      <c r="EUX10" s="5"/>
      <c r="EUY10" s="5"/>
      <c r="EUZ10" s="5"/>
      <c r="EVA10" s="5"/>
      <c r="EVB10" s="5"/>
      <c r="EVC10" s="5"/>
      <c r="EVD10" s="5"/>
      <c r="EVE10" s="5"/>
      <c r="EVF10" s="5"/>
      <c r="EVG10" s="5"/>
      <c r="EVH10" s="5"/>
      <c r="EVI10" s="5"/>
      <c r="EVJ10" s="5"/>
      <c r="EVK10" s="5"/>
      <c r="EVL10" s="5"/>
      <c r="EVM10" s="5"/>
      <c r="EVN10" s="5"/>
      <c r="EVO10" s="5"/>
      <c r="EVP10" s="5"/>
      <c r="EVQ10" s="5"/>
      <c r="EVR10" s="5"/>
      <c r="EVS10" s="5"/>
      <c r="EVT10" s="5"/>
      <c r="EVU10" s="5"/>
      <c r="EVV10" s="5"/>
      <c r="EVW10" s="5"/>
      <c r="EVX10" s="5"/>
      <c r="EVY10" s="5"/>
      <c r="EVZ10" s="5"/>
      <c r="EWA10" s="5"/>
      <c r="EWB10" s="5"/>
      <c r="EWC10" s="5"/>
      <c r="EWD10" s="5"/>
      <c r="EWE10" s="5"/>
      <c r="EWF10" s="5"/>
      <c r="EWG10" s="5"/>
      <c r="EWH10" s="5"/>
      <c r="EWI10" s="5"/>
      <c r="EWJ10" s="5"/>
      <c r="EWK10" s="5"/>
      <c r="EWL10" s="5"/>
      <c r="EWM10" s="5"/>
      <c r="EWN10" s="5"/>
      <c r="EWO10" s="5"/>
      <c r="EWP10" s="5"/>
      <c r="EWQ10" s="5"/>
      <c r="EWR10" s="5"/>
      <c r="EWS10" s="5"/>
      <c r="EWT10" s="5"/>
      <c r="EWU10" s="5"/>
      <c r="EWV10" s="5"/>
      <c r="EWW10" s="5"/>
      <c r="EWX10" s="5"/>
      <c r="EWY10" s="5"/>
      <c r="EWZ10" s="5"/>
      <c r="EXA10" s="5"/>
      <c r="EXB10" s="5"/>
      <c r="EXC10" s="5"/>
      <c r="EXD10" s="5"/>
      <c r="EXE10" s="5"/>
      <c r="EXF10" s="5"/>
      <c r="EXG10" s="5"/>
      <c r="EXH10" s="5"/>
      <c r="EXI10" s="5"/>
      <c r="EXJ10" s="5"/>
      <c r="EXK10" s="5"/>
      <c r="EXL10" s="5"/>
      <c r="EXM10" s="5"/>
      <c r="EXN10" s="5"/>
      <c r="EXO10" s="5"/>
      <c r="EXP10" s="5"/>
      <c r="EXQ10" s="5"/>
      <c r="EXR10" s="5"/>
      <c r="EXS10" s="5"/>
      <c r="EXT10" s="5"/>
      <c r="EXU10" s="5"/>
      <c r="EXV10" s="5"/>
      <c r="EXW10" s="5"/>
      <c r="EXX10" s="5"/>
      <c r="EXY10" s="5"/>
      <c r="EXZ10" s="5"/>
      <c r="EYA10" s="5"/>
      <c r="EYB10" s="5"/>
      <c r="EYC10" s="5"/>
      <c r="EYD10" s="5"/>
      <c r="EYE10" s="5"/>
      <c r="EYF10" s="5"/>
      <c r="EYG10" s="5"/>
      <c r="EYH10" s="5"/>
      <c r="EYI10" s="5"/>
      <c r="EYJ10" s="5"/>
      <c r="EYK10" s="5"/>
      <c r="EYL10" s="5"/>
      <c r="EYM10" s="5"/>
      <c r="EYN10" s="5"/>
      <c r="EYO10" s="5"/>
      <c r="EYP10" s="5"/>
      <c r="EYQ10" s="5"/>
      <c r="EYR10" s="5"/>
      <c r="EYS10" s="5"/>
      <c r="EYT10" s="5"/>
      <c r="EYU10" s="5"/>
      <c r="EYV10" s="5"/>
      <c r="EYW10" s="5"/>
      <c r="EYX10" s="5"/>
      <c r="EYY10" s="5"/>
      <c r="EYZ10" s="5"/>
      <c r="EZA10" s="5"/>
      <c r="EZB10" s="5"/>
      <c r="EZC10" s="5"/>
      <c r="EZD10" s="5"/>
      <c r="EZE10" s="5"/>
      <c r="EZF10" s="5"/>
      <c r="EZG10" s="5"/>
      <c r="EZH10" s="5"/>
      <c r="EZI10" s="5"/>
      <c r="EZJ10" s="5"/>
      <c r="EZK10" s="5"/>
      <c r="EZL10" s="5"/>
      <c r="EZM10" s="5"/>
      <c r="EZN10" s="5"/>
      <c r="EZO10" s="5"/>
      <c r="EZP10" s="5"/>
      <c r="EZQ10" s="5"/>
      <c r="EZR10" s="5"/>
      <c r="EZS10" s="5"/>
      <c r="EZT10" s="5"/>
      <c r="EZU10" s="5"/>
      <c r="EZV10" s="5"/>
      <c r="EZW10" s="5"/>
      <c r="EZX10" s="5"/>
      <c r="EZY10" s="5"/>
      <c r="EZZ10" s="5"/>
      <c r="FAA10" s="5"/>
      <c r="FAB10" s="5"/>
      <c r="FAC10" s="5"/>
      <c r="FAD10" s="5"/>
      <c r="FAE10" s="5"/>
      <c r="FAF10" s="5"/>
      <c r="FAG10" s="5"/>
      <c r="FAH10" s="5"/>
      <c r="FAI10" s="5"/>
      <c r="FAJ10" s="5"/>
      <c r="FAK10" s="5"/>
      <c r="FAL10" s="5"/>
      <c r="FAM10" s="5"/>
      <c r="FAN10" s="5"/>
      <c r="FAO10" s="5"/>
      <c r="FAP10" s="5"/>
      <c r="FAQ10" s="5"/>
      <c r="FAR10" s="5"/>
      <c r="FAS10" s="5"/>
      <c r="FAT10" s="5"/>
      <c r="FAU10" s="5"/>
      <c r="FAV10" s="5"/>
      <c r="FAW10" s="5"/>
      <c r="FAX10" s="5"/>
      <c r="FAY10" s="5"/>
      <c r="FAZ10" s="5"/>
      <c r="FBA10" s="5"/>
      <c r="FBB10" s="5"/>
      <c r="FBC10" s="5"/>
      <c r="FBD10" s="5"/>
      <c r="FBE10" s="5"/>
      <c r="FBF10" s="5"/>
      <c r="FBG10" s="5"/>
      <c r="FBH10" s="5"/>
      <c r="FBI10" s="5"/>
      <c r="FBJ10" s="5"/>
      <c r="FBK10" s="5"/>
      <c r="FBL10" s="5"/>
      <c r="FBM10" s="5"/>
      <c r="FBN10" s="5"/>
      <c r="FBO10" s="5"/>
      <c r="FBP10" s="5"/>
      <c r="FBQ10" s="5"/>
      <c r="FBR10" s="5"/>
      <c r="FBS10" s="5"/>
      <c r="FBT10" s="5"/>
      <c r="FBU10" s="5"/>
      <c r="FBV10" s="5"/>
      <c r="FBW10" s="5"/>
      <c r="FBX10" s="5"/>
      <c r="FBY10" s="5"/>
      <c r="FBZ10" s="5"/>
      <c r="FCA10" s="5"/>
      <c r="FCB10" s="5"/>
      <c r="FCC10" s="5"/>
      <c r="FCD10" s="5"/>
      <c r="FCE10" s="5"/>
      <c r="FCF10" s="5"/>
      <c r="FCG10" s="5"/>
      <c r="FCH10" s="5"/>
      <c r="FCI10" s="5"/>
      <c r="FCJ10" s="5"/>
      <c r="FCK10" s="5"/>
      <c r="FCL10" s="5"/>
      <c r="FCM10" s="5"/>
      <c r="FCN10" s="5"/>
      <c r="FCO10" s="5"/>
      <c r="FCP10" s="5"/>
      <c r="FCQ10" s="5"/>
      <c r="FCR10" s="5"/>
      <c r="FCS10" s="5"/>
      <c r="FCT10" s="5"/>
      <c r="FCU10" s="5"/>
      <c r="FCV10" s="5"/>
      <c r="FCW10" s="5"/>
      <c r="FCX10" s="5"/>
      <c r="FCY10" s="5"/>
      <c r="FCZ10" s="5"/>
      <c r="FDA10" s="5"/>
      <c r="FDB10" s="5"/>
      <c r="FDC10" s="5"/>
      <c r="FDD10" s="5"/>
      <c r="FDE10" s="5"/>
      <c r="FDF10" s="5"/>
      <c r="FDG10" s="5"/>
      <c r="FDH10" s="5"/>
      <c r="FDI10" s="5"/>
      <c r="FDJ10" s="5"/>
      <c r="FDK10" s="5"/>
      <c r="FDL10" s="5"/>
      <c r="FDM10" s="5"/>
      <c r="FDN10" s="5"/>
      <c r="FDO10" s="5"/>
      <c r="FDP10" s="5"/>
      <c r="FDQ10" s="5"/>
      <c r="FDR10" s="5"/>
      <c r="FDS10" s="5"/>
      <c r="FDT10" s="5"/>
      <c r="FDU10" s="5"/>
      <c r="FDV10" s="5"/>
      <c r="FDW10" s="5"/>
      <c r="FDX10" s="5"/>
      <c r="FDY10" s="5"/>
      <c r="FDZ10" s="5"/>
      <c r="FEA10" s="5"/>
      <c r="FEB10" s="5"/>
      <c r="FEC10" s="5"/>
      <c r="FED10" s="5"/>
      <c r="FEE10" s="5"/>
      <c r="FEF10" s="5"/>
      <c r="FEG10" s="5"/>
      <c r="FEH10" s="5"/>
      <c r="FEI10" s="5"/>
      <c r="FEJ10" s="5"/>
      <c r="FEK10" s="5"/>
      <c r="FEL10" s="5"/>
      <c r="FEM10" s="5"/>
      <c r="FEN10" s="5"/>
      <c r="FEO10" s="5"/>
      <c r="FEP10" s="5"/>
      <c r="FEQ10" s="5"/>
      <c r="FER10" s="5"/>
      <c r="FES10" s="5"/>
      <c r="FET10" s="5"/>
      <c r="FEU10" s="5"/>
      <c r="FEV10" s="5"/>
      <c r="FEW10" s="5"/>
      <c r="FEX10" s="5"/>
      <c r="FEY10" s="5"/>
      <c r="FEZ10" s="5"/>
      <c r="FFA10" s="5"/>
      <c r="FFB10" s="5"/>
      <c r="FFC10" s="5"/>
      <c r="FFD10" s="5"/>
      <c r="FFE10" s="5"/>
      <c r="FFF10" s="5"/>
      <c r="FFG10" s="5"/>
      <c r="FFH10" s="5"/>
      <c r="FFI10" s="5"/>
      <c r="FFJ10" s="5"/>
      <c r="FFK10" s="5"/>
      <c r="FFL10" s="5"/>
      <c r="FFM10" s="5"/>
      <c r="FFN10" s="5"/>
      <c r="FFO10" s="5"/>
      <c r="FFP10" s="5"/>
      <c r="FFQ10" s="5"/>
      <c r="FFR10" s="5"/>
      <c r="FFS10" s="5"/>
      <c r="FFT10" s="5"/>
      <c r="FFU10" s="5"/>
      <c r="FFV10" s="5"/>
      <c r="FFW10" s="5"/>
      <c r="FFX10" s="5"/>
      <c r="FFY10" s="5"/>
      <c r="FFZ10" s="5"/>
      <c r="FGA10" s="5"/>
      <c r="FGB10" s="5"/>
      <c r="FGC10" s="5"/>
      <c r="FGD10" s="5"/>
      <c r="FGE10" s="5"/>
      <c r="FGF10" s="5"/>
      <c r="FGG10" s="5"/>
      <c r="FGH10" s="5"/>
      <c r="FGI10" s="5"/>
      <c r="FGJ10" s="5"/>
      <c r="FGK10" s="5"/>
      <c r="FGL10" s="5"/>
      <c r="FGM10" s="5"/>
      <c r="FGN10" s="5"/>
      <c r="FGO10" s="5"/>
      <c r="FGP10" s="5"/>
      <c r="FGQ10" s="5"/>
      <c r="FGR10" s="5"/>
      <c r="FGS10" s="5"/>
      <c r="FGT10" s="5"/>
      <c r="FGU10" s="5"/>
      <c r="FGV10" s="5"/>
      <c r="FGW10" s="5"/>
      <c r="FGX10" s="5"/>
      <c r="FGY10" s="5"/>
      <c r="FGZ10" s="5"/>
      <c r="FHA10" s="5"/>
      <c r="FHB10" s="5"/>
      <c r="FHC10" s="5"/>
      <c r="FHD10" s="5"/>
      <c r="FHE10" s="5"/>
      <c r="FHF10" s="5"/>
      <c r="FHG10" s="5"/>
      <c r="FHH10" s="5"/>
      <c r="FHI10" s="5"/>
      <c r="FHJ10" s="5"/>
      <c r="FHK10" s="5"/>
      <c r="FHL10" s="5"/>
      <c r="FHM10" s="5"/>
      <c r="FHN10" s="5"/>
      <c r="FHO10" s="5"/>
      <c r="FHP10" s="5"/>
      <c r="FHQ10" s="5"/>
      <c r="FHR10" s="5"/>
      <c r="FHS10" s="5"/>
      <c r="FHT10" s="5"/>
      <c r="FHU10" s="5"/>
      <c r="FHV10" s="5"/>
      <c r="FHW10" s="5"/>
      <c r="FHX10" s="5"/>
      <c r="FHY10" s="5"/>
      <c r="FHZ10" s="5"/>
      <c r="FIA10" s="5"/>
      <c r="FIB10" s="5"/>
      <c r="FIC10" s="5"/>
      <c r="FID10" s="5"/>
      <c r="FIE10" s="5"/>
      <c r="FIF10" s="5"/>
      <c r="FIG10" s="5"/>
      <c r="FIH10" s="5"/>
      <c r="FII10" s="5"/>
      <c r="FIJ10" s="5"/>
      <c r="FIK10" s="5"/>
      <c r="FIL10" s="5"/>
      <c r="FIM10" s="5"/>
      <c r="FIN10" s="5"/>
      <c r="FIO10" s="5"/>
      <c r="FIP10" s="5"/>
      <c r="FIQ10" s="5"/>
      <c r="FIR10" s="5"/>
      <c r="FIS10" s="5"/>
      <c r="FIT10" s="5"/>
      <c r="FIU10" s="5"/>
      <c r="FIV10" s="5"/>
      <c r="FIW10" s="5"/>
      <c r="FIX10" s="5"/>
      <c r="FIY10" s="5"/>
      <c r="FIZ10" s="5"/>
      <c r="FJA10" s="5"/>
      <c r="FJB10" s="5"/>
      <c r="FJC10" s="5"/>
      <c r="FJD10" s="5"/>
      <c r="FJE10" s="5"/>
      <c r="FJF10" s="5"/>
      <c r="FJG10" s="5"/>
      <c r="FJH10" s="5"/>
      <c r="FJI10" s="5"/>
      <c r="FJJ10" s="5"/>
      <c r="FJK10" s="5"/>
      <c r="FJL10" s="5"/>
      <c r="FJM10" s="5"/>
      <c r="FJN10" s="5"/>
      <c r="FJO10" s="5"/>
      <c r="FJP10" s="5"/>
      <c r="FJQ10" s="5"/>
      <c r="FJR10" s="5"/>
      <c r="FJS10" s="5"/>
      <c r="FJT10" s="5"/>
      <c r="FJU10" s="5"/>
      <c r="FJV10" s="5"/>
      <c r="FJW10" s="5"/>
      <c r="FJX10" s="5"/>
      <c r="FJY10" s="5"/>
      <c r="FJZ10" s="5"/>
      <c r="FKA10" s="5"/>
      <c r="FKB10" s="5"/>
      <c r="FKC10" s="5"/>
      <c r="FKD10" s="5"/>
      <c r="FKE10" s="5"/>
      <c r="FKF10" s="5"/>
      <c r="FKG10" s="5"/>
      <c r="FKH10" s="5"/>
      <c r="FKI10" s="5"/>
      <c r="FKJ10" s="5"/>
      <c r="FKK10" s="5"/>
      <c r="FKL10" s="5"/>
      <c r="FKM10" s="5"/>
      <c r="FKN10" s="5"/>
      <c r="FKO10" s="5"/>
      <c r="FKP10" s="5"/>
      <c r="FKQ10" s="5"/>
      <c r="FKR10" s="5"/>
      <c r="FKS10" s="5"/>
      <c r="FKT10" s="5"/>
      <c r="FKU10" s="5"/>
      <c r="FKV10" s="5"/>
      <c r="FKW10" s="5"/>
      <c r="FKX10" s="5"/>
      <c r="FKY10" s="5"/>
      <c r="FKZ10" s="5"/>
      <c r="FLA10" s="5"/>
      <c r="FLB10" s="5"/>
      <c r="FLC10" s="5"/>
      <c r="FLD10" s="5"/>
      <c r="FLE10" s="5"/>
      <c r="FLF10" s="5"/>
      <c r="FLG10" s="5"/>
      <c r="FLH10" s="5"/>
      <c r="FLI10" s="5"/>
      <c r="FLJ10" s="5"/>
      <c r="FLK10" s="5"/>
      <c r="FLL10" s="5"/>
      <c r="FLM10" s="5"/>
      <c r="FLN10" s="5"/>
      <c r="FLO10" s="5"/>
      <c r="FLP10" s="5"/>
      <c r="FLQ10" s="5"/>
      <c r="FLR10" s="5"/>
      <c r="FLS10" s="5"/>
      <c r="FLT10" s="5"/>
      <c r="FLU10" s="5"/>
      <c r="FLV10" s="5"/>
      <c r="FLW10" s="5"/>
      <c r="FLX10" s="5"/>
      <c r="FLY10" s="5"/>
      <c r="FLZ10" s="5"/>
      <c r="FMA10" s="5"/>
      <c r="FMB10" s="5"/>
      <c r="FMC10" s="5"/>
      <c r="FMD10" s="5"/>
      <c r="FME10" s="5"/>
      <c r="FMF10" s="5"/>
      <c r="FMG10" s="5"/>
      <c r="FMH10" s="5"/>
      <c r="FMI10" s="5"/>
      <c r="FMJ10" s="5"/>
      <c r="FMK10" s="5"/>
      <c r="FML10" s="5"/>
      <c r="FMM10" s="5"/>
      <c r="FMN10" s="5"/>
      <c r="FMO10" s="5"/>
      <c r="FMP10" s="5"/>
      <c r="FMQ10" s="5"/>
      <c r="FMR10" s="5"/>
      <c r="FMS10" s="5"/>
      <c r="FMT10" s="5"/>
      <c r="FMU10" s="5"/>
      <c r="FMV10" s="5"/>
      <c r="FMW10" s="5"/>
      <c r="FMX10" s="5"/>
      <c r="FMY10" s="5"/>
      <c r="FMZ10" s="5"/>
      <c r="FNA10" s="5"/>
      <c r="FNB10" s="5"/>
      <c r="FNC10" s="5"/>
      <c r="FND10" s="5"/>
      <c r="FNE10" s="5"/>
      <c r="FNF10" s="5"/>
      <c r="FNG10" s="5"/>
      <c r="FNH10" s="5"/>
      <c r="FNI10" s="5"/>
      <c r="FNJ10" s="5"/>
      <c r="FNK10" s="5"/>
      <c r="FNL10" s="5"/>
      <c r="FNM10" s="5"/>
      <c r="FNN10" s="5"/>
      <c r="FNO10" s="5"/>
      <c r="FNP10" s="5"/>
      <c r="FNQ10" s="5"/>
      <c r="FNR10" s="5"/>
      <c r="FNS10" s="5"/>
      <c r="FNT10" s="5"/>
      <c r="FNU10" s="5"/>
      <c r="FNV10" s="5"/>
      <c r="FNW10" s="5"/>
      <c r="FNX10" s="5"/>
      <c r="FNY10" s="5"/>
      <c r="FNZ10" s="5"/>
      <c r="FOA10" s="5"/>
      <c r="FOB10" s="5"/>
      <c r="FOC10" s="5"/>
      <c r="FOD10" s="5"/>
      <c r="FOE10" s="5"/>
      <c r="FOF10" s="5"/>
      <c r="FOG10" s="5"/>
      <c r="FOH10" s="5"/>
      <c r="FOI10" s="5"/>
      <c r="FOJ10" s="5"/>
      <c r="FOK10" s="5"/>
      <c r="FOL10" s="5"/>
      <c r="FOM10" s="5"/>
      <c r="FON10" s="5"/>
      <c r="FOO10" s="5"/>
      <c r="FOP10" s="5"/>
      <c r="FOQ10" s="5"/>
      <c r="FOR10" s="5"/>
      <c r="FOS10" s="5"/>
      <c r="FOT10" s="5"/>
      <c r="FOU10" s="5"/>
      <c r="FOV10" s="5"/>
      <c r="FOW10" s="5"/>
      <c r="FOX10" s="5"/>
      <c r="FOY10" s="5"/>
      <c r="FOZ10" s="5"/>
      <c r="FPA10" s="5"/>
      <c r="FPB10" s="5"/>
      <c r="FPC10" s="5"/>
      <c r="FPD10" s="5"/>
      <c r="FPE10" s="5"/>
      <c r="FPF10" s="5"/>
      <c r="FPG10" s="5"/>
      <c r="FPH10" s="5"/>
      <c r="FPI10" s="5"/>
      <c r="FPJ10" s="5"/>
      <c r="FPK10" s="5"/>
      <c r="FPL10" s="5"/>
      <c r="FPM10" s="5"/>
      <c r="FPN10" s="5"/>
      <c r="FPO10" s="5"/>
      <c r="FPP10" s="5"/>
      <c r="FPQ10" s="5"/>
      <c r="FPR10" s="5"/>
      <c r="FPS10" s="5"/>
      <c r="FPT10" s="5"/>
      <c r="FPU10" s="5"/>
      <c r="FPV10" s="5"/>
      <c r="FPW10" s="5"/>
      <c r="FPX10" s="5"/>
      <c r="FPY10" s="5"/>
      <c r="FPZ10" s="5"/>
      <c r="FQA10" s="5"/>
      <c r="FQB10" s="5"/>
      <c r="FQC10" s="5"/>
      <c r="FQD10" s="5"/>
      <c r="FQE10" s="5"/>
      <c r="FQF10" s="5"/>
      <c r="FQG10" s="5"/>
      <c r="FQH10" s="5"/>
      <c r="FQI10" s="5"/>
      <c r="FQJ10" s="5"/>
      <c r="FQK10" s="5"/>
      <c r="FQL10" s="5"/>
      <c r="FQM10" s="5"/>
      <c r="FQN10" s="5"/>
      <c r="FQO10" s="5"/>
      <c r="FQP10" s="5"/>
      <c r="FQQ10" s="5"/>
      <c r="FQR10" s="5"/>
      <c r="FQS10" s="5"/>
      <c r="FQT10" s="5"/>
      <c r="FQU10" s="5"/>
      <c r="FQV10" s="5"/>
      <c r="FQW10" s="5"/>
      <c r="FQX10" s="5"/>
      <c r="FQY10" s="5"/>
      <c r="FQZ10" s="5"/>
      <c r="FRA10" s="5"/>
      <c r="FRB10" s="5"/>
      <c r="FRC10" s="5"/>
      <c r="FRD10" s="5"/>
      <c r="FRE10" s="5"/>
      <c r="FRF10" s="5"/>
      <c r="FRG10" s="5"/>
      <c r="FRH10" s="5"/>
      <c r="FRI10" s="5"/>
      <c r="FRJ10" s="5"/>
      <c r="FRK10" s="5"/>
      <c r="FRL10" s="5"/>
      <c r="FRM10" s="5"/>
      <c r="FRN10" s="5"/>
      <c r="FRO10" s="5"/>
      <c r="FRP10" s="5"/>
      <c r="FRQ10" s="5"/>
      <c r="FRR10" s="5"/>
      <c r="FRS10" s="5"/>
      <c r="FRT10" s="5"/>
      <c r="FRU10" s="5"/>
      <c r="FRV10" s="5"/>
      <c r="FRW10" s="5"/>
      <c r="FRX10" s="5"/>
      <c r="FRY10" s="5"/>
      <c r="FRZ10" s="5"/>
      <c r="FSA10" s="5"/>
      <c r="FSB10" s="5"/>
      <c r="FSC10" s="5"/>
      <c r="FSD10" s="5"/>
      <c r="FSE10" s="5"/>
      <c r="FSF10" s="5"/>
      <c r="FSG10" s="5"/>
      <c r="FSH10" s="5"/>
      <c r="FSI10" s="5"/>
      <c r="FSJ10" s="5"/>
      <c r="FSK10" s="5"/>
      <c r="FSL10" s="5"/>
      <c r="FSM10" s="5"/>
      <c r="FSN10" s="5"/>
      <c r="FSO10" s="5"/>
      <c r="FSP10" s="5"/>
      <c r="FSQ10" s="5"/>
      <c r="FSR10" s="5"/>
      <c r="FSS10" s="5"/>
      <c r="FST10" s="5"/>
      <c r="FSU10" s="5"/>
      <c r="FSV10" s="5"/>
      <c r="FSW10" s="5"/>
      <c r="FSX10" s="5"/>
      <c r="FSY10" s="5"/>
      <c r="FSZ10" s="5"/>
      <c r="FTA10" s="5"/>
      <c r="FTB10" s="5"/>
      <c r="FTC10" s="5"/>
      <c r="FTD10" s="5"/>
      <c r="FTE10" s="5"/>
      <c r="FTF10" s="5"/>
      <c r="FTG10" s="5"/>
      <c r="FTH10" s="5"/>
      <c r="FTI10" s="5"/>
      <c r="FTJ10" s="5"/>
      <c r="FTK10" s="5"/>
      <c r="FTL10" s="5"/>
      <c r="FTM10" s="5"/>
      <c r="FTN10" s="5"/>
      <c r="FTO10" s="5"/>
      <c r="FTP10" s="5"/>
      <c r="FTQ10" s="5"/>
      <c r="FTR10" s="5"/>
      <c r="FTS10" s="5"/>
      <c r="FTT10" s="5"/>
      <c r="FTU10" s="5"/>
      <c r="FTV10" s="5"/>
      <c r="FTW10" s="5"/>
      <c r="FTX10" s="5"/>
      <c r="FTY10" s="5"/>
      <c r="FTZ10" s="5"/>
      <c r="FUA10" s="5"/>
      <c r="FUB10" s="5"/>
      <c r="FUC10" s="5"/>
      <c r="FUD10" s="5"/>
      <c r="FUE10" s="5"/>
      <c r="FUF10" s="5"/>
      <c r="FUG10" s="5"/>
      <c r="FUH10" s="5"/>
      <c r="FUI10" s="5"/>
      <c r="FUJ10" s="5"/>
      <c r="FUK10" s="5"/>
      <c r="FUL10" s="5"/>
      <c r="FUM10" s="5"/>
      <c r="FUN10" s="5"/>
      <c r="FUO10" s="5"/>
      <c r="FUP10" s="5"/>
      <c r="FUQ10" s="5"/>
      <c r="FUR10" s="5"/>
      <c r="FUS10" s="5"/>
      <c r="FUT10" s="5"/>
      <c r="FUU10" s="5"/>
      <c r="FUV10" s="5"/>
      <c r="FUW10" s="5"/>
      <c r="FUX10" s="5"/>
      <c r="FUY10" s="5"/>
      <c r="FUZ10" s="5"/>
      <c r="FVA10" s="5"/>
      <c r="FVB10" s="5"/>
      <c r="FVC10" s="5"/>
      <c r="FVD10" s="5"/>
      <c r="FVE10" s="5"/>
      <c r="FVF10" s="5"/>
      <c r="FVG10" s="5"/>
      <c r="FVH10" s="5"/>
      <c r="FVI10" s="5"/>
      <c r="FVJ10" s="5"/>
      <c r="FVK10" s="5"/>
      <c r="FVL10" s="5"/>
      <c r="FVM10" s="5"/>
      <c r="FVN10" s="5"/>
      <c r="FVO10" s="5"/>
      <c r="FVP10" s="5"/>
      <c r="FVQ10" s="5"/>
      <c r="FVR10" s="5"/>
      <c r="FVS10" s="5"/>
      <c r="FVT10" s="5"/>
      <c r="FVU10" s="5"/>
      <c r="FVV10" s="5"/>
      <c r="FVW10" s="5"/>
      <c r="FVX10" s="5"/>
      <c r="FVY10" s="5"/>
      <c r="FVZ10" s="5"/>
      <c r="FWA10" s="5"/>
      <c r="FWB10" s="5"/>
      <c r="FWC10" s="5"/>
      <c r="FWD10" s="5"/>
      <c r="FWE10" s="5"/>
      <c r="FWF10" s="5"/>
      <c r="FWG10" s="5"/>
      <c r="FWH10" s="5"/>
      <c r="FWI10" s="5"/>
      <c r="FWJ10" s="5"/>
      <c r="FWK10" s="5"/>
      <c r="FWL10" s="5"/>
      <c r="FWM10" s="5"/>
      <c r="FWN10" s="5"/>
      <c r="FWO10" s="5"/>
      <c r="FWP10" s="5"/>
      <c r="FWQ10" s="5"/>
      <c r="FWR10" s="5"/>
      <c r="FWS10" s="5"/>
      <c r="FWT10" s="5"/>
      <c r="FWU10" s="5"/>
      <c r="FWV10" s="5"/>
      <c r="FWW10" s="5"/>
      <c r="FWX10" s="5"/>
      <c r="FWY10" s="5"/>
      <c r="FWZ10" s="5"/>
      <c r="FXA10" s="5"/>
      <c r="FXB10" s="5"/>
      <c r="FXC10" s="5"/>
      <c r="FXD10" s="5"/>
      <c r="FXE10" s="5"/>
      <c r="FXF10" s="5"/>
      <c r="FXG10" s="5"/>
      <c r="FXH10" s="5"/>
      <c r="FXI10" s="5"/>
      <c r="FXJ10" s="5"/>
      <c r="FXK10" s="5"/>
      <c r="FXL10" s="5"/>
      <c r="FXM10" s="5"/>
      <c r="FXN10" s="5"/>
      <c r="FXO10" s="5"/>
      <c r="FXP10" s="5"/>
      <c r="FXQ10" s="5"/>
      <c r="FXR10" s="5"/>
      <c r="FXS10" s="5"/>
      <c r="FXT10" s="5"/>
      <c r="FXU10" s="5"/>
      <c r="FXV10" s="5"/>
      <c r="FXW10" s="5"/>
      <c r="FXX10" s="5"/>
      <c r="FXY10" s="5"/>
      <c r="FXZ10" s="5"/>
      <c r="FYA10" s="5"/>
      <c r="FYB10" s="5"/>
      <c r="FYC10" s="5"/>
      <c r="FYD10" s="5"/>
      <c r="FYE10" s="5"/>
      <c r="FYF10" s="5"/>
      <c r="FYG10" s="5"/>
      <c r="FYH10" s="5"/>
      <c r="FYI10" s="5"/>
      <c r="FYJ10" s="5"/>
      <c r="FYK10" s="5"/>
      <c r="FYL10" s="5"/>
      <c r="FYM10" s="5"/>
      <c r="FYN10" s="5"/>
      <c r="FYO10" s="5"/>
      <c r="FYP10" s="5"/>
      <c r="FYQ10" s="5"/>
      <c r="FYR10" s="5"/>
      <c r="FYS10" s="5"/>
      <c r="FYT10" s="5"/>
      <c r="FYU10" s="5"/>
      <c r="FYV10" s="5"/>
      <c r="FYW10" s="5"/>
      <c r="FYX10" s="5"/>
      <c r="FYY10" s="5"/>
      <c r="FYZ10" s="5"/>
      <c r="FZA10" s="5"/>
      <c r="FZB10" s="5"/>
      <c r="FZC10" s="5"/>
      <c r="FZD10" s="5"/>
      <c r="FZE10" s="5"/>
      <c r="FZF10" s="5"/>
      <c r="FZG10" s="5"/>
      <c r="FZH10" s="5"/>
      <c r="FZI10" s="5"/>
      <c r="FZJ10" s="5"/>
      <c r="FZK10" s="5"/>
      <c r="FZL10" s="5"/>
      <c r="FZM10" s="5"/>
      <c r="FZN10" s="5"/>
      <c r="FZO10" s="5"/>
      <c r="FZP10" s="5"/>
      <c r="FZQ10" s="5"/>
      <c r="FZR10" s="5"/>
      <c r="FZS10" s="5"/>
      <c r="FZT10" s="5"/>
      <c r="FZU10" s="5"/>
      <c r="FZV10" s="5"/>
      <c r="FZW10" s="5"/>
      <c r="FZX10" s="5"/>
      <c r="FZY10" s="5"/>
      <c r="FZZ10" s="5"/>
      <c r="GAA10" s="5"/>
      <c r="GAB10" s="5"/>
      <c r="GAC10" s="5"/>
      <c r="GAD10" s="5"/>
      <c r="GAE10" s="5"/>
      <c r="GAF10" s="5"/>
      <c r="GAG10" s="5"/>
      <c r="GAH10" s="5"/>
      <c r="GAI10" s="5"/>
      <c r="GAJ10" s="5"/>
      <c r="GAK10" s="5"/>
      <c r="GAL10" s="5"/>
      <c r="GAM10" s="5"/>
      <c r="GAN10" s="5"/>
      <c r="GAO10" s="5"/>
      <c r="GAP10" s="5"/>
      <c r="GAQ10" s="5"/>
      <c r="GAR10" s="5"/>
      <c r="GAS10" s="5"/>
      <c r="GAT10" s="5"/>
      <c r="GAU10" s="5"/>
      <c r="GAV10" s="5"/>
      <c r="GAW10" s="5"/>
      <c r="GAX10" s="5"/>
      <c r="GAY10" s="5"/>
      <c r="GAZ10" s="5"/>
      <c r="GBA10" s="5"/>
      <c r="GBB10" s="5"/>
      <c r="GBC10" s="5"/>
      <c r="GBD10" s="5"/>
      <c r="GBE10" s="5"/>
      <c r="GBF10" s="5"/>
      <c r="GBG10" s="5"/>
      <c r="GBH10" s="5"/>
      <c r="GBI10" s="5"/>
      <c r="GBJ10" s="5"/>
      <c r="GBK10" s="5"/>
      <c r="GBL10" s="5"/>
      <c r="GBM10" s="5"/>
      <c r="GBN10" s="5"/>
      <c r="GBO10" s="5"/>
      <c r="GBP10" s="5"/>
      <c r="GBQ10" s="5"/>
      <c r="GBR10" s="5"/>
      <c r="GBS10" s="5"/>
      <c r="GBT10" s="5"/>
      <c r="GBU10" s="5"/>
      <c r="GBV10" s="5"/>
      <c r="GBW10" s="5"/>
      <c r="GBX10" s="5"/>
      <c r="GBY10" s="5"/>
      <c r="GBZ10" s="5"/>
      <c r="GCA10" s="5"/>
      <c r="GCB10" s="5"/>
      <c r="GCC10" s="5"/>
      <c r="GCD10" s="5"/>
      <c r="GCE10" s="5"/>
      <c r="GCF10" s="5"/>
      <c r="GCG10" s="5"/>
      <c r="GCH10" s="5"/>
      <c r="GCI10" s="5"/>
      <c r="GCJ10" s="5"/>
      <c r="GCK10" s="5"/>
      <c r="GCL10" s="5"/>
      <c r="GCM10" s="5"/>
      <c r="GCN10" s="5"/>
      <c r="GCO10" s="5"/>
      <c r="GCP10" s="5"/>
      <c r="GCQ10" s="5"/>
      <c r="GCR10" s="5"/>
      <c r="GCS10" s="5"/>
      <c r="GCT10" s="5"/>
      <c r="GCU10" s="5"/>
      <c r="GCV10" s="5"/>
      <c r="GCW10" s="5"/>
      <c r="GCX10" s="5"/>
      <c r="GCY10" s="5"/>
      <c r="GCZ10" s="5"/>
      <c r="GDA10" s="5"/>
      <c r="GDB10" s="5"/>
      <c r="GDC10" s="5"/>
      <c r="GDD10" s="5"/>
      <c r="GDE10" s="5"/>
      <c r="GDF10" s="5"/>
      <c r="GDG10" s="5"/>
      <c r="GDH10" s="5"/>
      <c r="GDI10" s="5"/>
      <c r="GDJ10" s="5"/>
      <c r="GDK10" s="5"/>
      <c r="GDL10" s="5"/>
      <c r="GDM10" s="5"/>
      <c r="GDN10" s="5"/>
      <c r="GDO10" s="5"/>
      <c r="GDP10" s="5"/>
      <c r="GDQ10" s="5"/>
      <c r="GDR10" s="5"/>
      <c r="GDS10" s="5"/>
      <c r="GDT10" s="5"/>
      <c r="GDU10" s="5"/>
      <c r="GDV10" s="5"/>
      <c r="GDW10" s="5"/>
      <c r="GDX10" s="5"/>
      <c r="GDY10" s="5"/>
      <c r="GDZ10" s="5"/>
      <c r="GEA10" s="5"/>
      <c r="GEB10" s="5"/>
      <c r="GEC10" s="5"/>
      <c r="GED10" s="5"/>
      <c r="GEE10" s="5"/>
      <c r="GEF10" s="5"/>
      <c r="GEG10" s="5"/>
      <c r="GEH10" s="5"/>
      <c r="GEI10" s="5"/>
      <c r="GEJ10" s="5"/>
      <c r="GEK10" s="5"/>
      <c r="GEL10" s="5"/>
      <c r="GEM10" s="5"/>
      <c r="GEN10" s="5"/>
      <c r="GEO10" s="5"/>
      <c r="GEP10" s="5"/>
      <c r="GEQ10" s="5"/>
      <c r="GER10" s="5"/>
      <c r="GES10" s="5"/>
      <c r="GET10" s="5"/>
      <c r="GEU10" s="5"/>
      <c r="GEV10" s="5"/>
      <c r="GEW10" s="5"/>
      <c r="GEX10" s="5"/>
      <c r="GEY10" s="5"/>
      <c r="GEZ10" s="5"/>
      <c r="GFA10" s="5"/>
      <c r="GFB10" s="5"/>
      <c r="GFC10" s="5"/>
      <c r="GFD10" s="5"/>
      <c r="GFE10" s="5"/>
      <c r="GFF10" s="5"/>
      <c r="GFG10" s="5"/>
      <c r="GFH10" s="5"/>
      <c r="GFI10" s="5"/>
      <c r="GFJ10" s="5"/>
      <c r="GFK10" s="5"/>
      <c r="GFL10" s="5"/>
      <c r="GFM10" s="5"/>
      <c r="GFN10" s="5"/>
      <c r="GFO10" s="5"/>
      <c r="GFP10" s="5"/>
      <c r="GFQ10" s="5"/>
      <c r="GFR10" s="5"/>
      <c r="GFS10" s="5"/>
      <c r="GFT10" s="5"/>
      <c r="GFU10" s="5"/>
      <c r="GFV10" s="5"/>
      <c r="GFW10" s="5"/>
      <c r="GFX10" s="5"/>
      <c r="GFY10" s="5"/>
      <c r="GFZ10" s="5"/>
      <c r="GGA10" s="5"/>
      <c r="GGB10" s="5"/>
      <c r="GGC10" s="5"/>
      <c r="GGD10" s="5"/>
      <c r="GGE10" s="5"/>
      <c r="GGF10" s="5"/>
      <c r="GGG10" s="5"/>
      <c r="GGH10" s="5"/>
      <c r="GGI10" s="5"/>
      <c r="GGJ10" s="5"/>
      <c r="GGK10" s="5"/>
      <c r="GGL10" s="5"/>
      <c r="GGM10" s="5"/>
      <c r="GGN10" s="5"/>
      <c r="GGO10" s="5"/>
      <c r="GGP10" s="5"/>
      <c r="GGQ10" s="5"/>
      <c r="GGR10" s="5"/>
      <c r="GGS10" s="5"/>
      <c r="GGT10" s="5"/>
      <c r="GGU10" s="5"/>
      <c r="GGV10" s="5"/>
      <c r="GGW10" s="5"/>
      <c r="GGX10" s="5"/>
      <c r="GGY10" s="5"/>
      <c r="GGZ10" s="5"/>
      <c r="GHA10" s="5"/>
      <c r="GHB10" s="5"/>
      <c r="GHC10" s="5"/>
      <c r="GHD10" s="5"/>
      <c r="GHE10" s="5"/>
      <c r="GHF10" s="5"/>
      <c r="GHG10" s="5"/>
      <c r="GHH10" s="5"/>
      <c r="GHI10" s="5"/>
      <c r="GHJ10" s="5"/>
      <c r="GHK10" s="5"/>
      <c r="GHL10" s="5"/>
      <c r="GHM10" s="5"/>
      <c r="GHN10" s="5"/>
      <c r="GHO10" s="5"/>
      <c r="GHP10" s="5"/>
      <c r="GHQ10" s="5"/>
      <c r="GHR10" s="5"/>
      <c r="GHS10" s="5"/>
      <c r="GHT10" s="5"/>
      <c r="GHU10" s="5"/>
      <c r="GHV10" s="5"/>
      <c r="GHW10" s="5"/>
      <c r="GHX10" s="5"/>
      <c r="GHY10" s="5"/>
      <c r="GHZ10" s="5"/>
      <c r="GIA10" s="5"/>
      <c r="GIB10" s="5"/>
      <c r="GIC10" s="5"/>
      <c r="GID10" s="5"/>
      <c r="GIE10" s="5"/>
      <c r="GIF10" s="5"/>
      <c r="GIG10" s="5"/>
      <c r="GIH10" s="5"/>
      <c r="GII10" s="5"/>
      <c r="GIJ10" s="5"/>
      <c r="GIK10" s="5"/>
      <c r="GIL10" s="5"/>
      <c r="GIM10" s="5"/>
      <c r="GIN10" s="5"/>
      <c r="GIO10" s="5"/>
      <c r="GIP10" s="5"/>
      <c r="GIQ10" s="5"/>
      <c r="GIR10" s="5"/>
      <c r="GIS10" s="5"/>
      <c r="GIT10" s="5"/>
      <c r="GIU10" s="5"/>
      <c r="GIV10" s="5"/>
      <c r="GIW10" s="5"/>
      <c r="GIX10" s="5"/>
      <c r="GIY10" s="5"/>
      <c r="GIZ10" s="5"/>
      <c r="GJA10" s="5"/>
      <c r="GJB10" s="5"/>
      <c r="GJC10" s="5"/>
      <c r="GJD10" s="5"/>
      <c r="GJE10" s="5"/>
      <c r="GJF10" s="5"/>
      <c r="GJG10" s="5"/>
      <c r="GJH10" s="5"/>
      <c r="GJI10" s="5"/>
      <c r="GJJ10" s="5"/>
      <c r="GJK10" s="5"/>
      <c r="GJL10" s="5"/>
      <c r="GJM10" s="5"/>
      <c r="GJN10" s="5"/>
      <c r="GJO10" s="5"/>
      <c r="GJP10" s="5"/>
      <c r="GJQ10" s="5"/>
      <c r="GJR10" s="5"/>
      <c r="GJS10" s="5"/>
      <c r="GJT10" s="5"/>
      <c r="GJU10" s="5"/>
      <c r="GJV10" s="5"/>
      <c r="GJW10" s="5"/>
      <c r="GJX10" s="5"/>
      <c r="GJY10" s="5"/>
      <c r="GJZ10" s="5"/>
      <c r="GKA10" s="5"/>
      <c r="GKB10" s="5"/>
      <c r="GKC10" s="5"/>
      <c r="GKD10" s="5"/>
      <c r="GKE10" s="5"/>
      <c r="GKF10" s="5"/>
      <c r="GKG10" s="5"/>
      <c r="GKH10" s="5"/>
      <c r="GKI10" s="5"/>
      <c r="GKJ10" s="5"/>
      <c r="GKK10" s="5"/>
      <c r="GKL10" s="5"/>
      <c r="GKM10" s="5"/>
      <c r="GKN10" s="5"/>
      <c r="GKO10" s="5"/>
      <c r="GKP10" s="5"/>
      <c r="GKQ10" s="5"/>
      <c r="GKR10" s="5"/>
      <c r="GKS10" s="5"/>
      <c r="GKT10" s="5"/>
      <c r="GKU10" s="5"/>
      <c r="GKV10" s="5"/>
      <c r="GKW10" s="5"/>
      <c r="GKX10" s="5"/>
      <c r="GKY10" s="5"/>
      <c r="GKZ10" s="5"/>
      <c r="GLA10" s="5"/>
      <c r="GLB10" s="5"/>
      <c r="GLC10" s="5"/>
      <c r="GLD10" s="5"/>
      <c r="GLE10" s="5"/>
      <c r="GLF10" s="5"/>
      <c r="GLG10" s="5"/>
      <c r="GLH10" s="5"/>
      <c r="GLI10" s="5"/>
      <c r="GLJ10" s="5"/>
      <c r="GLK10" s="5"/>
      <c r="GLL10" s="5"/>
      <c r="GLM10" s="5"/>
      <c r="GLN10" s="5"/>
      <c r="GLO10" s="5"/>
      <c r="GLP10" s="5"/>
      <c r="GLQ10" s="5"/>
      <c r="GLR10" s="5"/>
      <c r="GLS10" s="5"/>
      <c r="GLT10" s="5"/>
      <c r="GLU10" s="5"/>
      <c r="GLV10" s="5"/>
      <c r="GLW10" s="5"/>
      <c r="GLX10" s="5"/>
      <c r="GLY10" s="5"/>
      <c r="GLZ10" s="5"/>
      <c r="GMA10" s="5"/>
      <c r="GMB10" s="5"/>
      <c r="GMC10" s="5"/>
      <c r="GMD10" s="5"/>
      <c r="GME10" s="5"/>
      <c r="GMF10" s="5"/>
      <c r="GMG10" s="5"/>
      <c r="GMH10" s="5"/>
      <c r="GMI10" s="5"/>
      <c r="GMJ10" s="5"/>
      <c r="GMK10" s="5"/>
      <c r="GML10" s="5"/>
      <c r="GMM10" s="5"/>
      <c r="GMN10" s="5"/>
      <c r="GMO10" s="5"/>
      <c r="GMP10" s="5"/>
      <c r="GMQ10" s="5"/>
      <c r="GMR10" s="5"/>
      <c r="GMS10" s="5"/>
      <c r="GMT10" s="5"/>
      <c r="GMU10" s="5"/>
      <c r="GMV10" s="5"/>
      <c r="GMW10" s="5"/>
      <c r="GMX10" s="5"/>
      <c r="GMY10" s="5"/>
      <c r="GMZ10" s="5"/>
      <c r="GNA10" s="5"/>
      <c r="GNB10" s="5"/>
      <c r="GNC10" s="5"/>
      <c r="GND10" s="5"/>
      <c r="GNE10" s="5"/>
      <c r="GNF10" s="5"/>
      <c r="GNG10" s="5"/>
      <c r="GNH10" s="5"/>
      <c r="GNI10" s="5"/>
      <c r="GNJ10" s="5"/>
      <c r="GNK10" s="5"/>
      <c r="GNL10" s="5"/>
      <c r="GNM10" s="5"/>
      <c r="GNN10" s="5"/>
      <c r="GNO10" s="5"/>
      <c r="GNP10" s="5"/>
      <c r="GNQ10" s="5"/>
      <c r="GNR10" s="5"/>
      <c r="GNS10" s="5"/>
      <c r="GNT10" s="5"/>
      <c r="GNU10" s="5"/>
      <c r="GNV10" s="5"/>
      <c r="GNW10" s="5"/>
      <c r="GNX10" s="5"/>
      <c r="GNY10" s="5"/>
      <c r="GNZ10" s="5"/>
      <c r="GOA10" s="5"/>
      <c r="GOB10" s="5"/>
      <c r="GOC10" s="5"/>
      <c r="GOD10" s="5"/>
      <c r="GOE10" s="5"/>
      <c r="GOF10" s="5"/>
      <c r="GOG10" s="5"/>
      <c r="GOH10" s="5"/>
      <c r="GOI10" s="5"/>
      <c r="GOJ10" s="5"/>
      <c r="GOK10" s="5"/>
      <c r="GOL10" s="5"/>
      <c r="GOM10" s="5"/>
      <c r="GON10" s="5"/>
      <c r="GOO10" s="5"/>
      <c r="GOP10" s="5"/>
      <c r="GOQ10" s="5"/>
      <c r="GOR10" s="5"/>
      <c r="GOS10" s="5"/>
      <c r="GOT10" s="5"/>
      <c r="GOU10" s="5"/>
      <c r="GOV10" s="5"/>
      <c r="GOW10" s="5"/>
      <c r="GOX10" s="5"/>
      <c r="GOY10" s="5"/>
      <c r="GOZ10" s="5"/>
      <c r="GPA10" s="5"/>
      <c r="GPB10" s="5"/>
      <c r="GPC10" s="5"/>
      <c r="GPD10" s="5"/>
      <c r="GPE10" s="5"/>
      <c r="GPF10" s="5"/>
      <c r="GPG10" s="5"/>
      <c r="GPH10" s="5"/>
      <c r="GPI10" s="5"/>
      <c r="GPJ10" s="5"/>
      <c r="GPK10" s="5"/>
      <c r="GPL10" s="5"/>
      <c r="GPM10" s="5"/>
      <c r="GPN10" s="5"/>
      <c r="GPO10" s="5"/>
      <c r="GPP10" s="5"/>
      <c r="GPQ10" s="5"/>
      <c r="GPR10" s="5"/>
      <c r="GPS10" s="5"/>
      <c r="GPT10" s="5"/>
      <c r="GPU10" s="5"/>
      <c r="GPV10" s="5"/>
      <c r="GPW10" s="5"/>
      <c r="GPX10" s="5"/>
      <c r="GPY10" s="5"/>
      <c r="GPZ10" s="5"/>
      <c r="GQA10" s="5"/>
      <c r="GQB10" s="5"/>
      <c r="GQC10" s="5"/>
      <c r="GQD10" s="5"/>
      <c r="GQE10" s="5"/>
      <c r="GQF10" s="5"/>
      <c r="GQG10" s="5"/>
      <c r="GQH10" s="5"/>
      <c r="GQI10" s="5"/>
      <c r="GQJ10" s="5"/>
      <c r="GQK10" s="5"/>
      <c r="GQL10" s="5"/>
      <c r="GQM10" s="5"/>
      <c r="GQN10" s="5"/>
      <c r="GQO10" s="5"/>
      <c r="GQP10" s="5"/>
      <c r="GQQ10" s="5"/>
      <c r="GQR10" s="5"/>
      <c r="GQS10" s="5"/>
      <c r="GQT10" s="5"/>
      <c r="GQU10" s="5"/>
      <c r="GQV10" s="5"/>
      <c r="GQW10" s="5"/>
      <c r="GQX10" s="5"/>
      <c r="GQY10" s="5"/>
      <c r="GQZ10" s="5"/>
      <c r="GRA10" s="5"/>
      <c r="GRB10" s="5"/>
      <c r="GRC10" s="5"/>
      <c r="GRD10" s="5"/>
      <c r="GRE10" s="5"/>
      <c r="GRF10" s="5"/>
      <c r="GRG10" s="5"/>
      <c r="GRH10" s="5"/>
      <c r="GRI10" s="5"/>
      <c r="GRJ10" s="5"/>
      <c r="GRK10" s="5"/>
      <c r="GRL10" s="5"/>
      <c r="GRM10" s="5"/>
      <c r="GRN10" s="5"/>
      <c r="GRO10" s="5"/>
      <c r="GRP10" s="5"/>
      <c r="GRQ10" s="5"/>
      <c r="GRR10" s="5"/>
      <c r="GRS10" s="5"/>
      <c r="GRT10" s="5"/>
      <c r="GRU10" s="5"/>
      <c r="GRV10" s="5"/>
      <c r="GRW10" s="5"/>
      <c r="GRX10" s="5"/>
      <c r="GRY10" s="5"/>
      <c r="GRZ10" s="5"/>
      <c r="GSA10" s="5"/>
      <c r="GSB10" s="5"/>
      <c r="GSC10" s="5"/>
      <c r="GSD10" s="5"/>
      <c r="GSE10" s="5"/>
      <c r="GSF10" s="5"/>
      <c r="GSG10" s="5"/>
      <c r="GSH10" s="5"/>
      <c r="GSI10" s="5"/>
      <c r="GSJ10" s="5"/>
      <c r="GSK10" s="5"/>
      <c r="GSL10" s="5"/>
      <c r="GSM10" s="5"/>
      <c r="GSN10" s="5"/>
      <c r="GSO10" s="5"/>
      <c r="GSP10" s="5"/>
      <c r="GSQ10" s="5"/>
      <c r="GSR10" s="5"/>
      <c r="GSS10" s="5"/>
      <c r="GST10" s="5"/>
      <c r="GSU10" s="5"/>
      <c r="GSV10" s="5"/>
      <c r="GSW10" s="5"/>
      <c r="GSX10" s="5"/>
      <c r="GSY10" s="5"/>
      <c r="GSZ10" s="5"/>
      <c r="GTA10" s="5"/>
      <c r="GTB10" s="5"/>
      <c r="GTC10" s="5"/>
      <c r="GTD10" s="5"/>
      <c r="GTE10" s="5"/>
      <c r="GTF10" s="5"/>
      <c r="GTG10" s="5"/>
      <c r="GTH10" s="5"/>
      <c r="GTI10" s="5"/>
      <c r="GTJ10" s="5"/>
      <c r="GTK10" s="5"/>
      <c r="GTL10" s="5"/>
      <c r="GTM10" s="5"/>
      <c r="GTN10" s="5"/>
      <c r="GTO10" s="5"/>
      <c r="GTP10" s="5"/>
      <c r="GTQ10" s="5"/>
      <c r="GTR10" s="5"/>
      <c r="GTS10" s="5"/>
      <c r="GTT10" s="5"/>
      <c r="GTU10" s="5"/>
      <c r="GTV10" s="5"/>
      <c r="GTW10" s="5"/>
      <c r="GTX10" s="5"/>
      <c r="GTY10" s="5"/>
      <c r="GTZ10" s="5"/>
      <c r="GUA10" s="5"/>
      <c r="GUB10" s="5"/>
      <c r="GUC10" s="5"/>
      <c r="GUD10" s="5"/>
      <c r="GUE10" s="5"/>
      <c r="GUF10" s="5"/>
      <c r="GUG10" s="5"/>
      <c r="GUH10" s="5"/>
      <c r="GUI10" s="5"/>
      <c r="GUJ10" s="5"/>
      <c r="GUK10" s="5"/>
      <c r="GUL10" s="5"/>
      <c r="GUM10" s="5"/>
      <c r="GUN10" s="5"/>
      <c r="GUO10" s="5"/>
      <c r="GUP10" s="5"/>
      <c r="GUQ10" s="5"/>
      <c r="GUR10" s="5"/>
      <c r="GUS10" s="5"/>
      <c r="GUT10" s="5"/>
      <c r="GUU10" s="5"/>
      <c r="GUV10" s="5"/>
      <c r="GUW10" s="5"/>
      <c r="GUX10" s="5"/>
      <c r="GUY10" s="5"/>
      <c r="GUZ10" s="5"/>
      <c r="GVA10" s="5"/>
      <c r="GVB10" s="5"/>
      <c r="GVC10" s="5"/>
      <c r="GVD10" s="5"/>
      <c r="GVE10" s="5"/>
      <c r="GVF10" s="5"/>
      <c r="GVG10" s="5"/>
      <c r="GVH10" s="5"/>
      <c r="GVI10" s="5"/>
      <c r="GVJ10" s="5"/>
      <c r="GVK10" s="5"/>
      <c r="GVL10" s="5"/>
      <c r="GVM10" s="5"/>
      <c r="GVN10" s="5"/>
      <c r="GVO10" s="5"/>
      <c r="GVP10" s="5"/>
      <c r="GVQ10" s="5"/>
      <c r="GVR10" s="5"/>
      <c r="GVS10" s="5"/>
      <c r="GVT10" s="5"/>
      <c r="GVU10" s="5"/>
      <c r="GVV10" s="5"/>
      <c r="GVW10" s="5"/>
      <c r="GVX10" s="5"/>
      <c r="GVY10" s="5"/>
      <c r="GVZ10" s="5"/>
      <c r="GWA10" s="5"/>
      <c r="GWB10" s="5"/>
      <c r="GWC10" s="5"/>
      <c r="GWD10" s="5"/>
      <c r="GWE10" s="5"/>
      <c r="GWF10" s="5"/>
      <c r="GWG10" s="5"/>
      <c r="GWH10" s="5"/>
      <c r="GWI10" s="5"/>
      <c r="GWJ10" s="5"/>
      <c r="GWK10" s="5"/>
      <c r="GWL10" s="5"/>
      <c r="GWM10" s="5"/>
      <c r="GWN10" s="5"/>
      <c r="GWO10" s="5"/>
      <c r="GWP10" s="5"/>
      <c r="GWQ10" s="5"/>
      <c r="GWR10" s="5"/>
      <c r="GWS10" s="5"/>
      <c r="GWT10" s="5"/>
      <c r="GWU10" s="5"/>
      <c r="GWV10" s="5"/>
      <c r="GWW10" s="5"/>
      <c r="GWX10" s="5"/>
      <c r="GWY10" s="5"/>
      <c r="GWZ10" s="5"/>
      <c r="GXA10" s="5"/>
      <c r="GXB10" s="5"/>
      <c r="GXC10" s="5"/>
      <c r="GXD10" s="5"/>
      <c r="GXE10" s="5"/>
      <c r="GXF10" s="5"/>
      <c r="GXG10" s="5"/>
      <c r="GXH10" s="5"/>
      <c r="GXI10" s="5"/>
      <c r="GXJ10" s="5"/>
      <c r="GXK10" s="5"/>
      <c r="GXL10" s="5"/>
      <c r="GXM10" s="5"/>
      <c r="GXN10" s="5"/>
      <c r="GXO10" s="5"/>
      <c r="GXP10" s="5"/>
      <c r="GXQ10" s="5"/>
      <c r="GXR10" s="5"/>
      <c r="GXS10" s="5"/>
      <c r="GXT10" s="5"/>
      <c r="GXU10" s="5"/>
      <c r="GXV10" s="5"/>
      <c r="GXW10" s="5"/>
      <c r="GXX10" s="5"/>
      <c r="GXY10" s="5"/>
      <c r="GXZ10" s="5"/>
      <c r="GYA10" s="5"/>
      <c r="GYB10" s="5"/>
      <c r="GYC10" s="5"/>
      <c r="GYD10" s="5"/>
      <c r="GYE10" s="5"/>
      <c r="GYF10" s="5"/>
      <c r="GYG10" s="5"/>
      <c r="GYH10" s="5"/>
      <c r="GYI10" s="5"/>
      <c r="GYJ10" s="5"/>
      <c r="GYK10" s="5"/>
      <c r="GYL10" s="5"/>
      <c r="GYM10" s="5"/>
      <c r="GYN10" s="5"/>
      <c r="GYO10" s="5"/>
      <c r="GYP10" s="5"/>
      <c r="GYQ10" s="5"/>
      <c r="GYR10" s="5"/>
      <c r="GYS10" s="5"/>
      <c r="GYT10" s="5"/>
      <c r="GYU10" s="5"/>
      <c r="GYV10" s="5"/>
      <c r="GYW10" s="5"/>
      <c r="GYX10" s="5"/>
      <c r="GYY10" s="5"/>
      <c r="GYZ10" s="5"/>
      <c r="GZA10" s="5"/>
      <c r="GZB10" s="5"/>
      <c r="GZC10" s="5"/>
      <c r="GZD10" s="5"/>
      <c r="GZE10" s="5"/>
      <c r="GZF10" s="5"/>
      <c r="GZG10" s="5"/>
      <c r="GZH10" s="5"/>
      <c r="GZI10" s="5"/>
      <c r="GZJ10" s="5"/>
      <c r="GZK10" s="5"/>
      <c r="GZL10" s="5"/>
      <c r="GZM10" s="5"/>
      <c r="GZN10" s="5"/>
      <c r="GZO10" s="5"/>
      <c r="GZP10" s="5"/>
      <c r="GZQ10" s="5"/>
      <c r="GZR10" s="5"/>
      <c r="GZS10" s="5"/>
      <c r="GZT10" s="5"/>
      <c r="GZU10" s="5"/>
      <c r="GZV10" s="5"/>
      <c r="GZW10" s="5"/>
      <c r="GZX10" s="5"/>
      <c r="GZY10" s="5"/>
      <c r="GZZ10" s="5"/>
      <c r="HAA10" s="5"/>
      <c r="HAB10" s="5"/>
      <c r="HAC10" s="5"/>
      <c r="HAD10" s="5"/>
      <c r="HAE10" s="5"/>
      <c r="HAF10" s="5"/>
      <c r="HAG10" s="5"/>
      <c r="HAH10" s="5"/>
      <c r="HAI10" s="5"/>
      <c r="HAJ10" s="5"/>
      <c r="HAK10" s="5"/>
      <c r="HAL10" s="5"/>
      <c r="HAM10" s="5"/>
      <c r="HAN10" s="5"/>
      <c r="HAO10" s="5"/>
      <c r="HAP10" s="5"/>
      <c r="HAQ10" s="5"/>
      <c r="HAR10" s="5"/>
      <c r="HAS10" s="5"/>
      <c r="HAT10" s="5"/>
      <c r="HAU10" s="5"/>
      <c r="HAV10" s="5"/>
      <c r="HAW10" s="5"/>
      <c r="HAX10" s="5"/>
      <c r="HAY10" s="5"/>
      <c r="HAZ10" s="5"/>
      <c r="HBA10" s="5"/>
      <c r="HBB10" s="5"/>
      <c r="HBC10" s="5"/>
      <c r="HBD10" s="5"/>
      <c r="HBE10" s="5"/>
      <c r="HBF10" s="5"/>
      <c r="HBG10" s="5"/>
      <c r="HBH10" s="5"/>
      <c r="HBI10" s="5"/>
      <c r="HBJ10" s="5"/>
      <c r="HBK10" s="5"/>
      <c r="HBL10" s="5"/>
      <c r="HBM10" s="5"/>
      <c r="HBN10" s="5"/>
      <c r="HBO10" s="5"/>
      <c r="HBP10" s="5"/>
      <c r="HBQ10" s="5"/>
      <c r="HBR10" s="5"/>
      <c r="HBS10" s="5"/>
      <c r="HBT10" s="5"/>
      <c r="HBU10" s="5"/>
      <c r="HBV10" s="5"/>
      <c r="HBW10" s="5"/>
      <c r="HBX10" s="5"/>
      <c r="HBY10" s="5"/>
      <c r="HBZ10" s="5"/>
      <c r="HCA10" s="5"/>
      <c r="HCB10" s="5"/>
      <c r="HCC10" s="5"/>
      <c r="HCD10" s="5"/>
      <c r="HCE10" s="5"/>
      <c r="HCF10" s="5"/>
      <c r="HCG10" s="5"/>
      <c r="HCH10" s="5"/>
      <c r="HCI10" s="5"/>
      <c r="HCJ10" s="5"/>
      <c r="HCK10" s="5"/>
      <c r="HCL10" s="5"/>
      <c r="HCM10" s="5"/>
      <c r="HCN10" s="5"/>
      <c r="HCO10" s="5"/>
      <c r="HCP10" s="5"/>
      <c r="HCQ10" s="5"/>
      <c r="HCR10" s="5"/>
      <c r="HCS10" s="5"/>
      <c r="HCT10" s="5"/>
      <c r="HCU10" s="5"/>
      <c r="HCV10" s="5"/>
      <c r="HCW10" s="5"/>
      <c r="HCX10" s="5"/>
      <c r="HCY10" s="5"/>
      <c r="HCZ10" s="5"/>
      <c r="HDA10" s="5"/>
      <c r="HDB10" s="5"/>
      <c r="HDC10" s="5"/>
      <c r="HDD10" s="5"/>
      <c r="HDE10" s="5"/>
      <c r="HDF10" s="5"/>
      <c r="HDG10" s="5"/>
      <c r="HDH10" s="5"/>
      <c r="HDI10" s="5"/>
      <c r="HDJ10" s="5"/>
      <c r="HDK10" s="5"/>
      <c r="HDL10" s="5"/>
      <c r="HDM10" s="5"/>
      <c r="HDN10" s="5"/>
      <c r="HDO10" s="5"/>
      <c r="HDP10" s="5"/>
      <c r="HDQ10" s="5"/>
      <c r="HDR10" s="5"/>
      <c r="HDS10" s="5"/>
      <c r="HDT10" s="5"/>
      <c r="HDU10" s="5"/>
      <c r="HDV10" s="5"/>
      <c r="HDW10" s="5"/>
      <c r="HDX10" s="5"/>
      <c r="HDY10" s="5"/>
      <c r="HDZ10" s="5"/>
      <c r="HEA10" s="5"/>
      <c r="HEB10" s="5"/>
      <c r="HEC10" s="5"/>
      <c r="HED10" s="5"/>
      <c r="HEE10" s="5"/>
      <c r="HEF10" s="5"/>
      <c r="HEG10" s="5"/>
      <c r="HEH10" s="5"/>
      <c r="HEI10" s="5"/>
      <c r="HEJ10" s="5"/>
      <c r="HEK10" s="5"/>
      <c r="HEL10" s="5"/>
      <c r="HEM10" s="5"/>
      <c r="HEN10" s="5"/>
      <c r="HEO10" s="5"/>
      <c r="HEP10" s="5"/>
      <c r="HEQ10" s="5"/>
      <c r="HER10" s="5"/>
      <c r="HES10" s="5"/>
      <c r="HET10" s="5"/>
      <c r="HEU10" s="5"/>
      <c r="HEV10" s="5"/>
      <c r="HEW10" s="5"/>
      <c r="HEX10" s="5"/>
      <c r="HEY10" s="5"/>
      <c r="HEZ10" s="5"/>
      <c r="HFA10" s="5"/>
      <c r="HFB10" s="5"/>
      <c r="HFC10" s="5"/>
      <c r="HFD10" s="5"/>
      <c r="HFE10" s="5"/>
      <c r="HFF10" s="5"/>
      <c r="HFG10" s="5"/>
      <c r="HFH10" s="5"/>
      <c r="HFI10" s="5"/>
      <c r="HFJ10" s="5"/>
      <c r="HFK10" s="5"/>
      <c r="HFL10" s="5"/>
      <c r="HFM10" s="5"/>
      <c r="HFN10" s="5"/>
      <c r="HFO10" s="5"/>
      <c r="HFP10" s="5"/>
      <c r="HFQ10" s="5"/>
      <c r="HFR10" s="5"/>
      <c r="HFS10" s="5"/>
      <c r="HFT10" s="5"/>
      <c r="HFU10" s="5"/>
      <c r="HFV10" s="5"/>
      <c r="HFW10" s="5"/>
      <c r="HFX10" s="5"/>
      <c r="HFY10" s="5"/>
      <c r="HFZ10" s="5"/>
      <c r="HGA10" s="5"/>
      <c r="HGB10" s="5"/>
      <c r="HGC10" s="5"/>
      <c r="HGD10" s="5"/>
      <c r="HGE10" s="5"/>
      <c r="HGF10" s="5"/>
      <c r="HGG10" s="5"/>
      <c r="HGH10" s="5"/>
      <c r="HGI10" s="5"/>
      <c r="HGJ10" s="5"/>
      <c r="HGK10" s="5"/>
      <c r="HGL10" s="5"/>
      <c r="HGM10" s="5"/>
      <c r="HGN10" s="5"/>
      <c r="HGO10" s="5"/>
      <c r="HGP10" s="5"/>
      <c r="HGQ10" s="5"/>
      <c r="HGR10" s="5"/>
      <c r="HGS10" s="5"/>
      <c r="HGT10" s="5"/>
      <c r="HGU10" s="5"/>
      <c r="HGV10" s="5"/>
      <c r="HGW10" s="5"/>
      <c r="HGX10" s="5"/>
      <c r="HGY10" s="5"/>
      <c r="HGZ10" s="5"/>
      <c r="HHA10" s="5"/>
      <c r="HHB10" s="5"/>
      <c r="HHC10" s="5"/>
      <c r="HHD10" s="5"/>
      <c r="HHE10" s="5"/>
      <c r="HHF10" s="5"/>
      <c r="HHG10" s="5"/>
      <c r="HHH10" s="5"/>
      <c r="HHI10" s="5"/>
      <c r="HHJ10" s="5"/>
      <c r="HHK10" s="5"/>
      <c r="HHL10" s="5"/>
      <c r="HHM10" s="5"/>
      <c r="HHN10" s="5"/>
      <c r="HHO10" s="5"/>
      <c r="HHP10" s="5"/>
      <c r="HHQ10" s="5"/>
      <c r="HHR10" s="5"/>
      <c r="HHS10" s="5"/>
      <c r="HHT10" s="5"/>
      <c r="HHU10" s="5"/>
      <c r="HHV10" s="5"/>
      <c r="HHW10" s="5"/>
      <c r="HHX10" s="5"/>
      <c r="HHY10" s="5"/>
      <c r="HHZ10" s="5"/>
      <c r="HIA10" s="5"/>
      <c r="HIB10" s="5"/>
      <c r="HIC10" s="5"/>
      <c r="HID10" s="5"/>
      <c r="HIE10" s="5"/>
      <c r="HIF10" s="5"/>
      <c r="HIG10" s="5"/>
      <c r="HIH10" s="5"/>
      <c r="HII10" s="5"/>
      <c r="HIJ10" s="5"/>
      <c r="HIK10" s="5"/>
      <c r="HIL10" s="5"/>
      <c r="HIM10" s="5"/>
      <c r="HIN10" s="5"/>
      <c r="HIO10" s="5"/>
      <c r="HIP10" s="5"/>
      <c r="HIQ10" s="5"/>
      <c r="HIR10" s="5"/>
      <c r="HIS10" s="5"/>
      <c r="HIT10" s="5"/>
      <c r="HIU10" s="5"/>
      <c r="HIV10" s="5"/>
      <c r="HIW10" s="5"/>
      <c r="HIX10" s="5"/>
      <c r="HIY10" s="5"/>
      <c r="HIZ10" s="5"/>
      <c r="HJA10" s="5"/>
      <c r="HJB10" s="5"/>
      <c r="HJC10" s="5"/>
      <c r="HJD10" s="5"/>
      <c r="HJE10" s="5"/>
      <c r="HJF10" s="5"/>
      <c r="HJG10" s="5"/>
      <c r="HJH10" s="5"/>
      <c r="HJI10" s="5"/>
      <c r="HJJ10" s="5"/>
      <c r="HJK10" s="5"/>
      <c r="HJL10" s="5"/>
      <c r="HJM10" s="5"/>
      <c r="HJN10" s="5"/>
      <c r="HJO10" s="5"/>
      <c r="HJP10" s="5"/>
      <c r="HJQ10" s="5"/>
      <c r="HJR10" s="5"/>
      <c r="HJS10" s="5"/>
      <c r="HJT10" s="5"/>
      <c r="HJU10" s="5"/>
      <c r="HJV10" s="5"/>
      <c r="HJW10" s="5"/>
      <c r="HJX10" s="5"/>
      <c r="HJY10" s="5"/>
      <c r="HJZ10" s="5"/>
      <c r="HKA10" s="5"/>
      <c r="HKB10" s="5"/>
      <c r="HKC10" s="5"/>
      <c r="HKD10" s="5"/>
      <c r="HKE10" s="5"/>
      <c r="HKF10" s="5"/>
      <c r="HKG10" s="5"/>
      <c r="HKH10" s="5"/>
      <c r="HKI10" s="5"/>
      <c r="HKJ10" s="5"/>
      <c r="HKK10" s="5"/>
      <c r="HKL10" s="5"/>
      <c r="HKM10" s="5"/>
      <c r="HKN10" s="5"/>
      <c r="HKO10" s="5"/>
      <c r="HKP10" s="5"/>
      <c r="HKQ10" s="5"/>
      <c r="HKR10" s="5"/>
      <c r="HKS10" s="5"/>
      <c r="HKT10" s="5"/>
      <c r="HKU10" s="5"/>
      <c r="HKV10" s="5"/>
      <c r="HKW10" s="5"/>
      <c r="HKX10" s="5"/>
      <c r="HKY10" s="5"/>
      <c r="HKZ10" s="5"/>
      <c r="HLA10" s="5"/>
      <c r="HLB10" s="5"/>
      <c r="HLC10" s="5"/>
      <c r="HLD10" s="5"/>
      <c r="HLE10" s="5"/>
      <c r="HLF10" s="5"/>
      <c r="HLG10" s="5"/>
      <c r="HLH10" s="5"/>
      <c r="HLI10" s="5"/>
      <c r="HLJ10" s="5"/>
      <c r="HLK10" s="5"/>
      <c r="HLL10" s="5"/>
      <c r="HLM10" s="5"/>
      <c r="HLN10" s="5"/>
      <c r="HLO10" s="5"/>
      <c r="HLP10" s="5"/>
      <c r="HLQ10" s="5"/>
      <c r="HLR10" s="5"/>
      <c r="HLS10" s="5"/>
      <c r="HLT10" s="5"/>
      <c r="HLU10" s="5"/>
      <c r="HLV10" s="5"/>
      <c r="HLW10" s="5"/>
      <c r="HLX10" s="5"/>
      <c r="HLY10" s="5"/>
      <c r="HLZ10" s="5"/>
      <c r="HMA10" s="5"/>
      <c r="HMB10" s="5"/>
      <c r="HMC10" s="5"/>
      <c r="HMD10" s="5"/>
      <c r="HME10" s="5"/>
      <c r="HMF10" s="5"/>
      <c r="HMG10" s="5"/>
      <c r="HMH10" s="5"/>
      <c r="HMI10" s="5"/>
      <c r="HMJ10" s="5"/>
      <c r="HMK10" s="5"/>
      <c r="HML10" s="5"/>
      <c r="HMM10" s="5"/>
      <c r="HMN10" s="5"/>
      <c r="HMO10" s="5"/>
      <c r="HMP10" s="5"/>
      <c r="HMQ10" s="5"/>
      <c r="HMR10" s="5"/>
      <c r="HMS10" s="5"/>
      <c r="HMT10" s="5"/>
      <c r="HMU10" s="5"/>
      <c r="HMV10" s="5"/>
      <c r="HMW10" s="5"/>
      <c r="HMX10" s="5"/>
      <c r="HMY10" s="5"/>
      <c r="HMZ10" s="5"/>
      <c r="HNA10" s="5"/>
      <c r="HNB10" s="5"/>
      <c r="HNC10" s="5"/>
      <c r="HND10" s="5"/>
      <c r="HNE10" s="5"/>
      <c r="HNF10" s="5"/>
      <c r="HNG10" s="5"/>
      <c r="HNH10" s="5"/>
      <c r="HNI10" s="5"/>
      <c r="HNJ10" s="5"/>
      <c r="HNK10" s="5"/>
      <c r="HNL10" s="5"/>
      <c r="HNM10" s="5"/>
      <c r="HNN10" s="5"/>
      <c r="HNO10" s="5"/>
      <c r="HNP10" s="5"/>
      <c r="HNQ10" s="5"/>
      <c r="HNR10" s="5"/>
      <c r="HNS10" s="5"/>
      <c r="HNT10" s="5"/>
      <c r="HNU10" s="5"/>
      <c r="HNV10" s="5"/>
      <c r="HNW10" s="5"/>
      <c r="HNX10" s="5"/>
      <c r="HNY10" s="5"/>
      <c r="HNZ10" s="5"/>
      <c r="HOA10" s="5"/>
      <c r="HOB10" s="5"/>
      <c r="HOC10" s="5"/>
      <c r="HOD10" s="5"/>
      <c r="HOE10" s="5"/>
      <c r="HOF10" s="5"/>
      <c r="HOG10" s="5"/>
      <c r="HOH10" s="5"/>
      <c r="HOI10" s="5"/>
      <c r="HOJ10" s="5"/>
      <c r="HOK10" s="5"/>
      <c r="HOL10" s="5"/>
      <c r="HOM10" s="5"/>
      <c r="HON10" s="5"/>
      <c r="HOO10" s="5"/>
      <c r="HOP10" s="5"/>
      <c r="HOQ10" s="5"/>
      <c r="HOR10" s="5"/>
      <c r="HOS10" s="5"/>
      <c r="HOT10" s="5"/>
      <c r="HOU10" s="5"/>
      <c r="HOV10" s="5"/>
      <c r="HOW10" s="5"/>
      <c r="HOX10" s="5"/>
      <c r="HOY10" s="5"/>
      <c r="HOZ10" s="5"/>
      <c r="HPA10" s="5"/>
      <c r="HPB10" s="5"/>
      <c r="HPC10" s="5"/>
      <c r="HPD10" s="5"/>
      <c r="HPE10" s="5"/>
      <c r="HPF10" s="5"/>
      <c r="HPG10" s="5"/>
      <c r="HPH10" s="5"/>
      <c r="HPI10" s="5"/>
      <c r="HPJ10" s="5"/>
      <c r="HPK10" s="5"/>
      <c r="HPL10" s="5"/>
      <c r="HPM10" s="5"/>
      <c r="HPN10" s="5"/>
      <c r="HPO10" s="5"/>
      <c r="HPP10" s="5"/>
      <c r="HPQ10" s="5"/>
      <c r="HPR10" s="5"/>
      <c r="HPS10" s="5"/>
      <c r="HPT10" s="5"/>
      <c r="HPU10" s="5"/>
      <c r="HPV10" s="5"/>
      <c r="HPW10" s="5"/>
      <c r="HPX10" s="5"/>
      <c r="HPY10" s="5"/>
      <c r="HPZ10" s="5"/>
      <c r="HQA10" s="5"/>
      <c r="HQB10" s="5"/>
      <c r="HQC10" s="5"/>
      <c r="HQD10" s="5"/>
      <c r="HQE10" s="5"/>
      <c r="HQF10" s="5"/>
      <c r="HQG10" s="5"/>
      <c r="HQH10" s="5"/>
      <c r="HQI10" s="5"/>
      <c r="HQJ10" s="5"/>
      <c r="HQK10" s="5"/>
      <c r="HQL10" s="5"/>
      <c r="HQM10" s="5"/>
      <c r="HQN10" s="5"/>
      <c r="HQO10" s="5"/>
      <c r="HQP10" s="5"/>
      <c r="HQQ10" s="5"/>
      <c r="HQR10" s="5"/>
      <c r="HQS10" s="5"/>
      <c r="HQT10" s="5"/>
      <c r="HQU10" s="5"/>
      <c r="HQV10" s="5"/>
      <c r="HQW10" s="5"/>
      <c r="HQX10" s="5"/>
      <c r="HQY10" s="5"/>
      <c r="HQZ10" s="5"/>
      <c r="HRA10" s="5"/>
      <c r="HRB10" s="5"/>
      <c r="HRC10" s="5"/>
      <c r="HRD10" s="5"/>
      <c r="HRE10" s="5"/>
      <c r="HRF10" s="5"/>
      <c r="HRG10" s="5"/>
      <c r="HRH10" s="5"/>
      <c r="HRI10" s="5"/>
      <c r="HRJ10" s="5"/>
      <c r="HRK10" s="5"/>
      <c r="HRL10" s="5"/>
      <c r="HRM10" s="5"/>
      <c r="HRN10" s="5"/>
      <c r="HRO10" s="5"/>
      <c r="HRP10" s="5"/>
      <c r="HRQ10" s="5"/>
      <c r="HRR10" s="5"/>
      <c r="HRS10" s="5"/>
      <c r="HRT10" s="5"/>
      <c r="HRU10" s="5"/>
      <c r="HRV10" s="5"/>
      <c r="HRW10" s="5"/>
      <c r="HRX10" s="5"/>
      <c r="HRY10" s="5"/>
      <c r="HRZ10" s="5"/>
      <c r="HSA10" s="5"/>
      <c r="HSB10" s="5"/>
      <c r="HSC10" s="5"/>
      <c r="HSD10" s="5"/>
      <c r="HSE10" s="5"/>
      <c r="HSF10" s="5"/>
      <c r="HSG10" s="5"/>
      <c r="HSH10" s="5"/>
      <c r="HSI10" s="5"/>
      <c r="HSJ10" s="5"/>
      <c r="HSK10" s="5"/>
      <c r="HSL10" s="5"/>
      <c r="HSM10" s="5"/>
      <c r="HSN10" s="5"/>
      <c r="HSO10" s="5"/>
      <c r="HSP10" s="5"/>
      <c r="HSQ10" s="5"/>
      <c r="HSR10" s="5"/>
      <c r="HSS10" s="5"/>
      <c r="HST10" s="5"/>
      <c r="HSU10" s="5"/>
      <c r="HSV10" s="5"/>
      <c r="HSW10" s="5"/>
      <c r="HSX10" s="5"/>
      <c r="HSY10" s="5"/>
      <c r="HSZ10" s="5"/>
      <c r="HTA10" s="5"/>
      <c r="HTB10" s="5"/>
      <c r="HTC10" s="5"/>
      <c r="HTD10" s="5"/>
      <c r="HTE10" s="5"/>
      <c r="HTF10" s="5"/>
      <c r="HTG10" s="5"/>
      <c r="HTH10" s="5"/>
      <c r="HTI10" s="5"/>
      <c r="HTJ10" s="5"/>
      <c r="HTK10" s="5"/>
      <c r="HTL10" s="5"/>
      <c r="HTM10" s="5"/>
      <c r="HTN10" s="5"/>
      <c r="HTO10" s="5"/>
      <c r="HTP10" s="5"/>
      <c r="HTQ10" s="5"/>
      <c r="HTR10" s="5"/>
      <c r="HTS10" s="5"/>
      <c r="HTT10" s="5"/>
      <c r="HTU10" s="5"/>
      <c r="HTV10" s="5"/>
      <c r="HTW10" s="5"/>
      <c r="HTX10" s="5"/>
      <c r="HTY10" s="5"/>
      <c r="HTZ10" s="5"/>
      <c r="HUA10" s="5"/>
      <c r="HUB10" s="5"/>
      <c r="HUC10" s="5"/>
      <c r="HUD10" s="5"/>
      <c r="HUE10" s="5"/>
      <c r="HUF10" s="5"/>
      <c r="HUG10" s="5"/>
      <c r="HUH10" s="5"/>
      <c r="HUI10" s="5"/>
      <c r="HUJ10" s="5"/>
      <c r="HUK10" s="5"/>
      <c r="HUL10" s="5"/>
      <c r="HUM10" s="5"/>
      <c r="HUN10" s="5"/>
      <c r="HUO10" s="5"/>
      <c r="HUP10" s="5"/>
      <c r="HUQ10" s="5"/>
      <c r="HUR10" s="5"/>
      <c r="HUS10" s="5"/>
      <c r="HUT10" s="5"/>
      <c r="HUU10" s="5"/>
      <c r="HUV10" s="5"/>
      <c r="HUW10" s="5"/>
      <c r="HUX10" s="5"/>
      <c r="HUY10" s="5"/>
      <c r="HUZ10" s="5"/>
      <c r="HVA10" s="5"/>
      <c r="HVB10" s="5"/>
      <c r="HVC10" s="5"/>
      <c r="HVD10" s="5"/>
      <c r="HVE10" s="5"/>
      <c r="HVF10" s="5"/>
      <c r="HVG10" s="5"/>
      <c r="HVH10" s="5"/>
      <c r="HVI10" s="5"/>
      <c r="HVJ10" s="5"/>
      <c r="HVK10" s="5"/>
      <c r="HVL10" s="5"/>
      <c r="HVM10" s="5"/>
      <c r="HVN10" s="5"/>
      <c r="HVO10" s="5"/>
      <c r="HVP10" s="5"/>
      <c r="HVQ10" s="5"/>
      <c r="HVR10" s="5"/>
      <c r="HVS10" s="5"/>
      <c r="HVT10" s="5"/>
      <c r="HVU10" s="5"/>
      <c r="HVV10" s="5"/>
      <c r="HVW10" s="5"/>
      <c r="HVX10" s="5"/>
      <c r="HVY10" s="5"/>
      <c r="HVZ10" s="5"/>
      <c r="HWA10" s="5"/>
      <c r="HWB10" s="5"/>
      <c r="HWC10" s="5"/>
      <c r="HWD10" s="5"/>
      <c r="HWE10" s="5"/>
      <c r="HWF10" s="5"/>
      <c r="HWG10" s="5"/>
      <c r="HWH10" s="5"/>
      <c r="HWI10" s="5"/>
      <c r="HWJ10" s="5"/>
      <c r="HWK10" s="5"/>
      <c r="HWL10" s="5"/>
      <c r="HWM10" s="5"/>
      <c r="HWN10" s="5"/>
      <c r="HWO10" s="5"/>
      <c r="HWP10" s="5"/>
      <c r="HWQ10" s="5"/>
      <c r="HWR10" s="5"/>
      <c r="HWS10" s="5"/>
      <c r="HWT10" s="5"/>
      <c r="HWU10" s="5"/>
      <c r="HWV10" s="5"/>
      <c r="HWW10" s="5"/>
      <c r="HWX10" s="5"/>
      <c r="HWY10" s="5"/>
      <c r="HWZ10" s="5"/>
      <c r="HXA10" s="5"/>
      <c r="HXB10" s="5"/>
      <c r="HXC10" s="5"/>
      <c r="HXD10" s="5"/>
      <c r="HXE10" s="5"/>
      <c r="HXF10" s="5"/>
      <c r="HXG10" s="5"/>
      <c r="HXH10" s="5"/>
      <c r="HXI10" s="5"/>
      <c r="HXJ10" s="5"/>
      <c r="HXK10" s="5"/>
      <c r="HXL10" s="5"/>
      <c r="HXM10" s="5"/>
      <c r="HXN10" s="5"/>
      <c r="HXO10" s="5"/>
      <c r="HXP10" s="5"/>
      <c r="HXQ10" s="5"/>
      <c r="HXR10" s="5"/>
      <c r="HXS10" s="5"/>
      <c r="HXT10" s="5"/>
      <c r="HXU10" s="5"/>
      <c r="HXV10" s="5"/>
      <c r="HXW10" s="5"/>
      <c r="HXX10" s="5"/>
      <c r="HXY10" s="5"/>
      <c r="HXZ10" s="5"/>
      <c r="HYA10" s="5"/>
      <c r="HYB10" s="5"/>
      <c r="HYC10" s="5"/>
      <c r="HYD10" s="5"/>
      <c r="HYE10" s="5"/>
      <c r="HYF10" s="5"/>
      <c r="HYG10" s="5"/>
      <c r="HYH10" s="5"/>
      <c r="HYI10" s="5"/>
      <c r="HYJ10" s="5"/>
      <c r="HYK10" s="5"/>
      <c r="HYL10" s="5"/>
      <c r="HYM10" s="5"/>
      <c r="HYN10" s="5"/>
      <c r="HYO10" s="5"/>
      <c r="HYP10" s="5"/>
      <c r="HYQ10" s="5"/>
      <c r="HYR10" s="5"/>
      <c r="HYS10" s="5"/>
      <c r="HYT10" s="5"/>
      <c r="HYU10" s="5"/>
      <c r="HYV10" s="5"/>
      <c r="HYW10" s="5"/>
      <c r="HYX10" s="5"/>
      <c r="HYY10" s="5"/>
      <c r="HYZ10" s="5"/>
      <c r="HZA10" s="5"/>
      <c r="HZB10" s="5"/>
      <c r="HZC10" s="5"/>
      <c r="HZD10" s="5"/>
      <c r="HZE10" s="5"/>
      <c r="HZF10" s="5"/>
      <c r="HZG10" s="5"/>
      <c r="HZH10" s="5"/>
      <c r="HZI10" s="5"/>
      <c r="HZJ10" s="5"/>
      <c r="HZK10" s="5"/>
      <c r="HZL10" s="5"/>
      <c r="HZM10" s="5"/>
      <c r="HZN10" s="5"/>
      <c r="HZO10" s="5"/>
      <c r="HZP10" s="5"/>
      <c r="HZQ10" s="5"/>
      <c r="HZR10" s="5"/>
      <c r="HZS10" s="5"/>
      <c r="HZT10" s="5"/>
      <c r="HZU10" s="5"/>
      <c r="HZV10" s="5"/>
      <c r="HZW10" s="5"/>
      <c r="HZX10" s="5"/>
      <c r="HZY10" s="5"/>
      <c r="HZZ10" s="5"/>
      <c r="IAA10" s="5"/>
      <c r="IAB10" s="5"/>
      <c r="IAC10" s="5"/>
      <c r="IAD10" s="5"/>
      <c r="IAE10" s="5"/>
      <c r="IAF10" s="5"/>
      <c r="IAG10" s="5"/>
      <c r="IAH10" s="5"/>
      <c r="IAI10" s="5"/>
      <c r="IAJ10" s="5"/>
      <c r="IAK10" s="5"/>
      <c r="IAL10" s="5"/>
      <c r="IAM10" s="5"/>
      <c r="IAN10" s="5"/>
      <c r="IAO10" s="5"/>
      <c r="IAP10" s="5"/>
      <c r="IAQ10" s="5"/>
      <c r="IAR10" s="5"/>
      <c r="IAS10" s="5"/>
      <c r="IAT10" s="5"/>
      <c r="IAU10" s="5"/>
      <c r="IAV10" s="5"/>
      <c r="IAW10" s="5"/>
      <c r="IAX10" s="5"/>
      <c r="IAY10" s="5"/>
      <c r="IAZ10" s="5"/>
      <c r="IBA10" s="5"/>
      <c r="IBB10" s="5"/>
      <c r="IBC10" s="5"/>
      <c r="IBD10" s="5"/>
      <c r="IBE10" s="5"/>
      <c r="IBF10" s="5"/>
      <c r="IBG10" s="5"/>
      <c r="IBH10" s="5"/>
      <c r="IBI10" s="5"/>
      <c r="IBJ10" s="5"/>
      <c r="IBK10" s="5"/>
      <c r="IBL10" s="5"/>
      <c r="IBM10" s="5"/>
      <c r="IBN10" s="5"/>
      <c r="IBO10" s="5"/>
      <c r="IBP10" s="5"/>
      <c r="IBQ10" s="5"/>
      <c r="IBR10" s="5"/>
      <c r="IBS10" s="5"/>
      <c r="IBT10" s="5"/>
      <c r="IBU10" s="5"/>
      <c r="IBV10" s="5"/>
      <c r="IBW10" s="5"/>
      <c r="IBX10" s="5"/>
      <c r="IBY10" s="5"/>
      <c r="IBZ10" s="5"/>
      <c r="ICA10" s="5"/>
      <c r="ICB10" s="5"/>
      <c r="ICC10" s="5"/>
      <c r="ICD10" s="5"/>
      <c r="ICE10" s="5"/>
      <c r="ICF10" s="5"/>
      <c r="ICG10" s="5"/>
      <c r="ICH10" s="5"/>
      <c r="ICI10" s="5"/>
      <c r="ICJ10" s="5"/>
      <c r="ICK10" s="5"/>
      <c r="ICL10" s="5"/>
      <c r="ICM10" s="5"/>
      <c r="ICN10" s="5"/>
      <c r="ICO10" s="5"/>
      <c r="ICP10" s="5"/>
      <c r="ICQ10" s="5"/>
      <c r="ICR10" s="5"/>
      <c r="ICS10" s="5"/>
      <c r="ICT10" s="5"/>
      <c r="ICU10" s="5"/>
      <c r="ICV10" s="5"/>
      <c r="ICW10" s="5"/>
      <c r="ICX10" s="5"/>
      <c r="ICY10" s="5"/>
      <c r="ICZ10" s="5"/>
      <c r="IDA10" s="5"/>
      <c r="IDB10" s="5"/>
      <c r="IDC10" s="5"/>
      <c r="IDD10" s="5"/>
      <c r="IDE10" s="5"/>
      <c r="IDF10" s="5"/>
      <c r="IDG10" s="5"/>
      <c r="IDH10" s="5"/>
      <c r="IDI10" s="5"/>
      <c r="IDJ10" s="5"/>
      <c r="IDK10" s="5"/>
      <c r="IDL10" s="5"/>
      <c r="IDM10" s="5"/>
      <c r="IDN10" s="5"/>
      <c r="IDO10" s="5"/>
      <c r="IDP10" s="5"/>
      <c r="IDQ10" s="5"/>
      <c r="IDR10" s="5"/>
      <c r="IDS10" s="5"/>
      <c r="IDT10" s="5"/>
      <c r="IDU10" s="5"/>
      <c r="IDV10" s="5"/>
      <c r="IDW10" s="5"/>
      <c r="IDX10" s="5"/>
      <c r="IDY10" s="5"/>
      <c r="IDZ10" s="5"/>
      <c r="IEA10" s="5"/>
      <c r="IEB10" s="5"/>
      <c r="IEC10" s="5"/>
      <c r="IED10" s="5"/>
      <c r="IEE10" s="5"/>
      <c r="IEF10" s="5"/>
      <c r="IEG10" s="5"/>
      <c r="IEH10" s="5"/>
      <c r="IEI10" s="5"/>
      <c r="IEJ10" s="5"/>
      <c r="IEK10" s="5"/>
      <c r="IEL10" s="5"/>
      <c r="IEM10" s="5"/>
      <c r="IEN10" s="5"/>
      <c r="IEO10" s="5"/>
      <c r="IEP10" s="5"/>
      <c r="IEQ10" s="5"/>
      <c r="IER10" s="5"/>
      <c r="IES10" s="5"/>
      <c r="IET10" s="5"/>
      <c r="IEU10" s="5"/>
      <c r="IEV10" s="5"/>
      <c r="IEW10" s="5"/>
      <c r="IEX10" s="5"/>
      <c r="IEY10" s="5"/>
      <c r="IEZ10" s="5"/>
      <c r="IFA10" s="5"/>
      <c r="IFB10" s="5"/>
      <c r="IFC10" s="5"/>
      <c r="IFD10" s="5"/>
      <c r="IFE10" s="5"/>
      <c r="IFF10" s="5"/>
      <c r="IFG10" s="5"/>
      <c r="IFH10" s="5"/>
      <c r="IFI10" s="5"/>
      <c r="IFJ10" s="5"/>
      <c r="IFK10" s="5"/>
      <c r="IFL10" s="5"/>
      <c r="IFM10" s="5"/>
      <c r="IFN10" s="5"/>
      <c r="IFO10" s="5"/>
      <c r="IFP10" s="5"/>
      <c r="IFQ10" s="5"/>
      <c r="IFR10" s="5"/>
      <c r="IFS10" s="5"/>
      <c r="IFT10" s="5"/>
      <c r="IFU10" s="5"/>
      <c r="IFV10" s="5"/>
      <c r="IFW10" s="5"/>
      <c r="IFX10" s="5"/>
      <c r="IFY10" s="5"/>
      <c r="IFZ10" s="5"/>
      <c r="IGA10" s="5"/>
      <c r="IGB10" s="5"/>
      <c r="IGC10" s="5"/>
      <c r="IGD10" s="5"/>
      <c r="IGE10" s="5"/>
      <c r="IGF10" s="5"/>
      <c r="IGG10" s="5"/>
      <c r="IGH10" s="5"/>
      <c r="IGI10" s="5"/>
      <c r="IGJ10" s="5"/>
      <c r="IGK10" s="5"/>
      <c r="IGL10" s="5"/>
      <c r="IGM10" s="5"/>
      <c r="IGN10" s="5"/>
      <c r="IGO10" s="5"/>
      <c r="IGP10" s="5"/>
      <c r="IGQ10" s="5"/>
      <c r="IGR10" s="5"/>
      <c r="IGS10" s="5"/>
      <c r="IGT10" s="5"/>
      <c r="IGU10" s="5"/>
      <c r="IGV10" s="5"/>
      <c r="IGW10" s="5"/>
      <c r="IGX10" s="5"/>
      <c r="IGY10" s="5"/>
      <c r="IGZ10" s="5"/>
      <c r="IHA10" s="5"/>
      <c r="IHB10" s="5"/>
      <c r="IHC10" s="5"/>
      <c r="IHD10" s="5"/>
      <c r="IHE10" s="5"/>
      <c r="IHF10" s="5"/>
      <c r="IHG10" s="5"/>
      <c r="IHH10" s="5"/>
      <c r="IHI10" s="5"/>
      <c r="IHJ10" s="5"/>
      <c r="IHK10" s="5"/>
      <c r="IHL10" s="5"/>
      <c r="IHM10" s="5"/>
      <c r="IHN10" s="5"/>
      <c r="IHO10" s="5"/>
      <c r="IHP10" s="5"/>
      <c r="IHQ10" s="5"/>
      <c r="IHR10" s="5"/>
      <c r="IHS10" s="5"/>
      <c r="IHT10" s="5"/>
      <c r="IHU10" s="5"/>
      <c r="IHV10" s="5"/>
      <c r="IHW10" s="5"/>
      <c r="IHX10" s="5"/>
      <c r="IHY10" s="5"/>
      <c r="IHZ10" s="5"/>
      <c r="IIA10" s="5"/>
      <c r="IIB10" s="5"/>
      <c r="IIC10" s="5"/>
      <c r="IID10" s="5"/>
      <c r="IIE10" s="5"/>
      <c r="IIF10" s="5"/>
      <c r="IIG10" s="5"/>
      <c r="IIH10" s="5"/>
      <c r="III10" s="5"/>
      <c r="IIJ10" s="5"/>
      <c r="IIK10" s="5"/>
      <c r="IIL10" s="5"/>
      <c r="IIM10" s="5"/>
      <c r="IIN10" s="5"/>
      <c r="IIO10" s="5"/>
      <c r="IIP10" s="5"/>
      <c r="IIQ10" s="5"/>
      <c r="IIR10" s="5"/>
      <c r="IIS10" s="5"/>
      <c r="IIT10" s="5"/>
      <c r="IIU10" s="5"/>
      <c r="IIV10" s="5"/>
      <c r="IIW10" s="5"/>
      <c r="IIX10" s="5"/>
      <c r="IIY10" s="5"/>
      <c r="IIZ10" s="5"/>
      <c r="IJA10" s="5"/>
      <c r="IJB10" s="5"/>
      <c r="IJC10" s="5"/>
      <c r="IJD10" s="5"/>
      <c r="IJE10" s="5"/>
      <c r="IJF10" s="5"/>
      <c r="IJG10" s="5"/>
      <c r="IJH10" s="5"/>
      <c r="IJI10" s="5"/>
      <c r="IJJ10" s="5"/>
      <c r="IJK10" s="5"/>
      <c r="IJL10" s="5"/>
      <c r="IJM10" s="5"/>
      <c r="IJN10" s="5"/>
      <c r="IJO10" s="5"/>
      <c r="IJP10" s="5"/>
      <c r="IJQ10" s="5"/>
      <c r="IJR10" s="5"/>
      <c r="IJS10" s="5"/>
      <c r="IJT10" s="5"/>
      <c r="IJU10" s="5"/>
      <c r="IJV10" s="5"/>
      <c r="IJW10" s="5"/>
      <c r="IJX10" s="5"/>
      <c r="IJY10" s="5"/>
      <c r="IJZ10" s="5"/>
      <c r="IKA10" s="5"/>
      <c r="IKB10" s="5"/>
      <c r="IKC10" s="5"/>
      <c r="IKD10" s="5"/>
      <c r="IKE10" s="5"/>
      <c r="IKF10" s="5"/>
      <c r="IKG10" s="5"/>
      <c r="IKH10" s="5"/>
      <c r="IKI10" s="5"/>
      <c r="IKJ10" s="5"/>
      <c r="IKK10" s="5"/>
      <c r="IKL10" s="5"/>
      <c r="IKM10" s="5"/>
      <c r="IKN10" s="5"/>
      <c r="IKO10" s="5"/>
      <c r="IKP10" s="5"/>
      <c r="IKQ10" s="5"/>
      <c r="IKR10" s="5"/>
      <c r="IKS10" s="5"/>
      <c r="IKT10" s="5"/>
      <c r="IKU10" s="5"/>
      <c r="IKV10" s="5"/>
      <c r="IKW10" s="5"/>
      <c r="IKX10" s="5"/>
      <c r="IKY10" s="5"/>
      <c r="IKZ10" s="5"/>
      <c r="ILA10" s="5"/>
      <c r="ILB10" s="5"/>
      <c r="ILC10" s="5"/>
      <c r="ILD10" s="5"/>
      <c r="ILE10" s="5"/>
      <c r="ILF10" s="5"/>
      <c r="ILG10" s="5"/>
      <c r="ILH10" s="5"/>
      <c r="ILI10" s="5"/>
      <c r="ILJ10" s="5"/>
      <c r="ILK10" s="5"/>
      <c r="ILL10" s="5"/>
      <c r="ILM10" s="5"/>
      <c r="ILN10" s="5"/>
      <c r="ILO10" s="5"/>
      <c r="ILP10" s="5"/>
      <c r="ILQ10" s="5"/>
      <c r="ILR10" s="5"/>
      <c r="ILS10" s="5"/>
      <c r="ILT10" s="5"/>
      <c r="ILU10" s="5"/>
      <c r="ILV10" s="5"/>
      <c r="ILW10" s="5"/>
      <c r="ILX10" s="5"/>
      <c r="ILY10" s="5"/>
      <c r="ILZ10" s="5"/>
      <c r="IMA10" s="5"/>
      <c r="IMB10" s="5"/>
      <c r="IMC10" s="5"/>
      <c r="IMD10" s="5"/>
      <c r="IME10" s="5"/>
      <c r="IMF10" s="5"/>
      <c r="IMG10" s="5"/>
      <c r="IMH10" s="5"/>
      <c r="IMI10" s="5"/>
      <c r="IMJ10" s="5"/>
      <c r="IMK10" s="5"/>
      <c r="IML10" s="5"/>
      <c r="IMM10" s="5"/>
      <c r="IMN10" s="5"/>
      <c r="IMO10" s="5"/>
      <c r="IMP10" s="5"/>
      <c r="IMQ10" s="5"/>
      <c r="IMR10" s="5"/>
      <c r="IMS10" s="5"/>
      <c r="IMT10" s="5"/>
      <c r="IMU10" s="5"/>
      <c r="IMV10" s="5"/>
      <c r="IMW10" s="5"/>
      <c r="IMX10" s="5"/>
      <c r="IMY10" s="5"/>
      <c r="IMZ10" s="5"/>
      <c r="INA10" s="5"/>
      <c r="INB10" s="5"/>
      <c r="INC10" s="5"/>
      <c r="IND10" s="5"/>
      <c r="INE10" s="5"/>
      <c r="INF10" s="5"/>
      <c r="ING10" s="5"/>
      <c r="INH10" s="5"/>
      <c r="INI10" s="5"/>
      <c r="INJ10" s="5"/>
      <c r="INK10" s="5"/>
      <c r="INL10" s="5"/>
      <c r="INM10" s="5"/>
      <c r="INN10" s="5"/>
      <c r="INO10" s="5"/>
      <c r="INP10" s="5"/>
      <c r="INQ10" s="5"/>
      <c r="INR10" s="5"/>
      <c r="INS10" s="5"/>
      <c r="INT10" s="5"/>
      <c r="INU10" s="5"/>
      <c r="INV10" s="5"/>
      <c r="INW10" s="5"/>
      <c r="INX10" s="5"/>
      <c r="INY10" s="5"/>
      <c r="INZ10" s="5"/>
      <c r="IOA10" s="5"/>
      <c r="IOB10" s="5"/>
      <c r="IOC10" s="5"/>
      <c r="IOD10" s="5"/>
      <c r="IOE10" s="5"/>
      <c r="IOF10" s="5"/>
      <c r="IOG10" s="5"/>
      <c r="IOH10" s="5"/>
      <c r="IOI10" s="5"/>
      <c r="IOJ10" s="5"/>
      <c r="IOK10" s="5"/>
      <c r="IOL10" s="5"/>
      <c r="IOM10" s="5"/>
      <c r="ION10" s="5"/>
      <c r="IOO10" s="5"/>
      <c r="IOP10" s="5"/>
      <c r="IOQ10" s="5"/>
      <c r="IOR10" s="5"/>
      <c r="IOS10" s="5"/>
      <c r="IOT10" s="5"/>
      <c r="IOU10" s="5"/>
      <c r="IOV10" s="5"/>
      <c r="IOW10" s="5"/>
      <c r="IOX10" s="5"/>
      <c r="IOY10" s="5"/>
      <c r="IOZ10" s="5"/>
      <c r="IPA10" s="5"/>
      <c r="IPB10" s="5"/>
      <c r="IPC10" s="5"/>
      <c r="IPD10" s="5"/>
      <c r="IPE10" s="5"/>
      <c r="IPF10" s="5"/>
      <c r="IPG10" s="5"/>
      <c r="IPH10" s="5"/>
      <c r="IPI10" s="5"/>
      <c r="IPJ10" s="5"/>
      <c r="IPK10" s="5"/>
      <c r="IPL10" s="5"/>
      <c r="IPM10" s="5"/>
      <c r="IPN10" s="5"/>
      <c r="IPO10" s="5"/>
      <c r="IPP10" s="5"/>
      <c r="IPQ10" s="5"/>
      <c r="IPR10" s="5"/>
      <c r="IPS10" s="5"/>
      <c r="IPT10" s="5"/>
      <c r="IPU10" s="5"/>
      <c r="IPV10" s="5"/>
      <c r="IPW10" s="5"/>
      <c r="IPX10" s="5"/>
      <c r="IPY10" s="5"/>
      <c r="IPZ10" s="5"/>
      <c r="IQA10" s="5"/>
      <c r="IQB10" s="5"/>
      <c r="IQC10" s="5"/>
      <c r="IQD10" s="5"/>
      <c r="IQE10" s="5"/>
      <c r="IQF10" s="5"/>
      <c r="IQG10" s="5"/>
      <c r="IQH10" s="5"/>
      <c r="IQI10" s="5"/>
      <c r="IQJ10" s="5"/>
      <c r="IQK10" s="5"/>
      <c r="IQL10" s="5"/>
      <c r="IQM10" s="5"/>
      <c r="IQN10" s="5"/>
      <c r="IQO10" s="5"/>
      <c r="IQP10" s="5"/>
      <c r="IQQ10" s="5"/>
      <c r="IQR10" s="5"/>
      <c r="IQS10" s="5"/>
      <c r="IQT10" s="5"/>
      <c r="IQU10" s="5"/>
      <c r="IQV10" s="5"/>
      <c r="IQW10" s="5"/>
      <c r="IQX10" s="5"/>
      <c r="IQY10" s="5"/>
      <c r="IQZ10" s="5"/>
      <c r="IRA10" s="5"/>
      <c r="IRB10" s="5"/>
      <c r="IRC10" s="5"/>
      <c r="IRD10" s="5"/>
      <c r="IRE10" s="5"/>
      <c r="IRF10" s="5"/>
      <c r="IRG10" s="5"/>
      <c r="IRH10" s="5"/>
      <c r="IRI10" s="5"/>
      <c r="IRJ10" s="5"/>
      <c r="IRK10" s="5"/>
      <c r="IRL10" s="5"/>
      <c r="IRM10" s="5"/>
      <c r="IRN10" s="5"/>
      <c r="IRO10" s="5"/>
      <c r="IRP10" s="5"/>
      <c r="IRQ10" s="5"/>
      <c r="IRR10" s="5"/>
      <c r="IRS10" s="5"/>
      <c r="IRT10" s="5"/>
      <c r="IRU10" s="5"/>
      <c r="IRV10" s="5"/>
      <c r="IRW10" s="5"/>
      <c r="IRX10" s="5"/>
      <c r="IRY10" s="5"/>
      <c r="IRZ10" s="5"/>
      <c r="ISA10" s="5"/>
      <c r="ISB10" s="5"/>
      <c r="ISC10" s="5"/>
      <c r="ISD10" s="5"/>
      <c r="ISE10" s="5"/>
      <c r="ISF10" s="5"/>
      <c r="ISG10" s="5"/>
      <c r="ISH10" s="5"/>
      <c r="ISI10" s="5"/>
      <c r="ISJ10" s="5"/>
      <c r="ISK10" s="5"/>
      <c r="ISL10" s="5"/>
      <c r="ISM10" s="5"/>
      <c r="ISN10" s="5"/>
      <c r="ISO10" s="5"/>
      <c r="ISP10" s="5"/>
      <c r="ISQ10" s="5"/>
      <c r="ISR10" s="5"/>
      <c r="ISS10" s="5"/>
      <c r="IST10" s="5"/>
      <c r="ISU10" s="5"/>
      <c r="ISV10" s="5"/>
      <c r="ISW10" s="5"/>
      <c r="ISX10" s="5"/>
      <c r="ISY10" s="5"/>
      <c r="ISZ10" s="5"/>
      <c r="ITA10" s="5"/>
      <c r="ITB10" s="5"/>
      <c r="ITC10" s="5"/>
      <c r="ITD10" s="5"/>
      <c r="ITE10" s="5"/>
      <c r="ITF10" s="5"/>
      <c r="ITG10" s="5"/>
      <c r="ITH10" s="5"/>
      <c r="ITI10" s="5"/>
      <c r="ITJ10" s="5"/>
      <c r="ITK10" s="5"/>
      <c r="ITL10" s="5"/>
      <c r="ITM10" s="5"/>
      <c r="ITN10" s="5"/>
      <c r="ITO10" s="5"/>
      <c r="ITP10" s="5"/>
      <c r="ITQ10" s="5"/>
      <c r="ITR10" s="5"/>
      <c r="ITS10" s="5"/>
      <c r="ITT10" s="5"/>
      <c r="ITU10" s="5"/>
      <c r="ITV10" s="5"/>
      <c r="ITW10" s="5"/>
      <c r="ITX10" s="5"/>
      <c r="ITY10" s="5"/>
      <c r="ITZ10" s="5"/>
      <c r="IUA10" s="5"/>
      <c r="IUB10" s="5"/>
      <c r="IUC10" s="5"/>
      <c r="IUD10" s="5"/>
      <c r="IUE10" s="5"/>
      <c r="IUF10" s="5"/>
      <c r="IUG10" s="5"/>
      <c r="IUH10" s="5"/>
      <c r="IUI10" s="5"/>
      <c r="IUJ10" s="5"/>
      <c r="IUK10" s="5"/>
      <c r="IUL10" s="5"/>
      <c r="IUM10" s="5"/>
      <c r="IUN10" s="5"/>
      <c r="IUO10" s="5"/>
      <c r="IUP10" s="5"/>
      <c r="IUQ10" s="5"/>
      <c r="IUR10" s="5"/>
      <c r="IUS10" s="5"/>
      <c r="IUT10" s="5"/>
      <c r="IUU10" s="5"/>
      <c r="IUV10" s="5"/>
      <c r="IUW10" s="5"/>
      <c r="IUX10" s="5"/>
      <c r="IUY10" s="5"/>
      <c r="IUZ10" s="5"/>
      <c r="IVA10" s="5"/>
      <c r="IVB10" s="5"/>
      <c r="IVC10" s="5"/>
      <c r="IVD10" s="5"/>
      <c r="IVE10" s="5"/>
      <c r="IVF10" s="5"/>
      <c r="IVG10" s="5"/>
      <c r="IVH10" s="5"/>
      <c r="IVI10" s="5"/>
      <c r="IVJ10" s="5"/>
      <c r="IVK10" s="5"/>
      <c r="IVL10" s="5"/>
      <c r="IVM10" s="5"/>
      <c r="IVN10" s="5"/>
      <c r="IVO10" s="5"/>
      <c r="IVP10" s="5"/>
      <c r="IVQ10" s="5"/>
      <c r="IVR10" s="5"/>
      <c r="IVS10" s="5"/>
      <c r="IVT10" s="5"/>
      <c r="IVU10" s="5"/>
      <c r="IVV10" s="5"/>
      <c r="IVW10" s="5"/>
      <c r="IVX10" s="5"/>
      <c r="IVY10" s="5"/>
      <c r="IVZ10" s="5"/>
      <c r="IWA10" s="5"/>
      <c r="IWB10" s="5"/>
      <c r="IWC10" s="5"/>
      <c r="IWD10" s="5"/>
      <c r="IWE10" s="5"/>
      <c r="IWF10" s="5"/>
      <c r="IWG10" s="5"/>
      <c r="IWH10" s="5"/>
      <c r="IWI10" s="5"/>
      <c r="IWJ10" s="5"/>
      <c r="IWK10" s="5"/>
      <c r="IWL10" s="5"/>
      <c r="IWM10" s="5"/>
      <c r="IWN10" s="5"/>
      <c r="IWO10" s="5"/>
      <c r="IWP10" s="5"/>
      <c r="IWQ10" s="5"/>
      <c r="IWR10" s="5"/>
      <c r="IWS10" s="5"/>
      <c r="IWT10" s="5"/>
      <c r="IWU10" s="5"/>
      <c r="IWV10" s="5"/>
      <c r="IWW10" s="5"/>
      <c r="IWX10" s="5"/>
      <c r="IWY10" s="5"/>
      <c r="IWZ10" s="5"/>
      <c r="IXA10" s="5"/>
      <c r="IXB10" s="5"/>
      <c r="IXC10" s="5"/>
      <c r="IXD10" s="5"/>
      <c r="IXE10" s="5"/>
      <c r="IXF10" s="5"/>
      <c r="IXG10" s="5"/>
      <c r="IXH10" s="5"/>
      <c r="IXI10" s="5"/>
      <c r="IXJ10" s="5"/>
      <c r="IXK10" s="5"/>
      <c r="IXL10" s="5"/>
      <c r="IXM10" s="5"/>
      <c r="IXN10" s="5"/>
      <c r="IXO10" s="5"/>
      <c r="IXP10" s="5"/>
      <c r="IXQ10" s="5"/>
      <c r="IXR10" s="5"/>
      <c r="IXS10" s="5"/>
      <c r="IXT10" s="5"/>
      <c r="IXU10" s="5"/>
      <c r="IXV10" s="5"/>
      <c r="IXW10" s="5"/>
      <c r="IXX10" s="5"/>
      <c r="IXY10" s="5"/>
      <c r="IXZ10" s="5"/>
      <c r="IYA10" s="5"/>
      <c r="IYB10" s="5"/>
      <c r="IYC10" s="5"/>
      <c r="IYD10" s="5"/>
      <c r="IYE10" s="5"/>
      <c r="IYF10" s="5"/>
      <c r="IYG10" s="5"/>
      <c r="IYH10" s="5"/>
      <c r="IYI10" s="5"/>
      <c r="IYJ10" s="5"/>
      <c r="IYK10" s="5"/>
      <c r="IYL10" s="5"/>
      <c r="IYM10" s="5"/>
      <c r="IYN10" s="5"/>
      <c r="IYO10" s="5"/>
      <c r="IYP10" s="5"/>
      <c r="IYQ10" s="5"/>
      <c r="IYR10" s="5"/>
      <c r="IYS10" s="5"/>
      <c r="IYT10" s="5"/>
      <c r="IYU10" s="5"/>
      <c r="IYV10" s="5"/>
      <c r="IYW10" s="5"/>
      <c r="IYX10" s="5"/>
      <c r="IYY10" s="5"/>
      <c r="IYZ10" s="5"/>
      <c r="IZA10" s="5"/>
      <c r="IZB10" s="5"/>
      <c r="IZC10" s="5"/>
      <c r="IZD10" s="5"/>
      <c r="IZE10" s="5"/>
      <c r="IZF10" s="5"/>
      <c r="IZG10" s="5"/>
      <c r="IZH10" s="5"/>
      <c r="IZI10" s="5"/>
      <c r="IZJ10" s="5"/>
      <c r="IZK10" s="5"/>
      <c r="IZL10" s="5"/>
      <c r="IZM10" s="5"/>
      <c r="IZN10" s="5"/>
      <c r="IZO10" s="5"/>
      <c r="IZP10" s="5"/>
      <c r="IZQ10" s="5"/>
      <c r="IZR10" s="5"/>
      <c r="IZS10" s="5"/>
      <c r="IZT10" s="5"/>
      <c r="IZU10" s="5"/>
      <c r="IZV10" s="5"/>
      <c r="IZW10" s="5"/>
      <c r="IZX10" s="5"/>
      <c r="IZY10" s="5"/>
      <c r="IZZ10" s="5"/>
      <c r="JAA10" s="5"/>
      <c r="JAB10" s="5"/>
      <c r="JAC10" s="5"/>
      <c r="JAD10" s="5"/>
      <c r="JAE10" s="5"/>
      <c r="JAF10" s="5"/>
      <c r="JAG10" s="5"/>
      <c r="JAH10" s="5"/>
      <c r="JAI10" s="5"/>
      <c r="JAJ10" s="5"/>
      <c r="JAK10" s="5"/>
      <c r="JAL10" s="5"/>
      <c r="JAM10" s="5"/>
      <c r="JAN10" s="5"/>
      <c r="JAO10" s="5"/>
      <c r="JAP10" s="5"/>
      <c r="JAQ10" s="5"/>
      <c r="JAR10" s="5"/>
      <c r="JAS10" s="5"/>
      <c r="JAT10" s="5"/>
      <c r="JAU10" s="5"/>
      <c r="JAV10" s="5"/>
      <c r="JAW10" s="5"/>
      <c r="JAX10" s="5"/>
      <c r="JAY10" s="5"/>
      <c r="JAZ10" s="5"/>
      <c r="JBA10" s="5"/>
      <c r="JBB10" s="5"/>
      <c r="JBC10" s="5"/>
      <c r="JBD10" s="5"/>
      <c r="JBE10" s="5"/>
      <c r="JBF10" s="5"/>
      <c r="JBG10" s="5"/>
      <c r="JBH10" s="5"/>
      <c r="JBI10" s="5"/>
      <c r="JBJ10" s="5"/>
      <c r="JBK10" s="5"/>
      <c r="JBL10" s="5"/>
      <c r="JBM10" s="5"/>
      <c r="JBN10" s="5"/>
      <c r="JBO10" s="5"/>
      <c r="JBP10" s="5"/>
      <c r="JBQ10" s="5"/>
      <c r="JBR10" s="5"/>
      <c r="JBS10" s="5"/>
      <c r="JBT10" s="5"/>
      <c r="JBU10" s="5"/>
      <c r="JBV10" s="5"/>
      <c r="JBW10" s="5"/>
      <c r="JBX10" s="5"/>
      <c r="JBY10" s="5"/>
      <c r="JBZ10" s="5"/>
      <c r="JCA10" s="5"/>
      <c r="JCB10" s="5"/>
      <c r="JCC10" s="5"/>
      <c r="JCD10" s="5"/>
      <c r="JCE10" s="5"/>
      <c r="JCF10" s="5"/>
      <c r="JCG10" s="5"/>
      <c r="JCH10" s="5"/>
      <c r="JCI10" s="5"/>
      <c r="JCJ10" s="5"/>
      <c r="JCK10" s="5"/>
      <c r="JCL10" s="5"/>
      <c r="JCM10" s="5"/>
      <c r="JCN10" s="5"/>
      <c r="JCO10" s="5"/>
      <c r="JCP10" s="5"/>
      <c r="JCQ10" s="5"/>
      <c r="JCR10" s="5"/>
      <c r="JCS10" s="5"/>
      <c r="JCT10" s="5"/>
      <c r="JCU10" s="5"/>
      <c r="JCV10" s="5"/>
      <c r="JCW10" s="5"/>
      <c r="JCX10" s="5"/>
      <c r="JCY10" s="5"/>
      <c r="JCZ10" s="5"/>
      <c r="JDA10" s="5"/>
      <c r="JDB10" s="5"/>
      <c r="JDC10" s="5"/>
      <c r="JDD10" s="5"/>
      <c r="JDE10" s="5"/>
      <c r="JDF10" s="5"/>
      <c r="JDG10" s="5"/>
      <c r="JDH10" s="5"/>
      <c r="JDI10" s="5"/>
      <c r="JDJ10" s="5"/>
      <c r="JDK10" s="5"/>
      <c r="JDL10" s="5"/>
      <c r="JDM10" s="5"/>
      <c r="JDN10" s="5"/>
      <c r="JDO10" s="5"/>
      <c r="JDP10" s="5"/>
      <c r="JDQ10" s="5"/>
      <c r="JDR10" s="5"/>
      <c r="JDS10" s="5"/>
      <c r="JDT10" s="5"/>
      <c r="JDU10" s="5"/>
      <c r="JDV10" s="5"/>
      <c r="JDW10" s="5"/>
      <c r="JDX10" s="5"/>
      <c r="JDY10" s="5"/>
      <c r="JDZ10" s="5"/>
      <c r="JEA10" s="5"/>
      <c r="JEB10" s="5"/>
      <c r="JEC10" s="5"/>
      <c r="JED10" s="5"/>
      <c r="JEE10" s="5"/>
      <c r="JEF10" s="5"/>
      <c r="JEG10" s="5"/>
      <c r="JEH10" s="5"/>
      <c r="JEI10" s="5"/>
      <c r="JEJ10" s="5"/>
      <c r="JEK10" s="5"/>
      <c r="JEL10" s="5"/>
      <c r="JEM10" s="5"/>
      <c r="JEN10" s="5"/>
      <c r="JEO10" s="5"/>
      <c r="JEP10" s="5"/>
      <c r="JEQ10" s="5"/>
      <c r="JER10" s="5"/>
      <c r="JES10" s="5"/>
      <c r="JET10" s="5"/>
      <c r="JEU10" s="5"/>
      <c r="JEV10" s="5"/>
      <c r="JEW10" s="5"/>
      <c r="JEX10" s="5"/>
      <c r="JEY10" s="5"/>
      <c r="JEZ10" s="5"/>
      <c r="JFA10" s="5"/>
      <c r="JFB10" s="5"/>
      <c r="JFC10" s="5"/>
      <c r="JFD10" s="5"/>
      <c r="JFE10" s="5"/>
      <c r="JFF10" s="5"/>
      <c r="JFG10" s="5"/>
      <c r="JFH10" s="5"/>
      <c r="JFI10" s="5"/>
      <c r="JFJ10" s="5"/>
      <c r="JFK10" s="5"/>
      <c r="JFL10" s="5"/>
      <c r="JFM10" s="5"/>
      <c r="JFN10" s="5"/>
      <c r="JFO10" s="5"/>
      <c r="JFP10" s="5"/>
      <c r="JFQ10" s="5"/>
      <c r="JFR10" s="5"/>
      <c r="JFS10" s="5"/>
      <c r="JFT10" s="5"/>
      <c r="JFU10" s="5"/>
      <c r="JFV10" s="5"/>
      <c r="JFW10" s="5"/>
      <c r="JFX10" s="5"/>
      <c r="JFY10" s="5"/>
      <c r="JFZ10" s="5"/>
      <c r="JGA10" s="5"/>
      <c r="JGB10" s="5"/>
      <c r="JGC10" s="5"/>
      <c r="JGD10" s="5"/>
      <c r="JGE10" s="5"/>
      <c r="JGF10" s="5"/>
      <c r="JGG10" s="5"/>
      <c r="JGH10" s="5"/>
      <c r="JGI10" s="5"/>
      <c r="JGJ10" s="5"/>
      <c r="JGK10" s="5"/>
      <c r="JGL10" s="5"/>
      <c r="JGM10" s="5"/>
      <c r="JGN10" s="5"/>
      <c r="JGO10" s="5"/>
      <c r="JGP10" s="5"/>
      <c r="JGQ10" s="5"/>
      <c r="JGR10" s="5"/>
      <c r="JGS10" s="5"/>
      <c r="JGT10" s="5"/>
      <c r="JGU10" s="5"/>
      <c r="JGV10" s="5"/>
      <c r="JGW10" s="5"/>
      <c r="JGX10" s="5"/>
      <c r="JGY10" s="5"/>
      <c r="JGZ10" s="5"/>
      <c r="JHA10" s="5"/>
      <c r="JHB10" s="5"/>
      <c r="JHC10" s="5"/>
      <c r="JHD10" s="5"/>
      <c r="JHE10" s="5"/>
      <c r="JHF10" s="5"/>
      <c r="JHG10" s="5"/>
      <c r="JHH10" s="5"/>
      <c r="JHI10" s="5"/>
      <c r="JHJ10" s="5"/>
      <c r="JHK10" s="5"/>
      <c r="JHL10" s="5"/>
      <c r="JHM10" s="5"/>
      <c r="JHN10" s="5"/>
      <c r="JHO10" s="5"/>
      <c r="JHP10" s="5"/>
      <c r="JHQ10" s="5"/>
      <c r="JHR10" s="5"/>
      <c r="JHS10" s="5"/>
      <c r="JHT10" s="5"/>
      <c r="JHU10" s="5"/>
      <c r="JHV10" s="5"/>
      <c r="JHW10" s="5"/>
      <c r="JHX10" s="5"/>
      <c r="JHY10" s="5"/>
      <c r="JHZ10" s="5"/>
      <c r="JIA10" s="5"/>
      <c r="JIB10" s="5"/>
      <c r="JIC10" s="5"/>
      <c r="JID10" s="5"/>
      <c r="JIE10" s="5"/>
      <c r="JIF10" s="5"/>
      <c r="JIG10" s="5"/>
      <c r="JIH10" s="5"/>
      <c r="JII10" s="5"/>
      <c r="JIJ10" s="5"/>
      <c r="JIK10" s="5"/>
      <c r="JIL10" s="5"/>
      <c r="JIM10" s="5"/>
      <c r="JIN10" s="5"/>
      <c r="JIO10" s="5"/>
      <c r="JIP10" s="5"/>
      <c r="JIQ10" s="5"/>
      <c r="JIR10" s="5"/>
      <c r="JIS10" s="5"/>
      <c r="JIT10" s="5"/>
      <c r="JIU10" s="5"/>
      <c r="JIV10" s="5"/>
      <c r="JIW10" s="5"/>
      <c r="JIX10" s="5"/>
      <c r="JIY10" s="5"/>
      <c r="JIZ10" s="5"/>
      <c r="JJA10" s="5"/>
      <c r="JJB10" s="5"/>
      <c r="JJC10" s="5"/>
      <c r="JJD10" s="5"/>
      <c r="JJE10" s="5"/>
      <c r="JJF10" s="5"/>
      <c r="JJG10" s="5"/>
      <c r="JJH10" s="5"/>
      <c r="JJI10" s="5"/>
      <c r="JJJ10" s="5"/>
      <c r="JJK10" s="5"/>
      <c r="JJL10" s="5"/>
      <c r="JJM10" s="5"/>
      <c r="JJN10" s="5"/>
      <c r="JJO10" s="5"/>
      <c r="JJP10" s="5"/>
      <c r="JJQ10" s="5"/>
      <c r="JJR10" s="5"/>
      <c r="JJS10" s="5"/>
      <c r="JJT10" s="5"/>
      <c r="JJU10" s="5"/>
      <c r="JJV10" s="5"/>
      <c r="JJW10" s="5"/>
      <c r="JJX10" s="5"/>
      <c r="JJY10" s="5"/>
      <c r="JJZ10" s="5"/>
      <c r="JKA10" s="5"/>
      <c r="JKB10" s="5"/>
      <c r="JKC10" s="5"/>
      <c r="JKD10" s="5"/>
      <c r="JKE10" s="5"/>
      <c r="JKF10" s="5"/>
      <c r="JKG10" s="5"/>
      <c r="JKH10" s="5"/>
      <c r="JKI10" s="5"/>
      <c r="JKJ10" s="5"/>
      <c r="JKK10" s="5"/>
      <c r="JKL10" s="5"/>
      <c r="JKM10" s="5"/>
      <c r="JKN10" s="5"/>
      <c r="JKO10" s="5"/>
      <c r="JKP10" s="5"/>
      <c r="JKQ10" s="5"/>
      <c r="JKR10" s="5"/>
      <c r="JKS10" s="5"/>
      <c r="JKT10" s="5"/>
      <c r="JKU10" s="5"/>
      <c r="JKV10" s="5"/>
      <c r="JKW10" s="5"/>
      <c r="JKX10" s="5"/>
      <c r="JKY10" s="5"/>
      <c r="JKZ10" s="5"/>
      <c r="JLA10" s="5"/>
      <c r="JLB10" s="5"/>
      <c r="JLC10" s="5"/>
      <c r="JLD10" s="5"/>
      <c r="JLE10" s="5"/>
      <c r="JLF10" s="5"/>
      <c r="JLG10" s="5"/>
      <c r="JLH10" s="5"/>
      <c r="JLI10" s="5"/>
      <c r="JLJ10" s="5"/>
      <c r="JLK10" s="5"/>
      <c r="JLL10" s="5"/>
      <c r="JLM10" s="5"/>
      <c r="JLN10" s="5"/>
      <c r="JLO10" s="5"/>
      <c r="JLP10" s="5"/>
      <c r="JLQ10" s="5"/>
      <c r="JLR10" s="5"/>
      <c r="JLS10" s="5"/>
      <c r="JLT10" s="5"/>
      <c r="JLU10" s="5"/>
      <c r="JLV10" s="5"/>
      <c r="JLW10" s="5"/>
      <c r="JLX10" s="5"/>
      <c r="JLY10" s="5"/>
      <c r="JLZ10" s="5"/>
      <c r="JMA10" s="5"/>
      <c r="JMB10" s="5"/>
      <c r="JMC10" s="5"/>
      <c r="JMD10" s="5"/>
      <c r="JME10" s="5"/>
      <c r="JMF10" s="5"/>
      <c r="JMG10" s="5"/>
      <c r="JMH10" s="5"/>
      <c r="JMI10" s="5"/>
      <c r="JMJ10" s="5"/>
      <c r="JMK10" s="5"/>
      <c r="JML10" s="5"/>
      <c r="JMM10" s="5"/>
      <c r="JMN10" s="5"/>
      <c r="JMO10" s="5"/>
      <c r="JMP10" s="5"/>
      <c r="JMQ10" s="5"/>
      <c r="JMR10" s="5"/>
      <c r="JMS10" s="5"/>
      <c r="JMT10" s="5"/>
      <c r="JMU10" s="5"/>
      <c r="JMV10" s="5"/>
      <c r="JMW10" s="5"/>
      <c r="JMX10" s="5"/>
      <c r="JMY10" s="5"/>
      <c r="JMZ10" s="5"/>
      <c r="JNA10" s="5"/>
      <c r="JNB10" s="5"/>
      <c r="JNC10" s="5"/>
      <c r="JND10" s="5"/>
      <c r="JNE10" s="5"/>
      <c r="JNF10" s="5"/>
      <c r="JNG10" s="5"/>
      <c r="JNH10" s="5"/>
      <c r="JNI10" s="5"/>
      <c r="JNJ10" s="5"/>
      <c r="JNK10" s="5"/>
      <c r="JNL10" s="5"/>
      <c r="JNM10" s="5"/>
      <c r="JNN10" s="5"/>
      <c r="JNO10" s="5"/>
      <c r="JNP10" s="5"/>
      <c r="JNQ10" s="5"/>
      <c r="JNR10" s="5"/>
      <c r="JNS10" s="5"/>
      <c r="JNT10" s="5"/>
      <c r="JNU10" s="5"/>
      <c r="JNV10" s="5"/>
      <c r="JNW10" s="5"/>
      <c r="JNX10" s="5"/>
      <c r="JNY10" s="5"/>
      <c r="JNZ10" s="5"/>
      <c r="JOA10" s="5"/>
      <c r="JOB10" s="5"/>
      <c r="JOC10" s="5"/>
      <c r="JOD10" s="5"/>
      <c r="JOE10" s="5"/>
      <c r="JOF10" s="5"/>
      <c r="JOG10" s="5"/>
      <c r="JOH10" s="5"/>
      <c r="JOI10" s="5"/>
      <c r="JOJ10" s="5"/>
      <c r="JOK10" s="5"/>
      <c r="JOL10" s="5"/>
      <c r="JOM10" s="5"/>
      <c r="JON10" s="5"/>
      <c r="JOO10" s="5"/>
      <c r="JOP10" s="5"/>
      <c r="JOQ10" s="5"/>
      <c r="JOR10" s="5"/>
      <c r="JOS10" s="5"/>
      <c r="JOT10" s="5"/>
      <c r="JOU10" s="5"/>
      <c r="JOV10" s="5"/>
      <c r="JOW10" s="5"/>
      <c r="JOX10" s="5"/>
      <c r="JOY10" s="5"/>
      <c r="JOZ10" s="5"/>
      <c r="JPA10" s="5"/>
      <c r="JPB10" s="5"/>
      <c r="JPC10" s="5"/>
      <c r="JPD10" s="5"/>
      <c r="JPE10" s="5"/>
      <c r="JPF10" s="5"/>
      <c r="JPG10" s="5"/>
      <c r="JPH10" s="5"/>
      <c r="JPI10" s="5"/>
      <c r="JPJ10" s="5"/>
      <c r="JPK10" s="5"/>
      <c r="JPL10" s="5"/>
      <c r="JPM10" s="5"/>
      <c r="JPN10" s="5"/>
      <c r="JPO10" s="5"/>
      <c r="JPP10" s="5"/>
      <c r="JPQ10" s="5"/>
      <c r="JPR10" s="5"/>
      <c r="JPS10" s="5"/>
      <c r="JPT10" s="5"/>
      <c r="JPU10" s="5"/>
      <c r="JPV10" s="5"/>
      <c r="JPW10" s="5"/>
      <c r="JPX10" s="5"/>
      <c r="JPY10" s="5"/>
      <c r="JPZ10" s="5"/>
      <c r="JQA10" s="5"/>
      <c r="JQB10" s="5"/>
      <c r="JQC10" s="5"/>
      <c r="JQD10" s="5"/>
      <c r="JQE10" s="5"/>
      <c r="JQF10" s="5"/>
      <c r="JQG10" s="5"/>
      <c r="JQH10" s="5"/>
      <c r="JQI10" s="5"/>
      <c r="JQJ10" s="5"/>
      <c r="JQK10" s="5"/>
      <c r="JQL10" s="5"/>
      <c r="JQM10" s="5"/>
      <c r="JQN10" s="5"/>
      <c r="JQO10" s="5"/>
      <c r="JQP10" s="5"/>
      <c r="JQQ10" s="5"/>
      <c r="JQR10" s="5"/>
      <c r="JQS10" s="5"/>
      <c r="JQT10" s="5"/>
      <c r="JQU10" s="5"/>
      <c r="JQV10" s="5"/>
      <c r="JQW10" s="5"/>
      <c r="JQX10" s="5"/>
      <c r="JQY10" s="5"/>
      <c r="JQZ10" s="5"/>
      <c r="JRA10" s="5"/>
      <c r="JRB10" s="5"/>
      <c r="JRC10" s="5"/>
      <c r="JRD10" s="5"/>
      <c r="JRE10" s="5"/>
      <c r="JRF10" s="5"/>
      <c r="JRG10" s="5"/>
      <c r="JRH10" s="5"/>
      <c r="JRI10" s="5"/>
      <c r="JRJ10" s="5"/>
      <c r="JRK10" s="5"/>
      <c r="JRL10" s="5"/>
      <c r="JRM10" s="5"/>
      <c r="JRN10" s="5"/>
      <c r="JRO10" s="5"/>
      <c r="JRP10" s="5"/>
      <c r="JRQ10" s="5"/>
      <c r="JRR10" s="5"/>
      <c r="JRS10" s="5"/>
      <c r="JRT10" s="5"/>
      <c r="JRU10" s="5"/>
      <c r="JRV10" s="5"/>
      <c r="JRW10" s="5"/>
      <c r="JRX10" s="5"/>
      <c r="JRY10" s="5"/>
      <c r="JRZ10" s="5"/>
      <c r="JSA10" s="5"/>
      <c r="JSB10" s="5"/>
      <c r="JSC10" s="5"/>
      <c r="JSD10" s="5"/>
      <c r="JSE10" s="5"/>
      <c r="JSF10" s="5"/>
      <c r="JSG10" s="5"/>
      <c r="JSH10" s="5"/>
      <c r="JSI10" s="5"/>
      <c r="JSJ10" s="5"/>
      <c r="JSK10" s="5"/>
      <c r="JSL10" s="5"/>
      <c r="JSM10" s="5"/>
      <c r="JSN10" s="5"/>
      <c r="JSO10" s="5"/>
      <c r="JSP10" s="5"/>
      <c r="JSQ10" s="5"/>
      <c r="JSR10" s="5"/>
      <c r="JSS10" s="5"/>
      <c r="JST10" s="5"/>
      <c r="JSU10" s="5"/>
      <c r="JSV10" s="5"/>
      <c r="JSW10" s="5"/>
      <c r="JSX10" s="5"/>
      <c r="JSY10" s="5"/>
      <c r="JSZ10" s="5"/>
      <c r="JTA10" s="5"/>
      <c r="JTB10" s="5"/>
      <c r="JTC10" s="5"/>
      <c r="JTD10" s="5"/>
      <c r="JTE10" s="5"/>
      <c r="JTF10" s="5"/>
      <c r="JTG10" s="5"/>
      <c r="JTH10" s="5"/>
      <c r="JTI10" s="5"/>
      <c r="JTJ10" s="5"/>
      <c r="JTK10" s="5"/>
      <c r="JTL10" s="5"/>
      <c r="JTM10" s="5"/>
      <c r="JTN10" s="5"/>
      <c r="JTO10" s="5"/>
      <c r="JTP10" s="5"/>
      <c r="JTQ10" s="5"/>
      <c r="JTR10" s="5"/>
      <c r="JTS10" s="5"/>
      <c r="JTT10" s="5"/>
      <c r="JTU10" s="5"/>
      <c r="JTV10" s="5"/>
      <c r="JTW10" s="5"/>
      <c r="JTX10" s="5"/>
      <c r="JTY10" s="5"/>
      <c r="JTZ10" s="5"/>
      <c r="JUA10" s="5"/>
      <c r="JUB10" s="5"/>
      <c r="JUC10" s="5"/>
      <c r="JUD10" s="5"/>
      <c r="JUE10" s="5"/>
      <c r="JUF10" s="5"/>
      <c r="JUG10" s="5"/>
      <c r="JUH10" s="5"/>
      <c r="JUI10" s="5"/>
      <c r="JUJ10" s="5"/>
      <c r="JUK10" s="5"/>
      <c r="JUL10" s="5"/>
      <c r="JUM10" s="5"/>
      <c r="JUN10" s="5"/>
      <c r="JUO10" s="5"/>
      <c r="JUP10" s="5"/>
      <c r="JUQ10" s="5"/>
      <c r="JUR10" s="5"/>
      <c r="JUS10" s="5"/>
      <c r="JUT10" s="5"/>
      <c r="JUU10" s="5"/>
      <c r="JUV10" s="5"/>
      <c r="JUW10" s="5"/>
      <c r="JUX10" s="5"/>
      <c r="JUY10" s="5"/>
      <c r="JUZ10" s="5"/>
      <c r="JVA10" s="5"/>
      <c r="JVB10" s="5"/>
      <c r="JVC10" s="5"/>
      <c r="JVD10" s="5"/>
      <c r="JVE10" s="5"/>
      <c r="JVF10" s="5"/>
      <c r="JVG10" s="5"/>
      <c r="JVH10" s="5"/>
      <c r="JVI10" s="5"/>
      <c r="JVJ10" s="5"/>
      <c r="JVK10" s="5"/>
      <c r="JVL10" s="5"/>
      <c r="JVM10" s="5"/>
      <c r="JVN10" s="5"/>
      <c r="JVO10" s="5"/>
      <c r="JVP10" s="5"/>
      <c r="JVQ10" s="5"/>
      <c r="JVR10" s="5"/>
      <c r="JVS10" s="5"/>
      <c r="JVT10" s="5"/>
      <c r="JVU10" s="5"/>
      <c r="JVV10" s="5"/>
      <c r="JVW10" s="5"/>
      <c r="JVX10" s="5"/>
      <c r="JVY10" s="5"/>
      <c r="JVZ10" s="5"/>
      <c r="JWA10" s="5"/>
      <c r="JWB10" s="5"/>
      <c r="JWC10" s="5"/>
      <c r="JWD10" s="5"/>
      <c r="JWE10" s="5"/>
      <c r="JWF10" s="5"/>
      <c r="JWG10" s="5"/>
      <c r="JWH10" s="5"/>
      <c r="JWI10" s="5"/>
      <c r="JWJ10" s="5"/>
      <c r="JWK10" s="5"/>
      <c r="JWL10" s="5"/>
      <c r="JWM10" s="5"/>
      <c r="JWN10" s="5"/>
      <c r="JWO10" s="5"/>
      <c r="JWP10" s="5"/>
      <c r="JWQ10" s="5"/>
      <c r="JWR10" s="5"/>
      <c r="JWS10" s="5"/>
      <c r="JWT10" s="5"/>
      <c r="JWU10" s="5"/>
      <c r="JWV10" s="5"/>
      <c r="JWW10" s="5"/>
      <c r="JWX10" s="5"/>
      <c r="JWY10" s="5"/>
      <c r="JWZ10" s="5"/>
      <c r="JXA10" s="5"/>
      <c r="JXB10" s="5"/>
      <c r="JXC10" s="5"/>
      <c r="JXD10" s="5"/>
      <c r="JXE10" s="5"/>
      <c r="JXF10" s="5"/>
      <c r="JXG10" s="5"/>
      <c r="JXH10" s="5"/>
      <c r="JXI10" s="5"/>
      <c r="JXJ10" s="5"/>
      <c r="JXK10" s="5"/>
      <c r="JXL10" s="5"/>
      <c r="JXM10" s="5"/>
      <c r="JXN10" s="5"/>
      <c r="JXO10" s="5"/>
      <c r="JXP10" s="5"/>
      <c r="JXQ10" s="5"/>
      <c r="JXR10" s="5"/>
      <c r="JXS10" s="5"/>
      <c r="JXT10" s="5"/>
      <c r="JXU10" s="5"/>
      <c r="JXV10" s="5"/>
      <c r="JXW10" s="5"/>
      <c r="JXX10" s="5"/>
      <c r="JXY10" s="5"/>
      <c r="JXZ10" s="5"/>
      <c r="JYA10" s="5"/>
      <c r="JYB10" s="5"/>
      <c r="JYC10" s="5"/>
      <c r="JYD10" s="5"/>
      <c r="JYE10" s="5"/>
      <c r="JYF10" s="5"/>
      <c r="JYG10" s="5"/>
      <c r="JYH10" s="5"/>
      <c r="JYI10" s="5"/>
      <c r="JYJ10" s="5"/>
      <c r="JYK10" s="5"/>
      <c r="JYL10" s="5"/>
      <c r="JYM10" s="5"/>
      <c r="JYN10" s="5"/>
      <c r="JYO10" s="5"/>
      <c r="JYP10" s="5"/>
      <c r="JYQ10" s="5"/>
      <c r="JYR10" s="5"/>
      <c r="JYS10" s="5"/>
      <c r="JYT10" s="5"/>
      <c r="JYU10" s="5"/>
      <c r="JYV10" s="5"/>
      <c r="JYW10" s="5"/>
      <c r="JYX10" s="5"/>
      <c r="JYY10" s="5"/>
      <c r="JYZ10" s="5"/>
      <c r="JZA10" s="5"/>
      <c r="JZB10" s="5"/>
      <c r="JZC10" s="5"/>
      <c r="JZD10" s="5"/>
      <c r="JZE10" s="5"/>
      <c r="JZF10" s="5"/>
      <c r="JZG10" s="5"/>
      <c r="JZH10" s="5"/>
      <c r="JZI10" s="5"/>
      <c r="JZJ10" s="5"/>
      <c r="JZK10" s="5"/>
      <c r="JZL10" s="5"/>
      <c r="JZM10" s="5"/>
      <c r="JZN10" s="5"/>
      <c r="JZO10" s="5"/>
      <c r="JZP10" s="5"/>
      <c r="JZQ10" s="5"/>
      <c r="JZR10" s="5"/>
      <c r="JZS10" s="5"/>
      <c r="JZT10" s="5"/>
      <c r="JZU10" s="5"/>
      <c r="JZV10" s="5"/>
      <c r="JZW10" s="5"/>
      <c r="JZX10" s="5"/>
      <c r="JZY10" s="5"/>
      <c r="JZZ10" s="5"/>
      <c r="KAA10" s="5"/>
      <c r="KAB10" s="5"/>
      <c r="KAC10" s="5"/>
      <c r="KAD10" s="5"/>
      <c r="KAE10" s="5"/>
      <c r="KAF10" s="5"/>
      <c r="KAG10" s="5"/>
      <c r="KAH10" s="5"/>
      <c r="KAI10" s="5"/>
      <c r="KAJ10" s="5"/>
      <c r="KAK10" s="5"/>
      <c r="KAL10" s="5"/>
      <c r="KAM10" s="5"/>
      <c r="KAN10" s="5"/>
      <c r="KAO10" s="5"/>
      <c r="KAP10" s="5"/>
      <c r="KAQ10" s="5"/>
      <c r="KAR10" s="5"/>
      <c r="KAS10" s="5"/>
      <c r="KAT10" s="5"/>
      <c r="KAU10" s="5"/>
      <c r="KAV10" s="5"/>
      <c r="KAW10" s="5"/>
      <c r="KAX10" s="5"/>
      <c r="KAY10" s="5"/>
      <c r="KAZ10" s="5"/>
      <c r="KBA10" s="5"/>
      <c r="KBB10" s="5"/>
      <c r="KBC10" s="5"/>
      <c r="KBD10" s="5"/>
      <c r="KBE10" s="5"/>
      <c r="KBF10" s="5"/>
      <c r="KBG10" s="5"/>
      <c r="KBH10" s="5"/>
      <c r="KBI10" s="5"/>
      <c r="KBJ10" s="5"/>
      <c r="KBK10" s="5"/>
      <c r="KBL10" s="5"/>
      <c r="KBM10" s="5"/>
      <c r="KBN10" s="5"/>
      <c r="KBO10" s="5"/>
      <c r="KBP10" s="5"/>
      <c r="KBQ10" s="5"/>
      <c r="KBR10" s="5"/>
      <c r="KBS10" s="5"/>
      <c r="KBT10" s="5"/>
      <c r="KBU10" s="5"/>
      <c r="KBV10" s="5"/>
      <c r="KBW10" s="5"/>
      <c r="KBX10" s="5"/>
      <c r="KBY10" s="5"/>
      <c r="KBZ10" s="5"/>
      <c r="KCA10" s="5"/>
      <c r="KCB10" s="5"/>
      <c r="KCC10" s="5"/>
      <c r="KCD10" s="5"/>
      <c r="KCE10" s="5"/>
      <c r="KCF10" s="5"/>
      <c r="KCG10" s="5"/>
      <c r="KCH10" s="5"/>
      <c r="KCI10" s="5"/>
      <c r="KCJ10" s="5"/>
      <c r="KCK10" s="5"/>
      <c r="KCL10" s="5"/>
      <c r="KCM10" s="5"/>
      <c r="KCN10" s="5"/>
      <c r="KCO10" s="5"/>
      <c r="KCP10" s="5"/>
      <c r="KCQ10" s="5"/>
      <c r="KCR10" s="5"/>
      <c r="KCS10" s="5"/>
      <c r="KCT10" s="5"/>
      <c r="KCU10" s="5"/>
      <c r="KCV10" s="5"/>
      <c r="KCW10" s="5"/>
      <c r="KCX10" s="5"/>
      <c r="KCY10" s="5"/>
      <c r="KCZ10" s="5"/>
      <c r="KDA10" s="5"/>
      <c r="KDB10" s="5"/>
      <c r="KDC10" s="5"/>
      <c r="KDD10" s="5"/>
      <c r="KDE10" s="5"/>
      <c r="KDF10" s="5"/>
      <c r="KDG10" s="5"/>
      <c r="KDH10" s="5"/>
      <c r="KDI10" s="5"/>
      <c r="KDJ10" s="5"/>
      <c r="KDK10" s="5"/>
      <c r="KDL10" s="5"/>
      <c r="KDM10" s="5"/>
      <c r="KDN10" s="5"/>
      <c r="KDO10" s="5"/>
      <c r="KDP10" s="5"/>
      <c r="KDQ10" s="5"/>
      <c r="KDR10" s="5"/>
      <c r="KDS10" s="5"/>
      <c r="KDT10" s="5"/>
      <c r="KDU10" s="5"/>
      <c r="KDV10" s="5"/>
      <c r="KDW10" s="5"/>
      <c r="KDX10" s="5"/>
      <c r="KDY10" s="5"/>
      <c r="KDZ10" s="5"/>
      <c r="KEA10" s="5"/>
      <c r="KEB10" s="5"/>
      <c r="KEC10" s="5"/>
      <c r="KED10" s="5"/>
      <c r="KEE10" s="5"/>
      <c r="KEF10" s="5"/>
      <c r="KEG10" s="5"/>
      <c r="KEH10" s="5"/>
      <c r="KEI10" s="5"/>
      <c r="KEJ10" s="5"/>
      <c r="KEK10" s="5"/>
      <c r="KEL10" s="5"/>
      <c r="KEM10" s="5"/>
      <c r="KEN10" s="5"/>
      <c r="KEO10" s="5"/>
      <c r="KEP10" s="5"/>
      <c r="KEQ10" s="5"/>
      <c r="KER10" s="5"/>
      <c r="KES10" s="5"/>
      <c r="KET10" s="5"/>
      <c r="KEU10" s="5"/>
      <c r="KEV10" s="5"/>
      <c r="KEW10" s="5"/>
      <c r="KEX10" s="5"/>
      <c r="KEY10" s="5"/>
      <c r="KEZ10" s="5"/>
      <c r="KFA10" s="5"/>
      <c r="KFB10" s="5"/>
      <c r="KFC10" s="5"/>
      <c r="KFD10" s="5"/>
      <c r="KFE10" s="5"/>
      <c r="KFF10" s="5"/>
      <c r="KFG10" s="5"/>
      <c r="KFH10" s="5"/>
      <c r="KFI10" s="5"/>
      <c r="KFJ10" s="5"/>
      <c r="KFK10" s="5"/>
      <c r="KFL10" s="5"/>
      <c r="KFM10" s="5"/>
      <c r="KFN10" s="5"/>
      <c r="KFO10" s="5"/>
      <c r="KFP10" s="5"/>
      <c r="KFQ10" s="5"/>
      <c r="KFR10" s="5"/>
      <c r="KFS10" s="5"/>
      <c r="KFT10" s="5"/>
      <c r="KFU10" s="5"/>
      <c r="KFV10" s="5"/>
      <c r="KFW10" s="5"/>
      <c r="KFX10" s="5"/>
      <c r="KFY10" s="5"/>
      <c r="KFZ10" s="5"/>
      <c r="KGA10" s="5"/>
      <c r="KGB10" s="5"/>
      <c r="KGC10" s="5"/>
      <c r="KGD10" s="5"/>
      <c r="KGE10" s="5"/>
      <c r="KGF10" s="5"/>
      <c r="KGG10" s="5"/>
      <c r="KGH10" s="5"/>
      <c r="KGI10" s="5"/>
      <c r="KGJ10" s="5"/>
      <c r="KGK10" s="5"/>
      <c r="KGL10" s="5"/>
      <c r="KGM10" s="5"/>
      <c r="KGN10" s="5"/>
      <c r="KGO10" s="5"/>
      <c r="KGP10" s="5"/>
      <c r="KGQ10" s="5"/>
      <c r="KGR10" s="5"/>
      <c r="KGS10" s="5"/>
      <c r="KGT10" s="5"/>
      <c r="KGU10" s="5"/>
      <c r="KGV10" s="5"/>
      <c r="KGW10" s="5"/>
      <c r="KGX10" s="5"/>
      <c r="KGY10" s="5"/>
      <c r="KGZ10" s="5"/>
      <c r="KHA10" s="5"/>
      <c r="KHB10" s="5"/>
      <c r="KHC10" s="5"/>
      <c r="KHD10" s="5"/>
      <c r="KHE10" s="5"/>
      <c r="KHF10" s="5"/>
      <c r="KHG10" s="5"/>
      <c r="KHH10" s="5"/>
      <c r="KHI10" s="5"/>
      <c r="KHJ10" s="5"/>
      <c r="KHK10" s="5"/>
      <c r="KHL10" s="5"/>
      <c r="KHM10" s="5"/>
      <c r="KHN10" s="5"/>
      <c r="KHO10" s="5"/>
      <c r="KHP10" s="5"/>
      <c r="KHQ10" s="5"/>
      <c r="KHR10" s="5"/>
      <c r="KHS10" s="5"/>
      <c r="KHT10" s="5"/>
      <c r="KHU10" s="5"/>
      <c r="KHV10" s="5"/>
      <c r="KHW10" s="5"/>
      <c r="KHX10" s="5"/>
      <c r="KHY10" s="5"/>
      <c r="KHZ10" s="5"/>
      <c r="KIA10" s="5"/>
      <c r="KIB10" s="5"/>
      <c r="KIC10" s="5"/>
      <c r="KID10" s="5"/>
      <c r="KIE10" s="5"/>
      <c r="KIF10" s="5"/>
      <c r="KIG10" s="5"/>
      <c r="KIH10" s="5"/>
      <c r="KII10" s="5"/>
      <c r="KIJ10" s="5"/>
      <c r="KIK10" s="5"/>
      <c r="KIL10" s="5"/>
      <c r="KIM10" s="5"/>
      <c r="KIN10" s="5"/>
      <c r="KIO10" s="5"/>
      <c r="KIP10" s="5"/>
      <c r="KIQ10" s="5"/>
      <c r="KIR10" s="5"/>
      <c r="KIS10" s="5"/>
      <c r="KIT10" s="5"/>
      <c r="KIU10" s="5"/>
      <c r="KIV10" s="5"/>
      <c r="KIW10" s="5"/>
      <c r="KIX10" s="5"/>
      <c r="KIY10" s="5"/>
      <c r="KIZ10" s="5"/>
      <c r="KJA10" s="5"/>
      <c r="KJB10" s="5"/>
      <c r="KJC10" s="5"/>
      <c r="KJD10" s="5"/>
      <c r="KJE10" s="5"/>
      <c r="KJF10" s="5"/>
      <c r="KJG10" s="5"/>
      <c r="KJH10" s="5"/>
      <c r="KJI10" s="5"/>
      <c r="KJJ10" s="5"/>
      <c r="KJK10" s="5"/>
      <c r="KJL10" s="5"/>
      <c r="KJM10" s="5"/>
      <c r="KJN10" s="5"/>
      <c r="KJO10" s="5"/>
      <c r="KJP10" s="5"/>
      <c r="KJQ10" s="5"/>
      <c r="KJR10" s="5"/>
      <c r="KJS10" s="5"/>
      <c r="KJT10" s="5"/>
      <c r="KJU10" s="5"/>
      <c r="KJV10" s="5"/>
      <c r="KJW10" s="5"/>
      <c r="KJX10" s="5"/>
      <c r="KJY10" s="5"/>
      <c r="KJZ10" s="5"/>
      <c r="KKA10" s="5"/>
      <c r="KKB10" s="5"/>
      <c r="KKC10" s="5"/>
      <c r="KKD10" s="5"/>
      <c r="KKE10" s="5"/>
      <c r="KKF10" s="5"/>
      <c r="KKG10" s="5"/>
      <c r="KKH10" s="5"/>
      <c r="KKI10" s="5"/>
      <c r="KKJ10" s="5"/>
      <c r="KKK10" s="5"/>
      <c r="KKL10" s="5"/>
      <c r="KKM10" s="5"/>
      <c r="KKN10" s="5"/>
      <c r="KKO10" s="5"/>
      <c r="KKP10" s="5"/>
      <c r="KKQ10" s="5"/>
      <c r="KKR10" s="5"/>
      <c r="KKS10" s="5"/>
      <c r="KKT10" s="5"/>
      <c r="KKU10" s="5"/>
      <c r="KKV10" s="5"/>
      <c r="KKW10" s="5"/>
      <c r="KKX10" s="5"/>
      <c r="KKY10" s="5"/>
      <c r="KKZ10" s="5"/>
      <c r="KLA10" s="5"/>
      <c r="KLB10" s="5"/>
      <c r="KLC10" s="5"/>
      <c r="KLD10" s="5"/>
      <c r="KLE10" s="5"/>
      <c r="KLF10" s="5"/>
      <c r="KLG10" s="5"/>
      <c r="KLH10" s="5"/>
      <c r="KLI10" s="5"/>
      <c r="KLJ10" s="5"/>
      <c r="KLK10" s="5"/>
      <c r="KLL10" s="5"/>
      <c r="KLM10" s="5"/>
      <c r="KLN10" s="5"/>
      <c r="KLO10" s="5"/>
      <c r="KLP10" s="5"/>
      <c r="KLQ10" s="5"/>
      <c r="KLR10" s="5"/>
      <c r="KLS10" s="5"/>
      <c r="KLT10" s="5"/>
      <c r="KLU10" s="5"/>
      <c r="KLV10" s="5"/>
      <c r="KLW10" s="5"/>
      <c r="KLX10" s="5"/>
      <c r="KLY10" s="5"/>
      <c r="KLZ10" s="5"/>
      <c r="KMA10" s="5"/>
      <c r="KMB10" s="5"/>
      <c r="KMC10" s="5"/>
      <c r="KMD10" s="5"/>
      <c r="KME10" s="5"/>
      <c r="KMF10" s="5"/>
      <c r="KMG10" s="5"/>
      <c r="KMH10" s="5"/>
      <c r="KMI10" s="5"/>
      <c r="KMJ10" s="5"/>
      <c r="KMK10" s="5"/>
      <c r="KML10" s="5"/>
      <c r="KMM10" s="5"/>
      <c r="KMN10" s="5"/>
      <c r="KMO10" s="5"/>
      <c r="KMP10" s="5"/>
      <c r="KMQ10" s="5"/>
      <c r="KMR10" s="5"/>
      <c r="KMS10" s="5"/>
      <c r="KMT10" s="5"/>
      <c r="KMU10" s="5"/>
      <c r="KMV10" s="5"/>
      <c r="KMW10" s="5"/>
      <c r="KMX10" s="5"/>
      <c r="KMY10" s="5"/>
      <c r="KMZ10" s="5"/>
      <c r="KNA10" s="5"/>
      <c r="KNB10" s="5"/>
      <c r="KNC10" s="5"/>
      <c r="KND10" s="5"/>
      <c r="KNE10" s="5"/>
      <c r="KNF10" s="5"/>
      <c r="KNG10" s="5"/>
      <c r="KNH10" s="5"/>
      <c r="KNI10" s="5"/>
      <c r="KNJ10" s="5"/>
      <c r="KNK10" s="5"/>
      <c r="KNL10" s="5"/>
      <c r="KNM10" s="5"/>
      <c r="KNN10" s="5"/>
      <c r="KNO10" s="5"/>
      <c r="KNP10" s="5"/>
      <c r="KNQ10" s="5"/>
      <c r="KNR10" s="5"/>
      <c r="KNS10" s="5"/>
      <c r="KNT10" s="5"/>
      <c r="KNU10" s="5"/>
      <c r="KNV10" s="5"/>
      <c r="KNW10" s="5"/>
      <c r="KNX10" s="5"/>
      <c r="KNY10" s="5"/>
      <c r="KNZ10" s="5"/>
      <c r="KOA10" s="5"/>
      <c r="KOB10" s="5"/>
      <c r="KOC10" s="5"/>
      <c r="KOD10" s="5"/>
      <c r="KOE10" s="5"/>
      <c r="KOF10" s="5"/>
      <c r="KOG10" s="5"/>
      <c r="KOH10" s="5"/>
      <c r="KOI10" s="5"/>
      <c r="KOJ10" s="5"/>
      <c r="KOK10" s="5"/>
      <c r="KOL10" s="5"/>
      <c r="KOM10" s="5"/>
      <c r="KON10" s="5"/>
      <c r="KOO10" s="5"/>
      <c r="KOP10" s="5"/>
      <c r="KOQ10" s="5"/>
      <c r="KOR10" s="5"/>
      <c r="KOS10" s="5"/>
      <c r="KOT10" s="5"/>
      <c r="KOU10" s="5"/>
      <c r="KOV10" s="5"/>
      <c r="KOW10" s="5"/>
      <c r="KOX10" s="5"/>
      <c r="KOY10" s="5"/>
      <c r="KOZ10" s="5"/>
      <c r="KPA10" s="5"/>
      <c r="KPB10" s="5"/>
      <c r="KPC10" s="5"/>
      <c r="KPD10" s="5"/>
      <c r="KPE10" s="5"/>
      <c r="KPF10" s="5"/>
      <c r="KPG10" s="5"/>
      <c r="KPH10" s="5"/>
      <c r="KPI10" s="5"/>
      <c r="KPJ10" s="5"/>
      <c r="KPK10" s="5"/>
      <c r="KPL10" s="5"/>
      <c r="KPM10" s="5"/>
      <c r="KPN10" s="5"/>
      <c r="KPO10" s="5"/>
      <c r="KPP10" s="5"/>
      <c r="KPQ10" s="5"/>
      <c r="KPR10" s="5"/>
      <c r="KPS10" s="5"/>
      <c r="KPT10" s="5"/>
      <c r="KPU10" s="5"/>
      <c r="KPV10" s="5"/>
      <c r="KPW10" s="5"/>
      <c r="KPX10" s="5"/>
      <c r="KPY10" s="5"/>
      <c r="KPZ10" s="5"/>
      <c r="KQA10" s="5"/>
      <c r="KQB10" s="5"/>
      <c r="KQC10" s="5"/>
      <c r="KQD10" s="5"/>
      <c r="KQE10" s="5"/>
      <c r="KQF10" s="5"/>
      <c r="KQG10" s="5"/>
      <c r="KQH10" s="5"/>
      <c r="KQI10" s="5"/>
      <c r="KQJ10" s="5"/>
      <c r="KQK10" s="5"/>
      <c r="KQL10" s="5"/>
      <c r="KQM10" s="5"/>
      <c r="KQN10" s="5"/>
      <c r="KQO10" s="5"/>
      <c r="KQP10" s="5"/>
      <c r="KQQ10" s="5"/>
      <c r="KQR10" s="5"/>
      <c r="KQS10" s="5"/>
      <c r="KQT10" s="5"/>
      <c r="KQU10" s="5"/>
      <c r="KQV10" s="5"/>
      <c r="KQW10" s="5"/>
      <c r="KQX10" s="5"/>
      <c r="KQY10" s="5"/>
      <c r="KQZ10" s="5"/>
      <c r="KRA10" s="5"/>
      <c r="KRB10" s="5"/>
      <c r="KRC10" s="5"/>
      <c r="KRD10" s="5"/>
      <c r="KRE10" s="5"/>
      <c r="KRF10" s="5"/>
      <c r="KRG10" s="5"/>
      <c r="KRH10" s="5"/>
      <c r="KRI10" s="5"/>
      <c r="KRJ10" s="5"/>
      <c r="KRK10" s="5"/>
      <c r="KRL10" s="5"/>
      <c r="KRM10" s="5"/>
      <c r="KRN10" s="5"/>
      <c r="KRO10" s="5"/>
      <c r="KRP10" s="5"/>
      <c r="KRQ10" s="5"/>
      <c r="KRR10" s="5"/>
      <c r="KRS10" s="5"/>
      <c r="KRT10" s="5"/>
      <c r="KRU10" s="5"/>
      <c r="KRV10" s="5"/>
      <c r="KRW10" s="5"/>
      <c r="KRX10" s="5"/>
      <c r="KRY10" s="5"/>
      <c r="KRZ10" s="5"/>
      <c r="KSA10" s="5"/>
      <c r="KSB10" s="5"/>
      <c r="KSC10" s="5"/>
      <c r="KSD10" s="5"/>
      <c r="KSE10" s="5"/>
      <c r="KSF10" s="5"/>
      <c r="KSG10" s="5"/>
      <c r="KSH10" s="5"/>
      <c r="KSI10" s="5"/>
      <c r="KSJ10" s="5"/>
      <c r="KSK10" s="5"/>
      <c r="KSL10" s="5"/>
      <c r="KSM10" s="5"/>
      <c r="KSN10" s="5"/>
      <c r="KSO10" s="5"/>
      <c r="KSP10" s="5"/>
      <c r="KSQ10" s="5"/>
      <c r="KSR10" s="5"/>
      <c r="KSS10" s="5"/>
      <c r="KST10" s="5"/>
      <c r="KSU10" s="5"/>
      <c r="KSV10" s="5"/>
      <c r="KSW10" s="5"/>
      <c r="KSX10" s="5"/>
      <c r="KSY10" s="5"/>
      <c r="KSZ10" s="5"/>
      <c r="KTA10" s="5"/>
      <c r="KTB10" s="5"/>
      <c r="KTC10" s="5"/>
      <c r="KTD10" s="5"/>
      <c r="KTE10" s="5"/>
      <c r="KTF10" s="5"/>
      <c r="KTG10" s="5"/>
      <c r="KTH10" s="5"/>
      <c r="KTI10" s="5"/>
      <c r="KTJ10" s="5"/>
      <c r="KTK10" s="5"/>
      <c r="KTL10" s="5"/>
      <c r="KTM10" s="5"/>
      <c r="KTN10" s="5"/>
      <c r="KTO10" s="5"/>
      <c r="KTP10" s="5"/>
      <c r="KTQ10" s="5"/>
      <c r="KTR10" s="5"/>
      <c r="KTS10" s="5"/>
      <c r="KTT10" s="5"/>
      <c r="KTU10" s="5"/>
      <c r="KTV10" s="5"/>
      <c r="KTW10" s="5"/>
      <c r="KTX10" s="5"/>
      <c r="KTY10" s="5"/>
      <c r="KTZ10" s="5"/>
      <c r="KUA10" s="5"/>
      <c r="KUB10" s="5"/>
      <c r="KUC10" s="5"/>
      <c r="KUD10" s="5"/>
      <c r="KUE10" s="5"/>
      <c r="KUF10" s="5"/>
      <c r="KUG10" s="5"/>
      <c r="KUH10" s="5"/>
      <c r="KUI10" s="5"/>
      <c r="KUJ10" s="5"/>
      <c r="KUK10" s="5"/>
      <c r="KUL10" s="5"/>
      <c r="KUM10" s="5"/>
      <c r="KUN10" s="5"/>
      <c r="KUO10" s="5"/>
      <c r="KUP10" s="5"/>
      <c r="KUQ10" s="5"/>
      <c r="KUR10" s="5"/>
      <c r="KUS10" s="5"/>
      <c r="KUT10" s="5"/>
      <c r="KUU10" s="5"/>
      <c r="KUV10" s="5"/>
      <c r="KUW10" s="5"/>
      <c r="KUX10" s="5"/>
      <c r="KUY10" s="5"/>
      <c r="KUZ10" s="5"/>
      <c r="KVA10" s="5"/>
      <c r="KVB10" s="5"/>
      <c r="KVC10" s="5"/>
      <c r="KVD10" s="5"/>
      <c r="KVE10" s="5"/>
      <c r="KVF10" s="5"/>
      <c r="KVG10" s="5"/>
      <c r="KVH10" s="5"/>
      <c r="KVI10" s="5"/>
      <c r="KVJ10" s="5"/>
      <c r="KVK10" s="5"/>
      <c r="KVL10" s="5"/>
      <c r="KVM10" s="5"/>
      <c r="KVN10" s="5"/>
      <c r="KVO10" s="5"/>
      <c r="KVP10" s="5"/>
      <c r="KVQ10" s="5"/>
      <c r="KVR10" s="5"/>
      <c r="KVS10" s="5"/>
      <c r="KVT10" s="5"/>
      <c r="KVU10" s="5"/>
      <c r="KVV10" s="5"/>
      <c r="KVW10" s="5"/>
      <c r="KVX10" s="5"/>
      <c r="KVY10" s="5"/>
      <c r="KVZ10" s="5"/>
      <c r="KWA10" s="5"/>
      <c r="KWB10" s="5"/>
      <c r="KWC10" s="5"/>
      <c r="KWD10" s="5"/>
      <c r="KWE10" s="5"/>
      <c r="KWF10" s="5"/>
      <c r="KWG10" s="5"/>
      <c r="KWH10" s="5"/>
      <c r="KWI10" s="5"/>
      <c r="KWJ10" s="5"/>
      <c r="KWK10" s="5"/>
      <c r="KWL10" s="5"/>
      <c r="KWM10" s="5"/>
      <c r="KWN10" s="5"/>
      <c r="KWO10" s="5"/>
      <c r="KWP10" s="5"/>
      <c r="KWQ10" s="5"/>
      <c r="KWR10" s="5"/>
      <c r="KWS10" s="5"/>
      <c r="KWT10" s="5"/>
      <c r="KWU10" s="5"/>
      <c r="KWV10" s="5"/>
      <c r="KWW10" s="5"/>
      <c r="KWX10" s="5"/>
      <c r="KWY10" s="5"/>
      <c r="KWZ10" s="5"/>
      <c r="KXA10" s="5"/>
      <c r="KXB10" s="5"/>
      <c r="KXC10" s="5"/>
      <c r="KXD10" s="5"/>
      <c r="KXE10" s="5"/>
      <c r="KXF10" s="5"/>
      <c r="KXG10" s="5"/>
      <c r="KXH10" s="5"/>
      <c r="KXI10" s="5"/>
      <c r="KXJ10" s="5"/>
      <c r="KXK10" s="5"/>
      <c r="KXL10" s="5"/>
      <c r="KXM10" s="5"/>
      <c r="KXN10" s="5"/>
      <c r="KXO10" s="5"/>
      <c r="KXP10" s="5"/>
      <c r="KXQ10" s="5"/>
      <c r="KXR10" s="5"/>
      <c r="KXS10" s="5"/>
      <c r="KXT10" s="5"/>
      <c r="KXU10" s="5"/>
      <c r="KXV10" s="5"/>
      <c r="KXW10" s="5"/>
      <c r="KXX10" s="5"/>
      <c r="KXY10" s="5"/>
      <c r="KXZ10" s="5"/>
      <c r="KYA10" s="5"/>
      <c r="KYB10" s="5"/>
      <c r="KYC10" s="5"/>
      <c r="KYD10" s="5"/>
      <c r="KYE10" s="5"/>
      <c r="KYF10" s="5"/>
      <c r="KYG10" s="5"/>
      <c r="KYH10" s="5"/>
      <c r="KYI10" s="5"/>
      <c r="KYJ10" s="5"/>
      <c r="KYK10" s="5"/>
      <c r="KYL10" s="5"/>
      <c r="KYM10" s="5"/>
      <c r="KYN10" s="5"/>
      <c r="KYO10" s="5"/>
      <c r="KYP10" s="5"/>
      <c r="KYQ10" s="5"/>
      <c r="KYR10" s="5"/>
      <c r="KYS10" s="5"/>
      <c r="KYT10" s="5"/>
      <c r="KYU10" s="5"/>
      <c r="KYV10" s="5"/>
      <c r="KYW10" s="5"/>
      <c r="KYX10" s="5"/>
      <c r="KYY10" s="5"/>
      <c r="KYZ10" s="5"/>
      <c r="KZA10" s="5"/>
      <c r="KZB10" s="5"/>
      <c r="KZC10" s="5"/>
      <c r="KZD10" s="5"/>
      <c r="KZE10" s="5"/>
      <c r="KZF10" s="5"/>
      <c r="KZG10" s="5"/>
      <c r="KZH10" s="5"/>
      <c r="KZI10" s="5"/>
      <c r="KZJ10" s="5"/>
      <c r="KZK10" s="5"/>
      <c r="KZL10" s="5"/>
      <c r="KZM10" s="5"/>
      <c r="KZN10" s="5"/>
      <c r="KZO10" s="5"/>
      <c r="KZP10" s="5"/>
      <c r="KZQ10" s="5"/>
      <c r="KZR10" s="5"/>
      <c r="KZS10" s="5"/>
      <c r="KZT10" s="5"/>
      <c r="KZU10" s="5"/>
      <c r="KZV10" s="5"/>
      <c r="KZW10" s="5"/>
      <c r="KZX10" s="5"/>
      <c r="KZY10" s="5"/>
      <c r="KZZ10" s="5"/>
      <c r="LAA10" s="5"/>
      <c r="LAB10" s="5"/>
      <c r="LAC10" s="5"/>
      <c r="LAD10" s="5"/>
      <c r="LAE10" s="5"/>
      <c r="LAF10" s="5"/>
      <c r="LAG10" s="5"/>
      <c r="LAH10" s="5"/>
      <c r="LAI10" s="5"/>
      <c r="LAJ10" s="5"/>
      <c r="LAK10" s="5"/>
      <c r="LAL10" s="5"/>
      <c r="LAM10" s="5"/>
      <c r="LAN10" s="5"/>
      <c r="LAO10" s="5"/>
      <c r="LAP10" s="5"/>
      <c r="LAQ10" s="5"/>
      <c r="LAR10" s="5"/>
      <c r="LAS10" s="5"/>
      <c r="LAT10" s="5"/>
      <c r="LAU10" s="5"/>
      <c r="LAV10" s="5"/>
      <c r="LAW10" s="5"/>
      <c r="LAX10" s="5"/>
      <c r="LAY10" s="5"/>
      <c r="LAZ10" s="5"/>
      <c r="LBA10" s="5"/>
      <c r="LBB10" s="5"/>
      <c r="LBC10" s="5"/>
      <c r="LBD10" s="5"/>
      <c r="LBE10" s="5"/>
      <c r="LBF10" s="5"/>
      <c r="LBG10" s="5"/>
      <c r="LBH10" s="5"/>
      <c r="LBI10" s="5"/>
      <c r="LBJ10" s="5"/>
      <c r="LBK10" s="5"/>
      <c r="LBL10" s="5"/>
      <c r="LBM10" s="5"/>
      <c r="LBN10" s="5"/>
      <c r="LBO10" s="5"/>
      <c r="LBP10" s="5"/>
      <c r="LBQ10" s="5"/>
      <c r="LBR10" s="5"/>
      <c r="LBS10" s="5"/>
      <c r="LBT10" s="5"/>
      <c r="LBU10" s="5"/>
      <c r="LBV10" s="5"/>
      <c r="LBW10" s="5"/>
      <c r="LBX10" s="5"/>
      <c r="LBY10" s="5"/>
      <c r="LBZ10" s="5"/>
      <c r="LCA10" s="5"/>
      <c r="LCB10" s="5"/>
      <c r="LCC10" s="5"/>
      <c r="LCD10" s="5"/>
      <c r="LCE10" s="5"/>
      <c r="LCF10" s="5"/>
      <c r="LCG10" s="5"/>
      <c r="LCH10" s="5"/>
      <c r="LCI10" s="5"/>
      <c r="LCJ10" s="5"/>
      <c r="LCK10" s="5"/>
      <c r="LCL10" s="5"/>
      <c r="LCM10" s="5"/>
      <c r="LCN10" s="5"/>
      <c r="LCO10" s="5"/>
      <c r="LCP10" s="5"/>
      <c r="LCQ10" s="5"/>
      <c r="LCR10" s="5"/>
      <c r="LCS10" s="5"/>
      <c r="LCT10" s="5"/>
      <c r="LCU10" s="5"/>
      <c r="LCV10" s="5"/>
      <c r="LCW10" s="5"/>
      <c r="LCX10" s="5"/>
      <c r="LCY10" s="5"/>
      <c r="LCZ10" s="5"/>
      <c r="LDA10" s="5"/>
      <c r="LDB10" s="5"/>
      <c r="LDC10" s="5"/>
      <c r="LDD10" s="5"/>
      <c r="LDE10" s="5"/>
      <c r="LDF10" s="5"/>
      <c r="LDG10" s="5"/>
      <c r="LDH10" s="5"/>
      <c r="LDI10" s="5"/>
      <c r="LDJ10" s="5"/>
      <c r="LDK10" s="5"/>
      <c r="LDL10" s="5"/>
      <c r="LDM10" s="5"/>
      <c r="LDN10" s="5"/>
      <c r="LDO10" s="5"/>
      <c r="LDP10" s="5"/>
      <c r="LDQ10" s="5"/>
      <c r="LDR10" s="5"/>
      <c r="LDS10" s="5"/>
      <c r="LDT10" s="5"/>
      <c r="LDU10" s="5"/>
      <c r="LDV10" s="5"/>
      <c r="LDW10" s="5"/>
      <c r="LDX10" s="5"/>
      <c r="LDY10" s="5"/>
      <c r="LDZ10" s="5"/>
      <c r="LEA10" s="5"/>
      <c r="LEB10" s="5"/>
      <c r="LEC10" s="5"/>
      <c r="LED10" s="5"/>
      <c r="LEE10" s="5"/>
      <c r="LEF10" s="5"/>
      <c r="LEG10" s="5"/>
      <c r="LEH10" s="5"/>
      <c r="LEI10" s="5"/>
      <c r="LEJ10" s="5"/>
      <c r="LEK10" s="5"/>
      <c r="LEL10" s="5"/>
      <c r="LEM10" s="5"/>
      <c r="LEN10" s="5"/>
      <c r="LEO10" s="5"/>
      <c r="LEP10" s="5"/>
      <c r="LEQ10" s="5"/>
      <c r="LER10" s="5"/>
      <c r="LES10" s="5"/>
      <c r="LET10" s="5"/>
      <c r="LEU10" s="5"/>
      <c r="LEV10" s="5"/>
      <c r="LEW10" s="5"/>
      <c r="LEX10" s="5"/>
      <c r="LEY10" s="5"/>
      <c r="LEZ10" s="5"/>
      <c r="LFA10" s="5"/>
      <c r="LFB10" s="5"/>
      <c r="LFC10" s="5"/>
      <c r="LFD10" s="5"/>
      <c r="LFE10" s="5"/>
      <c r="LFF10" s="5"/>
      <c r="LFG10" s="5"/>
      <c r="LFH10" s="5"/>
      <c r="LFI10" s="5"/>
      <c r="LFJ10" s="5"/>
      <c r="LFK10" s="5"/>
      <c r="LFL10" s="5"/>
      <c r="LFM10" s="5"/>
      <c r="LFN10" s="5"/>
      <c r="LFO10" s="5"/>
      <c r="LFP10" s="5"/>
      <c r="LFQ10" s="5"/>
      <c r="LFR10" s="5"/>
      <c r="LFS10" s="5"/>
      <c r="LFT10" s="5"/>
      <c r="LFU10" s="5"/>
      <c r="LFV10" s="5"/>
      <c r="LFW10" s="5"/>
      <c r="LFX10" s="5"/>
      <c r="LFY10" s="5"/>
      <c r="LFZ10" s="5"/>
      <c r="LGA10" s="5"/>
      <c r="LGB10" s="5"/>
      <c r="LGC10" s="5"/>
      <c r="LGD10" s="5"/>
      <c r="LGE10" s="5"/>
      <c r="LGF10" s="5"/>
      <c r="LGG10" s="5"/>
      <c r="LGH10" s="5"/>
      <c r="LGI10" s="5"/>
      <c r="LGJ10" s="5"/>
      <c r="LGK10" s="5"/>
      <c r="LGL10" s="5"/>
      <c r="LGM10" s="5"/>
      <c r="LGN10" s="5"/>
      <c r="LGO10" s="5"/>
      <c r="LGP10" s="5"/>
      <c r="LGQ10" s="5"/>
      <c r="LGR10" s="5"/>
      <c r="LGS10" s="5"/>
      <c r="LGT10" s="5"/>
      <c r="LGU10" s="5"/>
      <c r="LGV10" s="5"/>
      <c r="LGW10" s="5"/>
      <c r="LGX10" s="5"/>
      <c r="LGY10" s="5"/>
      <c r="LGZ10" s="5"/>
      <c r="LHA10" s="5"/>
      <c r="LHB10" s="5"/>
      <c r="LHC10" s="5"/>
      <c r="LHD10" s="5"/>
      <c r="LHE10" s="5"/>
      <c r="LHF10" s="5"/>
      <c r="LHG10" s="5"/>
      <c r="LHH10" s="5"/>
      <c r="LHI10" s="5"/>
      <c r="LHJ10" s="5"/>
      <c r="LHK10" s="5"/>
      <c r="LHL10" s="5"/>
      <c r="LHM10" s="5"/>
      <c r="LHN10" s="5"/>
      <c r="LHO10" s="5"/>
      <c r="LHP10" s="5"/>
      <c r="LHQ10" s="5"/>
      <c r="LHR10" s="5"/>
      <c r="LHS10" s="5"/>
      <c r="LHT10" s="5"/>
      <c r="LHU10" s="5"/>
      <c r="LHV10" s="5"/>
      <c r="LHW10" s="5"/>
      <c r="LHX10" s="5"/>
      <c r="LHY10" s="5"/>
      <c r="LHZ10" s="5"/>
      <c r="LIA10" s="5"/>
      <c r="LIB10" s="5"/>
      <c r="LIC10" s="5"/>
      <c r="LID10" s="5"/>
      <c r="LIE10" s="5"/>
      <c r="LIF10" s="5"/>
      <c r="LIG10" s="5"/>
      <c r="LIH10" s="5"/>
      <c r="LII10" s="5"/>
      <c r="LIJ10" s="5"/>
      <c r="LIK10" s="5"/>
      <c r="LIL10" s="5"/>
      <c r="LIM10" s="5"/>
      <c r="LIN10" s="5"/>
      <c r="LIO10" s="5"/>
      <c r="LIP10" s="5"/>
      <c r="LIQ10" s="5"/>
      <c r="LIR10" s="5"/>
      <c r="LIS10" s="5"/>
      <c r="LIT10" s="5"/>
      <c r="LIU10" s="5"/>
      <c r="LIV10" s="5"/>
      <c r="LIW10" s="5"/>
      <c r="LIX10" s="5"/>
      <c r="LIY10" s="5"/>
      <c r="LIZ10" s="5"/>
      <c r="LJA10" s="5"/>
      <c r="LJB10" s="5"/>
      <c r="LJC10" s="5"/>
      <c r="LJD10" s="5"/>
      <c r="LJE10" s="5"/>
      <c r="LJF10" s="5"/>
      <c r="LJG10" s="5"/>
      <c r="LJH10" s="5"/>
      <c r="LJI10" s="5"/>
      <c r="LJJ10" s="5"/>
      <c r="LJK10" s="5"/>
      <c r="LJL10" s="5"/>
      <c r="LJM10" s="5"/>
      <c r="LJN10" s="5"/>
      <c r="LJO10" s="5"/>
      <c r="LJP10" s="5"/>
      <c r="LJQ10" s="5"/>
      <c r="LJR10" s="5"/>
      <c r="LJS10" s="5"/>
      <c r="LJT10" s="5"/>
      <c r="LJU10" s="5"/>
      <c r="LJV10" s="5"/>
      <c r="LJW10" s="5"/>
      <c r="LJX10" s="5"/>
      <c r="LJY10" s="5"/>
      <c r="LJZ10" s="5"/>
      <c r="LKA10" s="5"/>
      <c r="LKB10" s="5"/>
      <c r="LKC10" s="5"/>
      <c r="LKD10" s="5"/>
      <c r="LKE10" s="5"/>
      <c r="LKF10" s="5"/>
      <c r="LKG10" s="5"/>
      <c r="LKH10" s="5"/>
      <c r="LKI10" s="5"/>
      <c r="LKJ10" s="5"/>
      <c r="LKK10" s="5"/>
      <c r="LKL10" s="5"/>
      <c r="LKM10" s="5"/>
      <c r="LKN10" s="5"/>
      <c r="LKO10" s="5"/>
      <c r="LKP10" s="5"/>
      <c r="LKQ10" s="5"/>
      <c r="LKR10" s="5"/>
      <c r="LKS10" s="5"/>
      <c r="LKT10" s="5"/>
      <c r="LKU10" s="5"/>
      <c r="LKV10" s="5"/>
      <c r="LKW10" s="5"/>
      <c r="LKX10" s="5"/>
      <c r="LKY10" s="5"/>
      <c r="LKZ10" s="5"/>
      <c r="LLA10" s="5"/>
      <c r="LLB10" s="5"/>
      <c r="LLC10" s="5"/>
      <c r="LLD10" s="5"/>
      <c r="LLE10" s="5"/>
      <c r="LLF10" s="5"/>
      <c r="LLG10" s="5"/>
      <c r="LLH10" s="5"/>
      <c r="LLI10" s="5"/>
      <c r="LLJ10" s="5"/>
      <c r="LLK10" s="5"/>
      <c r="LLL10" s="5"/>
      <c r="LLM10" s="5"/>
      <c r="LLN10" s="5"/>
      <c r="LLO10" s="5"/>
      <c r="LLP10" s="5"/>
      <c r="LLQ10" s="5"/>
      <c r="LLR10" s="5"/>
      <c r="LLS10" s="5"/>
      <c r="LLT10" s="5"/>
      <c r="LLU10" s="5"/>
      <c r="LLV10" s="5"/>
      <c r="LLW10" s="5"/>
      <c r="LLX10" s="5"/>
      <c r="LLY10" s="5"/>
      <c r="LLZ10" s="5"/>
      <c r="LMA10" s="5"/>
      <c r="LMB10" s="5"/>
      <c r="LMC10" s="5"/>
      <c r="LMD10" s="5"/>
      <c r="LME10" s="5"/>
      <c r="LMF10" s="5"/>
      <c r="LMG10" s="5"/>
      <c r="LMH10" s="5"/>
      <c r="LMI10" s="5"/>
      <c r="LMJ10" s="5"/>
      <c r="LMK10" s="5"/>
      <c r="LML10" s="5"/>
      <c r="LMM10" s="5"/>
      <c r="LMN10" s="5"/>
      <c r="LMO10" s="5"/>
      <c r="LMP10" s="5"/>
      <c r="LMQ10" s="5"/>
      <c r="LMR10" s="5"/>
      <c r="LMS10" s="5"/>
      <c r="LMT10" s="5"/>
      <c r="LMU10" s="5"/>
      <c r="LMV10" s="5"/>
      <c r="LMW10" s="5"/>
      <c r="LMX10" s="5"/>
      <c r="LMY10" s="5"/>
      <c r="LMZ10" s="5"/>
      <c r="LNA10" s="5"/>
      <c r="LNB10" s="5"/>
      <c r="LNC10" s="5"/>
      <c r="LND10" s="5"/>
      <c r="LNE10" s="5"/>
      <c r="LNF10" s="5"/>
      <c r="LNG10" s="5"/>
      <c r="LNH10" s="5"/>
      <c r="LNI10" s="5"/>
      <c r="LNJ10" s="5"/>
      <c r="LNK10" s="5"/>
      <c r="LNL10" s="5"/>
      <c r="LNM10" s="5"/>
      <c r="LNN10" s="5"/>
      <c r="LNO10" s="5"/>
      <c r="LNP10" s="5"/>
      <c r="LNQ10" s="5"/>
      <c r="LNR10" s="5"/>
      <c r="LNS10" s="5"/>
      <c r="LNT10" s="5"/>
      <c r="LNU10" s="5"/>
      <c r="LNV10" s="5"/>
      <c r="LNW10" s="5"/>
      <c r="LNX10" s="5"/>
      <c r="LNY10" s="5"/>
      <c r="LNZ10" s="5"/>
      <c r="LOA10" s="5"/>
      <c r="LOB10" s="5"/>
      <c r="LOC10" s="5"/>
      <c r="LOD10" s="5"/>
      <c r="LOE10" s="5"/>
      <c r="LOF10" s="5"/>
      <c r="LOG10" s="5"/>
      <c r="LOH10" s="5"/>
      <c r="LOI10" s="5"/>
      <c r="LOJ10" s="5"/>
      <c r="LOK10" s="5"/>
      <c r="LOL10" s="5"/>
      <c r="LOM10" s="5"/>
      <c r="LON10" s="5"/>
      <c r="LOO10" s="5"/>
      <c r="LOP10" s="5"/>
      <c r="LOQ10" s="5"/>
      <c r="LOR10" s="5"/>
      <c r="LOS10" s="5"/>
      <c r="LOT10" s="5"/>
      <c r="LOU10" s="5"/>
      <c r="LOV10" s="5"/>
      <c r="LOW10" s="5"/>
      <c r="LOX10" s="5"/>
      <c r="LOY10" s="5"/>
      <c r="LOZ10" s="5"/>
      <c r="LPA10" s="5"/>
      <c r="LPB10" s="5"/>
      <c r="LPC10" s="5"/>
      <c r="LPD10" s="5"/>
      <c r="LPE10" s="5"/>
      <c r="LPF10" s="5"/>
      <c r="LPG10" s="5"/>
      <c r="LPH10" s="5"/>
      <c r="LPI10" s="5"/>
      <c r="LPJ10" s="5"/>
      <c r="LPK10" s="5"/>
      <c r="LPL10" s="5"/>
      <c r="LPM10" s="5"/>
      <c r="LPN10" s="5"/>
      <c r="LPO10" s="5"/>
      <c r="LPP10" s="5"/>
      <c r="LPQ10" s="5"/>
      <c r="LPR10" s="5"/>
      <c r="LPS10" s="5"/>
      <c r="LPT10" s="5"/>
      <c r="LPU10" s="5"/>
      <c r="LPV10" s="5"/>
      <c r="LPW10" s="5"/>
      <c r="LPX10" s="5"/>
      <c r="LPY10" s="5"/>
      <c r="LPZ10" s="5"/>
      <c r="LQA10" s="5"/>
      <c r="LQB10" s="5"/>
      <c r="LQC10" s="5"/>
      <c r="LQD10" s="5"/>
      <c r="LQE10" s="5"/>
      <c r="LQF10" s="5"/>
      <c r="LQG10" s="5"/>
      <c r="LQH10" s="5"/>
      <c r="LQI10" s="5"/>
      <c r="LQJ10" s="5"/>
      <c r="LQK10" s="5"/>
      <c r="LQL10" s="5"/>
      <c r="LQM10" s="5"/>
      <c r="LQN10" s="5"/>
      <c r="LQO10" s="5"/>
      <c r="LQP10" s="5"/>
      <c r="LQQ10" s="5"/>
      <c r="LQR10" s="5"/>
      <c r="LQS10" s="5"/>
      <c r="LQT10" s="5"/>
      <c r="LQU10" s="5"/>
      <c r="LQV10" s="5"/>
      <c r="LQW10" s="5"/>
      <c r="LQX10" s="5"/>
      <c r="LQY10" s="5"/>
      <c r="LQZ10" s="5"/>
      <c r="LRA10" s="5"/>
      <c r="LRB10" s="5"/>
      <c r="LRC10" s="5"/>
      <c r="LRD10" s="5"/>
      <c r="LRE10" s="5"/>
      <c r="LRF10" s="5"/>
      <c r="LRG10" s="5"/>
      <c r="LRH10" s="5"/>
      <c r="LRI10" s="5"/>
      <c r="LRJ10" s="5"/>
      <c r="LRK10" s="5"/>
      <c r="LRL10" s="5"/>
      <c r="LRM10" s="5"/>
      <c r="LRN10" s="5"/>
      <c r="LRO10" s="5"/>
      <c r="LRP10" s="5"/>
      <c r="LRQ10" s="5"/>
      <c r="LRR10" s="5"/>
      <c r="LRS10" s="5"/>
      <c r="LRT10" s="5"/>
      <c r="LRU10" s="5"/>
      <c r="LRV10" s="5"/>
      <c r="LRW10" s="5"/>
      <c r="LRX10" s="5"/>
      <c r="LRY10" s="5"/>
      <c r="LRZ10" s="5"/>
      <c r="LSA10" s="5"/>
      <c r="LSB10" s="5"/>
      <c r="LSC10" s="5"/>
      <c r="LSD10" s="5"/>
      <c r="LSE10" s="5"/>
      <c r="LSF10" s="5"/>
      <c r="LSG10" s="5"/>
      <c r="LSH10" s="5"/>
      <c r="LSI10" s="5"/>
      <c r="LSJ10" s="5"/>
      <c r="LSK10" s="5"/>
      <c r="LSL10" s="5"/>
      <c r="LSM10" s="5"/>
      <c r="LSN10" s="5"/>
      <c r="LSO10" s="5"/>
      <c r="LSP10" s="5"/>
      <c r="LSQ10" s="5"/>
      <c r="LSR10" s="5"/>
      <c r="LSS10" s="5"/>
      <c r="LST10" s="5"/>
      <c r="LSU10" s="5"/>
      <c r="LSV10" s="5"/>
      <c r="LSW10" s="5"/>
      <c r="LSX10" s="5"/>
      <c r="LSY10" s="5"/>
      <c r="LSZ10" s="5"/>
      <c r="LTA10" s="5"/>
      <c r="LTB10" s="5"/>
      <c r="LTC10" s="5"/>
      <c r="LTD10" s="5"/>
      <c r="LTE10" s="5"/>
      <c r="LTF10" s="5"/>
      <c r="LTG10" s="5"/>
      <c r="LTH10" s="5"/>
      <c r="LTI10" s="5"/>
      <c r="LTJ10" s="5"/>
      <c r="LTK10" s="5"/>
      <c r="LTL10" s="5"/>
      <c r="LTM10" s="5"/>
      <c r="LTN10" s="5"/>
      <c r="LTO10" s="5"/>
      <c r="LTP10" s="5"/>
      <c r="LTQ10" s="5"/>
      <c r="LTR10" s="5"/>
      <c r="LTS10" s="5"/>
      <c r="LTT10" s="5"/>
      <c r="LTU10" s="5"/>
      <c r="LTV10" s="5"/>
      <c r="LTW10" s="5"/>
      <c r="LTX10" s="5"/>
      <c r="LTY10" s="5"/>
      <c r="LTZ10" s="5"/>
      <c r="LUA10" s="5"/>
      <c r="LUB10" s="5"/>
      <c r="LUC10" s="5"/>
      <c r="LUD10" s="5"/>
      <c r="LUE10" s="5"/>
      <c r="LUF10" s="5"/>
      <c r="LUG10" s="5"/>
      <c r="LUH10" s="5"/>
      <c r="LUI10" s="5"/>
      <c r="LUJ10" s="5"/>
      <c r="LUK10" s="5"/>
      <c r="LUL10" s="5"/>
      <c r="LUM10" s="5"/>
      <c r="LUN10" s="5"/>
      <c r="LUO10" s="5"/>
      <c r="LUP10" s="5"/>
      <c r="LUQ10" s="5"/>
      <c r="LUR10" s="5"/>
      <c r="LUS10" s="5"/>
      <c r="LUT10" s="5"/>
      <c r="LUU10" s="5"/>
      <c r="LUV10" s="5"/>
      <c r="LUW10" s="5"/>
      <c r="LUX10" s="5"/>
      <c r="LUY10" s="5"/>
      <c r="LUZ10" s="5"/>
      <c r="LVA10" s="5"/>
      <c r="LVB10" s="5"/>
      <c r="LVC10" s="5"/>
      <c r="LVD10" s="5"/>
      <c r="LVE10" s="5"/>
      <c r="LVF10" s="5"/>
      <c r="LVG10" s="5"/>
      <c r="LVH10" s="5"/>
      <c r="LVI10" s="5"/>
      <c r="LVJ10" s="5"/>
      <c r="LVK10" s="5"/>
      <c r="LVL10" s="5"/>
      <c r="LVM10" s="5"/>
      <c r="LVN10" s="5"/>
      <c r="LVO10" s="5"/>
      <c r="LVP10" s="5"/>
      <c r="LVQ10" s="5"/>
      <c r="LVR10" s="5"/>
      <c r="LVS10" s="5"/>
      <c r="LVT10" s="5"/>
      <c r="LVU10" s="5"/>
      <c r="LVV10" s="5"/>
      <c r="LVW10" s="5"/>
      <c r="LVX10" s="5"/>
      <c r="LVY10" s="5"/>
      <c r="LVZ10" s="5"/>
      <c r="LWA10" s="5"/>
      <c r="LWB10" s="5"/>
      <c r="LWC10" s="5"/>
      <c r="LWD10" s="5"/>
      <c r="LWE10" s="5"/>
      <c r="LWF10" s="5"/>
      <c r="LWG10" s="5"/>
      <c r="LWH10" s="5"/>
      <c r="LWI10" s="5"/>
      <c r="LWJ10" s="5"/>
      <c r="LWK10" s="5"/>
      <c r="LWL10" s="5"/>
      <c r="LWM10" s="5"/>
      <c r="LWN10" s="5"/>
      <c r="LWO10" s="5"/>
      <c r="LWP10" s="5"/>
      <c r="LWQ10" s="5"/>
      <c r="LWR10" s="5"/>
      <c r="LWS10" s="5"/>
      <c r="LWT10" s="5"/>
      <c r="LWU10" s="5"/>
      <c r="LWV10" s="5"/>
      <c r="LWW10" s="5"/>
      <c r="LWX10" s="5"/>
      <c r="LWY10" s="5"/>
      <c r="LWZ10" s="5"/>
      <c r="LXA10" s="5"/>
      <c r="LXB10" s="5"/>
      <c r="LXC10" s="5"/>
      <c r="LXD10" s="5"/>
      <c r="LXE10" s="5"/>
      <c r="LXF10" s="5"/>
      <c r="LXG10" s="5"/>
      <c r="LXH10" s="5"/>
      <c r="LXI10" s="5"/>
      <c r="LXJ10" s="5"/>
      <c r="LXK10" s="5"/>
      <c r="LXL10" s="5"/>
      <c r="LXM10" s="5"/>
      <c r="LXN10" s="5"/>
      <c r="LXO10" s="5"/>
      <c r="LXP10" s="5"/>
      <c r="LXQ10" s="5"/>
      <c r="LXR10" s="5"/>
      <c r="LXS10" s="5"/>
      <c r="LXT10" s="5"/>
      <c r="LXU10" s="5"/>
      <c r="LXV10" s="5"/>
      <c r="LXW10" s="5"/>
      <c r="LXX10" s="5"/>
      <c r="LXY10" s="5"/>
      <c r="LXZ10" s="5"/>
      <c r="LYA10" s="5"/>
      <c r="LYB10" s="5"/>
      <c r="LYC10" s="5"/>
      <c r="LYD10" s="5"/>
      <c r="LYE10" s="5"/>
      <c r="LYF10" s="5"/>
      <c r="LYG10" s="5"/>
      <c r="LYH10" s="5"/>
      <c r="LYI10" s="5"/>
      <c r="LYJ10" s="5"/>
      <c r="LYK10" s="5"/>
      <c r="LYL10" s="5"/>
      <c r="LYM10" s="5"/>
      <c r="LYN10" s="5"/>
      <c r="LYO10" s="5"/>
      <c r="LYP10" s="5"/>
      <c r="LYQ10" s="5"/>
      <c r="LYR10" s="5"/>
      <c r="LYS10" s="5"/>
      <c r="LYT10" s="5"/>
      <c r="LYU10" s="5"/>
      <c r="LYV10" s="5"/>
      <c r="LYW10" s="5"/>
      <c r="LYX10" s="5"/>
      <c r="LYY10" s="5"/>
      <c r="LYZ10" s="5"/>
      <c r="LZA10" s="5"/>
      <c r="LZB10" s="5"/>
      <c r="LZC10" s="5"/>
      <c r="LZD10" s="5"/>
      <c r="LZE10" s="5"/>
      <c r="LZF10" s="5"/>
      <c r="LZG10" s="5"/>
      <c r="LZH10" s="5"/>
      <c r="LZI10" s="5"/>
      <c r="LZJ10" s="5"/>
      <c r="LZK10" s="5"/>
      <c r="LZL10" s="5"/>
      <c r="LZM10" s="5"/>
      <c r="LZN10" s="5"/>
      <c r="LZO10" s="5"/>
      <c r="LZP10" s="5"/>
      <c r="LZQ10" s="5"/>
      <c r="LZR10" s="5"/>
      <c r="LZS10" s="5"/>
      <c r="LZT10" s="5"/>
      <c r="LZU10" s="5"/>
      <c r="LZV10" s="5"/>
      <c r="LZW10" s="5"/>
      <c r="LZX10" s="5"/>
      <c r="LZY10" s="5"/>
      <c r="LZZ10" s="5"/>
      <c r="MAA10" s="5"/>
      <c r="MAB10" s="5"/>
      <c r="MAC10" s="5"/>
      <c r="MAD10" s="5"/>
      <c r="MAE10" s="5"/>
      <c r="MAF10" s="5"/>
      <c r="MAG10" s="5"/>
      <c r="MAH10" s="5"/>
      <c r="MAI10" s="5"/>
      <c r="MAJ10" s="5"/>
      <c r="MAK10" s="5"/>
      <c r="MAL10" s="5"/>
      <c r="MAM10" s="5"/>
      <c r="MAN10" s="5"/>
      <c r="MAO10" s="5"/>
      <c r="MAP10" s="5"/>
      <c r="MAQ10" s="5"/>
      <c r="MAR10" s="5"/>
      <c r="MAS10" s="5"/>
      <c r="MAT10" s="5"/>
      <c r="MAU10" s="5"/>
      <c r="MAV10" s="5"/>
      <c r="MAW10" s="5"/>
      <c r="MAX10" s="5"/>
      <c r="MAY10" s="5"/>
      <c r="MAZ10" s="5"/>
      <c r="MBA10" s="5"/>
      <c r="MBB10" s="5"/>
      <c r="MBC10" s="5"/>
      <c r="MBD10" s="5"/>
      <c r="MBE10" s="5"/>
      <c r="MBF10" s="5"/>
      <c r="MBG10" s="5"/>
      <c r="MBH10" s="5"/>
      <c r="MBI10" s="5"/>
      <c r="MBJ10" s="5"/>
      <c r="MBK10" s="5"/>
      <c r="MBL10" s="5"/>
      <c r="MBM10" s="5"/>
      <c r="MBN10" s="5"/>
      <c r="MBO10" s="5"/>
      <c r="MBP10" s="5"/>
      <c r="MBQ10" s="5"/>
      <c r="MBR10" s="5"/>
      <c r="MBS10" s="5"/>
      <c r="MBT10" s="5"/>
      <c r="MBU10" s="5"/>
      <c r="MBV10" s="5"/>
      <c r="MBW10" s="5"/>
      <c r="MBX10" s="5"/>
      <c r="MBY10" s="5"/>
      <c r="MBZ10" s="5"/>
      <c r="MCA10" s="5"/>
      <c r="MCB10" s="5"/>
      <c r="MCC10" s="5"/>
      <c r="MCD10" s="5"/>
      <c r="MCE10" s="5"/>
      <c r="MCF10" s="5"/>
      <c r="MCG10" s="5"/>
      <c r="MCH10" s="5"/>
      <c r="MCI10" s="5"/>
      <c r="MCJ10" s="5"/>
      <c r="MCK10" s="5"/>
      <c r="MCL10" s="5"/>
      <c r="MCM10" s="5"/>
      <c r="MCN10" s="5"/>
      <c r="MCO10" s="5"/>
      <c r="MCP10" s="5"/>
      <c r="MCQ10" s="5"/>
      <c r="MCR10" s="5"/>
      <c r="MCS10" s="5"/>
      <c r="MCT10" s="5"/>
      <c r="MCU10" s="5"/>
      <c r="MCV10" s="5"/>
      <c r="MCW10" s="5"/>
      <c r="MCX10" s="5"/>
      <c r="MCY10" s="5"/>
      <c r="MCZ10" s="5"/>
      <c r="MDA10" s="5"/>
      <c r="MDB10" s="5"/>
      <c r="MDC10" s="5"/>
      <c r="MDD10" s="5"/>
      <c r="MDE10" s="5"/>
      <c r="MDF10" s="5"/>
      <c r="MDG10" s="5"/>
      <c r="MDH10" s="5"/>
      <c r="MDI10" s="5"/>
      <c r="MDJ10" s="5"/>
      <c r="MDK10" s="5"/>
      <c r="MDL10" s="5"/>
      <c r="MDM10" s="5"/>
      <c r="MDN10" s="5"/>
      <c r="MDO10" s="5"/>
      <c r="MDP10" s="5"/>
      <c r="MDQ10" s="5"/>
      <c r="MDR10" s="5"/>
      <c r="MDS10" s="5"/>
      <c r="MDT10" s="5"/>
      <c r="MDU10" s="5"/>
      <c r="MDV10" s="5"/>
      <c r="MDW10" s="5"/>
      <c r="MDX10" s="5"/>
      <c r="MDY10" s="5"/>
      <c r="MDZ10" s="5"/>
      <c r="MEA10" s="5"/>
      <c r="MEB10" s="5"/>
      <c r="MEC10" s="5"/>
      <c r="MED10" s="5"/>
      <c r="MEE10" s="5"/>
      <c r="MEF10" s="5"/>
      <c r="MEG10" s="5"/>
      <c r="MEH10" s="5"/>
      <c r="MEI10" s="5"/>
      <c r="MEJ10" s="5"/>
      <c r="MEK10" s="5"/>
      <c r="MEL10" s="5"/>
      <c r="MEM10" s="5"/>
      <c r="MEN10" s="5"/>
      <c r="MEO10" s="5"/>
      <c r="MEP10" s="5"/>
      <c r="MEQ10" s="5"/>
      <c r="MER10" s="5"/>
      <c r="MES10" s="5"/>
      <c r="MET10" s="5"/>
      <c r="MEU10" s="5"/>
      <c r="MEV10" s="5"/>
      <c r="MEW10" s="5"/>
      <c r="MEX10" s="5"/>
      <c r="MEY10" s="5"/>
      <c r="MEZ10" s="5"/>
      <c r="MFA10" s="5"/>
      <c r="MFB10" s="5"/>
      <c r="MFC10" s="5"/>
      <c r="MFD10" s="5"/>
      <c r="MFE10" s="5"/>
      <c r="MFF10" s="5"/>
      <c r="MFG10" s="5"/>
      <c r="MFH10" s="5"/>
      <c r="MFI10" s="5"/>
      <c r="MFJ10" s="5"/>
      <c r="MFK10" s="5"/>
      <c r="MFL10" s="5"/>
      <c r="MFM10" s="5"/>
      <c r="MFN10" s="5"/>
      <c r="MFO10" s="5"/>
      <c r="MFP10" s="5"/>
      <c r="MFQ10" s="5"/>
      <c r="MFR10" s="5"/>
      <c r="MFS10" s="5"/>
      <c r="MFT10" s="5"/>
      <c r="MFU10" s="5"/>
      <c r="MFV10" s="5"/>
      <c r="MFW10" s="5"/>
      <c r="MFX10" s="5"/>
      <c r="MFY10" s="5"/>
      <c r="MFZ10" s="5"/>
      <c r="MGA10" s="5"/>
      <c r="MGB10" s="5"/>
      <c r="MGC10" s="5"/>
      <c r="MGD10" s="5"/>
      <c r="MGE10" s="5"/>
      <c r="MGF10" s="5"/>
      <c r="MGG10" s="5"/>
      <c r="MGH10" s="5"/>
      <c r="MGI10" s="5"/>
      <c r="MGJ10" s="5"/>
      <c r="MGK10" s="5"/>
      <c r="MGL10" s="5"/>
      <c r="MGM10" s="5"/>
      <c r="MGN10" s="5"/>
      <c r="MGO10" s="5"/>
      <c r="MGP10" s="5"/>
      <c r="MGQ10" s="5"/>
      <c r="MGR10" s="5"/>
      <c r="MGS10" s="5"/>
      <c r="MGT10" s="5"/>
      <c r="MGU10" s="5"/>
      <c r="MGV10" s="5"/>
      <c r="MGW10" s="5"/>
      <c r="MGX10" s="5"/>
      <c r="MGY10" s="5"/>
      <c r="MGZ10" s="5"/>
      <c r="MHA10" s="5"/>
      <c r="MHB10" s="5"/>
      <c r="MHC10" s="5"/>
      <c r="MHD10" s="5"/>
      <c r="MHE10" s="5"/>
      <c r="MHF10" s="5"/>
      <c r="MHG10" s="5"/>
      <c r="MHH10" s="5"/>
      <c r="MHI10" s="5"/>
      <c r="MHJ10" s="5"/>
      <c r="MHK10" s="5"/>
      <c r="MHL10" s="5"/>
      <c r="MHM10" s="5"/>
      <c r="MHN10" s="5"/>
      <c r="MHO10" s="5"/>
      <c r="MHP10" s="5"/>
      <c r="MHQ10" s="5"/>
      <c r="MHR10" s="5"/>
      <c r="MHS10" s="5"/>
      <c r="MHT10" s="5"/>
      <c r="MHU10" s="5"/>
      <c r="MHV10" s="5"/>
      <c r="MHW10" s="5"/>
      <c r="MHX10" s="5"/>
      <c r="MHY10" s="5"/>
      <c r="MHZ10" s="5"/>
      <c r="MIA10" s="5"/>
      <c r="MIB10" s="5"/>
      <c r="MIC10" s="5"/>
      <c r="MID10" s="5"/>
      <c r="MIE10" s="5"/>
      <c r="MIF10" s="5"/>
      <c r="MIG10" s="5"/>
      <c r="MIH10" s="5"/>
      <c r="MII10" s="5"/>
      <c r="MIJ10" s="5"/>
      <c r="MIK10" s="5"/>
      <c r="MIL10" s="5"/>
      <c r="MIM10" s="5"/>
      <c r="MIN10" s="5"/>
      <c r="MIO10" s="5"/>
      <c r="MIP10" s="5"/>
      <c r="MIQ10" s="5"/>
      <c r="MIR10" s="5"/>
      <c r="MIS10" s="5"/>
      <c r="MIT10" s="5"/>
      <c r="MIU10" s="5"/>
      <c r="MIV10" s="5"/>
      <c r="MIW10" s="5"/>
      <c r="MIX10" s="5"/>
      <c r="MIY10" s="5"/>
      <c r="MIZ10" s="5"/>
      <c r="MJA10" s="5"/>
      <c r="MJB10" s="5"/>
      <c r="MJC10" s="5"/>
      <c r="MJD10" s="5"/>
      <c r="MJE10" s="5"/>
      <c r="MJF10" s="5"/>
      <c r="MJG10" s="5"/>
      <c r="MJH10" s="5"/>
      <c r="MJI10" s="5"/>
      <c r="MJJ10" s="5"/>
      <c r="MJK10" s="5"/>
      <c r="MJL10" s="5"/>
      <c r="MJM10" s="5"/>
      <c r="MJN10" s="5"/>
      <c r="MJO10" s="5"/>
      <c r="MJP10" s="5"/>
      <c r="MJQ10" s="5"/>
      <c r="MJR10" s="5"/>
      <c r="MJS10" s="5"/>
      <c r="MJT10" s="5"/>
      <c r="MJU10" s="5"/>
      <c r="MJV10" s="5"/>
      <c r="MJW10" s="5"/>
      <c r="MJX10" s="5"/>
      <c r="MJY10" s="5"/>
      <c r="MJZ10" s="5"/>
      <c r="MKA10" s="5"/>
      <c r="MKB10" s="5"/>
      <c r="MKC10" s="5"/>
      <c r="MKD10" s="5"/>
      <c r="MKE10" s="5"/>
      <c r="MKF10" s="5"/>
      <c r="MKG10" s="5"/>
      <c r="MKH10" s="5"/>
      <c r="MKI10" s="5"/>
      <c r="MKJ10" s="5"/>
      <c r="MKK10" s="5"/>
      <c r="MKL10" s="5"/>
      <c r="MKM10" s="5"/>
      <c r="MKN10" s="5"/>
      <c r="MKO10" s="5"/>
      <c r="MKP10" s="5"/>
      <c r="MKQ10" s="5"/>
      <c r="MKR10" s="5"/>
      <c r="MKS10" s="5"/>
      <c r="MKT10" s="5"/>
      <c r="MKU10" s="5"/>
      <c r="MKV10" s="5"/>
      <c r="MKW10" s="5"/>
      <c r="MKX10" s="5"/>
      <c r="MKY10" s="5"/>
      <c r="MKZ10" s="5"/>
      <c r="MLA10" s="5"/>
      <c r="MLB10" s="5"/>
      <c r="MLC10" s="5"/>
      <c r="MLD10" s="5"/>
      <c r="MLE10" s="5"/>
      <c r="MLF10" s="5"/>
      <c r="MLG10" s="5"/>
      <c r="MLH10" s="5"/>
      <c r="MLI10" s="5"/>
      <c r="MLJ10" s="5"/>
      <c r="MLK10" s="5"/>
      <c r="MLL10" s="5"/>
      <c r="MLM10" s="5"/>
      <c r="MLN10" s="5"/>
      <c r="MLO10" s="5"/>
      <c r="MLP10" s="5"/>
      <c r="MLQ10" s="5"/>
      <c r="MLR10" s="5"/>
      <c r="MLS10" s="5"/>
      <c r="MLT10" s="5"/>
      <c r="MLU10" s="5"/>
      <c r="MLV10" s="5"/>
      <c r="MLW10" s="5"/>
      <c r="MLX10" s="5"/>
      <c r="MLY10" s="5"/>
      <c r="MLZ10" s="5"/>
      <c r="MMA10" s="5"/>
      <c r="MMB10" s="5"/>
      <c r="MMC10" s="5"/>
      <c r="MMD10" s="5"/>
      <c r="MME10" s="5"/>
      <c r="MMF10" s="5"/>
      <c r="MMG10" s="5"/>
      <c r="MMH10" s="5"/>
      <c r="MMI10" s="5"/>
      <c r="MMJ10" s="5"/>
      <c r="MMK10" s="5"/>
      <c r="MML10" s="5"/>
      <c r="MMM10" s="5"/>
      <c r="MMN10" s="5"/>
      <c r="MMO10" s="5"/>
      <c r="MMP10" s="5"/>
      <c r="MMQ10" s="5"/>
      <c r="MMR10" s="5"/>
      <c r="MMS10" s="5"/>
      <c r="MMT10" s="5"/>
      <c r="MMU10" s="5"/>
      <c r="MMV10" s="5"/>
      <c r="MMW10" s="5"/>
      <c r="MMX10" s="5"/>
      <c r="MMY10" s="5"/>
      <c r="MMZ10" s="5"/>
      <c r="MNA10" s="5"/>
      <c r="MNB10" s="5"/>
      <c r="MNC10" s="5"/>
      <c r="MND10" s="5"/>
      <c r="MNE10" s="5"/>
      <c r="MNF10" s="5"/>
      <c r="MNG10" s="5"/>
      <c r="MNH10" s="5"/>
      <c r="MNI10" s="5"/>
      <c r="MNJ10" s="5"/>
      <c r="MNK10" s="5"/>
      <c r="MNL10" s="5"/>
      <c r="MNM10" s="5"/>
      <c r="MNN10" s="5"/>
      <c r="MNO10" s="5"/>
      <c r="MNP10" s="5"/>
      <c r="MNQ10" s="5"/>
      <c r="MNR10" s="5"/>
      <c r="MNS10" s="5"/>
      <c r="MNT10" s="5"/>
      <c r="MNU10" s="5"/>
      <c r="MNV10" s="5"/>
      <c r="MNW10" s="5"/>
      <c r="MNX10" s="5"/>
      <c r="MNY10" s="5"/>
      <c r="MNZ10" s="5"/>
      <c r="MOA10" s="5"/>
      <c r="MOB10" s="5"/>
      <c r="MOC10" s="5"/>
      <c r="MOD10" s="5"/>
      <c r="MOE10" s="5"/>
      <c r="MOF10" s="5"/>
      <c r="MOG10" s="5"/>
      <c r="MOH10" s="5"/>
      <c r="MOI10" s="5"/>
      <c r="MOJ10" s="5"/>
      <c r="MOK10" s="5"/>
      <c r="MOL10" s="5"/>
      <c r="MOM10" s="5"/>
      <c r="MON10" s="5"/>
      <c r="MOO10" s="5"/>
      <c r="MOP10" s="5"/>
      <c r="MOQ10" s="5"/>
      <c r="MOR10" s="5"/>
      <c r="MOS10" s="5"/>
      <c r="MOT10" s="5"/>
      <c r="MOU10" s="5"/>
      <c r="MOV10" s="5"/>
      <c r="MOW10" s="5"/>
      <c r="MOX10" s="5"/>
      <c r="MOY10" s="5"/>
      <c r="MOZ10" s="5"/>
      <c r="MPA10" s="5"/>
      <c r="MPB10" s="5"/>
      <c r="MPC10" s="5"/>
      <c r="MPD10" s="5"/>
      <c r="MPE10" s="5"/>
      <c r="MPF10" s="5"/>
      <c r="MPG10" s="5"/>
      <c r="MPH10" s="5"/>
      <c r="MPI10" s="5"/>
      <c r="MPJ10" s="5"/>
      <c r="MPK10" s="5"/>
      <c r="MPL10" s="5"/>
      <c r="MPM10" s="5"/>
      <c r="MPN10" s="5"/>
      <c r="MPO10" s="5"/>
      <c r="MPP10" s="5"/>
      <c r="MPQ10" s="5"/>
      <c r="MPR10" s="5"/>
      <c r="MPS10" s="5"/>
      <c r="MPT10" s="5"/>
      <c r="MPU10" s="5"/>
      <c r="MPV10" s="5"/>
      <c r="MPW10" s="5"/>
      <c r="MPX10" s="5"/>
      <c r="MPY10" s="5"/>
      <c r="MPZ10" s="5"/>
      <c r="MQA10" s="5"/>
      <c r="MQB10" s="5"/>
      <c r="MQC10" s="5"/>
      <c r="MQD10" s="5"/>
      <c r="MQE10" s="5"/>
      <c r="MQF10" s="5"/>
      <c r="MQG10" s="5"/>
      <c r="MQH10" s="5"/>
      <c r="MQI10" s="5"/>
      <c r="MQJ10" s="5"/>
      <c r="MQK10" s="5"/>
      <c r="MQL10" s="5"/>
      <c r="MQM10" s="5"/>
      <c r="MQN10" s="5"/>
      <c r="MQO10" s="5"/>
      <c r="MQP10" s="5"/>
      <c r="MQQ10" s="5"/>
      <c r="MQR10" s="5"/>
      <c r="MQS10" s="5"/>
      <c r="MQT10" s="5"/>
      <c r="MQU10" s="5"/>
      <c r="MQV10" s="5"/>
      <c r="MQW10" s="5"/>
      <c r="MQX10" s="5"/>
      <c r="MQY10" s="5"/>
      <c r="MQZ10" s="5"/>
      <c r="MRA10" s="5"/>
      <c r="MRB10" s="5"/>
      <c r="MRC10" s="5"/>
      <c r="MRD10" s="5"/>
      <c r="MRE10" s="5"/>
      <c r="MRF10" s="5"/>
      <c r="MRG10" s="5"/>
      <c r="MRH10" s="5"/>
      <c r="MRI10" s="5"/>
      <c r="MRJ10" s="5"/>
      <c r="MRK10" s="5"/>
      <c r="MRL10" s="5"/>
      <c r="MRM10" s="5"/>
      <c r="MRN10" s="5"/>
      <c r="MRO10" s="5"/>
      <c r="MRP10" s="5"/>
      <c r="MRQ10" s="5"/>
      <c r="MRR10" s="5"/>
      <c r="MRS10" s="5"/>
      <c r="MRT10" s="5"/>
      <c r="MRU10" s="5"/>
      <c r="MRV10" s="5"/>
      <c r="MRW10" s="5"/>
      <c r="MRX10" s="5"/>
      <c r="MRY10" s="5"/>
      <c r="MRZ10" s="5"/>
      <c r="MSA10" s="5"/>
      <c r="MSB10" s="5"/>
      <c r="MSC10" s="5"/>
      <c r="MSD10" s="5"/>
      <c r="MSE10" s="5"/>
      <c r="MSF10" s="5"/>
      <c r="MSG10" s="5"/>
      <c r="MSH10" s="5"/>
      <c r="MSI10" s="5"/>
      <c r="MSJ10" s="5"/>
      <c r="MSK10" s="5"/>
      <c r="MSL10" s="5"/>
      <c r="MSM10" s="5"/>
      <c r="MSN10" s="5"/>
      <c r="MSO10" s="5"/>
      <c r="MSP10" s="5"/>
      <c r="MSQ10" s="5"/>
      <c r="MSR10" s="5"/>
      <c r="MSS10" s="5"/>
      <c r="MST10" s="5"/>
      <c r="MSU10" s="5"/>
      <c r="MSV10" s="5"/>
      <c r="MSW10" s="5"/>
      <c r="MSX10" s="5"/>
      <c r="MSY10" s="5"/>
      <c r="MSZ10" s="5"/>
      <c r="MTA10" s="5"/>
      <c r="MTB10" s="5"/>
      <c r="MTC10" s="5"/>
      <c r="MTD10" s="5"/>
      <c r="MTE10" s="5"/>
      <c r="MTF10" s="5"/>
      <c r="MTG10" s="5"/>
      <c r="MTH10" s="5"/>
      <c r="MTI10" s="5"/>
      <c r="MTJ10" s="5"/>
      <c r="MTK10" s="5"/>
      <c r="MTL10" s="5"/>
      <c r="MTM10" s="5"/>
      <c r="MTN10" s="5"/>
      <c r="MTO10" s="5"/>
      <c r="MTP10" s="5"/>
      <c r="MTQ10" s="5"/>
      <c r="MTR10" s="5"/>
      <c r="MTS10" s="5"/>
      <c r="MTT10" s="5"/>
      <c r="MTU10" s="5"/>
      <c r="MTV10" s="5"/>
      <c r="MTW10" s="5"/>
      <c r="MTX10" s="5"/>
      <c r="MTY10" s="5"/>
      <c r="MTZ10" s="5"/>
      <c r="MUA10" s="5"/>
      <c r="MUB10" s="5"/>
      <c r="MUC10" s="5"/>
      <c r="MUD10" s="5"/>
      <c r="MUE10" s="5"/>
      <c r="MUF10" s="5"/>
      <c r="MUG10" s="5"/>
      <c r="MUH10" s="5"/>
      <c r="MUI10" s="5"/>
      <c r="MUJ10" s="5"/>
      <c r="MUK10" s="5"/>
      <c r="MUL10" s="5"/>
      <c r="MUM10" s="5"/>
      <c r="MUN10" s="5"/>
      <c r="MUO10" s="5"/>
      <c r="MUP10" s="5"/>
      <c r="MUQ10" s="5"/>
      <c r="MUR10" s="5"/>
      <c r="MUS10" s="5"/>
      <c r="MUT10" s="5"/>
      <c r="MUU10" s="5"/>
      <c r="MUV10" s="5"/>
      <c r="MUW10" s="5"/>
      <c r="MUX10" s="5"/>
      <c r="MUY10" s="5"/>
      <c r="MUZ10" s="5"/>
      <c r="MVA10" s="5"/>
      <c r="MVB10" s="5"/>
      <c r="MVC10" s="5"/>
      <c r="MVD10" s="5"/>
      <c r="MVE10" s="5"/>
      <c r="MVF10" s="5"/>
      <c r="MVG10" s="5"/>
      <c r="MVH10" s="5"/>
      <c r="MVI10" s="5"/>
      <c r="MVJ10" s="5"/>
      <c r="MVK10" s="5"/>
      <c r="MVL10" s="5"/>
      <c r="MVM10" s="5"/>
      <c r="MVN10" s="5"/>
      <c r="MVO10" s="5"/>
      <c r="MVP10" s="5"/>
      <c r="MVQ10" s="5"/>
      <c r="MVR10" s="5"/>
      <c r="MVS10" s="5"/>
      <c r="MVT10" s="5"/>
      <c r="MVU10" s="5"/>
      <c r="MVV10" s="5"/>
      <c r="MVW10" s="5"/>
      <c r="MVX10" s="5"/>
      <c r="MVY10" s="5"/>
      <c r="MVZ10" s="5"/>
      <c r="MWA10" s="5"/>
      <c r="MWB10" s="5"/>
      <c r="MWC10" s="5"/>
      <c r="MWD10" s="5"/>
      <c r="MWE10" s="5"/>
      <c r="MWF10" s="5"/>
      <c r="MWG10" s="5"/>
      <c r="MWH10" s="5"/>
      <c r="MWI10" s="5"/>
      <c r="MWJ10" s="5"/>
      <c r="MWK10" s="5"/>
      <c r="MWL10" s="5"/>
      <c r="MWM10" s="5"/>
      <c r="MWN10" s="5"/>
      <c r="MWO10" s="5"/>
      <c r="MWP10" s="5"/>
      <c r="MWQ10" s="5"/>
      <c r="MWR10" s="5"/>
      <c r="MWS10" s="5"/>
      <c r="MWT10" s="5"/>
      <c r="MWU10" s="5"/>
      <c r="MWV10" s="5"/>
      <c r="MWW10" s="5"/>
      <c r="MWX10" s="5"/>
      <c r="MWY10" s="5"/>
      <c r="MWZ10" s="5"/>
      <c r="MXA10" s="5"/>
      <c r="MXB10" s="5"/>
      <c r="MXC10" s="5"/>
      <c r="MXD10" s="5"/>
      <c r="MXE10" s="5"/>
      <c r="MXF10" s="5"/>
      <c r="MXG10" s="5"/>
      <c r="MXH10" s="5"/>
      <c r="MXI10" s="5"/>
      <c r="MXJ10" s="5"/>
      <c r="MXK10" s="5"/>
      <c r="MXL10" s="5"/>
      <c r="MXM10" s="5"/>
      <c r="MXN10" s="5"/>
      <c r="MXO10" s="5"/>
      <c r="MXP10" s="5"/>
      <c r="MXQ10" s="5"/>
      <c r="MXR10" s="5"/>
      <c r="MXS10" s="5"/>
      <c r="MXT10" s="5"/>
      <c r="MXU10" s="5"/>
      <c r="MXV10" s="5"/>
      <c r="MXW10" s="5"/>
      <c r="MXX10" s="5"/>
      <c r="MXY10" s="5"/>
      <c r="MXZ10" s="5"/>
      <c r="MYA10" s="5"/>
      <c r="MYB10" s="5"/>
      <c r="MYC10" s="5"/>
      <c r="MYD10" s="5"/>
      <c r="MYE10" s="5"/>
      <c r="MYF10" s="5"/>
      <c r="MYG10" s="5"/>
      <c r="MYH10" s="5"/>
      <c r="MYI10" s="5"/>
      <c r="MYJ10" s="5"/>
      <c r="MYK10" s="5"/>
      <c r="MYL10" s="5"/>
      <c r="MYM10" s="5"/>
      <c r="MYN10" s="5"/>
      <c r="MYO10" s="5"/>
      <c r="MYP10" s="5"/>
      <c r="MYQ10" s="5"/>
      <c r="MYR10" s="5"/>
      <c r="MYS10" s="5"/>
      <c r="MYT10" s="5"/>
      <c r="MYU10" s="5"/>
      <c r="MYV10" s="5"/>
      <c r="MYW10" s="5"/>
      <c r="MYX10" s="5"/>
      <c r="MYY10" s="5"/>
      <c r="MYZ10" s="5"/>
      <c r="MZA10" s="5"/>
      <c r="MZB10" s="5"/>
      <c r="MZC10" s="5"/>
      <c r="MZD10" s="5"/>
      <c r="MZE10" s="5"/>
      <c r="MZF10" s="5"/>
      <c r="MZG10" s="5"/>
      <c r="MZH10" s="5"/>
      <c r="MZI10" s="5"/>
      <c r="MZJ10" s="5"/>
      <c r="MZK10" s="5"/>
      <c r="MZL10" s="5"/>
      <c r="MZM10" s="5"/>
      <c r="MZN10" s="5"/>
      <c r="MZO10" s="5"/>
      <c r="MZP10" s="5"/>
      <c r="MZQ10" s="5"/>
      <c r="MZR10" s="5"/>
      <c r="MZS10" s="5"/>
      <c r="MZT10" s="5"/>
      <c r="MZU10" s="5"/>
      <c r="MZV10" s="5"/>
      <c r="MZW10" s="5"/>
      <c r="MZX10" s="5"/>
      <c r="MZY10" s="5"/>
      <c r="MZZ10" s="5"/>
      <c r="NAA10" s="5"/>
      <c r="NAB10" s="5"/>
      <c r="NAC10" s="5"/>
      <c r="NAD10" s="5"/>
      <c r="NAE10" s="5"/>
      <c r="NAF10" s="5"/>
      <c r="NAG10" s="5"/>
      <c r="NAH10" s="5"/>
      <c r="NAI10" s="5"/>
      <c r="NAJ10" s="5"/>
      <c r="NAK10" s="5"/>
      <c r="NAL10" s="5"/>
      <c r="NAM10" s="5"/>
      <c r="NAN10" s="5"/>
      <c r="NAO10" s="5"/>
      <c r="NAP10" s="5"/>
      <c r="NAQ10" s="5"/>
      <c r="NAR10" s="5"/>
      <c r="NAS10" s="5"/>
      <c r="NAT10" s="5"/>
      <c r="NAU10" s="5"/>
      <c r="NAV10" s="5"/>
      <c r="NAW10" s="5"/>
      <c r="NAX10" s="5"/>
      <c r="NAY10" s="5"/>
      <c r="NAZ10" s="5"/>
      <c r="NBA10" s="5"/>
      <c r="NBB10" s="5"/>
      <c r="NBC10" s="5"/>
      <c r="NBD10" s="5"/>
      <c r="NBE10" s="5"/>
      <c r="NBF10" s="5"/>
      <c r="NBG10" s="5"/>
      <c r="NBH10" s="5"/>
      <c r="NBI10" s="5"/>
      <c r="NBJ10" s="5"/>
      <c r="NBK10" s="5"/>
      <c r="NBL10" s="5"/>
      <c r="NBM10" s="5"/>
      <c r="NBN10" s="5"/>
      <c r="NBO10" s="5"/>
      <c r="NBP10" s="5"/>
      <c r="NBQ10" s="5"/>
      <c r="NBR10" s="5"/>
      <c r="NBS10" s="5"/>
      <c r="NBT10" s="5"/>
      <c r="NBU10" s="5"/>
      <c r="NBV10" s="5"/>
      <c r="NBW10" s="5"/>
      <c r="NBX10" s="5"/>
      <c r="NBY10" s="5"/>
      <c r="NBZ10" s="5"/>
      <c r="NCA10" s="5"/>
      <c r="NCB10" s="5"/>
      <c r="NCC10" s="5"/>
      <c r="NCD10" s="5"/>
      <c r="NCE10" s="5"/>
      <c r="NCF10" s="5"/>
      <c r="NCG10" s="5"/>
      <c r="NCH10" s="5"/>
      <c r="NCI10" s="5"/>
      <c r="NCJ10" s="5"/>
      <c r="NCK10" s="5"/>
      <c r="NCL10" s="5"/>
      <c r="NCM10" s="5"/>
      <c r="NCN10" s="5"/>
      <c r="NCO10" s="5"/>
      <c r="NCP10" s="5"/>
      <c r="NCQ10" s="5"/>
      <c r="NCR10" s="5"/>
      <c r="NCS10" s="5"/>
      <c r="NCT10" s="5"/>
      <c r="NCU10" s="5"/>
      <c r="NCV10" s="5"/>
      <c r="NCW10" s="5"/>
      <c r="NCX10" s="5"/>
      <c r="NCY10" s="5"/>
      <c r="NCZ10" s="5"/>
      <c r="NDA10" s="5"/>
      <c r="NDB10" s="5"/>
      <c r="NDC10" s="5"/>
      <c r="NDD10" s="5"/>
      <c r="NDE10" s="5"/>
      <c r="NDF10" s="5"/>
      <c r="NDG10" s="5"/>
      <c r="NDH10" s="5"/>
      <c r="NDI10" s="5"/>
      <c r="NDJ10" s="5"/>
      <c r="NDK10" s="5"/>
      <c r="NDL10" s="5"/>
      <c r="NDM10" s="5"/>
      <c r="NDN10" s="5"/>
      <c r="NDO10" s="5"/>
      <c r="NDP10" s="5"/>
      <c r="NDQ10" s="5"/>
      <c r="NDR10" s="5"/>
      <c r="NDS10" s="5"/>
      <c r="NDT10" s="5"/>
      <c r="NDU10" s="5"/>
      <c r="NDV10" s="5"/>
      <c r="NDW10" s="5"/>
      <c r="NDX10" s="5"/>
      <c r="NDY10" s="5"/>
      <c r="NDZ10" s="5"/>
      <c r="NEA10" s="5"/>
      <c r="NEB10" s="5"/>
      <c r="NEC10" s="5"/>
      <c r="NED10" s="5"/>
      <c r="NEE10" s="5"/>
      <c r="NEF10" s="5"/>
      <c r="NEG10" s="5"/>
      <c r="NEH10" s="5"/>
      <c r="NEI10" s="5"/>
      <c r="NEJ10" s="5"/>
      <c r="NEK10" s="5"/>
      <c r="NEL10" s="5"/>
      <c r="NEM10" s="5"/>
      <c r="NEN10" s="5"/>
      <c r="NEO10" s="5"/>
      <c r="NEP10" s="5"/>
      <c r="NEQ10" s="5"/>
      <c r="NER10" s="5"/>
      <c r="NES10" s="5"/>
      <c r="NET10" s="5"/>
      <c r="NEU10" s="5"/>
      <c r="NEV10" s="5"/>
      <c r="NEW10" s="5"/>
      <c r="NEX10" s="5"/>
      <c r="NEY10" s="5"/>
      <c r="NEZ10" s="5"/>
      <c r="NFA10" s="5"/>
      <c r="NFB10" s="5"/>
      <c r="NFC10" s="5"/>
      <c r="NFD10" s="5"/>
      <c r="NFE10" s="5"/>
      <c r="NFF10" s="5"/>
      <c r="NFG10" s="5"/>
      <c r="NFH10" s="5"/>
      <c r="NFI10" s="5"/>
      <c r="NFJ10" s="5"/>
      <c r="NFK10" s="5"/>
      <c r="NFL10" s="5"/>
      <c r="NFM10" s="5"/>
      <c r="NFN10" s="5"/>
      <c r="NFO10" s="5"/>
      <c r="NFP10" s="5"/>
      <c r="NFQ10" s="5"/>
      <c r="NFR10" s="5"/>
      <c r="NFS10" s="5"/>
      <c r="NFT10" s="5"/>
      <c r="NFU10" s="5"/>
      <c r="NFV10" s="5"/>
      <c r="NFW10" s="5"/>
      <c r="NFX10" s="5"/>
      <c r="NFY10" s="5"/>
      <c r="NFZ10" s="5"/>
      <c r="NGA10" s="5"/>
      <c r="NGB10" s="5"/>
      <c r="NGC10" s="5"/>
      <c r="NGD10" s="5"/>
      <c r="NGE10" s="5"/>
      <c r="NGF10" s="5"/>
      <c r="NGG10" s="5"/>
      <c r="NGH10" s="5"/>
      <c r="NGI10" s="5"/>
      <c r="NGJ10" s="5"/>
      <c r="NGK10" s="5"/>
      <c r="NGL10" s="5"/>
      <c r="NGM10" s="5"/>
      <c r="NGN10" s="5"/>
      <c r="NGO10" s="5"/>
      <c r="NGP10" s="5"/>
      <c r="NGQ10" s="5"/>
      <c r="NGR10" s="5"/>
      <c r="NGS10" s="5"/>
      <c r="NGT10" s="5"/>
      <c r="NGU10" s="5"/>
      <c r="NGV10" s="5"/>
      <c r="NGW10" s="5"/>
      <c r="NGX10" s="5"/>
      <c r="NGY10" s="5"/>
      <c r="NGZ10" s="5"/>
      <c r="NHA10" s="5"/>
      <c r="NHB10" s="5"/>
      <c r="NHC10" s="5"/>
      <c r="NHD10" s="5"/>
      <c r="NHE10" s="5"/>
      <c r="NHF10" s="5"/>
      <c r="NHG10" s="5"/>
      <c r="NHH10" s="5"/>
      <c r="NHI10" s="5"/>
      <c r="NHJ10" s="5"/>
      <c r="NHK10" s="5"/>
      <c r="NHL10" s="5"/>
      <c r="NHM10" s="5"/>
      <c r="NHN10" s="5"/>
      <c r="NHO10" s="5"/>
      <c r="NHP10" s="5"/>
      <c r="NHQ10" s="5"/>
      <c r="NHR10" s="5"/>
      <c r="NHS10" s="5"/>
      <c r="NHT10" s="5"/>
      <c r="NHU10" s="5"/>
      <c r="NHV10" s="5"/>
      <c r="NHW10" s="5"/>
      <c r="NHX10" s="5"/>
      <c r="NHY10" s="5"/>
      <c r="NHZ10" s="5"/>
      <c r="NIA10" s="5"/>
      <c r="NIB10" s="5"/>
      <c r="NIC10" s="5"/>
      <c r="NID10" s="5"/>
      <c r="NIE10" s="5"/>
      <c r="NIF10" s="5"/>
      <c r="NIG10" s="5"/>
      <c r="NIH10" s="5"/>
      <c r="NII10" s="5"/>
      <c r="NIJ10" s="5"/>
      <c r="NIK10" s="5"/>
      <c r="NIL10" s="5"/>
      <c r="NIM10" s="5"/>
      <c r="NIN10" s="5"/>
      <c r="NIO10" s="5"/>
      <c r="NIP10" s="5"/>
      <c r="NIQ10" s="5"/>
      <c r="NIR10" s="5"/>
      <c r="NIS10" s="5"/>
      <c r="NIT10" s="5"/>
      <c r="NIU10" s="5"/>
      <c r="NIV10" s="5"/>
      <c r="NIW10" s="5"/>
      <c r="NIX10" s="5"/>
      <c r="NIY10" s="5"/>
      <c r="NIZ10" s="5"/>
      <c r="NJA10" s="5"/>
      <c r="NJB10" s="5"/>
      <c r="NJC10" s="5"/>
      <c r="NJD10" s="5"/>
      <c r="NJE10" s="5"/>
      <c r="NJF10" s="5"/>
      <c r="NJG10" s="5"/>
      <c r="NJH10" s="5"/>
      <c r="NJI10" s="5"/>
      <c r="NJJ10" s="5"/>
      <c r="NJK10" s="5"/>
      <c r="NJL10" s="5"/>
      <c r="NJM10" s="5"/>
      <c r="NJN10" s="5"/>
      <c r="NJO10" s="5"/>
      <c r="NJP10" s="5"/>
      <c r="NJQ10" s="5"/>
      <c r="NJR10" s="5"/>
      <c r="NJS10" s="5"/>
      <c r="NJT10" s="5"/>
      <c r="NJU10" s="5"/>
      <c r="NJV10" s="5"/>
      <c r="NJW10" s="5"/>
      <c r="NJX10" s="5"/>
      <c r="NJY10" s="5"/>
      <c r="NJZ10" s="5"/>
      <c r="NKA10" s="5"/>
      <c r="NKB10" s="5"/>
      <c r="NKC10" s="5"/>
      <c r="NKD10" s="5"/>
      <c r="NKE10" s="5"/>
      <c r="NKF10" s="5"/>
      <c r="NKG10" s="5"/>
      <c r="NKH10" s="5"/>
      <c r="NKI10" s="5"/>
      <c r="NKJ10" s="5"/>
      <c r="NKK10" s="5"/>
      <c r="NKL10" s="5"/>
      <c r="NKM10" s="5"/>
      <c r="NKN10" s="5"/>
      <c r="NKO10" s="5"/>
      <c r="NKP10" s="5"/>
      <c r="NKQ10" s="5"/>
      <c r="NKR10" s="5"/>
      <c r="NKS10" s="5"/>
      <c r="NKT10" s="5"/>
      <c r="NKU10" s="5"/>
      <c r="NKV10" s="5"/>
      <c r="NKW10" s="5"/>
      <c r="NKX10" s="5"/>
      <c r="NKY10" s="5"/>
      <c r="NKZ10" s="5"/>
      <c r="NLA10" s="5"/>
      <c r="NLB10" s="5"/>
      <c r="NLC10" s="5"/>
      <c r="NLD10" s="5"/>
      <c r="NLE10" s="5"/>
      <c r="NLF10" s="5"/>
      <c r="NLG10" s="5"/>
      <c r="NLH10" s="5"/>
      <c r="NLI10" s="5"/>
      <c r="NLJ10" s="5"/>
      <c r="NLK10" s="5"/>
      <c r="NLL10" s="5"/>
      <c r="NLM10" s="5"/>
      <c r="NLN10" s="5"/>
      <c r="NLO10" s="5"/>
      <c r="NLP10" s="5"/>
      <c r="NLQ10" s="5"/>
      <c r="NLR10" s="5"/>
      <c r="NLS10" s="5"/>
      <c r="NLT10" s="5"/>
      <c r="NLU10" s="5"/>
      <c r="NLV10" s="5"/>
      <c r="NLW10" s="5"/>
      <c r="NLX10" s="5"/>
      <c r="NLY10" s="5"/>
      <c r="NLZ10" s="5"/>
      <c r="NMA10" s="5"/>
      <c r="NMB10" s="5"/>
      <c r="NMC10" s="5"/>
      <c r="NMD10" s="5"/>
      <c r="NME10" s="5"/>
      <c r="NMF10" s="5"/>
      <c r="NMG10" s="5"/>
      <c r="NMH10" s="5"/>
      <c r="NMI10" s="5"/>
      <c r="NMJ10" s="5"/>
      <c r="NMK10" s="5"/>
      <c r="NML10" s="5"/>
      <c r="NMM10" s="5"/>
      <c r="NMN10" s="5"/>
      <c r="NMO10" s="5"/>
      <c r="NMP10" s="5"/>
      <c r="NMQ10" s="5"/>
      <c r="NMR10" s="5"/>
      <c r="NMS10" s="5"/>
      <c r="NMT10" s="5"/>
      <c r="NMU10" s="5"/>
      <c r="NMV10" s="5"/>
      <c r="NMW10" s="5"/>
      <c r="NMX10" s="5"/>
      <c r="NMY10" s="5"/>
      <c r="NMZ10" s="5"/>
      <c r="NNA10" s="5"/>
      <c r="NNB10" s="5"/>
      <c r="NNC10" s="5"/>
      <c r="NND10" s="5"/>
      <c r="NNE10" s="5"/>
      <c r="NNF10" s="5"/>
      <c r="NNG10" s="5"/>
      <c r="NNH10" s="5"/>
      <c r="NNI10" s="5"/>
      <c r="NNJ10" s="5"/>
      <c r="NNK10" s="5"/>
      <c r="NNL10" s="5"/>
      <c r="NNM10" s="5"/>
      <c r="NNN10" s="5"/>
      <c r="NNO10" s="5"/>
      <c r="NNP10" s="5"/>
      <c r="NNQ10" s="5"/>
      <c r="NNR10" s="5"/>
      <c r="NNS10" s="5"/>
      <c r="NNT10" s="5"/>
      <c r="NNU10" s="5"/>
      <c r="NNV10" s="5"/>
      <c r="NNW10" s="5"/>
      <c r="NNX10" s="5"/>
      <c r="NNY10" s="5"/>
      <c r="NNZ10" s="5"/>
      <c r="NOA10" s="5"/>
      <c r="NOB10" s="5"/>
      <c r="NOC10" s="5"/>
      <c r="NOD10" s="5"/>
      <c r="NOE10" s="5"/>
      <c r="NOF10" s="5"/>
      <c r="NOG10" s="5"/>
      <c r="NOH10" s="5"/>
      <c r="NOI10" s="5"/>
      <c r="NOJ10" s="5"/>
      <c r="NOK10" s="5"/>
      <c r="NOL10" s="5"/>
      <c r="NOM10" s="5"/>
      <c r="NON10" s="5"/>
      <c r="NOO10" s="5"/>
      <c r="NOP10" s="5"/>
      <c r="NOQ10" s="5"/>
      <c r="NOR10" s="5"/>
      <c r="NOS10" s="5"/>
      <c r="NOT10" s="5"/>
      <c r="NOU10" s="5"/>
      <c r="NOV10" s="5"/>
      <c r="NOW10" s="5"/>
      <c r="NOX10" s="5"/>
      <c r="NOY10" s="5"/>
      <c r="NOZ10" s="5"/>
      <c r="NPA10" s="5"/>
      <c r="NPB10" s="5"/>
      <c r="NPC10" s="5"/>
      <c r="NPD10" s="5"/>
      <c r="NPE10" s="5"/>
      <c r="NPF10" s="5"/>
      <c r="NPG10" s="5"/>
      <c r="NPH10" s="5"/>
      <c r="NPI10" s="5"/>
      <c r="NPJ10" s="5"/>
      <c r="NPK10" s="5"/>
      <c r="NPL10" s="5"/>
      <c r="NPM10" s="5"/>
      <c r="NPN10" s="5"/>
      <c r="NPO10" s="5"/>
      <c r="NPP10" s="5"/>
      <c r="NPQ10" s="5"/>
      <c r="NPR10" s="5"/>
      <c r="NPS10" s="5"/>
      <c r="NPT10" s="5"/>
      <c r="NPU10" s="5"/>
      <c r="NPV10" s="5"/>
      <c r="NPW10" s="5"/>
      <c r="NPX10" s="5"/>
      <c r="NPY10" s="5"/>
      <c r="NPZ10" s="5"/>
      <c r="NQA10" s="5"/>
      <c r="NQB10" s="5"/>
      <c r="NQC10" s="5"/>
      <c r="NQD10" s="5"/>
      <c r="NQE10" s="5"/>
      <c r="NQF10" s="5"/>
      <c r="NQG10" s="5"/>
      <c r="NQH10" s="5"/>
      <c r="NQI10" s="5"/>
      <c r="NQJ10" s="5"/>
      <c r="NQK10" s="5"/>
      <c r="NQL10" s="5"/>
      <c r="NQM10" s="5"/>
      <c r="NQN10" s="5"/>
      <c r="NQO10" s="5"/>
      <c r="NQP10" s="5"/>
      <c r="NQQ10" s="5"/>
      <c r="NQR10" s="5"/>
      <c r="NQS10" s="5"/>
      <c r="NQT10" s="5"/>
      <c r="NQU10" s="5"/>
      <c r="NQV10" s="5"/>
      <c r="NQW10" s="5"/>
      <c r="NQX10" s="5"/>
      <c r="NQY10" s="5"/>
      <c r="NQZ10" s="5"/>
      <c r="NRA10" s="5"/>
      <c r="NRB10" s="5"/>
      <c r="NRC10" s="5"/>
      <c r="NRD10" s="5"/>
      <c r="NRE10" s="5"/>
      <c r="NRF10" s="5"/>
      <c r="NRG10" s="5"/>
      <c r="NRH10" s="5"/>
      <c r="NRI10" s="5"/>
      <c r="NRJ10" s="5"/>
      <c r="NRK10" s="5"/>
      <c r="NRL10" s="5"/>
      <c r="NRM10" s="5"/>
      <c r="NRN10" s="5"/>
      <c r="NRO10" s="5"/>
      <c r="NRP10" s="5"/>
      <c r="NRQ10" s="5"/>
      <c r="NRR10" s="5"/>
      <c r="NRS10" s="5"/>
      <c r="NRT10" s="5"/>
      <c r="NRU10" s="5"/>
      <c r="NRV10" s="5"/>
      <c r="NRW10" s="5"/>
      <c r="NRX10" s="5"/>
      <c r="NRY10" s="5"/>
      <c r="NRZ10" s="5"/>
      <c r="NSA10" s="5"/>
      <c r="NSB10" s="5"/>
      <c r="NSC10" s="5"/>
      <c r="NSD10" s="5"/>
      <c r="NSE10" s="5"/>
      <c r="NSF10" s="5"/>
      <c r="NSG10" s="5"/>
      <c r="NSH10" s="5"/>
      <c r="NSI10" s="5"/>
      <c r="NSJ10" s="5"/>
      <c r="NSK10" s="5"/>
      <c r="NSL10" s="5"/>
      <c r="NSM10" s="5"/>
      <c r="NSN10" s="5"/>
      <c r="NSO10" s="5"/>
      <c r="NSP10" s="5"/>
      <c r="NSQ10" s="5"/>
      <c r="NSR10" s="5"/>
      <c r="NSS10" s="5"/>
      <c r="NST10" s="5"/>
      <c r="NSU10" s="5"/>
      <c r="NSV10" s="5"/>
      <c r="NSW10" s="5"/>
      <c r="NSX10" s="5"/>
      <c r="NSY10" s="5"/>
      <c r="NSZ10" s="5"/>
      <c r="NTA10" s="5"/>
      <c r="NTB10" s="5"/>
      <c r="NTC10" s="5"/>
      <c r="NTD10" s="5"/>
      <c r="NTE10" s="5"/>
      <c r="NTF10" s="5"/>
      <c r="NTG10" s="5"/>
      <c r="NTH10" s="5"/>
      <c r="NTI10" s="5"/>
      <c r="NTJ10" s="5"/>
      <c r="NTK10" s="5"/>
      <c r="NTL10" s="5"/>
      <c r="NTM10" s="5"/>
      <c r="NTN10" s="5"/>
      <c r="NTO10" s="5"/>
      <c r="NTP10" s="5"/>
      <c r="NTQ10" s="5"/>
      <c r="NTR10" s="5"/>
      <c r="NTS10" s="5"/>
      <c r="NTT10" s="5"/>
      <c r="NTU10" s="5"/>
      <c r="NTV10" s="5"/>
      <c r="NTW10" s="5"/>
      <c r="NTX10" s="5"/>
      <c r="NTY10" s="5"/>
      <c r="NTZ10" s="5"/>
      <c r="NUA10" s="5"/>
      <c r="NUB10" s="5"/>
      <c r="NUC10" s="5"/>
      <c r="NUD10" s="5"/>
      <c r="NUE10" s="5"/>
      <c r="NUF10" s="5"/>
      <c r="NUG10" s="5"/>
      <c r="NUH10" s="5"/>
      <c r="NUI10" s="5"/>
      <c r="NUJ10" s="5"/>
      <c r="NUK10" s="5"/>
      <c r="NUL10" s="5"/>
      <c r="NUM10" s="5"/>
      <c r="NUN10" s="5"/>
      <c r="NUO10" s="5"/>
      <c r="NUP10" s="5"/>
      <c r="NUQ10" s="5"/>
      <c r="NUR10" s="5"/>
      <c r="NUS10" s="5"/>
      <c r="NUT10" s="5"/>
      <c r="NUU10" s="5"/>
      <c r="NUV10" s="5"/>
      <c r="NUW10" s="5"/>
      <c r="NUX10" s="5"/>
      <c r="NUY10" s="5"/>
      <c r="NUZ10" s="5"/>
      <c r="NVA10" s="5"/>
      <c r="NVB10" s="5"/>
      <c r="NVC10" s="5"/>
      <c r="NVD10" s="5"/>
      <c r="NVE10" s="5"/>
      <c r="NVF10" s="5"/>
      <c r="NVG10" s="5"/>
      <c r="NVH10" s="5"/>
      <c r="NVI10" s="5"/>
      <c r="NVJ10" s="5"/>
      <c r="NVK10" s="5"/>
      <c r="NVL10" s="5"/>
      <c r="NVM10" s="5"/>
      <c r="NVN10" s="5"/>
      <c r="NVO10" s="5"/>
      <c r="NVP10" s="5"/>
      <c r="NVQ10" s="5"/>
      <c r="NVR10" s="5"/>
      <c r="NVS10" s="5"/>
      <c r="NVT10" s="5"/>
      <c r="NVU10" s="5"/>
      <c r="NVV10" s="5"/>
      <c r="NVW10" s="5"/>
      <c r="NVX10" s="5"/>
      <c r="NVY10" s="5"/>
      <c r="NVZ10" s="5"/>
      <c r="NWA10" s="5"/>
      <c r="NWB10" s="5"/>
      <c r="NWC10" s="5"/>
      <c r="NWD10" s="5"/>
      <c r="NWE10" s="5"/>
      <c r="NWF10" s="5"/>
      <c r="NWG10" s="5"/>
      <c r="NWH10" s="5"/>
      <c r="NWI10" s="5"/>
      <c r="NWJ10" s="5"/>
      <c r="NWK10" s="5"/>
      <c r="NWL10" s="5"/>
      <c r="NWM10" s="5"/>
      <c r="NWN10" s="5"/>
      <c r="NWO10" s="5"/>
      <c r="NWP10" s="5"/>
      <c r="NWQ10" s="5"/>
      <c r="NWR10" s="5"/>
      <c r="NWS10" s="5"/>
      <c r="NWT10" s="5"/>
      <c r="NWU10" s="5"/>
      <c r="NWV10" s="5"/>
      <c r="NWW10" s="5"/>
      <c r="NWX10" s="5"/>
      <c r="NWY10" s="5"/>
      <c r="NWZ10" s="5"/>
      <c r="NXA10" s="5"/>
      <c r="NXB10" s="5"/>
      <c r="NXC10" s="5"/>
      <c r="NXD10" s="5"/>
      <c r="NXE10" s="5"/>
      <c r="NXF10" s="5"/>
      <c r="NXG10" s="5"/>
      <c r="NXH10" s="5"/>
      <c r="NXI10" s="5"/>
      <c r="NXJ10" s="5"/>
      <c r="NXK10" s="5"/>
      <c r="NXL10" s="5"/>
      <c r="NXM10" s="5"/>
      <c r="NXN10" s="5"/>
      <c r="NXO10" s="5"/>
      <c r="NXP10" s="5"/>
      <c r="NXQ10" s="5"/>
      <c r="NXR10" s="5"/>
      <c r="NXS10" s="5"/>
      <c r="NXT10" s="5"/>
      <c r="NXU10" s="5"/>
      <c r="NXV10" s="5"/>
      <c r="NXW10" s="5"/>
      <c r="NXX10" s="5"/>
      <c r="NXY10" s="5"/>
      <c r="NXZ10" s="5"/>
      <c r="NYA10" s="5"/>
      <c r="NYB10" s="5"/>
      <c r="NYC10" s="5"/>
      <c r="NYD10" s="5"/>
      <c r="NYE10" s="5"/>
      <c r="NYF10" s="5"/>
      <c r="NYG10" s="5"/>
      <c r="NYH10" s="5"/>
      <c r="NYI10" s="5"/>
      <c r="NYJ10" s="5"/>
      <c r="NYK10" s="5"/>
      <c r="NYL10" s="5"/>
      <c r="NYM10" s="5"/>
      <c r="NYN10" s="5"/>
      <c r="NYO10" s="5"/>
      <c r="NYP10" s="5"/>
      <c r="NYQ10" s="5"/>
      <c r="NYR10" s="5"/>
      <c r="NYS10" s="5"/>
      <c r="NYT10" s="5"/>
      <c r="NYU10" s="5"/>
      <c r="NYV10" s="5"/>
      <c r="NYW10" s="5"/>
      <c r="NYX10" s="5"/>
      <c r="NYY10" s="5"/>
      <c r="NYZ10" s="5"/>
      <c r="NZA10" s="5"/>
      <c r="NZB10" s="5"/>
      <c r="NZC10" s="5"/>
      <c r="NZD10" s="5"/>
      <c r="NZE10" s="5"/>
      <c r="NZF10" s="5"/>
      <c r="NZG10" s="5"/>
      <c r="NZH10" s="5"/>
      <c r="NZI10" s="5"/>
      <c r="NZJ10" s="5"/>
      <c r="NZK10" s="5"/>
      <c r="NZL10" s="5"/>
      <c r="NZM10" s="5"/>
      <c r="NZN10" s="5"/>
      <c r="NZO10" s="5"/>
      <c r="NZP10" s="5"/>
      <c r="NZQ10" s="5"/>
      <c r="NZR10" s="5"/>
      <c r="NZS10" s="5"/>
      <c r="NZT10" s="5"/>
      <c r="NZU10" s="5"/>
      <c r="NZV10" s="5"/>
      <c r="NZW10" s="5"/>
      <c r="NZX10" s="5"/>
      <c r="NZY10" s="5"/>
      <c r="NZZ10" s="5"/>
      <c r="OAA10" s="5"/>
      <c r="OAB10" s="5"/>
      <c r="OAC10" s="5"/>
      <c r="OAD10" s="5"/>
      <c r="OAE10" s="5"/>
      <c r="OAF10" s="5"/>
      <c r="OAG10" s="5"/>
      <c r="OAH10" s="5"/>
      <c r="OAI10" s="5"/>
      <c r="OAJ10" s="5"/>
      <c r="OAK10" s="5"/>
      <c r="OAL10" s="5"/>
      <c r="OAM10" s="5"/>
      <c r="OAN10" s="5"/>
      <c r="OAO10" s="5"/>
      <c r="OAP10" s="5"/>
      <c r="OAQ10" s="5"/>
      <c r="OAR10" s="5"/>
      <c r="OAS10" s="5"/>
      <c r="OAT10" s="5"/>
      <c r="OAU10" s="5"/>
      <c r="OAV10" s="5"/>
      <c r="OAW10" s="5"/>
      <c r="OAX10" s="5"/>
      <c r="OAY10" s="5"/>
      <c r="OAZ10" s="5"/>
      <c r="OBA10" s="5"/>
      <c r="OBB10" s="5"/>
      <c r="OBC10" s="5"/>
      <c r="OBD10" s="5"/>
      <c r="OBE10" s="5"/>
      <c r="OBF10" s="5"/>
      <c r="OBG10" s="5"/>
      <c r="OBH10" s="5"/>
      <c r="OBI10" s="5"/>
      <c r="OBJ10" s="5"/>
      <c r="OBK10" s="5"/>
      <c r="OBL10" s="5"/>
      <c r="OBM10" s="5"/>
      <c r="OBN10" s="5"/>
      <c r="OBO10" s="5"/>
      <c r="OBP10" s="5"/>
      <c r="OBQ10" s="5"/>
      <c r="OBR10" s="5"/>
      <c r="OBS10" s="5"/>
      <c r="OBT10" s="5"/>
      <c r="OBU10" s="5"/>
      <c r="OBV10" s="5"/>
      <c r="OBW10" s="5"/>
      <c r="OBX10" s="5"/>
      <c r="OBY10" s="5"/>
      <c r="OBZ10" s="5"/>
      <c r="OCA10" s="5"/>
      <c r="OCB10" s="5"/>
      <c r="OCC10" s="5"/>
      <c r="OCD10" s="5"/>
      <c r="OCE10" s="5"/>
      <c r="OCF10" s="5"/>
      <c r="OCG10" s="5"/>
      <c r="OCH10" s="5"/>
      <c r="OCI10" s="5"/>
      <c r="OCJ10" s="5"/>
      <c r="OCK10" s="5"/>
      <c r="OCL10" s="5"/>
      <c r="OCM10" s="5"/>
      <c r="OCN10" s="5"/>
      <c r="OCO10" s="5"/>
      <c r="OCP10" s="5"/>
      <c r="OCQ10" s="5"/>
      <c r="OCR10" s="5"/>
      <c r="OCS10" s="5"/>
      <c r="OCT10" s="5"/>
      <c r="OCU10" s="5"/>
      <c r="OCV10" s="5"/>
      <c r="OCW10" s="5"/>
      <c r="OCX10" s="5"/>
      <c r="OCY10" s="5"/>
      <c r="OCZ10" s="5"/>
      <c r="ODA10" s="5"/>
      <c r="ODB10" s="5"/>
      <c r="ODC10" s="5"/>
      <c r="ODD10" s="5"/>
      <c r="ODE10" s="5"/>
      <c r="ODF10" s="5"/>
      <c r="ODG10" s="5"/>
      <c r="ODH10" s="5"/>
      <c r="ODI10" s="5"/>
      <c r="ODJ10" s="5"/>
      <c r="ODK10" s="5"/>
      <c r="ODL10" s="5"/>
      <c r="ODM10" s="5"/>
      <c r="ODN10" s="5"/>
      <c r="ODO10" s="5"/>
      <c r="ODP10" s="5"/>
      <c r="ODQ10" s="5"/>
      <c r="ODR10" s="5"/>
      <c r="ODS10" s="5"/>
      <c r="ODT10" s="5"/>
      <c r="ODU10" s="5"/>
      <c r="ODV10" s="5"/>
      <c r="ODW10" s="5"/>
      <c r="ODX10" s="5"/>
      <c r="ODY10" s="5"/>
      <c r="ODZ10" s="5"/>
      <c r="OEA10" s="5"/>
      <c r="OEB10" s="5"/>
      <c r="OEC10" s="5"/>
      <c r="OED10" s="5"/>
      <c r="OEE10" s="5"/>
      <c r="OEF10" s="5"/>
      <c r="OEG10" s="5"/>
      <c r="OEH10" s="5"/>
      <c r="OEI10" s="5"/>
      <c r="OEJ10" s="5"/>
      <c r="OEK10" s="5"/>
      <c r="OEL10" s="5"/>
      <c r="OEM10" s="5"/>
      <c r="OEN10" s="5"/>
      <c r="OEO10" s="5"/>
      <c r="OEP10" s="5"/>
      <c r="OEQ10" s="5"/>
      <c r="OER10" s="5"/>
      <c r="OES10" s="5"/>
      <c r="OET10" s="5"/>
      <c r="OEU10" s="5"/>
      <c r="OEV10" s="5"/>
      <c r="OEW10" s="5"/>
      <c r="OEX10" s="5"/>
      <c r="OEY10" s="5"/>
      <c r="OEZ10" s="5"/>
      <c r="OFA10" s="5"/>
      <c r="OFB10" s="5"/>
      <c r="OFC10" s="5"/>
      <c r="OFD10" s="5"/>
      <c r="OFE10" s="5"/>
      <c r="OFF10" s="5"/>
      <c r="OFG10" s="5"/>
      <c r="OFH10" s="5"/>
      <c r="OFI10" s="5"/>
      <c r="OFJ10" s="5"/>
      <c r="OFK10" s="5"/>
      <c r="OFL10" s="5"/>
      <c r="OFM10" s="5"/>
      <c r="OFN10" s="5"/>
      <c r="OFO10" s="5"/>
      <c r="OFP10" s="5"/>
      <c r="OFQ10" s="5"/>
      <c r="OFR10" s="5"/>
      <c r="OFS10" s="5"/>
      <c r="OFT10" s="5"/>
      <c r="OFU10" s="5"/>
      <c r="OFV10" s="5"/>
      <c r="OFW10" s="5"/>
      <c r="OFX10" s="5"/>
      <c r="OFY10" s="5"/>
      <c r="OFZ10" s="5"/>
      <c r="OGA10" s="5"/>
      <c r="OGB10" s="5"/>
      <c r="OGC10" s="5"/>
      <c r="OGD10" s="5"/>
      <c r="OGE10" s="5"/>
      <c r="OGF10" s="5"/>
      <c r="OGG10" s="5"/>
      <c r="OGH10" s="5"/>
      <c r="OGI10" s="5"/>
      <c r="OGJ10" s="5"/>
      <c r="OGK10" s="5"/>
      <c r="OGL10" s="5"/>
      <c r="OGM10" s="5"/>
      <c r="OGN10" s="5"/>
      <c r="OGO10" s="5"/>
      <c r="OGP10" s="5"/>
      <c r="OGQ10" s="5"/>
      <c r="OGR10" s="5"/>
      <c r="OGS10" s="5"/>
      <c r="OGT10" s="5"/>
      <c r="OGU10" s="5"/>
      <c r="OGV10" s="5"/>
      <c r="OGW10" s="5"/>
      <c r="OGX10" s="5"/>
      <c r="OGY10" s="5"/>
      <c r="OGZ10" s="5"/>
      <c r="OHA10" s="5"/>
      <c r="OHB10" s="5"/>
      <c r="OHC10" s="5"/>
      <c r="OHD10" s="5"/>
      <c r="OHE10" s="5"/>
      <c r="OHF10" s="5"/>
      <c r="OHG10" s="5"/>
      <c r="OHH10" s="5"/>
      <c r="OHI10" s="5"/>
      <c r="OHJ10" s="5"/>
      <c r="OHK10" s="5"/>
      <c r="OHL10" s="5"/>
      <c r="OHM10" s="5"/>
      <c r="OHN10" s="5"/>
      <c r="OHO10" s="5"/>
      <c r="OHP10" s="5"/>
      <c r="OHQ10" s="5"/>
      <c r="OHR10" s="5"/>
      <c r="OHS10" s="5"/>
      <c r="OHT10" s="5"/>
      <c r="OHU10" s="5"/>
      <c r="OHV10" s="5"/>
      <c r="OHW10" s="5"/>
      <c r="OHX10" s="5"/>
      <c r="OHY10" s="5"/>
      <c r="OHZ10" s="5"/>
      <c r="OIA10" s="5"/>
      <c r="OIB10" s="5"/>
      <c r="OIC10" s="5"/>
      <c r="OID10" s="5"/>
      <c r="OIE10" s="5"/>
      <c r="OIF10" s="5"/>
      <c r="OIG10" s="5"/>
      <c r="OIH10" s="5"/>
      <c r="OII10" s="5"/>
      <c r="OIJ10" s="5"/>
      <c r="OIK10" s="5"/>
      <c r="OIL10" s="5"/>
      <c r="OIM10" s="5"/>
      <c r="OIN10" s="5"/>
      <c r="OIO10" s="5"/>
      <c r="OIP10" s="5"/>
      <c r="OIQ10" s="5"/>
      <c r="OIR10" s="5"/>
      <c r="OIS10" s="5"/>
      <c r="OIT10" s="5"/>
      <c r="OIU10" s="5"/>
      <c r="OIV10" s="5"/>
      <c r="OIW10" s="5"/>
      <c r="OIX10" s="5"/>
      <c r="OIY10" s="5"/>
      <c r="OIZ10" s="5"/>
      <c r="OJA10" s="5"/>
      <c r="OJB10" s="5"/>
      <c r="OJC10" s="5"/>
      <c r="OJD10" s="5"/>
      <c r="OJE10" s="5"/>
      <c r="OJF10" s="5"/>
      <c r="OJG10" s="5"/>
      <c r="OJH10" s="5"/>
      <c r="OJI10" s="5"/>
      <c r="OJJ10" s="5"/>
      <c r="OJK10" s="5"/>
      <c r="OJL10" s="5"/>
      <c r="OJM10" s="5"/>
      <c r="OJN10" s="5"/>
      <c r="OJO10" s="5"/>
      <c r="OJP10" s="5"/>
      <c r="OJQ10" s="5"/>
      <c r="OJR10" s="5"/>
      <c r="OJS10" s="5"/>
      <c r="OJT10" s="5"/>
      <c r="OJU10" s="5"/>
      <c r="OJV10" s="5"/>
      <c r="OJW10" s="5"/>
      <c r="OJX10" s="5"/>
      <c r="OJY10" s="5"/>
      <c r="OJZ10" s="5"/>
      <c r="OKA10" s="5"/>
      <c r="OKB10" s="5"/>
      <c r="OKC10" s="5"/>
      <c r="OKD10" s="5"/>
      <c r="OKE10" s="5"/>
      <c r="OKF10" s="5"/>
      <c r="OKG10" s="5"/>
      <c r="OKH10" s="5"/>
      <c r="OKI10" s="5"/>
      <c r="OKJ10" s="5"/>
      <c r="OKK10" s="5"/>
      <c r="OKL10" s="5"/>
      <c r="OKM10" s="5"/>
      <c r="OKN10" s="5"/>
      <c r="OKO10" s="5"/>
      <c r="OKP10" s="5"/>
      <c r="OKQ10" s="5"/>
      <c r="OKR10" s="5"/>
      <c r="OKS10" s="5"/>
      <c r="OKT10" s="5"/>
      <c r="OKU10" s="5"/>
      <c r="OKV10" s="5"/>
      <c r="OKW10" s="5"/>
      <c r="OKX10" s="5"/>
      <c r="OKY10" s="5"/>
      <c r="OKZ10" s="5"/>
      <c r="OLA10" s="5"/>
      <c r="OLB10" s="5"/>
      <c r="OLC10" s="5"/>
      <c r="OLD10" s="5"/>
      <c r="OLE10" s="5"/>
      <c r="OLF10" s="5"/>
      <c r="OLG10" s="5"/>
      <c r="OLH10" s="5"/>
      <c r="OLI10" s="5"/>
      <c r="OLJ10" s="5"/>
      <c r="OLK10" s="5"/>
      <c r="OLL10" s="5"/>
      <c r="OLM10" s="5"/>
      <c r="OLN10" s="5"/>
      <c r="OLO10" s="5"/>
      <c r="OLP10" s="5"/>
      <c r="OLQ10" s="5"/>
      <c r="OLR10" s="5"/>
      <c r="OLS10" s="5"/>
      <c r="OLT10" s="5"/>
      <c r="OLU10" s="5"/>
      <c r="OLV10" s="5"/>
      <c r="OLW10" s="5"/>
      <c r="OLX10" s="5"/>
      <c r="OLY10" s="5"/>
      <c r="OLZ10" s="5"/>
      <c r="OMA10" s="5"/>
      <c r="OMB10" s="5"/>
      <c r="OMC10" s="5"/>
      <c r="OMD10" s="5"/>
      <c r="OME10" s="5"/>
      <c r="OMF10" s="5"/>
      <c r="OMG10" s="5"/>
      <c r="OMH10" s="5"/>
      <c r="OMI10" s="5"/>
      <c r="OMJ10" s="5"/>
      <c r="OMK10" s="5"/>
      <c r="OML10" s="5"/>
      <c r="OMM10" s="5"/>
      <c r="OMN10" s="5"/>
      <c r="OMO10" s="5"/>
      <c r="OMP10" s="5"/>
      <c r="OMQ10" s="5"/>
      <c r="OMR10" s="5"/>
      <c r="OMS10" s="5"/>
      <c r="OMT10" s="5"/>
      <c r="OMU10" s="5"/>
      <c r="OMV10" s="5"/>
      <c r="OMW10" s="5"/>
      <c r="OMX10" s="5"/>
      <c r="OMY10" s="5"/>
      <c r="OMZ10" s="5"/>
      <c r="ONA10" s="5"/>
      <c r="ONB10" s="5"/>
      <c r="ONC10" s="5"/>
      <c r="OND10" s="5"/>
      <c r="ONE10" s="5"/>
      <c r="ONF10" s="5"/>
      <c r="ONG10" s="5"/>
      <c r="ONH10" s="5"/>
      <c r="ONI10" s="5"/>
      <c r="ONJ10" s="5"/>
      <c r="ONK10" s="5"/>
      <c r="ONL10" s="5"/>
      <c r="ONM10" s="5"/>
      <c r="ONN10" s="5"/>
      <c r="ONO10" s="5"/>
      <c r="ONP10" s="5"/>
      <c r="ONQ10" s="5"/>
      <c r="ONR10" s="5"/>
      <c r="ONS10" s="5"/>
      <c r="ONT10" s="5"/>
      <c r="ONU10" s="5"/>
      <c r="ONV10" s="5"/>
      <c r="ONW10" s="5"/>
      <c r="ONX10" s="5"/>
      <c r="ONY10" s="5"/>
      <c r="ONZ10" s="5"/>
      <c r="OOA10" s="5"/>
      <c r="OOB10" s="5"/>
      <c r="OOC10" s="5"/>
      <c r="OOD10" s="5"/>
      <c r="OOE10" s="5"/>
      <c r="OOF10" s="5"/>
      <c r="OOG10" s="5"/>
      <c r="OOH10" s="5"/>
      <c r="OOI10" s="5"/>
      <c r="OOJ10" s="5"/>
      <c r="OOK10" s="5"/>
      <c r="OOL10" s="5"/>
      <c r="OOM10" s="5"/>
      <c r="OON10" s="5"/>
      <c r="OOO10" s="5"/>
      <c r="OOP10" s="5"/>
      <c r="OOQ10" s="5"/>
      <c r="OOR10" s="5"/>
      <c r="OOS10" s="5"/>
      <c r="OOT10" s="5"/>
      <c r="OOU10" s="5"/>
      <c r="OOV10" s="5"/>
      <c r="OOW10" s="5"/>
      <c r="OOX10" s="5"/>
      <c r="OOY10" s="5"/>
      <c r="OOZ10" s="5"/>
      <c r="OPA10" s="5"/>
      <c r="OPB10" s="5"/>
      <c r="OPC10" s="5"/>
      <c r="OPD10" s="5"/>
      <c r="OPE10" s="5"/>
      <c r="OPF10" s="5"/>
      <c r="OPG10" s="5"/>
      <c r="OPH10" s="5"/>
      <c r="OPI10" s="5"/>
      <c r="OPJ10" s="5"/>
      <c r="OPK10" s="5"/>
      <c r="OPL10" s="5"/>
      <c r="OPM10" s="5"/>
      <c r="OPN10" s="5"/>
      <c r="OPO10" s="5"/>
      <c r="OPP10" s="5"/>
      <c r="OPQ10" s="5"/>
      <c r="OPR10" s="5"/>
      <c r="OPS10" s="5"/>
      <c r="OPT10" s="5"/>
      <c r="OPU10" s="5"/>
      <c r="OPV10" s="5"/>
      <c r="OPW10" s="5"/>
      <c r="OPX10" s="5"/>
      <c r="OPY10" s="5"/>
      <c r="OPZ10" s="5"/>
      <c r="OQA10" s="5"/>
      <c r="OQB10" s="5"/>
      <c r="OQC10" s="5"/>
      <c r="OQD10" s="5"/>
      <c r="OQE10" s="5"/>
      <c r="OQF10" s="5"/>
      <c r="OQG10" s="5"/>
      <c r="OQH10" s="5"/>
      <c r="OQI10" s="5"/>
      <c r="OQJ10" s="5"/>
      <c r="OQK10" s="5"/>
      <c r="OQL10" s="5"/>
      <c r="OQM10" s="5"/>
      <c r="OQN10" s="5"/>
      <c r="OQO10" s="5"/>
      <c r="OQP10" s="5"/>
      <c r="OQQ10" s="5"/>
      <c r="OQR10" s="5"/>
      <c r="OQS10" s="5"/>
      <c r="OQT10" s="5"/>
      <c r="OQU10" s="5"/>
      <c r="OQV10" s="5"/>
      <c r="OQW10" s="5"/>
      <c r="OQX10" s="5"/>
      <c r="OQY10" s="5"/>
      <c r="OQZ10" s="5"/>
      <c r="ORA10" s="5"/>
      <c r="ORB10" s="5"/>
      <c r="ORC10" s="5"/>
      <c r="ORD10" s="5"/>
      <c r="ORE10" s="5"/>
      <c r="ORF10" s="5"/>
      <c r="ORG10" s="5"/>
      <c r="ORH10" s="5"/>
      <c r="ORI10" s="5"/>
      <c r="ORJ10" s="5"/>
      <c r="ORK10" s="5"/>
      <c r="ORL10" s="5"/>
      <c r="ORM10" s="5"/>
      <c r="ORN10" s="5"/>
      <c r="ORO10" s="5"/>
      <c r="ORP10" s="5"/>
      <c r="ORQ10" s="5"/>
      <c r="ORR10" s="5"/>
      <c r="ORS10" s="5"/>
      <c r="ORT10" s="5"/>
      <c r="ORU10" s="5"/>
      <c r="ORV10" s="5"/>
      <c r="ORW10" s="5"/>
      <c r="ORX10" s="5"/>
      <c r="ORY10" s="5"/>
      <c r="ORZ10" s="5"/>
      <c r="OSA10" s="5"/>
      <c r="OSB10" s="5"/>
      <c r="OSC10" s="5"/>
      <c r="OSD10" s="5"/>
      <c r="OSE10" s="5"/>
      <c r="OSF10" s="5"/>
      <c r="OSG10" s="5"/>
      <c r="OSH10" s="5"/>
      <c r="OSI10" s="5"/>
      <c r="OSJ10" s="5"/>
      <c r="OSK10" s="5"/>
      <c r="OSL10" s="5"/>
      <c r="OSM10" s="5"/>
      <c r="OSN10" s="5"/>
      <c r="OSO10" s="5"/>
      <c r="OSP10" s="5"/>
      <c r="OSQ10" s="5"/>
      <c r="OSR10" s="5"/>
      <c r="OSS10" s="5"/>
      <c r="OST10" s="5"/>
      <c r="OSU10" s="5"/>
      <c r="OSV10" s="5"/>
      <c r="OSW10" s="5"/>
      <c r="OSX10" s="5"/>
      <c r="OSY10" s="5"/>
      <c r="OSZ10" s="5"/>
      <c r="OTA10" s="5"/>
      <c r="OTB10" s="5"/>
      <c r="OTC10" s="5"/>
      <c r="OTD10" s="5"/>
      <c r="OTE10" s="5"/>
      <c r="OTF10" s="5"/>
      <c r="OTG10" s="5"/>
      <c r="OTH10" s="5"/>
      <c r="OTI10" s="5"/>
      <c r="OTJ10" s="5"/>
      <c r="OTK10" s="5"/>
      <c r="OTL10" s="5"/>
      <c r="OTM10" s="5"/>
      <c r="OTN10" s="5"/>
      <c r="OTO10" s="5"/>
      <c r="OTP10" s="5"/>
      <c r="OTQ10" s="5"/>
      <c r="OTR10" s="5"/>
      <c r="OTS10" s="5"/>
      <c r="OTT10" s="5"/>
      <c r="OTU10" s="5"/>
      <c r="OTV10" s="5"/>
      <c r="OTW10" s="5"/>
      <c r="OTX10" s="5"/>
      <c r="OTY10" s="5"/>
      <c r="OTZ10" s="5"/>
      <c r="OUA10" s="5"/>
      <c r="OUB10" s="5"/>
      <c r="OUC10" s="5"/>
      <c r="OUD10" s="5"/>
      <c r="OUE10" s="5"/>
      <c r="OUF10" s="5"/>
      <c r="OUG10" s="5"/>
      <c r="OUH10" s="5"/>
      <c r="OUI10" s="5"/>
      <c r="OUJ10" s="5"/>
      <c r="OUK10" s="5"/>
      <c r="OUL10" s="5"/>
      <c r="OUM10" s="5"/>
      <c r="OUN10" s="5"/>
      <c r="OUO10" s="5"/>
      <c r="OUP10" s="5"/>
      <c r="OUQ10" s="5"/>
      <c r="OUR10" s="5"/>
      <c r="OUS10" s="5"/>
      <c r="OUT10" s="5"/>
      <c r="OUU10" s="5"/>
      <c r="OUV10" s="5"/>
      <c r="OUW10" s="5"/>
      <c r="OUX10" s="5"/>
      <c r="OUY10" s="5"/>
      <c r="OUZ10" s="5"/>
      <c r="OVA10" s="5"/>
      <c r="OVB10" s="5"/>
      <c r="OVC10" s="5"/>
      <c r="OVD10" s="5"/>
      <c r="OVE10" s="5"/>
      <c r="OVF10" s="5"/>
      <c r="OVG10" s="5"/>
      <c r="OVH10" s="5"/>
      <c r="OVI10" s="5"/>
      <c r="OVJ10" s="5"/>
      <c r="OVK10" s="5"/>
      <c r="OVL10" s="5"/>
      <c r="OVM10" s="5"/>
      <c r="OVN10" s="5"/>
      <c r="OVO10" s="5"/>
      <c r="OVP10" s="5"/>
      <c r="OVQ10" s="5"/>
      <c r="OVR10" s="5"/>
      <c r="OVS10" s="5"/>
      <c r="OVT10" s="5"/>
      <c r="OVU10" s="5"/>
      <c r="OVV10" s="5"/>
      <c r="OVW10" s="5"/>
      <c r="OVX10" s="5"/>
      <c r="OVY10" s="5"/>
      <c r="OVZ10" s="5"/>
      <c r="OWA10" s="5"/>
      <c r="OWB10" s="5"/>
      <c r="OWC10" s="5"/>
      <c r="OWD10" s="5"/>
      <c r="OWE10" s="5"/>
      <c r="OWF10" s="5"/>
      <c r="OWG10" s="5"/>
      <c r="OWH10" s="5"/>
      <c r="OWI10" s="5"/>
      <c r="OWJ10" s="5"/>
      <c r="OWK10" s="5"/>
      <c r="OWL10" s="5"/>
      <c r="OWM10" s="5"/>
      <c r="OWN10" s="5"/>
      <c r="OWO10" s="5"/>
      <c r="OWP10" s="5"/>
      <c r="OWQ10" s="5"/>
      <c r="OWR10" s="5"/>
      <c r="OWS10" s="5"/>
      <c r="OWT10" s="5"/>
      <c r="OWU10" s="5"/>
      <c r="OWV10" s="5"/>
      <c r="OWW10" s="5"/>
      <c r="OWX10" s="5"/>
      <c r="OWY10" s="5"/>
      <c r="OWZ10" s="5"/>
      <c r="OXA10" s="5"/>
      <c r="OXB10" s="5"/>
      <c r="OXC10" s="5"/>
      <c r="OXD10" s="5"/>
      <c r="OXE10" s="5"/>
      <c r="OXF10" s="5"/>
      <c r="OXG10" s="5"/>
      <c r="OXH10" s="5"/>
      <c r="OXI10" s="5"/>
      <c r="OXJ10" s="5"/>
      <c r="OXK10" s="5"/>
      <c r="OXL10" s="5"/>
      <c r="OXM10" s="5"/>
      <c r="OXN10" s="5"/>
      <c r="OXO10" s="5"/>
      <c r="OXP10" s="5"/>
      <c r="OXQ10" s="5"/>
      <c r="OXR10" s="5"/>
      <c r="OXS10" s="5"/>
      <c r="OXT10" s="5"/>
      <c r="OXU10" s="5"/>
      <c r="OXV10" s="5"/>
      <c r="OXW10" s="5"/>
      <c r="OXX10" s="5"/>
      <c r="OXY10" s="5"/>
      <c r="OXZ10" s="5"/>
      <c r="OYA10" s="5"/>
      <c r="OYB10" s="5"/>
      <c r="OYC10" s="5"/>
      <c r="OYD10" s="5"/>
      <c r="OYE10" s="5"/>
      <c r="OYF10" s="5"/>
      <c r="OYG10" s="5"/>
      <c r="OYH10" s="5"/>
      <c r="OYI10" s="5"/>
      <c r="OYJ10" s="5"/>
      <c r="OYK10" s="5"/>
      <c r="OYL10" s="5"/>
      <c r="OYM10" s="5"/>
      <c r="OYN10" s="5"/>
      <c r="OYO10" s="5"/>
      <c r="OYP10" s="5"/>
      <c r="OYQ10" s="5"/>
      <c r="OYR10" s="5"/>
      <c r="OYS10" s="5"/>
      <c r="OYT10" s="5"/>
      <c r="OYU10" s="5"/>
      <c r="OYV10" s="5"/>
      <c r="OYW10" s="5"/>
      <c r="OYX10" s="5"/>
      <c r="OYY10" s="5"/>
      <c r="OYZ10" s="5"/>
      <c r="OZA10" s="5"/>
      <c r="OZB10" s="5"/>
      <c r="OZC10" s="5"/>
      <c r="OZD10" s="5"/>
      <c r="OZE10" s="5"/>
      <c r="OZF10" s="5"/>
      <c r="OZG10" s="5"/>
      <c r="OZH10" s="5"/>
      <c r="OZI10" s="5"/>
      <c r="OZJ10" s="5"/>
      <c r="OZK10" s="5"/>
      <c r="OZL10" s="5"/>
      <c r="OZM10" s="5"/>
      <c r="OZN10" s="5"/>
      <c r="OZO10" s="5"/>
      <c r="OZP10" s="5"/>
      <c r="OZQ10" s="5"/>
      <c r="OZR10" s="5"/>
      <c r="OZS10" s="5"/>
      <c r="OZT10" s="5"/>
      <c r="OZU10" s="5"/>
      <c r="OZV10" s="5"/>
      <c r="OZW10" s="5"/>
      <c r="OZX10" s="5"/>
      <c r="OZY10" s="5"/>
      <c r="OZZ10" s="5"/>
      <c r="PAA10" s="5"/>
      <c r="PAB10" s="5"/>
      <c r="PAC10" s="5"/>
      <c r="PAD10" s="5"/>
      <c r="PAE10" s="5"/>
      <c r="PAF10" s="5"/>
      <c r="PAG10" s="5"/>
      <c r="PAH10" s="5"/>
      <c r="PAI10" s="5"/>
      <c r="PAJ10" s="5"/>
      <c r="PAK10" s="5"/>
      <c r="PAL10" s="5"/>
      <c r="PAM10" s="5"/>
      <c r="PAN10" s="5"/>
      <c r="PAO10" s="5"/>
      <c r="PAP10" s="5"/>
      <c r="PAQ10" s="5"/>
      <c r="PAR10" s="5"/>
      <c r="PAS10" s="5"/>
      <c r="PAT10" s="5"/>
      <c r="PAU10" s="5"/>
      <c r="PAV10" s="5"/>
      <c r="PAW10" s="5"/>
      <c r="PAX10" s="5"/>
      <c r="PAY10" s="5"/>
      <c r="PAZ10" s="5"/>
      <c r="PBA10" s="5"/>
      <c r="PBB10" s="5"/>
      <c r="PBC10" s="5"/>
      <c r="PBD10" s="5"/>
      <c r="PBE10" s="5"/>
      <c r="PBF10" s="5"/>
      <c r="PBG10" s="5"/>
      <c r="PBH10" s="5"/>
      <c r="PBI10" s="5"/>
      <c r="PBJ10" s="5"/>
      <c r="PBK10" s="5"/>
      <c r="PBL10" s="5"/>
      <c r="PBM10" s="5"/>
      <c r="PBN10" s="5"/>
      <c r="PBO10" s="5"/>
      <c r="PBP10" s="5"/>
      <c r="PBQ10" s="5"/>
      <c r="PBR10" s="5"/>
      <c r="PBS10" s="5"/>
      <c r="PBT10" s="5"/>
      <c r="PBU10" s="5"/>
      <c r="PBV10" s="5"/>
      <c r="PBW10" s="5"/>
      <c r="PBX10" s="5"/>
      <c r="PBY10" s="5"/>
      <c r="PBZ10" s="5"/>
      <c r="PCA10" s="5"/>
      <c r="PCB10" s="5"/>
      <c r="PCC10" s="5"/>
      <c r="PCD10" s="5"/>
      <c r="PCE10" s="5"/>
      <c r="PCF10" s="5"/>
      <c r="PCG10" s="5"/>
      <c r="PCH10" s="5"/>
      <c r="PCI10" s="5"/>
      <c r="PCJ10" s="5"/>
      <c r="PCK10" s="5"/>
      <c r="PCL10" s="5"/>
      <c r="PCM10" s="5"/>
      <c r="PCN10" s="5"/>
      <c r="PCO10" s="5"/>
      <c r="PCP10" s="5"/>
      <c r="PCQ10" s="5"/>
      <c r="PCR10" s="5"/>
      <c r="PCS10" s="5"/>
      <c r="PCT10" s="5"/>
      <c r="PCU10" s="5"/>
      <c r="PCV10" s="5"/>
      <c r="PCW10" s="5"/>
      <c r="PCX10" s="5"/>
      <c r="PCY10" s="5"/>
      <c r="PCZ10" s="5"/>
      <c r="PDA10" s="5"/>
      <c r="PDB10" s="5"/>
      <c r="PDC10" s="5"/>
      <c r="PDD10" s="5"/>
      <c r="PDE10" s="5"/>
      <c r="PDF10" s="5"/>
      <c r="PDG10" s="5"/>
      <c r="PDH10" s="5"/>
      <c r="PDI10" s="5"/>
      <c r="PDJ10" s="5"/>
      <c r="PDK10" s="5"/>
      <c r="PDL10" s="5"/>
      <c r="PDM10" s="5"/>
      <c r="PDN10" s="5"/>
      <c r="PDO10" s="5"/>
      <c r="PDP10" s="5"/>
      <c r="PDQ10" s="5"/>
      <c r="PDR10" s="5"/>
      <c r="PDS10" s="5"/>
      <c r="PDT10" s="5"/>
      <c r="PDU10" s="5"/>
      <c r="PDV10" s="5"/>
      <c r="PDW10" s="5"/>
      <c r="PDX10" s="5"/>
      <c r="PDY10" s="5"/>
      <c r="PDZ10" s="5"/>
      <c r="PEA10" s="5"/>
      <c r="PEB10" s="5"/>
      <c r="PEC10" s="5"/>
      <c r="PED10" s="5"/>
      <c r="PEE10" s="5"/>
      <c r="PEF10" s="5"/>
      <c r="PEG10" s="5"/>
      <c r="PEH10" s="5"/>
      <c r="PEI10" s="5"/>
      <c r="PEJ10" s="5"/>
      <c r="PEK10" s="5"/>
      <c r="PEL10" s="5"/>
      <c r="PEM10" s="5"/>
      <c r="PEN10" s="5"/>
      <c r="PEO10" s="5"/>
      <c r="PEP10" s="5"/>
      <c r="PEQ10" s="5"/>
      <c r="PER10" s="5"/>
      <c r="PES10" s="5"/>
      <c r="PET10" s="5"/>
      <c r="PEU10" s="5"/>
      <c r="PEV10" s="5"/>
      <c r="PEW10" s="5"/>
      <c r="PEX10" s="5"/>
      <c r="PEY10" s="5"/>
      <c r="PEZ10" s="5"/>
      <c r="PFA10" s="5"/>
      <c r="PFB10" s="5"/>
      <c r="PFC10" s="5"/>
      <c r="PFD10" s="5"/>
      <c r="PFE10" s="5"/>
      <c r="PFF10" s="5"/>
      <c r="PFG10" s="5"/>
      <c r="PFH10" s="5"/>
      <c r="PFI10" s="5"/>
      <c r="PFJ10" s="5"/>
      <c r="PFK10" s="5"/>
      <c r="PFL10" s="5"/>
      <c r="PFM10" s="5"/>
      <c r="PFN10" s="5"/>
      <c r="PFO10" s="5"/>
      <c r="PFP10" s="5"/>
      <c r="PFQ10" s="5"/>
      <c r="PFR10" s="5"/>
      <c r="PFS10" s="5"/>
      <c r="PFT10" s="5"/>
      <c r="PFU10" s="5"/>
      <c r="PFV10" s="5"/>
      <c r="PFW10" s="5"/>
      <c r="PFX10" s="5"/>
      <c r="PFY10" s="5"/>
      <c r="PFZ10" s="5"/>
      <c r="PGA10" s="5"/>
      <c r="PGB10" s="5"/>
      <c r="PGC10" s="5"/>
      <c r="PGD10" s="5"/>
      <c r="PGE10" s="5"/>
      <c r="PGF10" s="5"/>
      <c r="PGG10" s="5"/>
      <c r="PGH10" s="5"/>
      <c r="PGI10" s="5"/>
      <c r="PGJ10" s="5"/>
      <c r="PGK10" s="5"/>
      <c r="PGL10" s="5"/>
      <c r="PGM10" s="5"/>
      <c r="PGN10" s="5"/>
      <c r="PGO10" s="5"/>
      <c r="PGP10" s="5"/>
      <c r="PGQ10" s="5"/>
      <c r="PGR10" s="5"/>
      <c r="PGS10" s="5"/>
      <c r="PGT10" s="5"/>
      <c r="PGU10" s="5"/>
      <c r="PGV10" s="5"/>
      <c r="PGW10" s="5"/>
      <c r="PGX10" s="5"/>
      <c r="PGY10" s="5"/>
      <c r="PGZ10" s="5"/>
      <c r="PHA10" s="5"/>
      <c r="PHB10" s="5"/>
      <c r="PHC10" s="5"/>
      <c r="PHD10" s="5"/>
      <c r="PHE10" s="5"/>
      <c r="PHF10" s="5"/>
      <c r="PHG10" s="5"/>
      <c r="PHH10" s="5"/>
      <c r="PHI10" s="5"/>
      <c r="PHJ10" s="5"/>
      <c r="PHK10" s="5"/>
      <c r="PHL10" s="5"/>
      <c r="PHM10" s="5"/>
      <c r="PHN10" s="5"/>
      <c r="PHO10" s="5"/>
      <c r="PHP10" s="5"/>
      <c r="PHQ10" s="5"/>
      <c r="PHR10" s="5"/>
      <c r="PHS10" s="5"/>
      <c r="PHT10" s="5"/>
      <c r="PHU10" s="5"/>
      <c r="PHV10" s="5"/>
      <c r="PHW10" s="5"/>
      <c r="PHX10" s="5"/>
      <c r="PHY10" s="5"/>
      <c r="PHZ10" s="5"/>
      <c r="PIA10" s="5"/>
      <c r="PIB10" s="5"/>
      <c r="PIC10" s="5"/>
      <c r="PID10" s="5"/>
      <c r="PIE10" s="5"/>
      <c r="PIF10" s="5"/>
      <c r="PIG10" s="5"/>
      <c r="PIH10" s="5"/>
      <c r="PII10" s="5"/>
      <c r="PIJ10" s="5"/>
      <c r="PIK10" s="5"/>
      <c r="PIL10" s="5"/>
      <c r="PIM10" s="5"/>
      <c r="PIN10" s="5"/>
      <c r="PIO10" s="5"/>
      <c r="PIP10" s="5"/>
      <c r="PIQ10" s="5"/>
      <c r="PIR10" s="5"/>
      <c r="PIS10" s="5"/>
      <c r="PIT10" s="5"/>
      <c r="PIU10" s="5"/>
      <c r="PIV10" s="5"/>
      <c r="PIW10" s="5"/>
      <c r="PIX10" s="5"/>
      <c r="PIY10" s="5"/>
      <c r="PIZ10" s="5"/>
      <c r="PJA10" s="5"/>
      <c r="PJB10" s="5"/>
      <c r="PJC10" s="5"/>
      <c r="PJD10" s="5"/>
      <c r="PJE10" s="5"/>
      <c r="PJF10" s="5"/>
      <c r="PJG10" s="5"/>
      <c r="PJH10" s="5"/>
      <c r="PJI10" s="5"/>
      <c r="PJJ10" s="5"/>
      <c r="PJK10" s="5"/>
      <c r="PJL10" s="5"/>
      <c r="PJM10" s="5"/>
      <c r="PJN10" s="5"/>
      <c r="PJO10" s="5"/>
      <c r="PJP10" s="5"/>
      <c r="PJQ10" s="5"/>
      <c r="PJR10" s="5"/>
      <c r="PJS10" s="5"/>
      <c r="PJT10" s="5"/>
      <c r="PJU10" s="5"/>
      <c r="PJV10" s="5"/>
      <c r="PJW10" s="5"/>
      <c r="PJX10" s="5"/>
      <c r="PJY10" s="5"/>
      <c r="PJZ10" s="5"/>
      <c r="PKA10" s="5"/>
      <c r="PKB10" s="5"/>
      <c r="PKC10" s="5"/>
      <c r="PKD10" s="5"/>
      <c r="PKE10" s="5"/>
      <c r="PKF10" s="5"/>
      <c r="PKG10" s="5"/>
      <c r="PKH10" s="5"/>
      <c r="PKI10" s="5"/>
      <c r="PKJ10" s="5"/>
      <c r="PKK10" s="5"/>
      <c r="PKL10" s="5"/>
      <c r="PKM10" s="5"/>
      <c r="PKN10" s="5"/>
      <c r="PKO10" s="5"/>
      <c r="PKP10" s="5"/>
      <c r="PKQ10" s="5"/>
      <c r="PKR10" s="5"/>
      <c r="PKS10" s="5"/>
      <c r="PKT10" s="5"/>
      <c r="PKU10" s="5"/>
      <c r="PKV10" s="5"/>
      <c r="PKW10" s="5"/>
      <c r="PKX10" s="5"/>
      <c r="PKY10" s="5"/>
      <c r="PKZ10" s="5"/>
      <c r="PLA10" s="5"/>
      <c r="PLB10" s="5"/>
      <c r="PLC10" s="5"/>
      <c r="PLD10" s="5"/>
      <c r="PLE10" s="5"/>
      <c r="PLF10" s="5"/>
      <c r="PLG10" s="5"/>
      <c r="PLH10" s="5"/>
      <c r="PLI10" s="5"/>
      <c r="PLJ10" s="5"/>
      <c r="PLK10" s="5"/>
      <c r="PLL10" s="5"/>
      <c r="PLM10" s="5"/>
      <c r="PLN10" s="5"/>
      <c r="PLO10" s="5"/>
      <c r="PLP10" s="5"/>
      <c r="PLQ10" s="5"/>
      <c r="PLR10" s="5"/>
      <c r="PLS10" s="5"/>
      <c r="PLT10" s="5"/>
      <c r="PLU10" s="5"/>
      <c r="PLV10" s="5"/>
      <c r="PLW10" s="5"/>
      <c r="PLX10" s="5"/>
      <c r="PLY10" s="5"/>
      <c r="PLZ10" s="5"/>
      <c r="PMA10" s="5"/>
      <c r="PMB10" s="5"/>
      <c r="PMC10" s="5"/>
      <c r="PMD10" s="5"/>
      <c r="PME10" s="5"/>
      <c r="PMF10" s="5"/>
      <c r="PMG10" s="5"/>
      <c r="PMH10" s="5"/>
      <c r="PMI10" s="5"/>
      <c r="PMJ10" s="5"/>
      <c r="PMK10" s="5"/>
      <c r="PML10" s="5"/>
      <c r="PMM10" s="5"/>
      <c r="PMN10" s="5"/>
      <c r="PMO10" s="5"/>
      <c r="PMP10" s="5"/>
      <c r="PMQ10" s="5"/>
      <c r="PMR10" s="5"/>
      <c r="PMS10" s="5"/>
      <c r="PMT10" s="5"/>
      <c r="PMU10" s="5"/>
      <c r="PMV10" s="5"/>
      <c r="PMW10" s="5"/>
      <c r="PMX10" s="5"/>
      <c r="PMY10" s="5"/>
      <c r="PMZ10" s="5"/>
      <c r="PNA10" s="5"/>
      <c r="PNB10" s="5"/>
      <c r="PNC10" s="5"/>
      <c r="PND10" s="5"/>
      <c r="PNE10" s="5"/>
      <c r="PNF10" s="5"/>
      <c r="PNG10" s="5"/>
      <c r="PNH10" s="5"/>
      <c r="PNI10" s="5"/>
      <c r="PNJ10" s="5"/>
      <c r="PNK10" s="5"/>
      <c r="PNL10" s="5"/>
      <c r="PNM10" s="5"/>
      <c r="PNN10" s="5"/>
      <c r="PNO10" s="5"/>
      <c r="PNP10" s="5"/>
      <c r="PNQ10" s="5"/>
      <c r="PNR10" s="5"/>
      <c r="PNS10" s="5"/>
      <c r="PNT10" s="5"/>
      <c r="PNU10" s="5"/>
      <c r="PNV10" s="5"/>
      <c r="PNW10" s="5"/>
      <c r="PNX10" s="5"/>
      <c r="PNY10" s="5"/>
      <c r="PNZ10" s="5"/>
      <c r="POA10" s="5"/>
      <c r="POB10" s="5"/>
      <c r="POC10" s="5"/>
      <c r="POD10" s="5"/>
      <c r="POE10" s="5"/>
      <c r="POF10" s="5"/>
      <c r="POG10" s="5"/>
      <c r="POH10" s="5"/>
      <c r="POI10" s="5"/>
      <c r="POJ10" s="5"/>
      <c r="POK10" s="5"/>
      <c r="POL10" s="5"/>
      <c r="POM10" s="5"/>
      <c r="PON10" s="5"/>
      <c r="POO10" s="5"/>
      <c r="POP10" s="5"/>
      <c r="POQ10" s="5"/>
      <c r="POR10" s="5"/>
      <c r="POS10" s="5"/>
      <c r="POT10" s="5"/>
      <c r="POU10" s="5"/>
      <c r="POV10" s="5"/>
      <c r="POW10" s="5"/>
      <c r="POX10" s="5"/>
      <c r="POY10" s="5"/>
      <c r="POZ10" s="5"/>
      <c r="PPA10" s="5"/>
      <c r="PPB10" s="5"/>
      <c r="PPC10" s="5"/>
      <c r="PPD10" s="5"/>
      <c r="PPE10" s="5"/>
      <c r="PPF10" s="5"/>
      <c r="PPG10" s="5"/>
      <c r="PPH10" s="5"/>
      <c r="PPI10" s="5"/>
      <c r="PPJ10" s="5"/>
      <c r="PPK10" s="5"/>
      <c r="PPL10" s="5"/>
      <c r="PPM10" s="5"/>
      <c r="PPN10" s="5"/>
      <c r="PPO10" s="5"/>
      <c r="PPP10" s="5"/>
      <c r="PPQ10" s="5"/>
      <c r="PPR10" s="5"/>
      <c r="PPS10" s="5"/>
      <c r="PPT10" s="5"/>
      <c r="PPU10" s="5"/>
      <c r="PPV10" s="5"/>
      <c r="PPW10" s="5"/>
      <c r="PPX10" s="5"/>
      <c r="PPY10" s="5"/>
      <c r="PPZ10" s="5"/>
      <c r="PQA10" s="5"/>
      <c r="PQB10" s="5"/>
      <c r="PQC10" s="5"/>
      <c r="PQD10" s="5"/>
      <c r="PQE10" s="5"/>
      <c r="PQF10" s="5"/>
      <c r="PQG10" s="5"/>
      <c r="PQH10" s="5"/>
      <c r="PQI10" s="5"/>
      <c r="PQJ10" s="5"/>
      <c r="PQK10" s="5"/>
      <c r="PQL10" s="5"/>
      <c r="PQM10" s="5"/>
      <c r="PQN10" s="5"/>
      <c r="PQO10" s="5"/>
      <c r="PQP10" s="5"/>
      <c r="PQQ10" s="5"/>
      <c r="PQR10" s="5"/>
      <c r="PQS10" s="5"/>
      <c r="PQT10" s="5"/>
      <c r="PQU10" s="5"/>
      <c r="PQV10" s="5"/>
      <c r="PQW10" s="5"/>
      <c r="PQX10" s="5"/>
      <c r="PQY10" s="5"/>
      <c r="PQZ10" s="5"/>
      <c r="PRA10" s="5"/>
      <c r="PRB10" s="5"/>
      <c r="PRC10" s="5"/>
      <c r="PRD10" s="5"/>
      <c r="PRE10" s="5"/>
      <c r="PRF10" s="5"/>
      <c r="PRG10" s="5"/>
      <c r="PRH10" s="5"/>
      <c r="PRI10" s="5"/>
      <c r="PRJ10" s="5"/>
      <c r="PRK10" s="5"/>
      <c r="PRL10" s="5"/>
      <c r="PRM10" s="5"/>
      <c r="PRN10" s="5"/>
      <c r="PRO10" s="5"/>
      <c r="PRP10" s="5"/>
      <c r="PRQ10" s="5"/>
      <c r="PRR10" s="5"/>
      <c r="PRS10" s="5"/>
      <c r="PRT10" s="5"/>
      <c r="PRU10" s="5"/>
      <c r="PRV10" s="5"/>
      <c r="PRW10" s="5"/>
      <c r="PRX10" s="5"/>
      <c r="PRY10" s="5"/>
      <c r="PRZ10" s="5"/>
      <c r="PSA10" s="5"/>
      <c r="PSB10" s="5"/>
      <c r="PSC10" s="5"/>
      <c r="PSD10" s="5"/>
      <c r="PSE10" s="5"/>
      <c r="PSF10" s="5"/>
      <c r="PSG10" s="5"/>
      <c r="PSH10" s="5"/>
      <c r="PSI10" s="5"/>
      <c r="PSJ10" s="5"/>
      <c r="PSK10" s="5"/>
      <c r="PSL10" s="5"/>
      <c r="PSM10" s="5"/>
      <c r="PSN10" s="5"/>
      <c r="PSO10" s="5"/>
      <c r="PSP10" s="5"/>
      <c r="PSQ10" s="5"/>
      <c r="PSR10" s="5"/>
      <c r="PSS10" s="5"/>
      <c r="PST10" s="5"/>
      <c r="PSU10" s="5"/>
      <c r="PSV10" s="5"/>
      <c r="PSW10" s="5"/>
      <c r="PSX10" s="5"/>
      <c r="PSY10" s="5"/>
      <c r="PSZ10" s="5"/>
      <c r="PTA10" s="5"/>
      <c r="PTB10" s="5"/>
      <c r="PTC10" s="5"/>
      <c r="PTD10" s="5"/>
      <c r="PTE10" s="5"/>
      <c r="PTF10" s="5"/>
      <c r="PTG10" s="5"/>
      <c r="PTH10" s="5"/>
      <c r="PTI10" s="5"/>
      <c r="PTJ10" s="5"/>
      <c r="PTK10" s="5"/>
      <c r="PTL10" s="5"/>
      <c r="PTM10" s="5"/>
      <c r="PTN10" s="5"/>
      <c r="PTO10" s="5"/>
      <c r="PTP10" s="5"/>
      <c r="PTQ10" s="5"/>
      <c r="PTR10" s="5"/>
      <c r="PTS10" s="5"/>
      <c r="PTT10" s="5"/>
      <c r="PTU10" s="5"/>
      <c r="PTV10" s="5"/>
      <c r="PTW10" s="5"/>
      <c r="PTX10" s="5"/>
      <c r="PTY10" s="5"/>
      <c r="PTZ10" s="5"/>
      <c r="PUA10" s="5"/>
      <c r="PUB10" s="5"/>
      <c r="PUC10" s="5"/>
      <c r="PUD10" s="5"/>
      <c r="PUE10" s="5"/>
      <c r="PUF10" s="5"/>
      <c r="PUG10" s="5"/>
      <c r="PUH10" s="5"/>
      <c r="PUI10" s="5"/>
      <c r="PUJ10" s="5"/>
      <c r="PUK10" s="5"/>
      <c r="PUL10" s="5"/>
      <c r="PUM10" s="5"/>
      <c r="PUN10" s="5"/>
      <c r="PUO10" s="5"/>
      <c r="PUP10" s="5"/>
      <c r="PUQ10" s="5"/>
      <c r="PUR10" s="5"/>
      <c r="PUS10" s="5"/>
      <c r="PUT10" s="5"/>
      <c r="PUU10" s="5"/>
      <c r="PUV10" s="5"/>
      <c r="PUW10" s="5"/>
      <c r="PUX10" s="5"/>
      <c r="PUY10" s="5"/>
      <c r="PUZ10" s="5"/>
      <c r="PVA10" s="5"/>
      <c r="PVB10" s="5"/>
      <c r="PVC10" s="5"/>
      <c r="PVD10" s="5"/>
      <c r="PVE10" s="5"/>
      <c r="PVF10" s="5"/>
      <c r="PVG10" s="5"/>
      <c r="PVH10" s="5"/>
      <c r="PVI10" s="5"/>
      <c r="PVJ10" s="5"/>
      <c r="PVK10" s="5"/>
      <c r="PVL10" s="5"/>
      <c r="PVM10" s="5"/>
      <c r="PVN10" s="5"/>
      <c r="PVO10" s="5"/>
      <c r="PVP10" s="5"/>
      <c r="PVQ10" s="5"/>
      <c r="PVR10" s="5"/>
      <c r="PVS10" s="5"/>
      <c r="PVT10" s="5"/>
      <c r="PVU10" s="5"/>
      <c r="PVV10" s="5"/>
      <c r="PVW10" s="5"/>
      <c r="PVX10" s="5"/>
      <c r="PVY10" s="5"/>
      <c r="PVZ10" s="5"/>
      <c r="PWA10" s="5"/>
      <c r="PWB10" s="5"/>
      <c r="PWC10" s="5"/>
      <c r="PWD10" s="5"/>
      <c r="PWE10" s="5"/>
      <c r="PWF10" s="5"/>
      <c r="PWG10" s="5"/>
      <c r="PWH10" s="5"/>
      <c r="PWI10" s="5"/>
      <c r="PWJ10" s="5"/>
      <c r="PWK10" s="5"/>
      <c r="PWL10" s="5"/>
      <c r="PWM10" s="5"/>
      <c r="PWN10" s="5"/>
      <c r="PWO10" s="5"/>
      <c r="PWP10" s="5"/>
      <c r="PWQ10" s="5"/>
      <c r="PWR10" s="5"/>
      <c r="PWS10" s="5"/>
      <c r="PWT10" s="5"/>
      <c r="PWU10" s="5"/>
      <c r="PWV10" s="5"/>
      <c r="PWW10" s="5"/>
      <c r="PWX10" s="5"/>
      <c r="PWY10" s="5"/>
      <c r="PWZ10" s="5"/>
      <c r="PXA10" s="5"/>
      <c r="PXB10" s="5"/>
      <c r="PXC10" s="5"/>
      <c r="PXD10" s="5"/>
      <c r="PXE10" s="5"/>
      <c r="PXF10" s="5"/>
      <c r="PXG10" s="5"/>
      <c r="PXH10" s="5"/>
      <c r="PXI10" s="5"/>
      <c r="PXJ10" s="5"/>
      <c r="PXK10" s="5"/>
      <c r="PXL10" s="5"/>
      <c r="PXM10" s="5"/>
      <c r="PXN10" s="5"/>
      <c r="PXO10" s="5"/>
      <c r="PXP10" s="5"/>
      <c r="PXQ10" s="5"/>
      <c r="PXR10" s="5"/>
      <c r="PXS10" s="5"/>
      <c r="PXT10" s="5"/>
      <c r="PXU10" s="5"/>
      <c r="PXV10" s="5"/>
      <c r="PXW10" s="5"/>
      <c r="PXX10" s="5"/>
      <c r="PXY10" s="5"/>
      <c r="PXZ10" s="5"/>
      <c r="PYA10" s="5"/>
      <c r="PYB10" s="5"/>
      <c r="PYC10" s="5"/>
      <c r="PYD10" s="5"/>
      <c r="PYE10" s="5"/>
      <c r="PYF10" s="5"/>
      <c r="PYG10" s="5"/>
      <c r="PYH10" s="5"/>
      <c r="PYI10" s="5"/>
      <c r="PYJ10" s="5"/>
      <c r="PYK10" s="5"/>
      <c r="PYL10" s="5"/>
      <c r="PYM10" s="5"/>
      <c r="PYN10" s="5"/>
      <c r="PYO10" s="5"/>
      <c r="PYP10" s="5"/>
      <c r="PYQ10" s="5"/>
      <c r="PYR10" s="5"/>
      <c r="PYS10" s="5"/>
      <c r="PYT10" s="5"/>
      <c r="PYU10" s="5"/>
      <c r="PYV10" s="5"/>
      <c r="PYW10" s="5"/>
      <c r="PYX10" s="5"/>
      <c r="PYY10" s="5"/>
      <c r="PYZ10" s="5"/>
      <c r="PZA10" s="5"/>
      <c r="PZB10" s="5"/>
      <c r="PZC10" s="5"/>
      <c r="PZD10" s="5"/>
      <c r="PZE10" s="5"/>
      <c r="PZF10" s="5"/>
      <c r="PZG10" s="5"/>
      <c r="PZH10" s="5"/>
      <c r="PZI10" s="5"/>
      <c r="PZJ10" s="5"/>
      <c r="PZK10" s="5"/>
      <c r="PZL10" s="5"/>
      <c r="PZM10" s="5"/>
      <c r="PZN10" s="5"/>
      <c r="PZO10" s="5"/>
      <c r="PZP10" s="5"/>
      <c r="PZQ10" s="5"/>
      <c r="PZR10" s="5"/>
      <c r="PZS10" s="5"/>
      <c r="PZT10" s="5"/>
      <c r="PZU10" s="5"/>
      <c r="PZV10" s="5"/>
      <c r="PZW10" s="5"/>
      <c r="PZX10" s="5"/>
      <c r="PZY10" s="5"/>
      <c r="PZZ10" s="5"/>
      <c r="QAA10" s="5"/>
      <c r="QAB10" s="5"/>
      <c r="QAC10" s="5"/>
      <c r="QAD10" s="5"/>
      <c r="QAE10" s="5"/>
      <c r="QAF10" s="5"/>
      <c r="QAG10" s="5"/>
      <c r="QAH10" s="5"/>
      <c r="QAI10" s="5"/>
      <c r="QAJ10" s="5"/>
      <c r="QAK10" s="5"/>
      <c r="QAL10" s="5"/>
      <c r="QAM10" s="5"/>
      <c r="QAN10" s="5"/>
      <c r="QAO10" s="5"/>
      <c r="QAP10" s="5"/>
      <c r="QAQ10" s="5"/>
      <c r="QAR10" s="5"/>
      <c r="QAS10" s="5"/>
      <c r="QAT10" s="5"/>
      <c r="QAU10" s="5"/>
      <c r="QAV10" s="5"/>
      <c r="QAW10" s="5"/>
      <c r="QAX10" s="5"/>
      <c r="QAY10" s="5"/>
      <c r="QAZ10" s="5"/>
      <c r="QBA10" s="5"/>
      <c r="QBB10" s="5"/>
      <c r="QBC10" s="5"/>
      <c r="QBD10" s="5"/>
      <c r="QBE10" s="5"/>
      <c r="QBF10" s="5"/>
      <c r="QBG10" s="5"/>
      <c r="QBH10" s="5"/>
      <c r="QBI10" s="5"/>
      <c r="QBJ10" s="5"/>
      <c r="QBK10" s="5"/>
      <c r="QBL10" s="5"/>
      <c r="QBM10" s="5"/>
      <c r="QBN10" s="5"/>
      <c r="QBO10" s="5"/>
      <c r="QBP10" s="5"/>
      <c r="QBQ10" s="5"/>
      <c r="QBR10" s="5"/>
      <c r="QBS10" s="5"/>
      <c r="QBT10" s="5"/>
      <c r="QBU10" s="5"/>
      <c r="QBV10" s="5"/>
      <c r="QBW10" s="5"/>
      <c r="QBX10" s="5"/>
      <c r="QBY10" s="5"/>
      <c r="QBZ10" s="5"/>
      <c r="QCA10" s="5"/>
      <c r="QCB10" s="5"/>
      <c r="QCC10" s="5"/>
      <c r="QCD10" s="5"/>
      <c r="QCE10" s="5"/>
      <c r="QCF10" s="5"/>
      <c r="QCG10" s="5"/>
      <c r="QCH10" s="5"/>
      <c r="QCI10" s="5"/>
      <c r="QCJ10" s="5"/>
      <c r="QCK10" s="5"/>
      <c r="QCL10" s="5"/>
      <c r="QCM10" s="5"/>
      <c r="QCN10" s="5"/>
      <c r="QCO10" s="5"/>
      <c r="QCP10" s="5"/>
      <c r="QCQ10" s="5"/>
      <c r="QCR10" s="5"/>
      <c r="QCS10" s="5"/>
      <c r="QCT10" s="5"/>
      <c r="QCU10" s="5"/>
      <c r="QCV10" s="5"/>
      <c r="QCW10" s="5"/>
      <c r="QCX10" s="5"/>
      <c r="QCY10" s="5"/>
      <c r="QCZ10" s="5"/>
      <c r="QDA10" s="5"/>
      <c r="QDB10" s="5"/>
      <c r="QDC10" s="5"/>
      <c r="QDD10" s="5"/>
      <c r="QDE10" s="5"/>
      <c r="QDF10" s="5"/>
      <c r="QDG10" s="5"/>
      <c r="QDH10" s="5"/>
      <c r="QDI10" s="5"/>
      <c r="QDJ10" s="5"/>
      <c r="QDK10" s="5"/>
      <c r="QDL10" s="5"/>
      <c r="QDM10" s="5"/>
      <c r="QDN10" s="5"/>
      <c r="QDO10" s="5"/>
      <c r="QDP10" s="5"/>
      <c r="QDQ10" s="5"/>
      <c r="QDR10" s="5"/>
      <c r="QDS10" s="5"/>
      <c r="QDT10" s="5"/>
      <c r="QDU10" s="5"/>
      <c r="QDV10" s="5"/>
      <c r="QDW10" s="5"/>
      <c r="QDX10" s="5"/>
      <c r="QDY10" s="5"/>
      <c r="QDZ10" s="5"/>
      <c r="QEA10" s="5"/>
      <c r="QEB10" s="5"/>
      <c r="QEC10" s="5"/>
      <c r="QED10" s="5"/>
      <c r="QEE10" s="5"/>
      <c r="QEF10" s="5"/>
      <c r="QEG10" s="5"/>
      <c r="QEH10" s="5"/>
      <c r="QEI10" s="5"/>
      <c r="QEJ10" s="5"/>
      <c r="QEK10" s="5"/>
      <c r="QEL10" s="5"/>
      <c r="QEM10" s="5"/>
      <c r="QEN10" s="5"/>
      <c r="QEO10" s="5"/>
      <c r="QEP10" s="5"/>
      <c r="QEQ10" s="5"/>
      <c r="QER10" s="5"/>
      <c r="QES10" s="5"/>
      <c r="QET10" s="5"/>
      <c r="QEU10" s="5"/>
      <c r="QEV10" s="5"/>
      <c r="QEW10" s="5"/>
      <c r="QEX10" s="5"/>
      <c r="QEY10" s="5"/>
      <c r="QEZ10" s="5"/>
      <c r="QFA10" s="5"/>
      <c r="QFB10" s="5"/>
      <c r="QFC10" s="5"/>
      <c r="QFD10" s="5"/>
      <c r="QFE10" s="5"/>
      <c r="QFF10" s="5"/>
      <c r="QFG10" s="5"/>
      <c r="QFH10" s="5"/>
      <c r="QFI10" s="5"/>
      <c r="QFJ10" s="5"/>
      <c r="QFK10" s="5"/>
      <c r="QFL10" s="5"/>
      <c r="QFM10" s="5"/>
      <c r="QFN10" s="5"/>
      <c r="QFO10" s="5"/>
      <c r="QFP10" s="5"/>
      <c r="QFQ10" s="5"/>
      <c r="QFR10" s="5"/>
      <c r="QFS10" s="5"/>
      <c r="QFT10" s="5"/>
      <c r="QFU10" s="5"/>
      <c r="QFV10" s="5"/>
      <c r="QFW10" s="5"/>
      <c r="QFX10" s="5"/>
      <c r="QFY10" s="5"/>
      <c r="QFZ10" s="5"/>
      <c r="QGA10" s="5"/>
      <c r="QGB10" s="5"/>
      <c r="QGC10" s="5"/>
      <c r="QGD10" s="5"/>
      <c r="QGE10" s="5"/>
      <c r="QGF10" s="5"/>
      <c r="QGG10" s="5"/>
      <c r="QGH10" s="5"/>
      <c r="QGI10" s="5"/>
      <c r="QGJ10" s="5"/>
      <c r="QGK10" s="5"/>
      <c r="QGL10" s="5"/>
      <c r="QGM10" s="5"/>
      <c r="QGN10" s="5"/>
      <c r="QGO10" s="5"/>
      <c r="QGP10" s="5"/>
      <c r="QGQ10" s="5"/>
      <c r="QGR10" s="5"/>
      <c r="QGS10" s="5"/>
      <c r="QGT10" s="5"/>
      <c r="QGU10" s="5"/>
      <c r="QGV10" s="5"/>
      <c r="QGW10" s="5"/>
      <c r="QGX10" s="5"/>
      <c r="QGY10" s="5"/>
      <c r="QGZ10" s="5"/>
      <c r="QHA10" s="5"/>
      <c r="QHB10" s="5"/>
      <c r="QHC10" s="5"/>
      <c r="QHD10" s="5"/>
      <c r="QHE10" s="5"/>
      <c r="QHF10" s="5"/>
      <c r="QHG10" s="5"/>
      <c r="QHH10" s="5"/>
      <c r="QHI10" s="5"/>
      <c r="QHJ10" s="5"/>
      <c r="QHK10" s="5"/>
      <c r="QHL10" s="5"/>
      <c r="QHM10" s="5"/>
      <c r="QHN10" s="5"/>
      <c r="QHO10" s="5"/>
      <c r="QHP10" s="5"/>
      <c r="QHQ10" s="5"/>
      <c r="QHR10" s="5"/>
      <c r="QHS10" s="5"/>
      <c r="QHT10" s="5"/>
      <c r="QHU10" s="5"/>
      <c r="QHV10" s="5"/>
      <c r="QHW10" s="5"/>
      <c r="QHX10" s="5"/>
      <c r="QHY10" s="5"/>
      <c r="QHZ10" s="5"/>
      <c r="QIA10" s="5"/>
      <c r="QIB10" s="5"/>
      <c r="QIC10" s="5"/>
      <c r="QID10" s="5"/>
      <c r="QIE10" s="5"/>
      <c r="QIF10" s="5"/>
      <c r="QIG10" s="5"/>
      <c r="QIH10" s="5"/>
      <c r="QII10" s="5"/>
      <c r="QIJ10" s="5"/>
      <c r="QIK10" s="5"/>
      <c r="QIL10" s="5"/>
      <c r="QIM10" s="5"/>
      <c r="QIN10" s="5"/>
      <c r="QIO10" s="5"/>
      <c r="QIP10" s="5"/>
      <c r="QIQ10" s="5"/>
      <c r="QIR10" s="5"/>
      <c r="QIS10" s="5"/>
      <c r="QIT10" s="5"/>
      <c r="QIU10" s="5"/>
      <c r="QIV10" s="5"/>
      <c r="QIW10" s="5"/>
      <c r="QIX10" s="5"/>
      <c r="QIY10" s="5"/>
      <c r="QIZ10" s="5"/>
      <c r="QJA10" s="5"/>
      <c r="QJB10" s="5"/>
      <c r="QJC10" s="5"/>
      <c r="QJD10" s="5"/>
      <c r="QJE10" s="5"/>
      <c r="QJF10" s="5"/>
      <c r="QJG10" s="5"/>
      <c r="QJH10" s="5"/>
      <c r="QJI10" s="5"/>
      <c r="QJJ10" s="5"/>
      <c r="QJK10" s="5"/>
      <c r="QJL10" s="5"/>
      <c r="QJM10" s="5"/>
      <c r="QJN10" s="5"/>
      <c r="QJO10" s="5"/>
      <c r="QJP10" s="5"/>
      <c r="QJQ10" s="5"/>
      <c r="QJR10" s="5"/>
      <c r="QJS10" s="5"/>
      <c r="QJT10" s="5"/>
      <c r="QJU10" s="5"/>
      <c r="QJV10" s="5"/>
      <c r="QJW10" s="5"/>
      <c r="QJX10" s="5"/>
      <c r="QJY10" s="5"/>
      <c r="QJZ10" s="5"/>
      <c r="QKA10" s="5"/>
      <c r="QKB10" s="5"/>
      <c r="QKC10" s="5"/>
      <c r="QKD10" s="5"/>
      <c r="QKE10" s="5"/>
      <c r="QKF10" s="5"/>
      <c r="QKG10" s="5"/>
      <c r="QKH10" s="5"/>
      <c r="QKI10" s="5"/>
      <c r="QKJ10" s="5"/>
      <c r="QKK10" s="5"/>
      <c r="QKL10" s="5"/>
      <c r="QKM10" s="5"/>
      <c r="QKN10" s="5"/>
      <c r="QKO10" s="5"/>
      <c r="QKP10" s="5"/>
      <c r="QKQ10" s="5"/>
      <c r="QKR10" s="5"/>
      <c r="QKS10" s="5"/>
      <c r="QKT10" s="5"/>
      <c r="QKU10" s="5"/>
      <c r="QKV10" s="5"/>
      <c r="QKW10" s="5"/>
      <c r="QKX10" s="5"/>
      <c r="QKY10" s="5"/>
      <c r="QKZ10" s="5"/>
      <c r="QLA10" s="5"/>
      <c r="QLB10" s="5"/>
      <c r="QLC10" s="5"/>
      <c r="QLD10" s="5"/>
      <c r="QLE10" s="5"/>
      <c r="QLF10" s="5"/>
      <c r="QLG10" s="5"/>
      <c r="QLH10" s="5"/>
      <c r="QLI10" s="5"/>
      <c r="QLJ10" s="5"/>
      <c r="QLK10" s="5"/>
      <c r="QLL10" s="5"/>
      <c r="QLM10" s="5"/>
      <c r="QLN10" s="5"/>
      <c r="QLO10" s="5"/>
      <c r="QLP10" s="5"/>
      <c r="QLQ10" s="5"/>
      <c r="QLR10" s="5"/>
      <c r="QLS10" s="5"/>
      <c r="QLT10" s="5"/>
      <c r="QLU10" s="5"/>
      <c r="QLV10" s="5"/>
      <c r="QLW10" s="5"/>
      <c r="QLX10" s="5"/>
      <c r="QLY10" s="5"/>
      <c r="QLZ10" s="5"/>
      <c r="QMA10" s="5"/>
      <c r="QMB10" s="5"/>
      <c r="QMC10" s="5"/>
      <c r="QMD10" s="5"/>
      <c r="QME10" s="5"/>
      <c r="QMF10" s="5"/>
      <c r="QMG10" s="5"/>
      <c r="QMH10" s="5"/>
      <c r="QMI10" s="5"/>
      <c r="QMJ10" s="5"/>
      <c r="QMK10" s="5"/>
      <c r="QML10" s="5"/>
      <c r="QMM10" s="5"/>
      <c r="QMN10" s="5"/>
      <c r="QMO10" s="5"/>
      <c r="QMP10" s="5"/>
      <c r="QMQ10" s="5"/>
      <c r="QMR10" s="5"/>
      <c r="QMS10" s="5"/>
      <c r="QMT10" s="5"/>
      <c r="QMU10" s="5"/>
      <c r="QMV10" s="5"/>
      <c r="QMW10" s="5"/>
      <c r="QMX10" s="5"/>
      <c r="QMY10" s="5"/>
      <c r="QMZ10" s="5"/>
      <c r="QNA10" s="5"/>
      <c r="QNB10" s="5"/>
      <c r="QNC10" s="5"/>
      <c r="QND10" s="5"/>
      <c r="QNE10" s="5"/>
      <c r="QNF10" s="5"/>
      <c r="QNG10" s="5"/>
      <c r="QNH10" s="5"/>
      <c r="QNI10" s="5"/>
      <c r="QNJ10" s="5"/>
      <c r="QNK10" s="5"/>
      <c r="QNL10" s="5"/>
      <c r="QNM10" s="5"/>
      <c r="QNN10" s="5"/>
      <c r="QNO10" s="5"/>
      <c r="QNP10" s="5"/>
      <c r="QNQ10" s="5"/>
      <c r="QNR10" s="5"/>
      <c r="QNS10" s="5"/>
      <c r="QNT10" s="5"/>
      <c r="QNU10" s="5"/>
      <c r="QNV10" s="5"/>
      <c r="QNW10" s="5"/>
      <c r="QNX10" s="5"/>
      <c r="QNY10" s="5"/>
      <c r="QNZ10" s="5"/>
      <c r="QOA10" s="5"/>
      <c r="QOB10" s="5"/>
      <c r="QOC10" s="5"/>
      <c r="QOD10" s="5"/>
      <c r="QOE10" s="5"/>
      <c r="QOF10" s="5"/>
      <c r="QOG10" s="5"/>
      <c r="QOH10" s="5"/>
      <c r="QOI10" s="5"/>
      <c r="QOJ10" s="5"/>
      <c r="QOK10" s="5"/>
      <c r="QOL10" s="5"/>
      <c r="QOM10" s="5"/>
      <c r="QON10" s="5"/>
      <c r="QOO10" s="5"/>
      <c r="QOP10" s="5"/>
      <c r="QOQ10" s="5"/>
      <c r="QOR10" s="5"/>
      <c r="QOS10" s="5"/>
      <c r="QOT10" s="5"/>
      <c r="QOU10" s="5"/>
      <c r="QOV10" s="5"/>
      <c r="QOW10" s="5"/>
      <c r="QOX10" s="5"/>
      <c r="QOY10" s="5"/>
      <c r="QOZ10" s="5"/>
      <c r="QPA10" s="5"/>
      <c r="QPB10" s="5"/>
      <c r="QPC10" s="5"/>
      <c r="QPD10" s="5"/>
      <c r="QPE10" s="5"/>
      <c r="QPF10" s="5"/>
      <c r="QPG10" s="5"/>
      <c r="QPH10" s="5"/>
      <c r="QPI10" s="5"/>
      <c r="QPJ10" s="5"/>
      <c r="QPK10" s="5"/>
      <c r="QPL10" s="5"/>
      <c r="QPM10" s="5"/>
      <c r="QPN10" s="5"/>
      <c r="QPO10" s="5"/>
      <c r="QPP10" s="5"/>
      <c r="QPQ10" s="5"/>
      <c r="QPR10" s="5"/>
      <c r="QPS10" s="5"/>
      <c r="QPT10" s="5"/>
      <c r="QPU10" s="5"/>
      <c r="QPV10" s="5"/>
      <c r="QPW10" s="5"/>
      <c r="QPX10" s="5"/>
      <c r="QPY10" s="5"/>
      <c r="QPZ10" s="5"/>
      <c r="QQA10" s="5"/>
      <c r="QQB10" s="5"/>
      <c r="QQC10" s="5"/>
      <c r="QQD10" s="5"/>
      <c r="QQE10" s="5"/>
      <c r="QQF10" s="5"/>
      <c r="QQG10" s="5"/>
      <c r="QQH10" s="5"/>
      <c r="QQI10" s="5"/>
      <c r="QQJ10" s="5"/>
      <c r="QQK10" s="5"/>
      <c r="QQL10" s="5"/>
      <c r="QQM10" s="5"/>
      <c r="QQN10" s="5"/>
      <c r="QQO10" s="5"/>
      <c r="QQP10" s="5"/>
      <c r="QQQ10" s="5"/>
      <c r="QQR10" s="5"/>
      <c r="QQS10" s="5"/>
      <c r="QQT10" s="5"/>
      <c r="QQU10" s="5"/>
      <c r="QQV10" s="5"/>
      <c r="QQW10" s="5"/>
      <c r="QQX10" s="5"/>
      <c r="QQY10" s="5"/>
      <c r="QQZ10" s="5"/>
      <c r="QRA10" s="5"/>
      <c r="QRB10" s="5"/>
      <c r="QRC10" s="5"/>
      <c r="QRD10" s="5"/>
      <c r="QRE10" s="5"/>
      <c r="QRF10" s="5"/>
      <c r="QRG10" s="5"/>
      <c r="QRH10" s="5"/>
      <c r="QRI10" s="5"/>
      <c r="QRJ10" s="5"/>
      <c r="QRK10" s="5"/>
      <c r="QRL10" s="5"/>
      <c r="QRM10" s="5"/>
      <c r="QRN10" s="5"/>
      <c r="QRO10" s="5"/>
      <c r="QRP10" s="5"/>
      <c r="QRQ10" s="5"/>
      <c r="QRR10" s="5"/>
      <c r="QRS10" s="5"/>
      <c r="QRT10" s="5"/>
      <c r="QRU10" s="5"/>
      <c r="QRV10" s="5"/>
      <c r="QRW10" s="5"/>
      <c r="QRX10" s="5"/>
      <c r="QRY10" s="5"/>
      <c r="QRZ10" s="5"/>
      <c r="QSA10" s="5"/>
      <c r="QSB10" s="5"/>
      <c r="QSC10" s="5"/>
      <c r="QSD10" s="5"/>
      <c r="QSE10" s="5"/>
      <c r="QSF10" s="5"/>
      <c r="QSG10" s="5"/>
      <c r="QSH10" s="5"/>
      <c r="QSI10" s="5"/>
      <c r="QSJ10" s="5"/>
      <c r="QSK10" s="5"/>
      <c r="QSL10" s="5"/>
      <c r="QSM10" s="5"/>
      <c r="QSN10" s="5"/>
      <c r="QSO10" s="5"/>
      <c r="QSP10" s="5"/>
      <c r="QSQ10" s="5"/>
      <c r="QSR10" s="5"/>
      <c r="QSS10" s="5"/>
      <c r="QST10" s="5"/>
      <c r="QSU10" s="5"/>
      <c r="QSV10" s="5"/>
      <c r="QSW10" s="5"/>
      <c r="QSX10" s="5"/>
      <c r="QSY10" s="5"/>
      <c r="QSZ10" s="5"/>
      <c r="QTA10" s="5"/>
      <c r="QTB10" s="5"/>
      <c r="QTC10" s="5"/>
      <c r="QTD10" s="5"/>
      <c r="QTE10" s="5"/>
      <c r="QTF10" s="5"/>
      <c r="QTG10" s="5"/>
      <c r="QTH10" s="5"/>
      <c r="QTI10" s="5"/>
      <c r="QTJ10" s="5"/>
      <c r="QTK10" s="5"/>
      <c r="QTL10" s="5"/>
      <c r="QTM10" s="5"/>
      <c r="QTN10" s="5"/>
      <c r="QTO10" s="5"/>
      <c r="QTP10" s="5"/>
      <c r="QTQ10" s="5"/>
      <c r="QTR10" s="5"/>
      <c r="QTS10" s="5"/>
      <c r="QTT10" s="5"/>
      <c r="QTU10" s="5"/>
      <c r="QTV10" s="5"/>
      <c r="QTW10" s="5"/>
      <c r="QTX10" s="5"/>
      <c r="QTY10" s="5"/>
      <c r="QTZ10" s="5"/>
      <c r="QUA10" s="5"/>
      <c r="QUB10" s="5"/>
      <c r="QUC10" s="5"/>
      <c r="QUD10" s="5"/>
      <c r="QUE10" s="5"/>
      <c r="QUF10" s="5"/>
      <c r="QUG10" s="5"/>
      <c r="QUH10" s="5"/>
      <c r="QUI10" s="5"/>
      <c r="QUJ10" s="5"/>
      <c r="QUK10" s="5"/>
      <c r="QUL10" s="5"/>
      <c r="QUM10" s="5"/>
      <c r="QUN10" s="5"/>
      <c r="QUO10" s="5"/>
      <c r="QUP10" s="5"/>
      <c r="QUQ10" s="5"/>
      <c r="QUR10" s="5"/>
      <c r="QUS10" s="5"/>
      <c r="QUT10" s="5"/>
      <c r="QUU10" s="5"/>
      <c r="QUV10" s="5"/>
      <c r="QUW10" s="5"/>
      <c r="QUX10" s="5"/>
      <c r="QUY10" s="5"/>
      <c r="QUZ10" s="5"/>
      <c r="QVA10" s="5"/>
      <c r="QVB10" s="5"/>
      <c r="QVC10" s="5"/>
      <c r="QVD10" s="5"/>
      <c r="QVE10" s="5"/>
      <c r="QVF10" s="5"/>
      <c r="QVG10" s="5"/>
      <c r="QVH10" s="5"/>
      <c r="QVI10" s="5"/>
      <c r="QVJ10" s="5"/>
      <c r="QVK10" s="5"/>
      <c r="QVL10" s="5"/>
      <c r="QVM10" s="5"/>
      <c r="QVN10" s="5"/>
      <c r="QVO10" s="5"/>
      <c r="QVP10" s="5"/>
      <c r="QVQ10" s="5"/>
      <c r="QVR10" s="5"/>
      <c r="QVS10" s="5"/>
      <c r="QVT10" s="5"/>
      <c r="QVU10" s="5"/>
      <c r="QVV10" s="5"/>
      <c r="QVW10" s="5"/>
      <c r="QVX10" s="5"/>
      <c r="QVY10" s="5"/>
      <c r="QVZ10" s="5"/>
      <c r="QWA10" s="5"/>
      <c r="QWB10" s="5"/>
      <c r="QWC10" s="5"/>
      <c r="QWD10" s="5"/>
      <c r="QWE10" s="5"/>
      <c r="QWF10" s="5"/>
      <c r="QWG10" s="5"/>
      <c r="QWH10" s="5"/>
      <c r="QWI10" s="5"/>
      <c r="QWJ10" s="5"/>
      <c r="QWK10" s="5"/>
      <c r="QWL10" s="5"/>
      <c r="QWM10" s="5"/>
      <c r="QWN10" s="5"/>
      <c r="QWO10" s="5"/>
      <c r="QWP10" s="5"/>
      <c r="QWQ10" s="5"/>
      <c r="QWR10" s="5"/>
      <c r="QWS10" s="5"/>
      <c r="QWT10" s="5"/>
      <c r="QWU10" s="5"/>
      <c r="QWV10" s="5"/>
      <c r="QWW10" s="5"/>
      <c r="QWX10" s="5"/>
      <c r="QWY10" s="5"/>
      <c r="QWZ10" s="5"/>
      <c r="QXA10" s="5"/>
      <c r="QXB10" s="5"/>
      <c r="QXC10" s="5"/>
      <c r="QXD10" s="5"/>
      <c r="QXE10" s="5"/>
      <c r="QXF10" s="5"/>
      <c r="QXG10" s="5"/>
      <c r="QXH10" s="5"/>
      <c r="QXI10" s="5"/>
      <c r="QXJ10" s="5"/>
      <c r="QXK10" s="5"/>
      <c r="QXL10" s="5"/>
      <c r="QXM10" s="5"/>
      <c r="QXN10" s="5"/>
      <c r="QXO10" s="5"/>
      <c r="QXP10" s="5"/>
      <c r="QXQ10" s="5"/>
      <c r="QXR10" s="5"/>
      <c r="QXS10" s="5"/>
      <c r="QXT10" s="5"/>
      <c r="QXU10" s="5"/>
      <c r="QXV10" s="5"/>
      <c r="QXW10" s="5"/>
      <c r="QXX10" s="5"/>
      <c r="QXY10" s="5"/>
      <c r="QXZ10" s="5"/>
      <c r="QYA10" s="5"/>
      <c r="QYB10" s="5"/>
      <c r="QYC10" s="5"/>
      <c r="QYD10" s="5"/>
      <c r="QYE10" s="5"/>
      <c r="QYF10" s="5"/>
      <c r="QYG10" s="5"/>
      <c r="QYH10" s="5"/>
      <c r="QYI10" s="5"/>
      <c r="QYJ10" s="5"/>
      <c r="QYK10" s="5"/>
      <c r="QYL10" s="5"/>
      <c r="QYM10" s="5"/>
      <c r="QYN10" s="5"/>
      <c r="QYO10" s="5"/>
      <c r="QYP10" s="5"/>
      <c r="QYQ10" s="5"/>
      <c r="QYR10" s="5"/>
      <c r="QYS10" s="5"/>
      <c r="QYT10" s="5"/>
      <c r="QYU10" s="5"/>
      <c r="QYV10" s="5"/>
      <c r="QYW10" s="5"/>
      <c r="QYX10" s="5"/>
      <c r="QYY10" s="5"/>
      <c r="QYZ10" s="5"/>
      <c r="QZA10" s="5"/>
      <c r="QZB10" s="5"/>
      <c r="QZC10" s="5"/>
      <c r="QZD10" s="5"/>
      <c r="QZE10" s="5"/>
      <c r="QZF10" s="5"/>
      <c r="QZG10" s="5"/>
      <c r="QZH10" s="5"/>
      <c r="QZI10" s="5"/>
      <c r="QZJ10" s="5"/>
      <c r="QZK10" s="5"/>
      <c r="QZL10" s="5"/>
      <c r="QZM10" s="5"/>
      <c r="QZN10" s="5"/>
      <c r="QZO10" s="5"/>
      <c r="QZP10" s="5"/>
      <c r="QZQ10" s="5"/>
      <c r="QZR10" s="5"/>
      <c r="QZS10" s="5"/>
      <c r="QZT10" s="5"/>
      <c r="QZU10" s="5"/>
      <c r="QZV10" s="5"/>
      <c r="QZW10" s="5"/>
      <c r="QZX10" s="5"/>
      <c r="QZY10" s="5"/>
      <c r="QZZ10" s="5"/>
      <c r="RAA10" s="5"/>
      <c r="RAB10" s="5"/>
      <c r="RAC10" s="5"/>
      <c r="RAD10" s="5"/>
      <c r="RAE10" s="5"/>
      <c r="RAF10" s="5"/>
      <c r="RAG10" s="5"/>
      <c r="RAH10" s="5"/>
      <c r="RAI10" s="5"/>
      <c r="RAJ10" s="5"/>
      <c r="RAK10" s="5"/>
      <c r="RAL10" s="5"/>
      <c r="RAM10" s="5"/>
      <c r="RAN10" s="5"/>
      <c r="RAO10" s="5"/>
      <c r="RAP10" s="5"/>
      <c r="RAQ10" s="5"/>
      <c r="RAR10" s="5"/>
      <c r="RAS10" s="5"/>
      <c r="RAT10" s="5"/>
      <c r="RAU10" s="5"/>
      <c r="RAV10" s="5"/>
      <c r="RAW10" s="5"/>
      <c r="RAX10" s="5"/>
      <c r="RAY10" s="5"/>
      <c r="RAZ10" s="5"/>
      <c r="RBA10" s="5"/>
      <c r="RBB10" s="5"/>
      <c r="RBC10" s="5"/>
      <c r="RBD10" s="5"/>
      <c r="RBE10" s="5"/>
      <c r="RBF10" s="5"/>
      <c r="RBG10" s="5"/>
      <c r="RBH10" s="5"/>
      <c r="RBI10" s="5"/>
      <c r="RBJ10" s="5"/>
      <c r="RBK10" s="5"/>
      <c r="RBL10" s="5"/>
      <c r="RBM10" s="5"/>
      <c r="RBN10" s="5"/>
      <c r="RBO10" s="5"/>
      <c r="RBP10" s="5"/>
      <c r="RBQ10" s="5"/>
      <c r="RBR10" s="5"/>
      <c r="RBS10" s="5"/>
      <c r="RBT10" s="5"/>
      <c r="RBU10" s="5"/>
      <c r="RBV10" s="5"/>
      <c r="RBW10" s="5"/>
      <c r="RBX10" s="5"/>
      <c r="RBY10" s="5"/>
      <c r="RBZ10" s="5"/>
      <c r="RCA10" s="5"/>
      <c r="RCB10" s="5"/>
      <c r="RCC10" s="5"/>
      <c r="RCD10" s="5"/>
      <c r="RCE10" s="5"/>
      <c r="RCF10" s="5"/>
      <c r="RCG10" s="5"/>
      <c r="RCH10" s="5"/>
      <c r="RCI10" s="5"/>
      <c r="RCJ10" s="5"/>
      <c r="RCK10" s="5"/>
      <c r="RCL10" s="5"/>
      <c r="RCM10" s="5"/>
      <c r="RCN10" s="5"/>
      <c r="RCO10" s="5"/>
      <c r="RCP10" s="5"/>
      <c r="RCQ10" s="5"/>
      <c r="RCR10" s="5"/>
      <c r="RCS10" s="5"/>
      <c r="RCT10" s="5"/>
      <c r="RCU10" s="5"/>
      <c r="RCV10" s="5"/>
      <c r="RCW10" s="5"/>
      <c r="RCX10" s="5"/>
      <c r="RCY10" s="5"/>
      <c r="RCZ10" s="5"/>
      <c r="RDA10" s="5"/>
      <c r="RDB10" s="5"/>
      <c r="RDC10" s="5"/>
      <c r="RDD10" s="5"/>
      <c r="RDE10" s="5"/>
      <c r="RDF10" s="5"/>
      <c r="RDG10" s="5"/>
      <c r="RDH10" s="5"/>
      <c r="RDI10" s="5"/>
      <c r="RDJ10" s="5"/>
      <c r="RDK10" s="5"/>
      <c r="RDL10" s="5"/>
      <c r="RDM10" s="5"/>
      <c r="RDN10" s="5"/>
      <c r="RDO10" s="5"/>
      <c r="RDP10" s="5"/>
      <c r="RDQ10" s="5"/>
      <c r="RDR10" s="5"/>
      <c r="RDS10" s="5"/>
      <c r="RDT10" s="5"/>
      <c r="RDU10" s="5"/>
      <c r="RDV10" s="5"/>
      <c r="RDW10" s="5"/>
      <c r="RDX10" s="5"/>
      <c r="RDY10" s="5"/>
      <c r="RDZ10" s="5"/>
      <c r="REA10" s="5"/>
      <c r="REB10" s="5"/>
      <c r="REC10" s="5"/>
      <c r="RED10" s="5"/>
      <c r="REE10" s="5"/>
      <c r="REF10" s="5"/>
      <c r="REG10" s="5"/>
      <c r="REH10" s="5"/>
      <c r="REI10" s="5"/>
      <c r="REJ10" s="5"/>
      <c r="REK10" s="5"/>
      <c r="REL10" s="5"/>
      <c r="REM10" s="5"/>
      <c r="REN10" s="5"/>
      <c r="REO10" s="5"/>
      <c r="REP10" s="5"/>
      <c r="REQ10" s="5"/>
      <c r="RER10" s="5"/>
      <c r="RES10" s="5"/>
      <c r="RET10" s="5"/>
      <c r="REU10" s="5"/>
      <c r="REV10" s="5"/>
      <c r="REW10" s="5"/>
      <c r="REX10" s="5"/>
      <c r="REY10" s="5"/>
      <c r="REZ10" s="5"/>
      <c r="RFA10" s="5"/>
      <c r="RFB10" s="5"/>
      <c r="RFC10" s="5"/>
      <c r="RFD10" s="5"/>
      <c r="RFE10" s="5"/>
      <c r="RFF10" s="5"/>
      <c r="RFG10" s="5"/>
      <c r="RFH10" s="5"/>
      <c r="RFI10" s="5"/>
      <c r="RFJ10" s="5"/>
      <c r="RFK10" s="5"/>
      <c r="RFL10" s="5"/>
      <c r="RFM10" s="5"/>
      <c r="RFN10" s="5"/>
      <c r="RFO10" s="5"/>
      <c r="RFP10" s="5"/>
      <c r="RFQ10" s="5"/>
      <c r="RFR10" s="5"/>
      <c r="RFS10" s="5"/>
      <c r="RFT10" s="5"/>
      <c r="RFU10" s="5"/>
      <c r="RFV10" s="5"/>
      <c r="RFW10" s="5"/>
      <c r="RFX10" s="5"/>
      <c r="RFY10" s="5"/>
      <c r="RFZ10" s="5"/>
      <c r="RGA10" s="5"/>
      <c r="RGB10" s="5"/>
      <c r="RGC10" s="5"/>
      <c r="RGD10" s="5"/>
      <c r="RGE10" s="5"/>
      <c r="RGF10" s="5"/>
      <c r="RGG10" s="5"/>
      <c r="RGH10" s="5"/>
      <c r="RGI10" s="5"/>
      <c r="RGJ10" s="5"/>
      <c r="RGK10" s="5"/>
      <c r="RGL10" s="5"/>
      <c r="RGM10" s="5"/>
      <c r="RGN10" s="5"/>
      <c r="RGO10" s="5"/>
      <c r="RGP10" s="5"/>
      <c r="RGQ10" s="5"/>
      <c r="RGR10" s="5"/>
      <c r="RGS10" s="5"/>
      <c r="RGT10" s="5"/>
      <c r="RGU10" s="5"/>
      <c r="RGV10" s="5"/>
      <c r="RGW10" s="5"/>
      <c r="RGX10" s="5"/>
      <c r="RGY10" s="5"/>
      <c r="RGZ10" s="5"/>
      <c r="RHA10" s="5"/>
      <c r="RHB10" s="5"/>
      <c r="RHC10" s="5"/>
      <c r="RHD10" s="5"/>
      <c r="RHE10" s="5"/>
      <c r="RHF10" s="5"/>
      <c r="RHG10" s="5"/>
      <c r="RHH10" s="5"/>
      <c r="RHI10" s="5"/>
      <c r="RHJ10" s="5"/>
      <c r="RHK10" s="5"/>
      <c r="RHL10" s="5"/>
      <c r="RHM10" s="5"/>
      <c r="RHN10" s="5"/>
      <c r="RHO10" s="5"/>
      <c r="RHP10" s="5"/>
      <c r="RHQ10" s="5"/>
      <c r="RHR10" s="5"/>
      <c r="RHS10" s="5"/>
      <c r="RHT10" s="5"/>
      <c r="RHU10" s="5"/>
      <c r="RHV10" s="5"/>
      <c r="RHW10" s="5"/>
      <c r="RHX10" s="5"/>
      <c r="RHY10" s="5"/>
      <c r="RHZ10" s="5"/>
      <c r="RIA10" s="5"/>
      <c r="RIB10" s="5"/>
      <c r="RIC10" s="5"/>
      <c r="RID10" s="5"/>
      <c r="RIE10" s="5"/>
      <c r="RIF10" s="5"/>
      <c r="RIG10" s="5"/>
      <c r="RIH10" s="5"/>
      <c r="RII10" s="5"/>
      <c r="RIJ10" s="5"/>
      <c r="RIK10" s="5"/>
      <c r="RIL10" s="5"/>
      <c r="RIM10" s="5"/>
      <c r="RIN10" s="5"/>
      <c r="RIO10" s="5"/>
      <c r="RIP10" s="5"/>
      <c r="RIQ10" s="5"/>
      <c r="RIR10" s="5"/>
      <c r="RIS10" s="5"/>
      <c r="RIT10" s="5"/>
      <c r="RIU10" s="5"/>
      <c r="RIV10" s="5"/>
      <c r="RIW10" s="5"/>
      <c r="RIX10" s="5"/>
      <c r="RIY10" s="5"/>
      <c r="RIZ10" s="5"/>
      <c r="RJA10" s="5"/>
      <c r="RJB10" s="5"/>
      <c r="RJC10" s="5"/>
      <c r="RJD10" s="5"/>
      <c r="RJE10" s="5"/>
      <c r="RJF10" s="5"/>
      <c r="RJG10" s="5"/>
      <c r="RJH10" s="5"/>
      <c r="RJI10" s="5"/>
      <c r="RJJ10" s="5"/>
      <c r="RJK10" s="5"/>
      <c r="RJL10" s="5"/>
      <c r="RJM10" s="5"/>
      <c r="RJN10" s="5"/>
      <c r="RJO10" s="5"/>
      <c r="RJP10" s="5"/>
      <c r="RJQ10" s="5"/>
      <c r="RJR10" s="5"/>
      <c r="RJS10" s="5"/>
      <c r="RJT10" s="5"/>
      <c r="RJU10" s="5"/>
      <c r="RJV10" s="5"/>
      <c r="RJW10" s="5"/>
      <c r="RJX10" s="5"/>
      <c r="RJY10" s="5"/>
      <c r="RJZ10" s="5"/>
      <c r="RKA10" s="5"/>
      <c r="RKB10" s="5"/>
      <c r="RKC10" s="5"/>
      <c r="RKD10" s="5"/>
      <c r="RKE10" s="5"/>
      <c r="RKF10" s="5"/>
      <c r="RKG10" s="5"/>
      <c r="RKH10" s="5"/>
      <c r="RKI10" s="5"/>
      <c r="RKJ10" s="5"/>
      <c r="RKK10" s="5"/>
      <c r="RKL10" s="5"/>
      <c r="RKM10" s="5"/>
      <c r="RKN10" s="5"/>
      <c r="RKO10" s="5"/>
      <c r="RKP10" s="5"/>
      <c r="RKQ10" s="5"/>
      <c r="RKR10" s="5"/>
      <c r="RKS10" s="5"/>
      <c r="RKT10" s="5"/>
      <c r="RKU10" s="5"/>
      <c r="RKV10" s="5"/>
      <c r="RKW10" s="5"/>
      <c r="RKX10" s="5"/>
      <c r="RKY10" s="5"/>
      <c r="RKZ10" s="5"/>
      <c r="RLA10" s="5"/>
      <c r="RLB10" s="5"/>
      <c r="RLC10" s="5"/>
      <c r="RLD10" s="5"/>
      <c r="RLE10" s="5"/>
      <c r="RLF10" s="5"/>
      <c r="RLG10" s="5"/>
      <c r="RLH10" s="5"/>
      <c r="RLI10" s="5"/>
      <c r="RLJ10" s="5"/>
      <c r="RLK10" s="5"/>
      <c r="RLL10" s="5"/>
      <c r="RLM10" s="5"/>
      <c r="RLN10" s="5"/>
      <c r="RLO10" s="5"/>
      <c r="RLP10" s="5"/>
      <c r="RLQ10" s="5"/>
      <c r="RLR10" s="5"/>
      <c r="RLS10" s="5"/>
      <c r="RLT10" s="5"/>
      <c r="RLU10" s="5"/>
      <c r="RLV10" s="5"/>
      <c r="RLW10" s="5"/>
      <c r="RLX10" s="5"/>
      <c r="RLY10" s="5"/>
      <c r="RLZ10" s="5"/>
      <c r="RMA10" s="5"/>
      <c r="RMB10" s="5"/>
      <c r="RMC10" s="5"/>
      <c r="RMD10" s="5"/>
      <c r="RME10" s="5"/>
      <c r="RMF10" s="5"/>
      <c r="RMG10" s="5"/>
      <c r="RMH10" s="5"/>
      <c r="RMI10" s="5"/>
      <c r="RMJ10" s="5"/>
      <c r="RMK10" s="5"/>
      <c r="RML10" s="5"/>
      <c r="RMM10" s="5"/>
      <c r="RMN10" s="5"/>
      <c r="RMO10" s="5"/>
      <c r="RMP10" s="5"/>
      <c r="RMQ10" s="5"/>
      <c r="RMR10" s="5"/>
      <c r="RMS10" s="5"/>
      <c r="RMT10" s="5"/>
      <c r="RMU10" s="5"/>
      <c r="RMV10" s="5"/>
      <c r="RMW10" s="5"/>
      <c r="RMX10" s="5"/>
      <c r="RMY10" s="5"/>
      <c r="RMZ10" s="5"/>
      <c r="RNA10" s="5"/>
      <c r="RNB10" s="5"/>
      <c r="RNC10" s="5"/>
      <c r="RND10" s="5"/>
      <c r="RNE10" s="5"/>
      <c r="RNF10" s="5"/>
      <c r="RNG10" s="5"/>
      <c r="RNH10" s="5"/>
      <c r="RNI10" s="5"/>
      <c r="RNJ10" s="5"/>
      <c r="RNK10" s="5"/>
      <c r="RNL10" s="5"/>
      <c r="RNM10" s="5"/>
      <c r="RNN10" s="5"/>
      <c r="RNO10" s="5"/>
      <c r="RNP10" s="5"/>
      <c r="RNQ10" s="5"/>
      <c r="RNR10" s="5"/>
      <c r="RNS10" s="5"/>
      <c r="RNT10" s="5"/>
      <c r="RNU10" s="5"/>
      <c r="RNV10" s="5"/>
      <c r="RNW10" s="5"/>
      <c r="RNX10" s="5"/>
      <c r="RNY10" s="5"/>
      <c r="RNZ10" s="5"/>
      <c r="ROA10" s="5"/>
      <c r="ROB10" s="5"/>
      <c r="ROC10" s="5"/>
      <c r="ROD10" s="5"/>
      <c r="ROE10" s="5"/>
      <c r="ROF10" s="5"/>
      <c r="ROG10" s="5"/>
      <c r="ROH10" s="5"/>
      <c r="ROI10" s="5"/>
      <c r="ROJ10" s="5"/>
      <c r="ROK10" s="5"/>
      <c r="ROL10" s="5"/>
      <c r="ROM10" s="5"/>
      <c r="RON10" s="5"/>
      <c r="ROO10" s="5"/>
      <c r="ROP10" s="5"/>
      <c r="ROQ10" s="5"/>
      <c r="ROR10" s="5"/>
      <c r="ROS10" s="5"/>
      <c r="ROT10" s="5"/>
      <c r="ROU10" s="5"/>
      <c r="ROV10" s="5"/>
      <c r="ROW10" s="5"/>
      <c r="ROX10" s="5"/>
      <c r="ROY10" s="5"/>
      <c r="ROZ10" s="5"/>
      <c r="RPA10" s="5"/>
      <c r="RPB10" s="5"/>
      <c r="RPC10" s="5"/>
      <c r="RPD10" s="5"/>
      <c r="RPE10" s="5"/>
      <c r="RPF10" s="5"/>
      <c r="RPG10" s="5"/>
      <c r="RPH10" s="5"/>
      <c r="RPI10" s="5"/>
      <c r="RPJ10" s="5"/>
      <c r="RPK10" s="5"/>
      <c r="RPL10" s="5"/>
      <c r="RPM10" s="5"/>
      <c r="RPN10" s="5"/>
      <c r="RPO10" s="5"/>
      <c r="RPP10" s="5"/>
      <c r="RPQ10" s="5"/>
      <c r="RPR10" s="5"/>
      <c r="RPS10" s="5"/>
      <c r="RPT10" s="5"/>
      <c r="RPU10" s="5"/>
      <c r="RPV10" s="5"/>
      <c r="RPW10" s="5"/>
      <c r="RPX10" s="5"/>
      <c r="RPY10" s="5"/>
      <c r="RPZ10" s="5"/>
      <c r="RQA10" s="5"/>
      <c r="RQB10" s="5"/>
      <c r="RQC10" s="5"/>
      <c r="RQD10" s="5"/>
      <c r="RQE10" s="5"/>
      <c r="RQF10" s="5"/>
      <c r="RQG10" s="5"/>
      <c r="RQH10" s="5"/>
      <c r="RQI10" s="5"/>
      <c r="RQJ10" s="5"/>
      <c r="RQK10" s="5"/>
      <c r="RQL10" s="5"/>
      <c r="RQM10" s="5"/>
      <c r="RQN10" s="5"/>
      <c r="RQO10" s="5"/>
      <c r="RQP10" s="5"/>
      <c r="RQQ10" s="5"/>
      <c r="RQR10" s="5"/>
      <c r="RQS10" s="5"/>
      <c r="RQT10" s="5"/>
      <c r="RQU10" s="5"/>
      <c r="RQV10" s="5"/>
      <c r="RQW10" s="5"/>
      <c r="RQX10" s="5"/>
      <c r="RQY10" s="5"/>
      <c r="RQZ10" s="5"/>
      <c r="RRA10" s="5"/>
      <c r="RRB10" s="5"/>
      <c r="RRC10" s="5"/>
      <c r="RRD10" s="5"/>
      <c r="RRE10" s="5"/>
      <c r="RRF10" s="5"/>
      <c r="RRG10" s="5"/>
      <c r="RRH10" s="5"/>
      <c r="RRI10" s="5"/>
      <c r="RRJ10" s="5"/>
      <c r="RRK10" s="5"/>
      <c r="RRL10" s="5"/>
      <c r="RRM10" s="5"/>
      <c r="RRN10" s="5"/>
      <c r="RRO10" s="5"/>
      <c r="RRP10" s="5"/>
      <c r="RRQ10" s="5"/>
      <c r="RRR10" s="5"/>
      <c r="RRS10" s="5"/>
      <c r="RRT10" s="5"/>
      <c r="RRU10" s="5"/>
      <c r="RRV10" s="5"/>
      <c r="RRW10" s="5"/>
      <c r="RRX10" s="5"/>
      <c r="RRY10" s="5"/>
      <c r="RRZ10" s="5"/>
      <c r="RSA10" s="5"/>
      <c r="RSB10" s="5"/>
      <c r="RSC10" s="5"/>
      <c r="RSD10" s="5"/>
      <c r="RSE10" s="5"/>
      <c r="RSF10" s="5"/>
      <c r="RSG10" s="5"/>
      <c r="RSH10" s="5"/>
      <c r="RSI10" s="5"/>
      <c r="RSJ10" s="5"/>
      <c r="RSK10" s="5"/>
      <c r="RSL10" s="5"/>
      <c r="RSM10" s="5"/>
      <c r="RSN10" s="5"/>
      <c r="RSO10" s="5"/>
      <c r="RSP10" s="5"/>
      <c r="RSQ10" s="5"/>
      <c r="RSR10" s="5"/>
      <c r="RSS10" s="5"/>
      <c r="RST10" s="5"/>
      <c r="RSU10" s="5"/>
      <c r="RSV10" s="5"/>
      <c r="RSW10" s="5"/>
      <c r="RSX10" s="5"/>
      <c r="RSY10" s="5"/>
      <c r="RSZ10" s="5"/>
      <c r="RTA10" s="5"/>
      <c r="RTB10" s="5"/>
      <c r="RTC10" s="5"/>
      <c r="RTD10" s="5"/>
      <c r="RTE10" s="5"/>
      <c r="RTF10" s="5"/>
      <c r="RTG10" s="5"/>
      <c r="RTH10" s="5"/>
      <c r="RTI10" s="5"/>
      <c r="RTJ10" s="5"/>
      <c r="RTK10" s="5"/>
      <c r="RTL10" s="5"/>
      <c r="RTM10" s="5"/>
      <c r="RTN10" s="5"/>
      <c r="RTO10" s="5"/>
      <c r="RTP10" s="5"/>
      <c r="RTQ10" s="5"/>
      <c r="RTR10" s="5"/>
      <c r="RTS10" s="5"/>
      <c r="RTT10" s="5"/>
      <c r="RTU10" s="5"/>
      <c r="RTV10" s="5"/>
      <c r="RTW10" s="5"/>
      <c r="RTX10" s="5"/>
      <c r="RTY10" s="5"/>
      <c r="RTZ10" s="5"/>
      <c r="RUA10" s="5"/>
      <c r="RUB10" s="5"/>
      <c r="RUC10" s="5"/>
      <c r="RUD10" s="5"/>
      <c r="RUE10" s="5"/>
      <c r="RUF10" s="5"/>
      <c r="RUG10" s="5"/>
      <c r="RUH10" s="5"/>
      <c r="RUI10" s="5"/>
      <c r="RUJ10" s="5"/>
      <c r="RUK10" s="5"/>
      <c r="RUL10" s="5"/>
      <c r="RUM10" s="5"/>
      <c r="RUN10" s="5"/>
      <c r="RUO10" s="5"/>
      <c r="RUP10" s="5"/>
      <c r="RUQ10" s="5"/>
      <c r="RUR10" s="5"/>
      <c r="RUS10" s="5"/>
      <c r="RUT10" s="5"/>
      <c r="RUU10" s="5"/>
      <c r="RUV10" s="5"/>
      <c r="RUW10" s="5"/>
      <c r="RUX10" s="5"/>
      <c r="RUY10" s="5"/>
      <c r="RUZ10" s="5"/>
      <c r="RVA10" s="5"/>
      <c r="RVB10" s="5"/>
      <c r="RVC10" s="5"/>
      <c r="RVD10" s="5"/>
      <c r="RVE10" s="5"/>
      <c r="RVF10" s="5"/>
      <c r="RVG10" s="5"/>
      <c r="RVH10" s="5"/>
      <c r="RVI10" s="5"/>
      <c r="RVJ10" s="5"/>
      <c r="RVK10" s="5"/>
      <c r="RVL10" s="5"/>
      <c r="RVM10" s="5"/>
      <c r="RVN10" s="5"/>
      <c r="RVO10" s="5"/>
      <c r="RVP10" s="5"/>
      <c r="RVQ10" s="5"/>
      <c r="RVR10" s="5"/>
      <c r="RVS10" s="5"/>
      <c r="RVT10" s="5"/>
      <c r="RVU10" s="5"/>
      <c r="RVV10" s="5"/>
      <c r="RVW10" s="5"/>
      <c r="RVX10" s="5"/>
      <c r="RVY10" s="5"/>
      <c r="RVZ10" s="5"/>
      <c r="RWA10" s="5"/>
      <c r="RWB10" s="5"/>
      <c r="RWC10" s="5"/>
      <c r="RWD10" s="5"/>
      <c r="RWE10" s="5"/>
      <c r="RWF10" s="5"/>
      <c r="RWG10" s="5"/>
      <c r="RWH10" s="5"/>
      <c r="RWI10" s="5"/>
      <c r="RWJ10" s="5"/>
      <c r="RWK10" s="5"/>
      <c r="RWL10" s="5"/>
      <c r="RWM10" s="5"/>
      <c r="RWN10" s="5"/>
      <c r="RWO10" s="5"/>
      <c r="RWP10" s="5"/>
      <c r="RWQ10" s="5"/>
      <c r="RWR10" s="5"/>
      <c r="RWS10" s="5"/>
      <c r="RWT10" s="5"/>
      <c r="RWU10" s="5"/>
      <c r="RWV10" s="5"/>
      <c r="RWW10" s="5"/>
      <c r="RWX10" s="5"/>
      <c r="RWY10" s="5"/>
      <c r="RWZ10" s="5"/>
      <c r="RXA10" s="5"/>
      <c r="RXB10" s="5"/>
      <c r="RXC10" s="5"/>
      <c r="RXD10" s="5"/>
      <c r="RXE10" s="5"/>
      <c r="RXF10" s="5"/>
      <c r="RXG10" s="5"/>
      <c r="RXH10" s="5"/>
      <c r="RXI10" s="5"/>
      <c r="RXJ10" s="5"/>
      <c r="RXK10" s="5"/>
      <c r="RXL10" s="5"/>
      <c r="RXM10" s="5"/>
      <c r="RXN10" s="5"/>
      <c r="RXO10" s="5"/>
      <c r="RXP10" s="5"/>
      <c r="RXQ10" s="5"/>
      <c r="RXR10" s="5"/>
      <c r="RXS10" s="5"/>
      <c r="RXT10" s="5"/>
      <c r="RXU10" s="5"/>
      <c r="RXV10" s="5"/>
      <c r="RXW10" s="5"/>
      <c r="RXX10" s="5"/>
      <c r="RXY10" s="5"/>
      <c r="RXZ10" s="5"/>
      <c r="RYA10" s="5"/>
      <c r="RYB10" s="5"/>
      <c r="RYC10" s="5"/>
      <c r="RYD10" s="5"/>
      <c r="RYE10" s="5"/>
      <c r="RYF10" s="5"/>
      <c r="RYG10" s="5"/>
      <c r="RYH10" s="5"/>
      <c r="RYI10" s="5"/>
      <c r="RYJ10" s="5"/>
      <c r="RYK10" s="5"/>
      <c r="RYL10" s="5"/>
      <c r="RYM10" s="5"/>
      <c r="RYN10" s="5"/>
      <c r="RYO10" s="5"/>
      <c r="RYP10" s="5"/>
      <c r="RYQ10" s="5"/>
      <c r="RYR10" s="5"/>
      <c r="RYS10" s="5"/>
      <c r="RYT10" s="5"/>
      <c r="RYU10" s="5"/>
      <c r="RYV10" s="5"/>
      <c r="RYW10" s="5"/>
      <c r="RYX10" s="5"/>
      <c r="RYY10" s="5"/>
      <c r="RYZ10" s="5"/>
      <c r="RZA10" s="5"/>
      <c r="RZB10" s="5"/>
      <c r="RZC10" s="5"/>
      <c r="RZD10" s="5"/>
      <c r="RZE10" s="5"/>
      <c r="RZF10" s="5"/>
      <c r="RZG10" s="5"/>
      <c r="RZH10" s="5"/>
      <c r="RZI10" s="5"/>
      <c r="RZJ10" s="5"/>
      <c r="RZK10" s="5"/>
      <c r="RZL10" s="5"/>
      <c r="RZM10" s="5"/>
      <c r="RZN10" s="5"/>
      <c r="RZO10" s="5"/>
      <c r="RZP10" s="5"/>
      <c r="RZQ10" s="5"/>
      <c r="RZR10" s="5"/>
      <c r="RZS10" s="5"/>
      <c r="RZT10" s="5"/>
      <c r="RZU10" s="5"/>
      <c r="RZV10" s="5"/>
      <c r="RZW10" s="5"/>
      <c r="RZX10" s="5"/>
      <c r="RZY10" s="5"/>
      <c r="RZZ10" s="5"/>
      <c r="SAA10" s="5"/>
      <c r="SAB10" s="5"/>
      <c r="SAC10" s="5"/>
      <c r="SAD10" s="5"/>
      <c r="SAE10" s="5"/>
      <c r="SAF10" s="5"/>
      <c r="SAG10" s="5"/>
      <c r="SAH10" s="5"/>
      <c r="SAI10" s="5"/>
      <c r="SAJ10" s="5"/>
      <c r="SAK10" s="5"/>
      <c r="SAL10" s="5"/>
      <c r="SAM10" s="5"/>
      <c r="SAN10" s="5"/>
      <c r="SAO10" s="5"/>
      <c r="SAP10" s="5"/>
      <c r="SAQ10" s="5"/>
      <c r="SAR10" s="5"/>
      <c r="SAS10" s="5"/>
      <c r="SAT10" s="5"/>
      <c r="SAU10" s="5"/>
      <c r="SAV10" s="5"/>
      <c r="SAW10" s="5"/>
      <c r="SAX10" s="5"/>
      <c r="SAY10" s="5"/>
      <c r="SAZ10" s="5"/>
      <c r="SBA10" s="5"/>
      <c r="SBB10" s="5"/>
      <c r="SBC10" s="5"/>
      <c r="SBD10" s="5"/>
      <c r="SBE10" s="5"/>
      <c r="SBF10" s="5"/>
      <c r="SBG10" s="5"/>
      <c r="SBH10" s="5"/>
      <c r="SBI10" s="5"/>
      <c r="SBJ10" s="5"/>
      <c r="SBK10" s="5"/>
      <c r="SBL10" s="5"/>
      <c r="SBM10" s="5"/>
      <c r="SBN10" s="5"/>
      <c r="SBO10" s="5"/>
      <c r="SBP10" s="5"/>
      <c r="SBQ10" s="5"/>
      <c r="SBR10" s="5"/>
      <c r="SBS10" s="5"/>
      <c r="SBT10" s="5"/>
      <c r="SBU10" s="5"/>
      <c r="SBV10" s="5"/>
      <c r="SBW10" s="5"/>
      <c r="SBX10" s="5"/>
      <c r="SBY10" s="5"/>
      <c r="SBZ10" s="5"/>
      <c r="SCA10" s="5"/>
      <c r="SCB10" s="5"/>
      <c r="SCC10" s="5"/>
      <c r="SCD10" s="5"/>
      <c r="SCE10" s="5"/>
      <c r="SCF10" s="5"/>
      <c r="SCG10" s="5"/>
      <c r="SCH10" s="5"/>
      <c r="SCI10" s="5"/>
      <c r="SCJ10" s="5"/>
      <c r="SCK10" s="5"/>
      <c r="SCL10" s="5"/>
      <c r="SCM10" s="5"/>
      <c r="SCN10" s="5"/>
      <c r="SCO10" s="5"/>
      <c r="SCP10" s="5"/>
      <c r="SCQ10" s="5"/>
      <c r="SCR10" s="5"/>
      <c r="SCS10" s="5"/>
      <c r="SCT10" s="5"/>
      <c r="SCU10" s="5"/>
      <c r="SCV10" s="5"/>
      <c r="SCW10" s="5"/>
      <c r="SCX10" s="5"/>
      <c r="SCY10" s="5"/>
      <c r="SCZ10" s="5"/>
      <c r="SDA10" s="5"/>
      <c r="SDB10" s="5"/>
      <c r="SDC10" s="5"/>
      <c r="SDD10" s="5"/>
      <c r="SDE10" s="5"/>
      <c r="SDF10" s="5"/>
      <c r="SDG10" s="5"/>
      <c r="SDH10" s="5"/>
      <c r="SDI10" s="5"/>
      <c r="SDJ10" s="5"/>
      <c r="SDK10" s="5"/>
      <c r="SDL10" s="5"/>
      <c r="SDM10" s="5"/>
      <c r="SDN10" s="5"/>
      <c r="SDO10" s="5"/>
      <c r="SDP10" s="5"/>
      <c r="SDQ10" s="5"/>
      <c r="SDR10" s="5"/>
      <c r="SDS10" s="5"/>
      <c r="SDT10" s="5"/>
      <c r="SDU10" s="5"/>
      <c r="SDV10" s="5"/>
      <c r="SDW10" s="5"/>
      <c r="SDX10" s="5"/>
      <c r="SDY10" s="5"/>
      <c r="SDZ10" s="5"/>
      <c r="SEA10" s="5"/>
      <c r="SEB10" s="5"/>
      <c r="SEC10" s="5"/>
      <c r="SED10" s="5"/>
      <c r="SEE10" s="5"/>
      <c r="SEF10" s="5"/>
      <c r="SEG10" s="5"/>
      <c r="SEH10" s="5"/>
      <c r="SEI10" s="5"/>
      <c r="SEJ10" s="5"/>
      <c r="SEK10" s="5"/>
      <c r="SEL10" s="5"/>
      <c r="SEM10" s="5"/>
      <c r="SEN10" s="5"/>
      <c r="SEO10" s="5"/>
      <c r="SEP10" s="5"/>
      <c r="SEQ10" s="5"/>
      <c r="SER10" s="5"/>
      <c r="SES10" s="5"/>
      <c r="SET10" s="5"/>
      <c r="SEU10" s="5"/>
      <c r="SEV10" s="5"/>
      <c r="SEW10" s="5"/>
      <c r="SEX10" s="5"/>
      <c r="SEY10" s="5"/>
      <c r="SEZ10" s="5"/>
      <c r="SFA10" s="5"/>
      <c r="SFB10" s="5"/>
      <c r="SFC10" s="5"/>
      <c r="SFD10" s="5"/>
      <c r="SFE10" s="5"/>
      <c r="SFF10" s="5"/>
      <c r="SFG10" s="5"/>
      <c r="SFH10" s="5"/>
      <c r="SFI10" s="5"/>
      <c r="SFJ10" s="5"/>
      <c r="SFK10" s="5"/>
      <c r="SFL10" s="5"/>
      <c r="SFM10" s="5"/>
      <c r="SFN10" s="5"/>
      <c r="SFO10" s="5"/>
      <c r="SFP10" s="5"/>
      <c r="SFQ10" s="5"/>
      <c r="SFR10" s="5"/>
      <c r="SFS10" s="5"/>
      <c r="SFT10" s="5"/>
      <c r="SFU10" s="5"/>
      <c r="SFV10" s="5"/>
      <c r="SFW10" s="5"/>
      <c r="SFX10" s="5"/>
      <c r="SFY10" s="5"/>
      <c r="SFZ10" s="5"/>
      <c r="SGA10" s="5"/>
      <c r="SGB10" s="5"/>
      <c r="SGC10" s="5"/>
      <c r="SGD10" s="5"/>
      <c r="SGE10" s="5"/>
      <c r="SGF10" s="5"/>
      <c r="SGG10" s="5"/>
      <c r="SGH10" s="5"/>
      <c r="SGI10" s="5"/>
      <c r="SGJ10" s="5"/>
      <c r="SGK10" s="5"/>
      <c r="SGL10" s="5"/>
      <c r="SGM10" s="5"/>
      <c r="SGN10" s="5"/>
      <c r="SGO10" s="5"/>
      <c r="SGP10" s="5"/>
      <c r="SGQ10" s="5"/>
      <c r="SGR10" s="5"/>
      <c r="SGS10" s="5"/>
      <c r="SGT10" s="5"/>
      <c r="SGU10" s="5"/>
      <c r="SGV10" s="5"/>
      <c r="SGW10" s="5"/>
      <c r="SGX10" s="5"/>
      <c r="SGY10" s="5"/>
      <c r="SGZ10" s="5"/>
      <c r="SHA10" s="5"/>
      <c r="SHB10" s="5"/>
      <c r="SHC10" s="5"/>
      <c r="SHD10" s="5"/>
      <c r="SHE10" s="5"/>
      <c r="SHF10" s="5"/>
      <c r="SHG10" s="5"/>
      <c r="SHH10" s="5"/>
      <c r="SHI10" s="5"/>
      <c r="SHJ10" s="5"/>
      <c r="SHK10" s="5"/>
      <c r="SHL10" s="5"/>
      <c r="SHM10" s="5"/>
      <c r="SHN10" s="5"/>
      <c r="SHO10" s="5"/>
      <c r="SHP10" s="5"/>
      <c r="SHQ10" s="5"/>
      <c r="SHR10" s="5"/>
      <c r="SHS10" s="5"/>
      <c r="SHT10" s="5"/>
      <c r="SHU10" s="5"/>
      <c r="SHV10" s="5"/>
      <c r="SHW10" s="5"/>
      <c r="SHX10" s="5"/>
      <c r="SHY10" s="5"/>
      <c r="SHZ10" s="5"/>
      <c r="SIA10" s="5"/>
      <c r="SIB10" s="5"/>
      <c r="SIC10" s="5"/>
      <c r="SID10" s="5"/>
      <c r="SIE10" s="5"/>
      <c r="SIF10" s="5"/>
      <c r="SIG10" s="5"/>
      <c r="SIH10" s="5"/>
      <c r="SII10" s="5"/>
      <c r="SIJ10" s="5"/>
      <c r="SIK10" s="5"/>
      <c r="SIL10" s="5"/>
      <c r="SIM10" s="5"/>
      <c r="SIN10" s="5"/>
      <c r="SIO10" s="5"/>
      <c r="SIP10" s="5"/>
      <c r="SIQ10" s="5"/>
      <c r="SIR10" s="5"/>
      <c r="SIS10" s="5"/>
      <c r="SIT10" s="5"/>
      <c r="SIU10" s="5"/>
      <c r="SIV10" s="5"/>
      <c r="SIW10" s="5"/>
      <c r="SIX10" s="5"/>
      <c r="SIY10" s="5"/>
      <c r="SIZ10" s="5"/>
      <c r="SJA10" s="5"/>
      <c r="SJB10" s="5"/>
      <c r="SJC10" s="5"/>
      <c r="SJD10" s="5"/>
      <c r="SJE10" s="5"/>
      <c r="SJF10" s="5"/>
      <c r="SJG10" s="5"/>
      <c r="SJH10" s="5"/>
      <c r="SJI10" s="5"/>
      <c r="SJJ10" s="5"/>
      <c r="SJK10" s="5"/>
      <c r="SJL10" s="5"/>
      <c r="SJM10" s="5"/>
      <c r="SJN10" s="5"/>
      <c r="SJO10" s="5"/>
      <c r="SJP10" s="5"/>
      <c r="SJQ10" s="5"/>
      <c r="SJR10" s="5"/>
      <c r="SJS10" s="5"/>
      <c r="SJT10" s="5"/>
      <c r="SJU10" s="5"/>
      <c r="SJV10" s="5"/>
      <c r="SJW10" s="5"/>
      <c r="SJX10" s="5"/>
      <c r="SJY10" s="5"/>
      <c r="SJZ10" s="5"/>
      <c r="SKA10" s="5"/>
      <c r="SKB10" s="5"/>
      <c r="SKC10" s="5"/>
      <c r="SKD10" s="5"/>
      <c r="SKE10" s="5"/>
      <c r="SKF10" s="5"/>
      <c r="SKG10" s="5"/>
      <c r="SKH10" s="5"/>
      <c r="SKI10" s="5"/>
      <c r="SKJ10" s="5"/>
      <c r="SKK10" s="5"/>
      <c r="SKL10" s="5"/>
      <c r="SKM10" s="5"/>
      <c r="SKN10" s="5"/>
      <c r="SKO10" s="5"/>
      <c r="SKP10" s="5"/>
      <c r="SKQ10" s="5"/>
      <c r="SKR10" s="5"/>
      <c r="SKS10" s="5"/>
      <c r="SKT10" s="5"/>
      <c r="SKU10" s="5"/>
      <c r="SKV10" s="5"/>
      <c r="SKW10" s="5"/>
      <c r="SKX10" s="5"/>
      <c r="SKY10" s="5"/>
      <c r="SKZ10" s="5"/>
      <c r="SLA10" s="5"/>
      <c r="SLB10" s="5"/>
      <c r="SLC10" s="5"/>
      <c r="SLD10" s="5"/>
      <c r="SLE10" s="5"/>
      <c r="SLF10" s="5"/>
      <c r="SLG10" s="5"/>
      <c r="SLH10" s="5"/>
      <c r="SLI10" s="5"/>
      <c r="SLJ10" s="5"/>
      <c r="SLK10" s="5"/>
      <c r="SLL10" s="5"/>
      <c r="SLM10" s="5"/>
      <c r="SLN10" s="5"/>
      <c r="SLO10" s="5"/>
      <c r="SLP10" s="5"/>
      <c r="SLQ10" s="5"/>
      <c r="SLR10" s="5"/>
      <c r="SLS10" s="5"/>
      <c r="SLT10" s="5"/>
      <c r="SLU10" s="5"/>
      <c r="SLV10" s="5"/>
      <c r="SLW10" s="5"/>
      <c r="SLX10" s="5"/>
      <c r="SLY10" s="5"/>
      <c r="SLZ10" s="5"/>
      <c r="SMA10" s="5"/>
      <c r="SMB10" s="5"/>
      <c r="SMC10" s="5"/>
      <c r="SMD10" s="5"/>
      <c r="SME10" s="5"/>
      <c r="SMF10" s="5"/>
      <c r="SMG10" s="5"/>
      <c r="SMH10" s="5"/>
      <c r="SMI10" s="5"/>
      <c r="SMJ10" s="5"/>
      <c r="SMK10" s="5"/>
      <c r="SML10" s="5"/>
      <c r="SMM10" s="5"/>
      <c r="SMN10" s="5"/>
      <c r="SMO10" s="5"/>
      <c r="SMP10" s="5"/>
      <c r="SMQ10" s="5"/>
      <c r="SMR10" s="5"/>
      <c r="SMS10" s="5"/>
      <c r="SMT10" s="5"/>
      <c r="SMU10" s="5"/>
      <c r="SMV10" s="5"/>
      <c r="SMW10" s="5"/>
      <c r="SMX10" s="5"/>
      <c r="SMY10" s="5"/>
      <c r="SMZ10" s="5"/>
      <c r="SNA10" s="5"/>
      <c r="SNB10" s="5"/>
      <c r="SNC10" s="5"/>
      <c r="SND10" s="5"/>
      <c r="SNE10" s="5"/>
      <c r="SNF10" s="5"/>
      <c r="SNG10" s="5"/>
      <c r="SNH10" s="5"/>
      <c r="SNI10" s="5"/>
      <c r="SNJ10" s="5"/>
      <c r="SNK10" s="5"/>
      <c r="SNL10" s="5"/>
      <c r="SNM10" s="5"/>
      <c r="SNN10" s="5"/>
      <c r="SNO10" s="5"/>
      <c r="SNP10" s="5"/>
      <c r="SNQ10" s="5"/>
      <c r="SNR10" s="5"/>
      <c r="SNS10" s="5"/>
      <c r="SNT10" s="5"/>
      <c r="SNU10" s="5"/>
      <c r="SNV10" s="5"/>
      <c r="SNW10" s="5"/>
      <c r="SNX10" s="5"/>
      <c r="SNY10" s="5"/>
      <c r="SNZ10" s="5"/>
      <c r="SOA10" s="5"/>
      <c r="SOB10" s="5"/>
      <c r="SOC10" s="5"/>
      <c r="SOD10" s="5"/>
      <c r="SOE10" s="5"/>
      <c r="SOF10" s="5"/>
      <c r="SOG10" s="5"/>
      <c r="SOH10" s="5"/>
      <c r="SOI10" s="5"/>
      <c r="SOJ10" s="5"/>
      <c r="SOK10" s="5"/>
      <c r="SOL10" s="5"/>
      <c r="SOM10" s="5"/>
      <c r="SON10" s="5"/>
      <c r="SOO10" s="5"/>
      <c r="SOP10" s="5"/>
      <c r="SOQ10" s="5"/>
      <c r="SOR10" s="5"/>
      <c r="SOS10" s="5"/>
      <c r="SOT10" s="5"/>
      <c r="SOU10" s="5"/>
      <c r="SOV10" s="5"/>
      <c r="SOW10" s="5"/>
      <c r="SOX10" s="5"/>
      <c r="SOY10" s="5"/>
      <c r="SOZ10" s="5"/>
      <c r="SPA10" s="5"/>
      <c r="SPB10" s="5"/>
      <c r="SPC10" s="5"/>
      <c r="SPD10" s="5"/>
      <c r="SPE10" s="5"/>
      <c r="SPF10" s="5"/>
      <c r="SPG10" s="5"/>
      <c r="SPH10" s="5"/>
      <c r="SPI10" s="5"/>
      <c r="SPJ10" s="5"/>
      <c r="SPK10" s="5"/>
      <c r="SPL10" s="5"/>
      <c r="SPM10" s="5"/>
      <c r="SPN10" s="5"/>
      <c r="SPO10" s="5"/>
      <c r="SPP10" s="5"/>
      <c r="SPQ10" s="5"/>
      <c r="SPR10" s="5"/>
      <c r="SPS10" s="5"/>
      <c r="SPT10" s="5"/>
      <c r="SPU10" s="5"/>
      <c r="SPV10" s="5"/>
      <c r="SPW10" s="5"/>
      <c r="SPX10" s="5"/>
      <c r="SPY10" s="5"/>
      <c r="SPZ10" s="5"/>
      <c r="SQA10" s="5"/>
      <c r="SQB10" s="5"/>
      <c r="SQC10" s="5"/>
      <c r="SQD10" s="5"/>
      <c r="SQE10" s="5"/>
      <c r="SQF10" s="5"/>
      <c r="SQG10" s="5"/>
      <c r="SQH10" s="5"/>
      <c r="SQI10" s="5"/>
      <c r="SQJ10" s="5"/>
      <c r="SQK10" s="5"/>
      <c r="SQL10" s="5"/>
      <c r="SQM10" s="5"/>
      <c r="SQN10" s="5"/>
      <c r="SQO10" s="5"/>
      <c r="SQP10" s="5"/>
      <c r="SQQ10" s="5"/>
      <c r="SQR10" s="5"/>
      <c r="SQS10" s="5"/>
      <c r="SQT10" s="5"/>
      <c r="SQU10" s="5"/>
      <c r="SQV10" s="5"/>
      <c r="SQW10" s="5"/>
      <c r="SQX10" s="5"/>
      <c r="SQY10" s="5"/>
      <c r="SQZ10" s="5"/>
      <c r="SRA10" s="5"/>
      <c r="SRB10" s="5"/>
      <c r="SRC10" s="5"/>
      <c r="SRD10" s="5"/>
      <c r="SRE10" s="5"/>
      <c r="SRF10" s="5"/>
      <c r="SRG10" s="5"/>
      <c r="SRH10" s="5"/>
      <c r="SRI10" s="5"/>
      <c r="SRJ10" s="5"/>
      <c r="SRK10" s="5"/>
      <c r="SRL10" s="5"/>
      <c r="SRM10" s="5"/>
      <c r="SRN10" s="5"/>
      <c r="SRO10" s="5"/>
      <c r="SRP10" s="5"/>
      <c r="SRQ10" s="5"/>
      <c r="SRR10" s="5"/>
      <c r="SRS10" s="5"/>
      <c r="SRT10" s="5"/>
      <c r="SRU10" s="5"/>
      <c r="SRV10" s="5"/>
      <c r="SRW10" s="5"/>
      <c r="SRX10" s="5"/>
      <c r="SRY10" s="5"/>
      <c r="SRZ10" s="5"/>
      <c r="SSA10" s="5"/>
      <c r="SSB10" s="5"/>
      <c r="SSC10" s="5"/>
      <c r="SSD10" s="5"/>
      <c r="SSE10" s="5"/>
      <c r="SSF10" s="5"/>
      <c r="SSG10" s="5"/>
      <c r="SSH10" s="5"/>
      <c r="SSI10" s="5"/>
      <c r="SSJ10" s="5"/>
      <c r="SSK10" s="5"/>
      <c r="SSL10" s="5"/>
      <c r="SSM10" s="5"/>
      <c r="SSN10" s="5"/>
      <c r="SSO10" s="5"/>
      <c r="SSP10" s="5"/>
      <c r="SSQ10" s="5"/>
      <c r="SSR10" s="5"/>
      <c r="SSS10" s="5"/>
      <c r="SST10" s="5"/>
      <c r="SSU10" s="5"/>
      <c r="SSV10" s="5"/>
      <c r="SSW10" s="5"/>
      <c r="SSX10" s="5"/>
      <c r="SSY10" s="5"/>
      <c r="SSZ10" s="5"/>
      <c r="STA10" s="5"/>
      <c r="STB10" s="5"/>
      <c r="STC10" s="5"/>
      <c r="STD10" s="5"/>
      <c r="STE10" s="5"/>
      <c r="STF10" s="5"/>
      <c r="STG10" s="5"/>
      <c r="STH10" s="5"/>
      <c r="STI10" s="5"/>
      <c r="STJ10" s="5"/>
      <c r="STK10" s="5"/>
      <c r="STL10" s="5"/>
      <c r="STM10" s="5"/>
      <c r="STN10" s="5"/>
      <c r="STO10" s="5"/>
      <c r="STP10" s="5"/>
      <c r="STQ10" s="5"/>
      <c r="STR10" s="5"/>
      <c r="STS10" s="5"/>
      <c r="STT10" s="5"/>
      <c r="STU10" s="5"/>
      <c r="STV10" s="5"/>
      <c r="STW10" s="5"/>
      <c r="STX10" s="5"/>
      <c r="STY10" s="5"/>
      <c r="STZ10" s="5"/>
      <c r="SUA10" s="5"/>
      <c r="SUB10" s="5"/>
      <c r="SUC10" s="5"/>
      <c r="SUD10" s="5"/>
      <c r="SUE10" s="5"/>
      <c r="SUF10" s="5"/>
      <c r="SUG10" s="5"/>
      <c r="SUH10" s="5"/>
      <c r="SUI10" s="5"/>
      <c r="SUJ10" s="5"/>
      <c r="SUK10" s="5"/>
      <c r="SUL10" s="5"/>
      <c r="SUM10" s="5"/>
      <c r="SUN10" s="5"/>
      <c r="SUO10" s="5"/>
      <c r="SUP10" s="5"/>
      <c r="SUQ10" s="5"/>
      <c r="SUR10" s="5"/>
      <c r="SUS10" s="5"/>
      <c r="SUT10" s="5"/>
      <c r="SUU10" s="5"/>
      <c r="SUV10" s="5"/>
      <c r="SUW10" s="5"/>
      <c r="SUX10" s="5"/>
      <c r="SUY10" s="5"/>
      <c r="SUZ10" s="5"/>
      <c r="SVA10" s="5"/>
      <c r="SVB10" s="5"/>
      <c r="SVC10" s="5"/>
      <c r="SVD10" s="5"/>
      <c r="SVE10" s="5"/>
      <c r="SVF10" s="5"/>
      <c r="SVG10" s="5"/>
      <c r="SVH10" s="5"/>
      <c r="SVI10" s="5"/>
      <c r="SVJ10" s="5"/>
      <c r="SVK10" s="5"/>
      <c r="SVL10" s="5"/>
      <c r="SVM10" s="5"/>
      <c r="SVN10" s="5"/>
      <c r="SVO10" s="5"/>
      <c r="SVP10" s="5"/>
      <c r="SVQ10" s="5"/>
      <c r="SVR10" s="5"/>
      <c r="SVS10" s="5"/>
      <c r="SVT10" s="5"/>
      <c r="SVU10" s="5"/>
      <c r="SVV10" s="5"/>
      <c r="SVW10" s="5"/>
      <c r="SVX10" s="5"/>
      <c r="SVY10" s="5"/>
      <c r="SVZ10" s="5"/>
      <c r="SWA10" s="5"/>
      <c r="SWB10" s="5"/>
      <c r="SWC10" s="5"/>
      <c r="SWD10" s="5"/>
      <c r="SWE10" s="5"/>
      <c r="SWF10" s="5"/>
      <c r="SWG10" s="5"/>
      <c r="SWH10" s="5"/>
      <c r="SWI10" s="5"/>
      <c r="SWJ10" s="5"/>
      <c r="SWK10" s="5"/>
      <c r="SWL10" s="5"/>
      <c r="SWM10" s="5"/>
      <c r="SWN10" s="5"/>
      <c r="SWO10" s="5"/>
      <c r="SWP10" s="5"/>
      <c r="SWQ10" s="5"/>
      <c r="SWR10" s="5"/>
      <c r="SWS10" s="5"/>
      <c r="SWT10" s="5"/>
      <c r="SWU10" s="5"/>
      <c r="SWV10" s="5"/>
      <c r="SWW10" s="5"/>
      <c r="SWX10" s="5"/>
      <c r="SWY10" s="5"/>
      <c r="SWZ10" s="5"/>
      <c r="SXA10" s="5"/>
      <c r="SXB10" s="5"/>
      <c r="SXC10" s="5"/>
      <c r="SXD10" s="5"/>
      <c r="SXE10" s="5"/>
      <c r="SXF10" s="5"/>
      <c r="SXG10" s="5"/>
      <c r="SXH10" s="5"/>
      <c r="SXI10" s="5"/>
      <c r="SXJ10" s="5"/>
      <c r="SXK10" s="5"/>
      <c r="SXL10" s="5"/>
      <c r="SXM10" s="5"/>
      <c r="SXN10" s="5"/>
      <c r="SXO10" s="5"/>
      <c r="SXP10" s="5"/>
      <c r="SXQ10" s="5"/>
      <c r="SXR10" s="5"/>
      <c r="SXS10" s="5"/>
      <c r="SXT10" s="5"/>
      <c r="SXU10" s="5"/>
      <c r="SXV10" s="5"/>
      <c r="SXW10" s="5"/>
      <c r="SXX10" s="5"/>
      <c r="SXY10" s="5"/>
      <c r="SXZ10" s="5"/>
      <c r="SYA10" s="5"/>
      <c r="SYB10" s="5"/>
      <c r="SYC10" s="5"/>
      <c r="SYD10" s="5"/>
      <c r="SYE10" s="5"/>
      <c r="SYF10" s="5"/>
      <c r="SYG10" s="5"/>
      <c r="SYH10" s="5"/>
      <c r="SYI10" s="5"/>
      <c r="SYJ10" s="5"/>
      <c r="SYK10" s="5"/>
      <c r="SYL10" s="5"/>
      <c r="SYM10" s="5"/>
      <c r="SYN10" s="5"/>
      <c r="SYO10" s="5"/>
      <c r="SYP10" s="5"/>
      <c r="SYQ10" s="5"/>
      <c r="SYR10" s="5"/>
      <c r="SYS10" s="5"/>
      <c r="SYT10" s="5"/>
      <c r="SYU10" s="5"/>
      <c r="SYV10" s="5"/>
      <c r="SYW10" s="5"/>
      <c r="SYX10" s="5"/>
      <c r="SYY10" s="5"/>
      <c r="SYZ10" s="5"/>
      <c r="SZA10" s="5"/>
      <c r="SZB10" s="5"/>
      <c r="SZC10" s="5"/>
      <c r="SZD10" s="5"/>
      <c r="SZE10" s="5"/>
      <c r="SZF10" s="5"/>
      <c r="SZG10" s="5"/>
      <c r="SZH10" s="5"/>
      <c r="SZI10" s="5"/>
      <c r="SZJ10" s="5"/>
      <c r="SZK10" s="5"/>
      <c r="SZL10" s="5"/>
      <c r="SZM10" s="5"/>
      <c r="SZN10" s="5"/>
      <c r="SZO10" s="5"/>
      <c r="SZP10" s="5"/>
      <c r="SZQ10" s="5"/>
      <c r="SZR10" s="5"/>
      <c r="SZS10" s="5"/>
      <c r="SZT10" s="5"/>
      <c r="SZU10" s="5"/>
      <c r="SZV10" s="5"/>
      <c r="SZW10" s="5"/>
      <c r="SZX10" s="5"/>
      <c r="SZY10" s="5"/>
      <c r="SZZ10" s="5"/>
      <c r="TAA10" s="5"/>
      <c r="TAB10" s="5"/>
      <c r="TAC10" s="5"/>
      <c r="TAD10" s="5"/>
      <c r="TAE10" s="5"/>
      <c r="TAF10" s="5"/>
      <c r="TAG10" s="5"/>
      <c r="TAH10" s="5"/>
      <c r="TAI10" s="5"/>
      <c r="TAJ10" s="5"/>
      <c r="TAK10" s="5"/>
      <c r="TAL10" s="5"/>
      <c r="TAM10" s="5"/>
      <c r="TAN10" s="5"/>
      <c r="TAO10" s="5"/>
      <c r="TAP10" s="5"/>
      <c r="TAQ10" s="5"/>
      <c r="TAR10" s="5"/>
      <c r="TAS10" s="5"/>
      <c r="TAT10" s="5"/>
      <c r="TAU10" s="5"/>
      <c r="TAV10" s="5"/>
      <c r="TAW10" s="5"/>
      <c r="TAX10" s="5"/>
      <c r="TAY10" s="5"/>
      <c r="TAZ10" s="5"/>
      <c r="TBA10" s="5"/>
      <c r="TBB10" s="5"/>
      <c r="TBC10" s="5"/>
      <c r="TBD10" s="5"/>
      <c r="TBE10" s="5"/>
      <c r="TBF10" s="5"/>
      <c r="TBG10" s="5"/>
      <c r="TBH10" s="5"/>
      <c r="TBI10" s="5"/>
      <c r="TBJ10" s="5"/>
      <c r="TBK10" s="5"/>
      <c r="TBL10" s="5"/>
      <c r="TBM10" s="5"/>
      <c r="TBN10" s="5"/>
      <c r="TBO10" s="5"/>
      <c r="TBP10" s="5"/>
      <c r="TBQ10" s="5"/>
      <c r="TBR10" s="5"/>
      <c r="TBS10" s="5"/>
      <c r="TBT10" s="5"/>
      <c r="TBU10" s="5"/>
      <c r="TBV10" s="5"/>
      <c r="TBW10" s="5"/>
      <c r="TBX10" s="5"/>
      <c r="TBY10" s="5"/>
      <c r="TBZ10" s="5"/>
      <c r="TCA10" s="5"/>
      <c r="TCB10" s="5"/>
      <c r="TCC10" s="5"/>
      <c r="TCD10" s="5"/>
      <c r="TCE10" s="5"/>
      <c r="TCF10" s="5"/>
      <c r="TCG10" s="5"/>
      <c r="TCH10" s="5"/>
      <c r="TCI10" s="5"/>
      <c r="TCJ10" s="5"/>
      <c r="TCK10" s="5"/>
      <c r="TCL10" s="5"/>
      <c r="TCM10" s="5"/>
      <c r="TCN10" s="5"/>
      <c r="TCO10" s="5"/>
      <c r="TCP10" s="5"/>
      <c r="TCQ10" s="5"/>
      <c r="TCR10" s="5"/>
      <c r="TCS10" s="5"/>
      <c r="TCT10" s="5"/>
      <c r="TCU10" s="5"/>
      <c r="TCV10" s="5"/>
      <c r="TCW10" s="5"/>
      <c r="TCX10" s="5"/>
      <c r="TCY10" s="5"/>
      <c r="TCZ10" s="5"/>
      <c r="TDA10" s="5"/>
      <c r="TDB10" s="5"/>
      <c r="TDC10" s="5"/>
      <c r="TDD10" s="5"/>
      <c r="TDE10" s="5"/>
      <c r="TDF10" s="5"/>
      <c r="TDG10" s="5"/>
      <c r="TDH10" s="5"/>
      <c r="TDI10" s="5"/>
      <c r="TDJ10" s="5"/>
      <c r="TDK10" s="5"/>
      <c r="TDL10" s="5"/>
      <c r="TDM10" s="5"/>
      <c r="TDN10" s="5"/>
      <c r="TDO10" s="5"/>
      <c r="TDP10" s="5"/>
      <c r="TDQ10" s="5"/>
      <c r="TDR10" s="5"/>
      <c r="TDS10" s="5"/>
      <c r="TDT10" s="5"/>
      <c r="TDU10" s="5"/>
      <c r="TDV10" s="5"/>
      <c r="TDW10" s="5"/>
      <c r="TDX10" s="5"/>
      <c r="TDY10" s="5"/>
      <c r="TDZ10" s="5"/>
      <c r="TEA10" s="5"/>
      <c r="TEB10" s="5"/>
      <c r="TEC10" s="5"/>
      <c r="TED10" s="5"/>
      <c r="TEE10" s="5"/>
      <c r="TEF10" s="5"/>
      <c r="TEG10" s="5"/>
      <c r="TEH10" s="5"/>
      <c r="TEI10" s="5"/>
      <c r="TEJ10" s="5"/>
      <c r="TEK10" s="5"/>
      <c r="TEL10" s="5"/>
      <c r="TEM10" s="5"/>
      <c r="TEN10" s="5"/>
      <c r="TEO10" s="5"/>
      <c r="TEP10" s="5"/>
      <c r="TEQ10" s="5"/>
      <c r="TER10" s="5"/>
      <c r="TES10" s="5"/>
      <c r="TET10" s="5"/>
      <c r="TEU10" s="5"/>
      <c r="TEV10" s="5"/>
      <c r="TEW10" s="5"/>
      <c r="TEX10" s="5"/>
      <c r="TEY10" s="5"/>
      <c r="TEZ10" s="5"/>
      <c r="TFA10" s="5"/>
      <c r="TFB10" s="5"/>
      <c r="TFC10" s="5"/>
      <c r="TFD10" s="5"/>
      <c r="TFE10" s="5"/>
      <c r="TFF10" s="5"/>
      <c r="TFG10" s="5"/>
      <c r="TFH10" s="5"/>
      <c r="TFI10" s="5"/>
      <c r="TFJ10" s="5"/>
      <c r="TFK10" s="5"/>
      <c r="TFL10" s="5"/>
      <c r="TFM10" s="5"/>
      <c r="TFN10" s="5"/>
      <c r="TFO10" s="5"/>
      <c r="TFP10" s="5"/>
      <c r="TFQ10" s="5"/>
      <c r="TFR10" s="5"/>
      <c r="TFS10" s="5"/>
      <c r="TFT10" s="5"/>
      <c r="TFU10" s="5"/>
      <c r="TFV10" s="5"/>
      <c r="TFW10" s="5"/>
      <c r="TFX10" s="5"/>
      <c r="TFY10" s="5"/>
      <c r="TFZ10" s="5"/>
      <c r="TGA10" s="5"/>
      <c r="TGB10" s="5"/>
      <c r="TGC10" s="5"/>
      <c r="TGD10" s="5"/>
      <c r="TGE10" s="5"/>
      <c r="TGF10" s="5"/>
      <c r="TGG10" s="5"/>
      <c r="TGH10" s="5"/>
      <c r="TGI10" s="5"/>
      <c r="TGJ10" s="5"/>
      <c r="TGK10" s="5"/>
      <c r="TGL10" s="5"/>
      <c r="TGM10" s="5"/>
      <c r="TGN10" s="5"/>
      <c r="TGO10" s="5"/>
      <c r="TGP10" s="5"/>
      <c r="TGQ10" s="5"/>
      <c r="TGR10" s="5"/>
      <c r="TGS10" s="5"/>
      <c r="TGT10" s="5"/>
      <c r="TGU10" s="5"/>
      <c r="TGV10" s="5"/>
      <c r="TGW10" s="5"/>
      <c r="TGX10" s="5"/>
      <c r="TGY10" s="5"/>
      <c r="TGZ10" s="5"/>
      <c r="THA10" s="5"/>
      <c r="THB10" s="5"/>
      <c r="THC10" s="5"/>
      <c r="THD10" s="5"/>
      <c r="THE10" s="5"/>
      <c r="THF10" s="5"/>
      <c r="THG10" s="5"/>
      <c r="THH10" s="5"/>
      <c r="THI10" s="5"/>
      <c r="THJ10" s="5"/>
      <c r="THK10" s="5"/>
      <c r="THL10" s="5"/>
      <c r="THM10" s="5"/>
      <c r="THN10" s="5"/>
      <c r="THO10" s="5"/>
      <c r="THP10" s="5"/>
      <c r="THQ10" s="5"/>
      <c r="THR10" s="5"/>
      <c r="THS10" s="5"/>
      <c r="THT10" s="5"/>
      <c r="THU10" s="5"/>
      <c r="THV10" s="5"/>
      <c r="THW10" s="5"/>
      <c r="THX10" s="5"/>
      <c r="THY10" s="5"/>
      <c r="THZ10" s="5"/>
      <c r="TIA10" s="5"/>
      <c r="TIB10" s="5"/>
      <c r="TIC10" s="5"/>
      <c r="TID10" s="5"/>
      <c r="TIE10" s="5"/>
      <c r="TIF10" s="5"/>
      <c r="TIG10" s="5"/>
      <c r="TIH10" s="5"/>
      <c r="TII10" s="5"/>
      <c r="TIJ10" s="5"/>
      <c r="TIK10" s="5"/>
      <c r="TIL10" s="5"/>
      <c r="TIM10" s="5"/>
      <c r="TIN10" s="5"/>
      <c r="TIO10" s="5"/>
      <c r="TIP10" s="5"/>
      <c r="TIQ10" s="5"/>
      <c r="TIR10" s="5"/>
      <c r="TIS10" s="5"/>
      <c r="TIT10" s="5"/>
      <c r="TIU10" s="5"/>
      <c r="TIV10" s="5"/>
      <c r="TIW10" s="5"/>
      <c r="TIX10" s="5"/>
      <c r="TIY10" s="5"/>
      <c r="TIZ10" s="5"/>
      <c r="TJA10" s="5"/>
      <c r="TJB10" s="5"/>
      <c r="TJC10" s="5"/>
      <c r="TJD10" s="5"/>
      <c r="TJE10" s="5"/>
      <c r="TJF10" s="5"/>
      <c r="TJG10" s="5"/>
      <c r="TJH10" s="5"/>
      <c r="TJI10" s="5"/>
      <c r="TJJ10" s="5"/>
      <c r="TJK10" s="5"/>
      <c r="TJL10" s="5"/>
      <c r="TJM10" s="5"/>
      <c r="TJN10" s="5"/>
      <c r="TJO10" s="5"/>
      <c r="TJP10" s="5"/>
      <c r="TJQ10" s="5"/>
      <c r="TJR10" s="5"/>
      <c r="TJS10" s="5"/>
      <c r="TJT10" s="5"/>
      <c r="TJU10" s="5"/>
      <c r="TJV10" s="5"/>
      <c r="TJW10" s="5"/>
      <c r="TJX10" s="5"/>
      <c r="TJY10" s="5"/>
      <c r="TJZ10" s="5"/>
      <c r="TKA10" s="5"/>
      <c r="TKB10" s="5"/>
      <c r="TKC10" s="5"/>
      <c r="TKD10" s="5"/>
      <c r="TKE10" s="5"/>
      <c r="TKF10" s="5"/>
      <c r="TKG10" s="5"/>
      <c r="TKH10" s="5"/>
      <c r="TKI10" s="5"/>
      <c r="TKJ10" s="5"/>
      <c r="TKK10" s="5"/>
      <c r="TKL10" s="5"/>
      <c r="TKM10" s="5"/>
      <c r="TKN10" s="5"/>
      <c r="TKO10" s="5"/>
      <c r="TKP10" s="5"/>
      <c r="TKQ10" s="5"/>
      <c r="TKR10" s="5"/>
      <c r="TKS10" s="5"/>
      <c r="TKT10" s="5"/>
      <c r="TKU10" s="5"/>
      <c r="TKV10" s="5"/>
      <c r="TKW10" s="5"/>
      <c r="TKX10" s="5"/>
      <c r="TKY10" s="5"/>
      <c r="TKZ10" s="5"/>
      <c r="TLA10" s="5"/>
      <c r="TLB10" s="5"/>
      <c r="TLC10" s="5"/>
      <c r="TLD10" s="5"/>
      <c r="TLE10" s="5"/>
      <c r="TLF10" s="5"/>
      <c r="TLG10" s="5"/>
      <c r="TLH10" s="5"/>
      <c r="TLI10" s="5"/>
      <c r="TLJ10" s="5"/>
      <c r="TLK10" s="5"/>
      <c r="TLL10" s="5"/>
      <c r="TLM10" s="5"/>
      <c r="TLN10" s="5"/>
      <c r="TLO10" s="5"/>
      <c r="TLP10" s="5"/>
      <c r="TLQ10" s="5"/>
      <c r="TLR10" s="5"/>
      <c r="TLS10" s="5"/>
      <c r="TLT10" s="5"/>
      <c r="TLU10" s="5"/>
      <c r="TLV10" s="5"/>
      <c r="TLW10" s="5"/>
      <c r="TLX10" s="5"/>
      <c r="TLY10" s="5"/>
      <c r="TLZ10" s="5"/>
      <c r="TMA10" s="5"/>
      <c r="TMB10" s="5"/>
      <c r="TMC10" s="5"/>
      <c r="TMD10" s="5"/>
      <c r="TME10" s="5"/>
      <c r="TMF10" s="5"/>
      <c r="TMG10" s="5"/>
      <c r="TMH10" s="5"/>
      <c r="TMI10" s="5"/>
      <c r="TMJ10" s="5"/>
      <c r="TMK10" s="5"/>
      <c r="TML10" s="5"/>
      <c r="TMM10" s="5"/>
      <c r="TMN10" s="5"/>
      <c r="TMO10" s="5"/>
      <c r="TMP10" s="5"/>
      <c r="TMQ10" s="5"/>
      <c r="TMR10" s="5"/>
      <c r="TMS10" s="5"/>
      <c r="TMT10" s="5"/>
      <c r="TMU10" s="5"/>
      <c r="TMV10" s="5"/>
      <c r="TMW10" s="5"/>
      <c r="TMX10" s="5"/>
      <c r="TMY10" s="5"/>
      <c r="TMZ10" s="5"/>
      <c r="TNA10" s="5"/>
      <c r="TNB10" s="5"/>
      <c r="TNC10" s="5"/>
      <c r="TND10" s="5"/>
      <c r="TNE10" s="5"/>
      <c r="TNF10" s="5"/>
      <c r="TNG10" s="5"/>
      <c r="TNH10" s="5"/>
      <c r="TNI10" s="5"/>
      <c r="TNJ10" s="5"/>
      <c r="TNK10" s="5"/>
      <c r="TNL10" s="5"/>
      <c r="TNM10" s="5"/>
      <c r="TNN10" s="5"/>
      <c r="TNO10" s="5"/>
      <c r="TNP10" s="5"/>
      <c r="TNQ10" s="5"/>
      <c r="TNR10" s="5"/>
      <c r="TNS10" s="5"/>
      <c r="TNT10" s="5"/>
      <c r="TNU10" s="5"/>
      <c r="TNV10" s="5"/>
      <c r="TNW10" s="5"/>
      <c r="TNX10" s="5"/>
      <c r="TNY10" s="5"/>
      <c r="TNZ10" s="5"/>
      <c r="TOA10" s="5"/>
      <c r="TOB10" s="5"/>
      <c r="TOC10" s="5"/>
      <c r="TOD10" s="5"/>
      <c r="TOE10" s="5"/>
      <c r="TOF10" s="5"/>
      <c r="TOG10" s="5"/>
      <c r="TOH10" s="5"/>
      <c r="TOI10" s="5"/>
      <c r="TOJ10" s="5"/>
      <c r="TOK10" s="5"/>
      <c r="TOL10" s="5"/>
      <c r="TOM10" s="5"/>
      <c r="TON10" s="5"/>
      <c r="TOO10" s="5"/>
      <c r="TOP10" s="5"/>
      <c r="TOQ10" s="5"/>
      <c r="TOR10" s="5"/>
      <c r="TOS10" s="5"/>
      <c r="TOT10" s="5"/>
      <c r="TOU10" s="5"/>
      <c r="TOV10" s="5"/>
      <c r="TOW10" s="5"/>
      <c r="TOX10" s="5"/>
      <c r="TOY10" s="5"/>
      <c r="TOZ10" s="5"/>
      <c r="TPA10" s="5"/>
      <c r="TPB10" s="5"/>
      <c r="TPC10" s="5"/>
      <c r="TPD10" s="5"/>
      <c r="TPE10" s="5"/>
      <c r="TPF10" s="5"/>
      <c r="TPG10" s="5"/>
      <c r="TPH10" s="5"/>
      <c r="TPI10" s="5"/>
      <c r="TPJ10" s="5"/>
      <c r="TPK10" s="5"/>
      <c r="TPL10" s="5"/>
      <c r="TPM10" s="5"/>
      <c r="TPN10" s="5"/>
      <c r="TPO10" s="5"/>
      <c r="TPP10" s="5"/>
      <c r="TPQ10" s="5"/>
      <c r="TPR10" s="5"/>
      <c r="TPS10" s="5"/>
      <c r="TPT10" s="5"/>
      <c r="TPU10" s="5"/>
      <c r="TPV10" s="5"/>
      <c r="TPW10" s="5"/>
      <c r="TPX10" s="5"/>
      <c r="TPY10" s="5"/>
      <c r="TPZ10" s="5"/>
      <c r="TQA10" s="5"/>
      <c r="TQB10" s="5"/>
      <c r="TQC10" s="5"/>
      <c r="TQD10" s="5"/>
      <c r="TQE10" s="5"/>
      <c r="TQF10" s="5"/>
      <c r="TQG10" s="5"/>
      <c r="TQH10" s="5"/>
      <c r="TQI10" s="5"/>
      <c r="TQJ10" s="5"/>
      <c r="TQK10" s="5"/>
      <c r="TQL10" s="5"/>
      <c r="TQM10" s="5"/>
      <c r="TQN10" s="5"/>
      <c r="TQO10" s="5"/>
      <c r="TQP10" s="5"/>
      <c r="TQQ10" s="5"/>
      <c r="TQR10" s="5"/>
      <c r="TQS10" s="5"/>
      <c r="TQT10" s="5"/>
      <c r="TQU10" s="5"/>
      <c r="TQV10" s="5"/>
      <c r="TQW10" s="5"/>
      <c r="TQX10" s="5"/>
      <c r="TQY10" s="5"/>
      <c r="TQZ10" s="5"/>
      <c r="TRA10" s="5"/>
      <c r="TRB10" s="5"/>
      <c r="TRC10" s="5"/>
      <c r="TRD10" s="5"/>
      <c r="TRE10" s="5"/>
      <c r="TRF10" s="5"/>
      <c r="TRG10" s="5"/>
      <c r="TRH10" s="5"/>
      <c r="TRI10" s="5"/>
      <c r="TRJ10" s="5"/>
      <c r="TRK10" s="5"/>
      <c r="TRL10" s="5"/>
      <c r="TRM10" s="5"/>
      <c r="TRN10" s="5"/>
      <c r="TRO10" s="5"/>
      <c r="TRP10" s="5"/>
      <c r="TRQ10" s="5"/>
      <c r="TRR10" s="5"/>
      <c r="TRS10" s="5"/>
      <c r="TRT10" s="5"/>
      <c r="TRU10" s="5"/>
      <c r="TRV10" s="5"/>
      <c r="TRW10" s="5"/>
      <c r="TRX10" s="5"/>
      <c r="TRY10" s="5"/>
      <c r="TRZ10" s="5"/>
      <c r="TSA10" s="5"/>
      <c r="TSB10" s="5"/>
      <c r="TSC10" s="5"/>
      <c r="TSD10" s="5"/>
      <c r="TSE10" s="5"/>
      <c r="TSF10" s="5"/>
      <c r="TSG10" s="5"/>
      <c r="TSH10" s="5"/>
      <c r="TSI10" s="5"/>
      <c r="TSJ10" s="5"/>
      <c r="TSK10" s="5"/>
      <c r="TSL10" s="5"/>
      <c r="TSM10" s="5"/>
      <c r="TSN10" s="5"/>
      <c r="TSO10" s="5"/>
      <c r="TSP10" s="5"/>
      <c r="TSQ10" s="5"/>
      <c r="TSR10" s="5"/>
      <c r="TSS10" s="5"/>
      <c r="TST10" s="5"/>
      <c r="TSU10" s="5"/>
      <c r="TSV10" s="5"/>
      <c r="TSW10" s="5"/>
      <c r="TSX10" s="5"/>
      <c r="TSY10" s="5"/>
      <c r="TSZ10" s="5"/>
      <c r="TTA10" s="5"/>
      <c r="TTB10" s="5"/>
      <c r="TTC10" s="5"/>
      <c r="TTD10" s="5"/>
      <c r="TTE10" s="5"/>
      <c r="TTF10" s="5"/>
      <c r="TTG10" s="5"/>
      <c r="TTH10" s="5"/>
      <c r="TTI10" s="5"/>
      <c r="TTJ10" s="5"/>
      <c r="TTK10" s="5"/>
      <c r="TTL10" s="5"/>
      <c r="TTM10" s="5"/>
      <c r="TTN10" s="5"/>
      <c r="TTO10" s="5"/>
      <c r="TTP10" s="5"/>
      <c r="TTQ10" s="5"/>
      <c r="TTR10" s="5"/>
      <c r="TTS10" s="5"/>
      <c r="TTT10" s="5"/>
      <c r="TTU10" s="5"/>
      <c r="TTV10" s="5"/>
      <c r="TTW10" s="5"/>
      <c r="TTX10" s="5"/>
      <c r="TTY10" s="5"/>
      <c r="TTZ10" s="5"/>
      <c r="TUA10" s="5"/>
      <c r="TUB10" s="5"/>
      <c r="TUC10" s="5"/>
      <c r="TUD10" s="5"/>
      <c r="TUE10" s="5"/>
      <c r="TUF10" s="5"/>
      <c r="TUG10" s="5"/>
      <c r="TUH10" s="5"/>
      <c r="TUI10" s="5"/>
      <c r="TUJ10" s="5"/>
      <c r="TUK10" s="5"/>
      <c r="TUL10" s="5"/>
      <c r="TUM10" s="5"/>
      <c r="TUN10" s="5"/>
      <c r="TUO10" s="5"/>
      <c r="TUP10" s="5"/>
      <c r="TUQ10" s="5"/>
      <c r="TUR10" s="5"/>
      <c r="TUS10" s="5"/>
      <c r="TUT10" s="5"/>
      <c r="TUU10" s="5"/>
      <c r="TUV10" s="5"/>
      <c r="TUW10" s="5"/>
      <c r="TUX10" s="5"/>
      <c r="TUY10" s="5"/>
      <c r="TUZ10" s="5"/>
      <c r="TVA10" s="5"/>
      <c r="TVB10" s="5"/>
      <c r="TVC10" s="5"/>
      <c r="TVD10" s="5"/>
      <c r="TVE10" s="5"/>
      <c r="TVF10" s="5"/>
      <c r="TVG10" s="5"/>
      <c r="TVH10" s="5"/>
      <c r="TVI10" s="5"/>
      <c r="TVJ10" s="5"/>
      <c r="TVK10" s="5"/>
      <c r="TVL10" s="5"/>
      <c r="TVM10" s="5"/>
      <c r="TVN10" s="5"/>
      <c r="TVO10" s="5"/>
      <c r="TVP10" s="5"/>
      <c r="TVQ10" s="5"/>
      <c r="TVR10" s="5"/>
      <c r="TVS10" s="5"/>
      <c r="TVT10" s="5"/>
      <c r="TVU10" s="5"/>
      <c r="TVV10" s="5"/>
      <c r="TVW10" s="5"/>
      <c r="TVX10" s="5"/>
      <c r="TVY10" s="5"/>
      <c r="TVZ10" s="5"/>
      <c r="TWA10" s="5"/>
      <c r="TWB10" s="5"/>
      <c r="TWC10" s="5"/>
      <c r="TWD10" s="5"/>
      <c r="TWE10" s="5"/>
      <c r="TWF10" s="5"/>
      <c r="TWG10" s="5"/>
      <c r="TWH10" s="5"/>
      <c r="TWI10" s="5"/>
      <c r="TWJ10" s="5"/>
      <c r="TWK10" s="5"/>
      <c r="TWL10" s="5"/>
      <c r="TWM10" s="5"/>
      <c r="TWN10" s="5"/>
      <c r="TWO10" s="5"/>
      <c r="TWP10" s="5"/>
      <c r="TWQ10" s="5"/>
      <c r="TWR10" s="5"/>
      <c r="TWS10" s="5"/>
      <c r="TWT10" s="5"/>
      <c r="TWU10" s="5"/>
      <c r="TWV10" s="5"/>
      <c r="TWW10" s="5"/>
      <c r="TWX10" s="5"/>
      <c r="TWY10" s="5"/>
      <c r="TWZ10" s="5"/>
      <c r="TXA10" s="5"/>
      <c r="TXB10" s="5"/>
      <c r="TXC10" s="5"/>
      <c r="TXD10" s="5"/>
      <c r="TXE10" s="5"/>
      <c r="TXF10" s="5"/>
      <c r="TXG10" s="5"/>
      <c r="TXH10" s="5"/>
      <c r="TXI10" s="5"/>
      <c r="TXJ10" s="5"/>
      <c r="TXK10" s="5"/>
      <c r="TXL10" s="5"/>
      <c r="TXM10" s="5"/>
      <c r="TXN10" s="5"/>
      <c r="TXO10" s="5"/>
      <c r="TXP10" s="5"/>
      <c r="TXQ10" s="5"/>
      <c r="TXR10" s="5"/>
      <c r="TXS10" s="5"/>
      <c r="TXT10" s="5"/>
      <c r="TXU10" s="5"/>
      <c r="TXV10" s="5"/>
      <c r="TXW10" s="5"/>
      <c r="TXX10" s="5"/>
      <c r="TXY10" s="5"/>
      <c r="TXZ10" s="5"/>
      <c r="TYA10" s="5"/>
      <c r="TYB10" s="5"/>
      <c r="TYC10" s="5"/>
      <c r="TYD10" s="5"/>
      <c r="TYE10" s="5"/>
      <c r="TYF10" s="5"/>
      <c r="TYG10" s="5"/>
      <c r="TYH10" s="5"/>
      <c r="TYI10" s="5"/>
      <c r="TYJ10" s="5"/>
      <c r="TYK10" s="5"/>
      <c r="TYL10" s="5"/>
      <c r="TYM10" s="5"/>
      <c r="TYN10" s="5"/>
      <c r="TYO10" s="5"/>
      <c r="TYP10" s="5"/>
      <c r="TYQ10" s="5"/>
      <c r="TYR10" s="5"/>
      <c r="TYS10" s="5"/>
      <c r="TYT10" s="5"/>
      <c r="TYU10" s="5"/>
      <c r="TYV10" s="5"/>
      <c r="TYW10" s="5"/>
      <c r="TYX10" s="5"/>
      <c r="TYY10" s="5"/>
      <c r="TYZ10" s="5"/>
      <c r="TZA10" s="5"/>
      <c r="TZB10" s="5"/>
      <c r="TZC10" s="5"/>
      <c r="TZD10" s="5"/>
      <c r="TZE10" s="5"/>
      <c r="TZF10" s="5"/>
      <c r="TZG10" s="5"/>
      <c r="TZH10" s="5"/>
      <c r="TZI10" s="5"/>
      <c r="TZJ10" s="5"/>
      <c r="TZK10" s="5"/>
      <c r="TZL10" s="5"/>
      <c r="TZM10" s="5"/>
      <c r="TZN10" s="5"/>
      <c r="TZO10" s="5"/>
      <c r="TZP10" s="5"/>
      <c r="TZQ10" s="5"/>
      <c r="TZR10" s="5"/>
      <c r="TZS10" s="5"/>
      <c r="TZT10" s="5"/>
      <c r="TZU10" s="5"/>
      <c r="TZV10" s="5"/>
      <c r="TZW10" s="5"/>
      <c r="TZX10" s="5"/>
      <c r="TZY10" s="5"/>
      <c r="TZZ10" s="5"/>
      <c r="UAA10" s="5"/>
      <c r="UAB10" s="5"/>
      <c r="UAC10" s="5"/>
      <c r="UAD10" s="5"/>
      <c r="UAE10" s="5"/>
      <c r="UAF10" s="5"/>
      <c r="UAG10" s="5"/>
      <c r="UAH10" s="5"/>
      <c r="UAI10" s="5"/>
      <c r="UAJ10" s="5"/>
      <c r="UAK10" s="5"/>
      <c r="UAL10" s="5"/>
      <c r="UAM10" s="5"/>
      <c r="UAN10" s="5"/>
      <c r="UAO10" s="5"/>
      <c r="UAP10" s="5"/>
      <c r="UAQ10" s="5"/>
      <c r="UAR10" s="5"/>
      <c r="UAS10" s="5"/>
      <c r="UAT10" s="5"/>
      <c r="UAU10" s="5"/>
      <c r="UAV10" s="5"/>
      <c r="UAW10" s="5"/>
      <c r="UAX10" s="5"/>
      <c r="UAY10" s="5"/>
      <c r="UAZ10" s="5"/>
      <c r="UBA10" s="5"/>
      <c r="UBB10" s="5"/>
      <c r="UBC10" s="5"/>
      <c r="UBD10" s="5"/>
      <c r="UBE10" s="5"/>
      <c r="UBF10" s="5"/>
      <c r="UBG10" s="5"/>
      <c r="UBH10" s="5"/>
      <c r="UBI10" s="5"/>
      <c r="UBJ10" s="5"/>
      <c r="UBK10" s="5"/>
      <c r="UBL10" s="5"/>
      <c r="UBM10" s="5"/>
      <c r="UBN10" s="5"/>
      <c r="UBO10" s="5"/>
      <c r="UBP10" s="5"/>
      <c r="UBQ10" s="5"/>
      <c r="UBR10" s="5"/>
      <c r="UBS10" s="5"/>
      <c r="UBT10" s="5"/>
      <c r="UBU10" s="5"/>
      <c r="UBV10" s="5"/>
      <c r="UBW10" s="5"/>
      <c r="UBX10" s="5"/>
      <c r="UBY10" s="5"/>
      <c r="UBZ10" s="5"/>
      <c r="UCA10" s="5"/>
      <c r="UCB10" s="5"/>
      <c r="UCC10" s="5"/>
      <c r="UCD10" s="5"/>
      <c r="UCE10" s="5"/>
      <c r="UCF10" s="5"/>
      <c r="UCG10" s="5"/>
      <c r="UCH10" s="5"/>
      <c r="UCI10" s="5"/>
      <c r="UCJ10" s="5"/>
      <c r="UCK10" s="5"/>
      <c r="UCL10" s="5"/>
      <c r="UCM10" s="5"/>
      <c r="UCN10" s="5"/>
      <c r="UCO10" s="5"/>
      <c r="UCP10" s="5"/>
      <c r="UCQ10" s="5"/>
      <c r="UCR10" s="5"/>
      <c r="UCS10" s="5"/>
      <c r="UCT10" s="5"/>
      <c r="UCU10" s="5"/>
      <c r="UCV10" s="5"/>
      <c r="UCW10" s="5"/>
      <c r="UCX10" s="5"/>
      <c r="UCY10" s="5"/>
      <c r="UCZ10" s="5"/>
      <c r="UDA10" s="5"/>
      <c r="UDB10" s="5"/>
      <c r="UDC10" s="5"/>
      <c r="UDD10" s="5"/>
      <c r="UDE10" s="5"/>
      <c r="UDF10" s="5"/>
      <c r="UDG10" s="5"/>
      <c r="UDH10" s="5"/>
      <c r="UDI10" s="5"/>
      <c r="UDJ10" s="5"/>
      <c r="UDK10" s="5"/>
      <c r="UDL10" s="5"/>
      <c r="UDM10" s="5"/>
      <c r="UDN10" s="5"/>
      <c r="UDO10" s="5"/>
      <c r="UDP10" s="5"/>
      <c r="UDQ10" s="5"/>
      <c r="UDR10" s="5"/>
      <c r="UDS10" s="5"/>
      <c r="UDT10" s="5"/>
      <c r="UDU10" s="5"/>
      <c r="UDV10" s="5"/>
      <c r="UDW10" s="5"/>
      <c r="UDX10" s="5"/>
      <c r="UDY10" s="5"/>
      <c r="UDZ10" s="5"/>
      <c r="UEA10" s="5"/>
      <c r="UEB10" s="5"/>
      <c r="UEC10" s="5"/>
      <c r="UED10" s="5"/>
      <c r="UEE10" s="5"/>
      <c r="UEF10" s="5"/>
      <c r="UEG10" s="5"/>
      <c r="UEH10" s="5"/>
      <c r="UEI10" s="5"/>
      <c r="UEJ10" s="5"/>
      <c r="UEK10" s="5"/>
      <c r="UEL10" s="5"/>
      <c r="UEM10" s="5"/>
      <c r="UEN10" s="5"/>
      <c r="UEO10" s="5"/>
      <c r="UEP10" s="5"/>
      <c r="UEQ10" s="5"/>
      <c r="UER10" s="5"/>
      <c r="UES10" s="5"/>
      <c r="UET10" s="5"/>
      <c r="UEU10" s="5"/>
      <c r="UEV10" s="5"/>
      <c r="UEW10" s="5"/>
      <c r="UEX10" s="5"/>
      <c r="UEY10" s="5"/>
      <c r="UEZ10" s="5"/>
      <c r="UFA10" s="5"/>
      <c r="UFB10" s="5"/>
      <c r="UFC10" s="5"/>
      <c r="UFD10" s="5"/>
      <c r="UFE10" s="5"/>
      <c r="UFF10" s="5"/>
      <c r="UFG10" s="5"/>
      <c r="UFH10" s="5"/>
      <c r="UFI10" s="5"/>
      <c r="UFJ10" s="5"/>
      <c r="UFK10" s="5"/>
      <c r="UFL10" s="5"/>
      <c r="UFM10" s="5"/>
      <c r="UFN10" s="5"/>
      <c r="UFO10" s="5"/>
      <c r="UFP10" s="5"/>
      <c r="UFQ10" s="5"/>
      <c r="UFR10" s="5"/>
      <c r="UFS10" s="5"/>
      <c r="UFT10" s="5"/>
      <c r="UFU10" s="5"/>
      <c r="UFV10" s="5"/>
      <c r="UFW10" s="5"/>
      <c r="UFX10" s="5"/>
      <c r="UFY10" s="5"/>
      <c r="UFZ10" s="5"/>
      <c r="UGA10" s="5"/>
      <c r="UGB10" s="5"/>
      <c r="UGC10" s="5"/>
      <c r="UGD10" s="5"/>
      <c r="UGE10" s="5"/>
      <c r="UGF10" s="5"/>
      <c r="UGG10" s="5"/>
      <c r="UGH10" s="5"/>
      <c r="UGI10" s="5"/>
      <c r="UGJ10" s="5"/>
      <c r="UGK10" s="5"/>
      <c r="UGL10" s="5"/>
      <c r="UGM10" s="5"/>
      <c r="UGN10" s="5"/>
      <c r="UGO10" s="5"/>
      <c r="UGP10" s="5"/>
      <c r="UGQ10" s="5"/>
      <c r="UGR10" s="5"/>
      <c r="UGS10" s="5"/>
      <c r="UGT10" s="5"/>
      <c r="UGU10" s="5"/>
      <c r="UGV10" s="5"/>
      <c r="UGW10" s="5"/>
      <c r="UGX10" s="5"/>
      <c r="UGY10" s="5"/>
      <c r="UGZ10" s="5"/>
      <c r="UHA10" s="5"/>
      <c r="UHB10" s="5"/>
      <c r="UHC10" s="5"/>
      <c r="UHD10" s="5"/>
      <c r="UHE10" s="5"/>
      <c r="UHF10" s="5"/>
      <c r="UHG10" s="5"/>
      <c r="UHH10" s="5"/>
      <c r="UHI10" s="5"/>
      <c r="UHJ10" s="5"/>
      <c r="UHK10" s="5"/>
      <c r="UHL10" s="5"/>
      <c r="UHM10" s="5"/>
      <c r="UHN10" s="5"/>
      <c r="UHO10" s="5"/>
      <c r="UHP10" s="5"/>
      <c r="UHQ10" s="5"/>
      <c r="UHR10" s="5"/>
      <c r="UHS10" s="5"/>
      <c r="UHT10" s="5"/>
      <c r="UHU10" s="5"/>
      <c r="UHV10" s="5"/>
      <c r="UHW10" s="5"/>
      <c r="UHX10" s="5"/>
      <c r="UHY10" s="5"/>
      <c r="UHZ10" s="5"/>
      <c r="UIA10" s="5"/>
      <c r="UIB10" s="5"/>
      <c r="UIC10" s="5"/>
      <c r="UID10" s="5"/>
      <c r="UIE10" s="5"/>
      <c r="UIF10" s="5"/>
      <c r="UIG10" s="5"/>
      <c r="UIH10" s="5"/>
      <c r="UII10" s="5"/>
      <c r="UIJ10" s="5"/>
      <c r="UIK10" s="5"/>
      <c r="UIL10" s="5"/>
      <c r="UIM10" s="5"/>
      <c r="UIN10" s="5"/>
      <c r="UIO10" s="5"/>
      <c r="UIP10" s="5"/>
      <c r="UIQ10" s="5"/>
      <c r="UIR10" s="5"/>
      <c r="UIS10" s="5"/>
      <c r="UIT10" s="5"/>
      <c r="UIU10" s="5"/>
      <c r="UIV10" s="5"/>
      <c r="UIW10" s="5"/>
      <c r="UIX10" s="5"/>
      <c r="UIY10" s="5"/>
      <c r="UIZ10" s="5"/>
      <c r="UJA10" s="5"/>
      <c r="UJB10" s="5"/>
      <c r="UJC10" s="5"/>
      <c r="UJD10" s="5"/>
      <c r="UJE10" s="5"/>
      <c r="UJF10" s="5"/>
      <c r="UJG10" s="5"/>
      <c r="UJH10" s="5"/>
      <c r="UJI10" s="5"/>
      <c r="UJJ10" s="5"/>
      <c r="UJK10" s="5"/>
      <c r="UJL10" s="5"/>
      <c r="UJM10" s="5"/>
      <c r="UJN10" s="5"/>
      <c r="UJO10" s="5"/>
      <c r="UJP10" s="5"/>
      <c r="UJQ10" s="5"/>
      <c r="UJR10" s="5"/>
      <c r="UJS10" s="5"/>
      <c r="UJT10" s="5"/>
      <c r="UJU10" s="5"/>
      <c r="UJV10" s="5"/>
      <c r="UJW10" s="5"/>
      <c r="UJX10" s="5"/>
      <c r="UJY10" s="5"/>
      <c r="UJZ10" s="5"/>
      <c r="UKA10" s="5"/>
      <c r="UKB10" s="5"/>
      <c r="UKC10" s="5"/>
      <c r="UKD10" s="5"/>
      <c r="UKE10" s="5"/>
      <c r="UKF10" s="5"/>
      <c r="UKG10" s="5"/>
      <c r="UKH10" s="5"/>
      <c r="UKI10" s="5"/>
      <c r="UKJ10" s="5"/>
      <c r="UKK10" s="5"/>
      <c r="UKL10" s="5"/>
      <c r="UKM10" s="5"/>
      <c r="UKN10" s="5"/>
      <c r="UKO10" s="5"/>
      <c r="UKP10" s="5"/>
      <c r="UKQ10" s="5"/>
      <c r="UKR10" s="5"/>
      <c r="UKS10" s="5"/>
      <c r="UKT10" s="5"/>
      <c r="UKU10" s="5"/>
      <c r="UKV10" s="5"/>
      <c r="UKW10" s="5"/>
      <c r="UKX10" s="5"/>
      <c r="UKY10" s="5"/>
      <c r="UKZ10" s="5"/>
      <c r="ULA10" s="5"/>
      <c r="ULB10" s="5"/>
      <c r="ULC10" s="5"/>
      <c r="ULD10" s="5"/>
      <c r="ULE10" s="5"/>
      <c r="ULF10" s="5"/>
      <c r="ULG10" s="5"/>
      <c r="ULH10" s="5"/>
      <c r="ULI10" s="5"/>
      <c r="ULJ10" s="5"/>
      <c r="ULK10" s="5"/>
      <c r="ULL10" s="5"/>
      <c r="ULM10" s="5"/>
      <c r="ULN10" s="5"/>
      <c r="ULO10" s="5"/>
      <c r="ULP10" s="5"/>
      <c r="ULQ10" s="5"/>
      <c r="ULR10" s="5"/>
      <c r="ULS10" s="5"/>
      <c r="ULT10" s="5"/>
      <c r="ULU10" s="5"/>
      <c r="ULV10" s="5"/>
      <c r="ULW10" s="5"/>
      <c r="ULX10" s="5"/>
      <c r="ULY10" s="5"/>
      <c r="ULZ10" s="5"/>
      <c r="UMA10" s="5"/>
      <c r="UMB10" s="5"/>
      <c r="UMC10" s="5"/>
      <c r="UMD10" s="5"/>
      <c r="UME10" s="5"/>
      <c r="UMF10" s="5"/>
      <c r="UMG10" s="5"/>
      <c r="UMH10" s="5"/>
      <c r="UMI10" s="5"/>
      <c r="UMJ10" s="5"/>
      <c r="UMK10" s="5"/>
      <c r="UML10" s="5"/>
      <c r="UMM10" s="5"/>
      <c r="UMN10" s="5"/>
      <c r="UMO10" s="5"/>
      <c r="UMP10" s="5"/>
      <c r="UMQ10" s="5"/>
      <c r="UMR10" s="5"/>
      <c r="UMS10" s="5"/>
      <c r="UMT10" s="5"/>
      <c r="UMU10" s="5"/>
      <c r="UMV10" s="5"/>
      <c r="UMW10" s="5"/>
      <c r="UMX10" s="5"/>
      <c r="UMY10" s="5"/>
      <c r="UMZ10" s="5"/>
      <c r="UNA10" s="5"/>
      <c r="UNB10" s="5"/>
      <c r="UNC10" s="5"/>
      <c r="UND10" s="5"/>
      <c r="UNE10" s="5"/>
      <c r="UNF10" s="5"/>
      <c r="UNG10" s="5"/>
      <c r="UNH10" s="5"/>
      <c r="UNI10" s="5"/>
      <c r="UNJ10" s="5"/>
      <c r="UNK10" s="5"/>
      <c r="UNL10" s="5"/>
      <c r="UNM10" s="5"/>
      <c r="UNN10" s="5"/>
      <c r="UNO10" s="5"/>
      <c r="UNP10" s="5"/>
      <c r="UNQ10" s="5"/>
      <c r="UNR10" s="5"/>
      <c r="UNS10" s="5"/>
      <c r="UNT10" s="5"/>
      <c r="UNU10" s="5"/>
      <c r="UNV10" s="5"/>
      <c r="UNW10" s="5"/>
      <c r="UNX10" s="5"/>
      <c r="UNY10" s="5"/>
      <c r="UNZ10" s="5"/>
      <c r="UOA10" s="5"/>
      <c r="UOB10" s="5"/>
      <c r="UOC10" s="5"/>
      <c r="UOD10" s="5"/>
      <c r="UOE10" s="5"/>
      <c r="UOF10" s="5"/>
      <c r="UOG10" s="5"/>
      <c r="UOH10" s="5"/>
      <c r="UOI10" s="5"/>
      <c r="UOJ10" s="5"/>
      <c r="UOK10" s="5"/>
      <c r="UOL10" s="5"/>
      <c r="UOM10" s="5"/>
      <c r="UON10" s="5"/>
      <c r="UOO10" s="5"/>
      <c r="UOP10" s="5"/>
      <c r="UOQ10" s="5"/>
      <c r="UOR10" s="5"/>
      <c r="UOS10" s="5"/>
      <c r="UOT10" s="5"/>
      <c r="UOU10" s="5"/>
      <c r="UOV10" s="5"/>
      <c r="UOW10" s="5"/>
      <c r="UOX10" s="5"/>
      <c r="UOY10" s="5"/>
      <c r="UOZ10" s="5"/>
      <c r="UPA10" s="5"/>
      <c r="UPB10" s="5"/>
      <c r="UPC10" s="5"/>
      <c r="UPD10" s="5"/>
      <c r="UPE10" s="5"/>
      <c r="UPF10" s="5"/>
      <c r="UPG10" s="5"/>
      <c r="UPH10" s="5"/>
      <c r="UPI10" s="5"/>
      <c r="UPJ10" s="5"/>
      <c r="UPK10" s="5"/>
      <c r="UPL10" s="5"/>
      <c r="UPM10" s="5"/>
      <c r="UPN10" s="5"/>
      <c r="UPO10" s="5"/>
      <c r="UPP10" s="5"/>
      <c r="UPQ10" s="5"/>
      <c r="UPR10" s="5"/>
      <c r="UPS10" s="5"/>
      <c r="UPT10" s="5"/>
      <c r="UPU10" s="5"/>
      <c r="UPV10" s="5"/>
      <c r="UPW10" s="5"/>
      <c r="UPX10" s="5"/>
      <c r="UPY10" s="5"/>
      <c r="UPZ10" s="5"/>
      <c r="UQA10" s="5"/>
      <c r="UQB10" s="5"/>
      <c r="UQC10" s="5"/>
      <c r="UQD10" s="5"/>
      <c r="UQE10" s="5"/>
      <c r="UQF10" s="5"/>
      <c r="UQG10" s="5"/>
      <c r="UQH10" s="5"/>
      <c r="UQI10" s="5"/>
      <c r="UQJ10" s="5"/>
      <c r="UQK10" s="5"/>
      <c r="UQL10" s="5"/>
      <c r="UQM10" s="5"/>
      <c r="UQN10" s="5"/>
      <c r="UQO10" s="5"/>
      <c r="UQP10" s="5"/>
      <c r="UQQ10" s="5"/>
      <c r="UQR10" s="5"/>
      <c r="UQS10" s="5"/>
      <c r="UQT10" s="5"/>
      <c r="UQU10" s="5"/>
      <c r="UQV10" s="5"/>
      <c r="UQW10" s="5"/>
      <c r="UQX10" s="5"/>
      <c r="UQY10" s="5"/>
      <c r="UQZ10" s="5"/>
      <c r="URA10" s="5"/>
      <c r="URB10" s="5"/>
      <c r="URC10" s="5"/>
      <c r="URD10" s="5"/>
      <c r="URE10" s="5"/>
      <c r="URF10" s="5"/>
      <c r="URG10" s="5"/>
      <c r="URH10" s="5"/>
      <c r="URI10" s="5"/>
      <c r="URJ10" s="5"/>
      <c r="URK10" s="5"/>
      <c r="URL10" s="5"/>
      <c r="URM10" s="5"/>
      <c r="URN10" s="5"/>
      <c r="URO10" s="5"/>
      <c r="URP10" s="5"/>
      <c r="URQ10" s="5"/>
      <c r="URR10" s="5"/>
      <c r="URS10" s="5"/>
      <c r="URT10" s="5"/>
      <c r="URU10" s="5"/>
      <c r="URV10" s="5"/>
      <c r="URW10" s="5"/>
      <c r="URX10" s="5"/>
      <c r="URY10" s="5"/>
      <c r="URZ10" s="5"/>
      <c r="USA10" s="5"/>
      <c r="USB10" s="5"/>
      <c r="USC10" s="5"/>
      <c r="USD10" s="5"/>
      <c r="USE10" s="5"/>
      <c r="USF10" s="5"/>
      <c r="USG10" s="5"/>
      <c r="USH10" s="5"/>
      <c r="USI10" s="5"/>
      <c r="USJ10" s="5"/>
      <c r="USK10" s="5"/>
      <c r="USL10" s="5"/>
      <c r="USM10" s="5"/>
      <c r="USN10" s="5"/>
      <c r="USO10" s="5"/>
      <c r="USP10" s="5"/>
      <c r="USQ10" s="5"/>
      <c r="USR10" s="5"/>
      <c r="USS10" s="5"/>
      <c r="UST10" s="5"/>
      <c r="USU10" s="5"/>
      <c r="USV10" s="5"/>
      <c r="USW10" s="5"/>
      <c r="USX10" s="5"/>
      <c r="USY10" s="5"/>
      <c r="USZ10" s="5"/>
      <c r="UTA10" s="5"/>
      <c r="UTB10" s="5"/>
      <c r="UTC10" s="5"/>
      <c r="UTD10" s="5"/>
      <c r="UTE10" s="5"/>
      <c r="UTF10" s="5"/>
      <c r="UTG10" s="5"/>
      <c r="UTH10" s="5"/>
      <c r="UTI10" s="5"/>
      <c r="UTJ10" s="5"/>
      <c r="UTK10" s="5"/>
      <c r="UTL10" s="5"/>
      <c r="UTM10" s="5"/>
      <c r="UTN10" s="5"/>
      <c r="UTO10" s="5"/>
      <c r="UTP10" s="5"/>
      <c r="UTQ10" s="5"/>
      <c r="UTR10" s="5"/>
      <c r="UTS10" s="5"/>
      <c r="UTT10" s="5"/>
      <c r="UTU10" s="5"/>
      <c r="UTV10" s="5"/>
      <c r="UTW10" s="5"/>
      <c r="UTX10" s="5"/>
      <c r="UTY10" s="5"/>
      <c r="UTZ10" s="5"/>
      <c r="UUA10" s="5"/>
      <c r="UUB10" s="5"/>
      <c r="UUC10" s="5"/>
      <c r="UUD10" s="5"/>
      <c r="UUE10" s="5"/>
      <c r="UUF10" s="5"/>
      <c r="UUG10" s="5"/>
      <c r="UUH10" s="5"/>
      <c r="UUI10" s="5"/>
      <c r="UUJ10" s="5"/>
      <c r="UUK10" s="5"/>
      <c r="UUL10" s="5"/>
      <c r="UUM10" s="5"/>
      <c r="UUN10" s="5"/>
      <c r="UUO10" s="5"/>
      <c r="UUP10" s="5"/>
      <c r="UUQ10" s="5"/>
      <c r="UUR10" s="5"/>
      <c r="UUS10" s="5"/>
      <c r="UUT10" s="5"/>
      <c r="UUU10" s="5"/>
      <c r="UUV10" s="5"/>
      <c r="UUW10" s="5"/>
      <c r="UUX10" s="5"/>
      <c r="UUY10" s="5"/>
      <c r="UUZ10" s="5"/>
      <c r="UVA10" s="5"/>
      <c r="UVB10" s="5"/>
      <c r="UVC10" s="5"/>
      <c r="UVD10" s="5"/>
      <c r="UVE10" s="5"/>
      <c r="UVF10" s="5"/>
      <c r="UVG10" s="5"/>
      <c r="UVH10" s="5"/>
      <c r="UVI10" s="5"/>
      <c r="UVJ10" s="5"/>
      <c r="UVK10" s="5"/>
      <c r="UVL10" s="5"/>
      <c r="UVM10" s="5"/>
      <c r="UVN10" s="5"/>
      <c r="UVO10" s="5"/>
      <c r="UVP10" s="5"/>
      <c r="UVQ10" s="5"/>
      <c r="UVR10" s="5"/>
      <c r="UVS10" s="5"/>
      <c r="UVT10" s="5"/>
      <c r="UVU10" s="5"/>
      <c r="UVV10" s="5"/>
      <c r="UVW10" s="5"/>
      <c r="UVX10" s="5"/>
      <c r="UVY10" s="5"/>
      <c r="UVZ10" s="5"/>
      <c r="UWA10" s="5"/>
      <c r="UWB10" s="5"/>
      <c r="UWC10" s="5"/>
      <c r="UWD10" s="5"/>
      <c r="UWE10" s="5"/>
      <c r="UWF10" s="5"/>
      <c r="UWG10" s="5"/>
      <c r="UWH10" s="5"/>
      <c r="UWI10" s="5"/>
      <c r="UWJ10" s="5"/>
      <c r="UWK10" s="5"/>
      <c r="UWL10" s="5"/>
      <c r="UWM10" s="5"/>
      <c r="UWN10" s="5"/>
      <c r="UWO10" s="5"/>
      <c r="UWP10" s="5"/>
      <c r="UWQ10" s="5"/>
      <c r="UWR10" s="5"/>
      <c r="UWS10" s="5"/>
      <c r="UWT10" s="5"/>
      <c r="UWU10" s="5"/>
      <c r="UWV10" s="5"/>
      <c r="UWW10" s="5"/>
      <c r="UWX10" s="5"/>
      <c r="UWY10" s="5"/>
      <c r="UWZ10" s="5"/>
      <c r="UXA10" s="5"/>
      <c r="UXB10" s="5"/>
      <c r="UXC10" s="5"/>
      <c r="UXD10" s="5"/>
      <c r="UXE10" s="5"/>
      <c r="UXF10" s="5"/>
      <c r="UXG10" s="5"/>
      <c r="UXH10" s="5"/>
      <c r="UXI10" s="5"/>
      <c r="UXJ10" s="5"/>
      <c r="UXK10" s="5"/>
      <c r="UXL10" s="5"/>
      <c r="UXM10" s="5"/>
      <c r="UXN10" s="5"/>
      <c r="UXO10" s="5"/>
      <c r="UXP10" s="5"/>
      <c r="UXQ10" s="5"/>
      <c r="UXR10" s="5"/>
      <c r="UXS10" s="5"/>
      <c r="UXT10" s="5"/>
      <c r="UXU10" s="5"/>
      <c r="UXV10" s="5"/>
      <c r="UXW10" s="5"/>
      <c r="UXX10" s="5"/>
      <c r="UXY10" s="5"/>
      <c r="UXZ10" s="5"/>
      <c r="UYA10" s="5"/>
      <c r="UYB10" s="5"/>
      <c r="UYC10" s="5"/>
      <c r="UYD10" s="5"/>
      <c r="UYE10" s="5"/>
      <c r="UYF10" s="5"/>
      <c r="UYG10" s="5"/>
      <c r="UYH10" s="5"/>
      <c r="UYI10" s="5"/>
      <c r="UYJ10" s="5"/>
      <c r="UYK10" s="5"/>
      <c r="UYL10" s="5"/>
      <c r="UYM10" s="5"/>
      <c r="UYN10" s="5"/>
      <c r="UYO10" s="5"/>
      <c r="UYP10" s="5"/>
      <c r="UYQ10" s="5"/>
      <c r="UYR10" s="5"/>
      <c r="UYS10" s="5"/>
      <c r="UYT10" s="5"/>
      <c r="UYU10" s="5"/>
      <c r="UYV10" s="5"/>
      <c r="UYW10" s="5"/>
      <c r="UYX10" s="5"/>
      <c r="UYY10" s="5"/>
      <c r="UYZ10" s="5"/>
      <c r="UZA10" s="5"/>
      <c r="UZB10" s="5"/>
      <c r="UZC10" s="5"/>
      <c r="UZD10" s="5"/>
      <c r="UZE10" s="5"/>
      <c r="UZF10" s="5"/>
      <c r="UZG10" s="5"/>
      <c r="UZH10" s="5"/>
      <c r="UZI10" s="5"/>
      <c r="UZJ10" s="5"/>
      <c r="UZK10" s="5"/>
      <c r="UZL10" s="5"/>
      <c r="UZM10" s="5"/>
      <c r="UZN10" s="5"/>
      <c r="UZO10" s="5"/>
      <c r="UZP10" s="5"/>
      <c r="UZQ10" s="5"/>
      <c r="UZR10" s="5"/>
      <c r="UZS10" s="5"/>
      <c r="UZT10" s="5"/>
      <c r="UZU10" s="5"/>
      <c r="UZV10" s="5"/>
      <c r="UZW10" s="5"/>
      <c r="UZX10" s="5"/>
      <c r="UZY10" s="5"/>
      <c r="UZZ10" s="5"/>
      <c r="VAA10" s="5"/>
      <c r="VAB10" s="5"/>
      <c r="VAC10" s="5"/>
      <c r="VAD10" s="5"/>
      <c r="VAE10" s="5"/>
      <c r="VAF10" s="5"/>
      <c r="VAG10" s="5"/>
      <c r="VAH10" s="5"/>
      <c r="VAI10" s="5"/>
      <c r="VAJ10" s="5"/>
      <c r="VAK10" s="5"/>
      <c r="VAL10" s="5"/>
      <c r="VAM10" s="5"/>
      <c r="VAN10" s="5"/>
      <c r="VAO10" s="5"/>
      <c r="VAP10" s="5"/>
      <c r="VAQ10" s="5"/>
      <c r="VAR10" s="5"/>
      <c r="VAS10" s="5"/>
      <c r="VAT10" s="5"/>
      <c r="VAU10" s="5"/>
      <c r="VAV10" s="5"/>
      <c r="VAW10" s="5"/>
      <c r="VAX10" s="5"/>
      <c r="VAY10" s="5"/>
      <c r="VAZ10" s="5"/>
      <c r="VBA10" s="5"/>
      <c r="VBB10" s="5"/>
      <c r="VBC10" s="5"/>
      <c r="VBD10" s="5"/>
      <c r="VBE10" s="5"/>
      <c r="VBF10" s="5"/>
      <c r="VBG10" s="5"/>
      <c r="VBH10" s="5"/>
      <c r="VBI10" s="5"/>
      <c r="VBJ10" s="5"/>
      <c r="VBK10" s="5"/>
      <c r="VBL10" s="5"/>
      <c r="VBM10" s="5"/>
      <c r="VBN10" s="5"/>
      <c r="VBO10" s="5"/>
      <c r="VBP10" s="5"/>
      <c r="VBQ10" s="5"/>
      <c r="VBR10" s="5"/>
      <c r="VBS10" s="5"/>
      <c r="VBT10" s="5"/>
      <c r="VBU10" s="5"/>
      <c r="VBV10" s="5"/>
      <c r="VBW10" s="5"/>
      <c r="VBX10" s="5"/>
      <c r="VBY10" s="5"/>
      <c r="VBZ10" s="5"/>
      <c r="VCA10" s="5"/>
      <c r="VCB10" s="5"/>
      <c r="VCC10" s="5"/>
      <c r="VCD10" s="5"/>
      <c r="VCE10" s="5"/>
      <c r="VCF10" s="5"/>
      <c r="VCG10" s="5"/>
      <c r="VCH10" s="5"/>
      <c r="VCI10" s="5"/>
      <c r="VCJ10" s="5"/>
      <c r="VCK10" s="5"/>
      <c r="VCL10" s="5"/>
      <c r="VCM10" s="5"/>
      <c r="VCN10" s="5"/>
      <c r="VCO10" s="5"/>
      <c r="VCP10" s="5"/>
      <c r="VCQ10" s="5"/>
      <c r="VCR10" s="5"/>
      <c r="VCS10" s="5"/>
      <c r="VCT10" s="5"/>
      <c r="VCU10" s="5"/>
      <c r="VCV10" s="5"/>
      <c r="VCW10" s="5"/>
      <c r="VCX10" s="5"/>
      <c r="VCY10" s="5"/>
      <c r="VCZ10" s="5"/>
      <c r="VDA10" s="5"/>
      <c r="VDB10" s="5"/>
      <c r="VDC10" s="5"/>
      <c r="VDD10" s="5"/>
      <c r="VDE10" s="5"/>
      <c r="VDF10" s="5"/>
      <c r="VDG10" s="5"/>
      <c r="VDH10" s="5"/>
      <c r="VDI10" s="5"/>
      <c r="VDJ10" s="5"/>
      <c r="VDK10" s="5"/>
      <c r="VDL10" s="5"/>
      <c r="VDM10" s="5"/>
      <c r="VDN10" s="5"/>
      <c r="VDO10" s="5"/>
      <c r="VDP10" s="5"/>
      <c r="VDQ10" s="5"/>
      <c r="VDR10" s="5"/>
      <c r="VDS10" s="5"/>
      <c r="VDT10" s="5"/>
      <c r="VDU10" s="5"/>
      <c r="VDV10" s="5"/>
      <c r="VDW10" s="5"/>
      <c r="VDX10" s="5"/>
      <c r="VDY10" s="5"/>
      <c r="VDZ10" s="5"/>
      <c r="VEA10" s="5"/>
      <c r="VEB10" s="5"/>
      <c r="VEC10" s="5"/>
      <c r="VED10" s="5"/>
      <c r="VEE10" s="5"/>
      <c r="VEF10" s="5"/>
      <c r="VEG10" s="5"/>
      <c r="VEH10" s="5"/>
      <c r="VEI10" s="5"/>
      <c r="VEJ10" s="5"/>
      <c r="VEK10" s="5"/>
      <c r="VEL10" s="5"/>
      <c r="VEM10" s="5"/>
      <c r="VEN10" s="5"/>
      <c r="VEO10" s="5"/>
      <c r="VEP10" s="5"/>
      <c r="VEQ10" s="5"/>
      <c r="VER10" s="5"/>
      <c r="VES10" s="5"/>
      <c r="VET10" s="5"/>
      <c r="VEU10" s="5"/>
      <c r="VEV10" s="5"/>
      <c r="VEW10" s="5"/>
      <c r="VEX10" s="5"/>
      <c r="VEY10" s="5"/>
      <c r="VEZ10" s="5"/>
      <c r="VFA10" s="5"/>
      <c r="VFB10" s="5"/>
      <c r="VFC10" s="5"/>
      <c r="VFD10" s="5"/>
      <c r="VFE10" s="5"/>
      <c r="VFF10" s="5"/>
      <c r="VFG10" s="5"/>
      <c r="VFH10" s="5"/>
      <c r="VFI10" s="5"/>
      <c r="VFJ10" s="5"/>
      <c r="VFK10" s="5"/>
      <c r="VFL10" s="5"/>
      <c r="VFM10" s="5"/>
      <c r="VFN10" s="5"/>
      <c r="VFO10" s="5"/>
      <c r="VFP10" s="5"/>
      <c r="VFQ10" s="5"/>
      <c r="VFR10" s="5"/>
      <c r="VFS10" s="5"/>
      <c r="VFT10" s="5"/>
      <c r="VFU10" s="5"/>
      <c r="VFV10" s="5"/>
      <c r="VFW10" s="5"/>
      <c r="VFX10" s="5"/>
      <c r="VFY10" s="5"/>
      <c r="VFZ10" s="5"/>
      <c r="VGA10" s="5"/>
      <c r="VGB10" s="5"/>
      <c r="VGC10" s="5"/>
      <c r="VGD10" s="5"/>
      <c r="VGE10" s="5"/>
      <c r="VGF10" s="5"/>
      <c r="VGG10" s="5"/>
      <c r="VGH10" s="5"/>
      <c r="VGI10" s="5"/>
      <c r="VGJ10" s="5"/>
      <c r="VGK10" s="5"/>
      <c r="VGL10" s="5"/>
      <c r="VGM10" s="5"/>
      <c r="VGN10" s="5"/>
      <c r="VGO10" s="5"/>
      <c r="VGP10" s="5"/>
      <c r="VGQ10" s="5"/>
      <c r="VGR10" s="5"/>
      <c r="VGS10" s="5"/>
      <c r="VGT10" s="5"/>
      <c r="VGU10" s="5"/>
      <c r="VGV10" s="5"/>
      <c r="VGW10" s="5"/>
      <c r="VGX10" s="5"/>
      <c r="VGY10" s="5"/>
      <c r="VGZ10" s="5"/>
      <c r="VHA10" s="5"/>
      <c r="VHB10" s="5"/>
      <c r="VHC10" s="5"/>
      <c r="VHD10" s="5"/>
      <c r="VHE10" s="5"/>
      <c r="VHF10" s="5"/>
      <c r="VHG10" s="5"/>
      <c r="VHH10" s="5"/>
      <c r="VHI10" s="5"/>
      <c r="VHJ10" s="5"/>
      <c r="VHK10" s="5"/>
      <c r="VHL10" s="5"/>
      <c r="VHM10" s="5"/>
      <c r="VHN10" s="5"/>
      <c r="VHO10" s="5"/>
      <c r="VHP10" s="5"/>
      <c r="VHQ10" s="5"/>
      <c r="VHR10" s="5"/>
      <c r="VHS10" s="5"/>
      <c r="VHT10" s="5"/>
      <c r="VHU10" s="5"/>
      <c r="VHV10" s="5"/>
      <c r="VHW10" s="5"/>
      <c r="VHX10" s="5"/>
      <c r="VHY10" s="5"/>
      <c r="VHZ10" s="5"/>
      <c r="VIA10" s="5"/>
      <c r="VIB10" s="5"/>
      <c r="VIC10" s="5"/>
      <c r="VID10" s="5"/>
      <c r="VIE10" s="5"/>
      <c r="VIF10" s="5"/>
      <c r="VIG10" s="5"/>
      <c r="VIH10" s="5"/>
      <c r="VII10" s="5"/>
      <c r="VIJ10" s="5"/>
      <c r="VIK10" s="5"/>
      <c r="VIL10" s="5"/>
      <c r="VIM10" s="5"/>
      <c r="VIN10" s="5"/>
      <c r="VIO10" s="5"/>
      <c r="VIP10" s="5"/>
      <c r="VIQ10" s="5"/>
      <c r="VIR10" s="5"/>
      <c r="VIS10" s="5"/>
      <c r="VIT10" s="5"/>
      <c r="VIU10" s="5"/>
      <c r="VIV10" s="5"/>
      <c r="VIW10" s="5"/>
      <c r="VIX10" s="5"/>
      <c r="VIY10" s="5"/>
      <c r="VIZ10" s="5"/>
      <c r="VJA10" s="5"/>
      <c r="VJB10" s="5"/>
      <c r="VJC10" s="5"/>
      <c r="VJD10" s="5"/>
      <c r="VJE10" s="5"/>
      <c r="VJF10" s="5"/>
      <c r="VJG10" s="5"/>
      <c r="VJH10" s="5"/>
      <c r="VJI10" s="5"/>
      <c r="VJJ10" s="5"/>
      <c r="VJK10" s="5"/>
      <c r="VJL10" s="5"/>
      <c r="VJM10" s="5"/>
      <c r="VJN10" s="5"/>
      <c r="VJO10" s="5"/>
      <c r="VJP10" s="5"/>
      <c r="VJQ10" s="5"/>
      <c r="VJR10" s="5"/>
      <c r="VJS10" s="5"/>
      <c r="VJT10" s="5"/>
      <c r="VJU10" s="5"/>
      <c r="VJV10" s="5"/>
      <c r="VJW10" s="5"/>
      <c r="VJX10" s="5"/>
      <c r="VJY10" s="5"/>
      <c r="VJZ10" s="5"/>
      <c r="VKA10" s="5"/>
      <c r="VKB10" s="5"/>
      <c r="VKC10" s="5"/>
      <c r="VKD10" s="5"/>
      <c r="VKE10" s="5"/>
      <c r="VKF10" s="5"/>
      <c r="VKG10" s="5"/>
      <c r="VKH10" s="5"/>
      <c r="VKI10" s="5"/>
      <c r="VKJ10" s="5"/>
      <c r="VKK10" s="5"/>
      <c r="VKL10" s="5"/>
      <c r="VKM10" s="5"/>
      <c r="VKN10" s="5"/>
      <c r="VKO10" s="5"/>
      <c r="VKP10" s="5"/>
      <c r="VKQ10" s="5"/>
      <c r="VKR10" s="5"/>
      <c r="VKS10" s="5"/>
      <c r="VKT10" s="5"/>
      <c r="VKU10" s="5"/>
      <c r="VKV10" s="5"/>
      <c r="VKW10" s="5"/>
      <c r="VKX10" s="5"/>
      <c r="VKY10" s="5"/>
      <c r="VKZ10" s="5"/>
      <c r="VLA10" s="5"/>
      <c r="VLB10" s="5"/>
      <c r="VLC10" s="5"/>
      <c r="VLD10" s="5"/>
      <c r="VLE10" s="5"/>
      <c r="VLF10" s="5"/>
      <c r="VLG10" s="5"/>
      <c r="VLH10" s="5"/>
      <c r="VLI10" s="5"/>
      <c r="VLJ10" s="5"/>
      <c r="VLK10" s="5"/>
      <c r="VLL10" s="5"/>
      <c r="VLM10" s="5"/>
      <c r="VLN10" s="5"/>
      <c r="VLO10" s="5"/>
      <c r="VLP10" s="5"/>
      <c r="VLQ10" s="5"/>
      <c r="VLR10" s="5"/>
      <c r="VLS10" s="5"/>
      <c r="VLT10" s="5"/>
      <c r="VLU10" s="5"/>
      <c r="VLV10" s="5"/>
      <c r="VLW10" s="5"/>
      <c r="VLX10" s="5"/>
      <c r="VLY10" s="5"/>
      <c r="VLZ10" s="5"/>
      <c r="VMA10" s="5"/>
      <c r="VMB10" s="5"/>
      <c r="VMC10" s="5"/>
      <c r="VMD10" s="5"/>
      <c r="VME10" s="5"/>
      <c r="VMF10" s="5"/>
      <c r="VMG10" s="5"/>
      <c r="VMH10" s="5"/>
      <c r="VMI10" s="5"/>
      <c r="VMJ10" s="5"/>
      <c r="VMK10" s="5"/>
      <c r="VML10" s="5"/>
      <c r="VMM10" s="5"/>
      <c r="VMN10" s="5"/>
      <c r="VMO10" s="5"/>
      <c r="VMP10" s="5"/>
      <c r="VMQ10" s="5"/>
      <c r="VMR10" s="5"/>
      <c r="VMS10" s="5"/>
      <c r="VMT10" s="5"/>
      <c r="VMU10" s="5"/>
      <c r="VMV10" s="5"/>
      <c r="VMW10" s="5"/>
      <c r="VMX10" s="5"/>
      <c r="VMY10" s="5"/>
      <c r="VMZ10" s="5"/>
      <c r="VNA10" s="5"/>
      <c r="VNB10" s="5"/>
      <c r="VNC10" s="5"/>
      <c r="VND10" s="5"/>
      <c r="VNE10" s="5"/>
      <c r="VNF10" s="5"/>
      <c r="VNG10" s="5"/>
      <c r="VNH10" s="5"/>
      <c r="VNI10" s="5"/>
      <c r="VNJ10" s="5"/>
      <c r="VNK10" s="5"/>
      <c r="VNL10" s="5"/>
      <c r="VNM10" s="5"/>
      <c r="VNN10" s="5"/>
      <c r="VNO10" s="5"/>
      <c r="VNP10" s="5"/>
      <c r="VNQ10" s="5"/>
      <c r="VNR10" s="5"/>
      <c r="VNS10" s="5"/>
      <c r="VNT10" s="5"/>
      <c r="VNU10" s="5"/>
      <c r="VNV10" s="5"/>
      <c r="VNW10" s="5"/>
      <c r="VNX10" s="5"/>
      <c r="VNY10" s="5"/>
      <c r="VNZ10" s="5"/>
      <c r="VOA10" s="5"/>
      <c r="VOB10" s="5"/>
      <c r="VOC10" s="5"/>
      <c r="VOD10" s="5"/>
      <c r="VOE10" s="5"/>
      <c r="VOF10" s="5"/>
      <c r="VOG10" s="5"/>
      <c r="VOH10" s="5"/>
      <c r="VOI10" s="5"/>
      <c r="VOJ10" s="5"/>
      <c r="VOK10" s="5"/>
      <c r="VOL10" s="5"/>
      <c r="VOM10" s="5"/>
      <c r="VON10" s="5"/>
      <c r="VOO10" s="5"/>
      <c r="VOP10" s="5"/>
      <c r="VOQ10" s="5"/>
      <c r="VOR10" s="5"/>
      <c r="VOS10" s="5"/>
      <c r="VOT10" s="5"/>
      <c r="VOU10" s="5"/>
      <c r="VOV10" s="5"/>
      <c r="VOW10" s="5"/>
      <c r="VOX10" s="5"/>
      <c r="VOY10" s="5"/>
      <c r="VOZ10" s="5"/>
      <c r="VPA10" s="5"/>
      <c r="VPB10" s="5"/>
      <c r="VPC10" s="5"/>
      <c r="VPD10" s="5"/>
      <c r="VPE10" s="5"/>
      <c r="VPF10" s="5"/>
      <c r="VPG10" s="5"/>
      <c r="VPH10" s="5"/>
      <c r="VPI10" s="5"/>
      <c r="VPJ10" s="5"/>
      <c r="VPK10" s="5"/>
      <c r="VPL10" s="5"/>
      <c r="VPM10" s="5"/>
      <c r="VPN10" s="5"/>
      <c r="VPO10" s="5"/>
      <c r="VPP10" s="5"/>
      <c r="VPQ10" s="5"/>
      <c r="VPR10" s="5"/>
      <c r="VPS10" s="5"/>
      <c r="VPT10" s="5"/>
      <c r="VPU10" s="5"/>
      <c r="VPV10" s="5"/>
      <c r="VPW10" s="5"/>
      <c r="VPX10" s="5"/>
      <c r="VPY10" s="5"/>
      <c r="VPZ10" s="5"/>
      <c r="VQA10" s="5"/>
      <c r="VQB10" s="5"/>
      <c r="VQC10" s="5"/>
      <c r="VQD10" s="5"/>
      <c r="VQE10" s="5"/>
      <c r="VQF10" s="5"/>
      <c r="VQG10" s="5"/>
      <c r="VQH10" s="5"/>
      <c r="VQI10" s="5"/>
      <c r="VQJ10" s="5"/>
      <c r="VQK10" s="5"/>
      <c r="VQL10" s="5"/>
      <c r="VQM10" s="5"/>
      <c r="VQN10" s="5"/>
      <c r="VQO10" s="5"/>
      <c r="VQP10" s="5"/>
      <c r="VQQ10" s="5"/>
      <c r="VQR10" s="5"/>
      <c r="VQS10" s="5"/>
      <c r="VQT10" s="5"/>
      <c r="VQU10" s="5"/>
      <c r="VQV10" s="5"/>
      <c r="VQW10" s="5"/>
      <c r="VQX10" s="5"/>
      <c r="VQY10" s="5"/>
      <c r="VQZ10" s="5"/>
      <c r="VRA10" s="5"/>
      <c r="VRB10" s="5"/>
      <c r="VRC10" s="5"/>
      <c r="VRD10" s="5"/>
      <c r="VRE10" s="5"/>
      <c r="VRF10" s="5"/>
      <c r="VRG10" s="5"/>
      <c r="VRH10" s="5"/>
      <c r="VRI10" s="5"/>
      <c r="VRJ10" s="5"/>
      <c r="VRK10" s="5"/>
      <c r="VRL10" s="5"/>
      <c r="VRM10" s="5"/>
      <c r="VRN10" s="5"/>
      <c r="VRO10" s="5"/>
      <c r="VRP10" s="5"/>
      <c r="VRQ10" s="5"/>
      <c r="VRR10" s="5"/>
      <c r="VRS10" s="5"/>
      <c r="VRT10" s="5"/>
      <c r="VRU10" s="5"/>
      <c r="VRV10" s="5"/>
      <c r="VRW10" s="5"/>
      <c r="VRX10" s="5"/>
      <c r="VRY10" s="5"/>
      <c r="VRZ10" s="5"/>
      <c r="VSA10" s="5"/>
      <c r="VSB10" s="5"/>
      <c r="VSC10" s="5"/>
      <c r="VSD10" s="5"/>
      <c r="VSE10" s="5"/>
      <c r="VSF10" s="5"/>
      <c r="VSG10" s="5"/>
      <c r="VSH10" s="5"/>
      <c r="VSI10" s="5"/>
      <c r="VSJ10" s="5"/>
      <c r="VSK10" s="5"/>
      <c r="VSL10" s="5"/>
      <c r="VSM10" s="5"/>
      <c r="VSN10" s="5"/>
      <c r="VSO10" s="5"/>
      <c r="VSP10" s="5"/>
      <c r="VSQ10" s="5"/>
      <c r="VSR10" s="5"/>
      <c r="VSS10" s="5"/>
      <c r="VST10" s="5"/>
      <c r="VSU10" s="5"/>
      <c r="VSV10" s="5"/>
      <c r="VSW10" s="5"/>
      <c r="VSX10" s="5"/>
      <c r="VSY10" s="5"/>
      <c r="VSZ10" s="5"/>
      <c r="VTA10" s="5"/>
      <c r="VTB10" s="5"/>
      <c r="VTC10" s="5"/>
      <c r="VTD10" s="5"/>
      <c r="VTE10" s="5"/>
      <c r="VTF10" s="5"/>
      <c r="VTG10" s="5"/>
      <c r="VTH10" s="5"/>
      <c r="VTI10" s="5"/>
      <c r="VTJ10" s="5"/>
      <c r="VTK10" s="5"/>
      <c r="VTL10" s="5"/>
      <c r="VTM10" s="5"/>
      <c r="VTN10" s="5"/>
      <c r="VTO10" s="5"/>
      <c r="VTP10" s="5"/>
      <c r="VTQ10" s="5"/>
      <c r="VTR10" s="5"/>
      <c r="VTS10" s="5"/>
      <c r="VTT10" s="5"/>
      <c r="VTU10" s="5"/>
      <c r="VTV10" s="5"/>
      <c r="VTW10" s="5"/>
      <c r="VTX10" s="5"/>
      <c r="VTY10" s="5"/>
      <c r="VTZ10" s="5"/>
      <c r="VUA10" s="5"/>
      <c r="VUB10" s="5"/>
      <c r="VUC10" s="5"/>
      <c r="VUD10" s="5"/>
      <c r="VUE10" s="5"/>
      <c r="VUF10" s="5"/>
      <c r="VUG10" s="5"/>
      <c r="VUH10" s="5"/>
      <c r="VUI10" s="5"/>
      <c r="VUJ10" s="5"/>
      <c r="VUK10" s="5"/>
      <c r="VUL10" s="5"/>
      <c r="VUM10" s="5"/>
      <c r="VUN10" s="5"/>
      <c r="VUO10" s="5"/>
      <c r="VUP10" s="5"/>
      <c r="VUQ10" s="5"/>
      <c r="VUR10" s="5"/>
      <c r="VUS10" s="5"/>
      <c r="VUT10" s="5"/>
      <c r="VUU10" s="5"/>
      <c r="VUV10" s="5"/>
      <c r="VUW10" s="5"/>
      <c r="VUX10" s="5"/>
      <c r="VUY10" s="5"/>
      <c r="VUZ10" s="5"/>
      <c r="VVA10" s="5"/>
      <c r="VVB10" s="5"/>
      <c r="VVC10" s="5"/>
      <c r="VVD10" s="5"/>
      <c r="VVE10" s="5"/>
      <c r="VVF10" s="5"/>
      <c r="VVG10" s="5"/>
      <c r="VVH10" s="5"/>
      <c r="VVI10" s="5"/>
      <c r="VVJ10" s="5"/>
      <c r="VVK10" s="5"/>
      <c r="VVL10" s="5"/>
      <c r="VVM10" s="5"/>
      <c r="VVN10" s="5"/>
      <c r="VVO10" s="5"/>
      <c r="VVP10" s="5"/>
      <c r="VVQ10" s="5"/>
      <c r="VVR10" s="5"/>
      <c r="VVS10" s="5"/>
      <c r="VVT10" s="5"/>
      <c r="VVU10" s="5"/>
      <c r="VVV10" s="5"/>
      <c r="VVW10" s="5"/>
      <c r="VVX10" s="5"/>
      <c r="VVY10" s="5"/>
      <c r="VVZ10" s="5"/>
      <c r="VWA10" s="5"/>
      <c r="VWB10" s="5"/>
      <c r="VWC10" s="5"/>
      <c r="VWD10" s="5"/>
      <c r="VWE10" s="5"/>
      <c r="VWF10" s="5"/>
      <c r="VWG10" s="5"/>
      <c r="VWH10" s="5"/>
      <c r="VWI10" s="5"/>
      <c r="VWJ10" s="5"/>
      <c r="VWK10" s="5"/>
      <c r="VWL10" s="5"/>
      <c r="VWM10" s="5"/>
      <c r="VWN10" s="5"/>
      <c r="VWO10" s="5"/>
      <c r="VWP10" s="5"/>
      <c r="VWQ10" s="5"/>
      <c r="VWR10" s="5"/>
      <c r="VWS10" s="5"/>
      <c r="VWT10" s="5"/>
      <c r="VWU10" s="5"/>
      <c r="VWV10" s="5"/>
      <c r="VWW10" s="5"/>
      <c r="VWX10" s="5"/>
      <c r="VWY10" s="5"/>
      <c r="VWZ10" s="5"/>
      <c r="VXA10" s="5"/>
      <c r="VXB10" s="5"/>
      <c r="VXC10" s="5"/>
      <c r="VXD10" s="5"/>
      <c r="VXE10" s="5"/>
      <c r="VXF10" s="5"/>
      <c r="VXG10" s="5"/>
      <c r="VXH10" s="5"/>
      <c r="VXI10" s="5"/>
      <c r="VXJ10" s="5"/>
      <c r="VXK10" s="5"/>
      <c r="VXL10" s="5"/>
      <c r="VXM10" s="5"/>
      <c r="VXN10" s="5"/>
      <c r="VXO10" s="5"/>
      <c r="VXP10" s="5"/>
      <c r="VXQ10" s="5"/>
      <c r="VXR10" s="5"/>
      <c r="VXS10" s="5"/>
      <c r="VXT10" s="5"/>
      <c r="VXU10" s="5"/>
      <c r="VXV10" s="5"/>
      <c r="VXW10" s="5"/>
      <c r="VXX10" s="5"/>
      <c r="VXY10" s="5"/>
      <c r="VXZ10" s="5"/>
      <c r="VYA10" s="5"/>
      <c r="VYB10" s="5"/>
      <c r="VYC10" s="5"/>
      <c r="VYD10" s="5"/>
      <c r="VYE10" s="5"/>
      <c r="VYF10" s="5"/>
      <c r="VYG10" s="5"/>
      <c r="VYH10" s="5"/>
      <c r="VYI10" s="5"/>
      <c r="VYJ10" s="5"/>
      <c r="VYK10" s="5"/>
      <c r="VYL10" s="5"/>
      <c r="VYM10" s="5"/>
      <c r="VYN10" s="5"/>
      <c r="VYO10" s="5"/>
      <c r="VYP10" s="5"/>
      <c r="VYQ10" s="5"/>
      <c r="VYR10" s="5"/>
      <c r="VYS10" s="5"/>
      <c r="VYT10" s="5"/>
      <c r="VYU10" s="5"/>
      <c r="VYV10" s="5"/>
      <c r="VYW10" s="5"/>
      <c r="VYX10" s="5"/>
      <c r="VYY10" s="5"/>
      <c r="VYZ10" s="5"/>
      <c r="VZA10" s="5"/>
      <c r="VZB10" s="5"/>
      <c r="VZC10" s="5"/>
      <c r="VZD10" s="5"/>
      <c r="VZE10" s="5"/>
      <c r="VZF10" s="5"/>
      <c r="VZG10" s="5"/>
      <c r="VZH10" s="5"/>
      <c r="VZI10" s="5"/>
      <c r="VZJ10" s="5"/>
      <c r="VZK10" s="5"/>
      <c r="VZL10" s="5"/>
      <c r="VZM10" s="5"/>
      <c r="VZN10" s="5"/>
      <c r="VZO10" s="5"/>
      <c r="VZP10" s="5"/>
      <c r="VZQ10" s="5"/>
      <c r="VZR10" s="5"/>
      <c r="VZS10" s="5"/>
      <c r="VZT10" s="5"/>
      <c r="VZU10" s="5"/>
      <c r="VZV10" s="5"/>
      <c r="VZW10" s="5"/>
      <c r="VZX10" s="5"/>
      <c r="VZY10" s="5"/>
      <c r="VZZ10" s="5"/>
      <c r="WAA10" s="5"/>
      <c r="WAB10" s="5"/>
      <c r="WAC10" s="5"/>
      <c r="WAD10" s="5"/>
      <c r="WAE10" s="5"/>
      <c r="WAF10" s="5"/>
      <c r="WAG10" s="5"/>
      <c r="WAH10" s="5"/>
      <c r="WAI10" s="5"/>
      <c r="WAJ10" s="5"/>
      <c r="WAK10" s="5"/>
      <c r="WAL10" s="5"/>
      <c r="WAM10" s="5"/>
      <c r="WAN10" s="5"/>
      <c r="WAO10" s="5"/>
      <c r="WAP10" s="5"/>
      <c r="WAQ10" s="5"/>
      <c r="WAR10" s="5"/>
      <c r="WAS10" s="5"/>
      <c r="WAT10" s="5"/>
      <c r="WAU10" s="5"/>
      <c r="WAV10" s="5"/>
      <c r="WAW10" s="5"/>
      <c r="WAX10" s="5"/>
      <c r="WAY10" s="5"/>
      <c r="WAZ10" s="5"/>
      <c r="WBA10" s="5"/>
      <c r="WBB10" s="5"/>
      <c r="WBC10" s="5"/>
      <c r="WBD10" s="5"/>
      <c r="WBE10" s="5"/>
      <c r="WBF10" s="5"/>
      <c r="WBG10" s="5"/>
      <c r="WBH10" s="5"/>
      <c r="WBI10" s="5"/>
      <c r="WBJ10" s="5"/>
      <c r="WBK10" s="5"/>
      <c r="WBL10" s="5"/>
      <c r="WBM10" s="5"/>
      <c r="WBN10" s="5"/>
      <c r="WBO10" s="5"/>
      <c r="WBP10" s="5"/>
      <c r="WBQ10" s="5"/>
      <c r="WBR10" s="5"/>
      <c r="WBS10" s="5"/>
      <c r="WBT10" s="5"/>
      <c r="WBU10" s="5"/>
      <c r="WBV10" s="5"/>
      <c r="WBW10" s="5"/>
      <c r="WBX10" s="5"/>
      <c r="WBY10" s="5"/>
      <c r="WBZ10" s="5"/>
      <c r="WCA10" s="5"/>
      <c r="WCB10" s="5"/>
      <c r="WCC10" s="5"/>
      <c r="WCD10" s="5"/>
      <c r="WCE10" s="5"/>
      <c r="WCF10" s="5"/>
      <c r="WCG10" s="5"/>
      <c r="WCH10" s="5"/>
      <c r="WCI10" s="5"/>
      <c r="WCJ10" s="5"/>
      <c r="WCK10" s="5"/>
      <c r="WCL10" s="5"/>
      <c r="WCM10" s="5"/>
      <c r="WCN10" s="5"/>
      <c r="WCO10" s="5"/>
      <c r="WCP10" s="5"/>
      <c r="WCQ10" s="5"/>
      <c r="WCR10" s="5"/>
      <c r="WCS10" s="5"/>
      <c r="WCT10" s="5"/>
      <c r="WCU10" s="5"/>
      <c r="WCV10" s="5"/>
      <c r="WCW10" s="5"/>
      <c r="WCX10" s="5"/>
      <c r="WCY10" s="5"/>
      <c r="WCZ10" s="5"/>
      <c r="WDA10" s="5"/>
      <c r="WDB10" s="5"/>
      <c r="WDC10" s="5"/>
      <c r="WDD10" s="5"/>
      <c r="WDE10" s="5"/>
      <c r="WDF10" s="5"/>
      <c r="WDG10" s="5"/>
      <c r="WDH10" s="5"/>
      <c r="WDI10" s="5"/>
      <c r="WDJ10" s="5"/>
      <c r="WDK10" s="5"/>
      <c r="WDL10" s="5"/>
      <c r="WDM10" s="5"/>
      <c r="WDN10" s="5"/>
      <c r="WDO10" s="5"/>
      <c r="WDP10" s="5"/>
      <c r="WDQ10" s="5"/>
      <c r="WDR10" s="5"/>
      <c r="WDS10" s="5"/>
      <c r="WDT10" s="5"/>
      <c r="WDU10" s="5"/>
      <c r="WDV10" s="5"/>
      <c r="WDW10" s="5"/>
      <c r="WDX10" s="5"/>
      <c r="WDY10" s="5"/>
      <c r="WDZ10" s="5"/>
      <c r="WEA10" s="5"/>
      <c r="WEB10" s="5"/>
      <c r="WEC10" s="5"/>
      <c r="WED10" s="5"/>
      <c r="WEE10" s="5"/>
      <c r="WEF10" s="5"/>
      <c r="WEG10" s="5"/>
      <c r="WEH10" s="5"/>
      <c r="WEI10" s="5"/>
      <c r="WEJ10" s="5"/>
      <c r="WEK10" s="5"/>
      <c r="WEL10" s="5"/>
      <c r="WEM10" s="5"/>
      <c r="WEN10" s="5"/>
      <c r="WEO10" s="5"/>
      <c r="WEP10" s="5"/>
      <c r="WEQ10" s="5"/>
      <c r="WER10" s="5"/>
      <c r="WES10" s="5"/>
      <c r="WET10" s="5"/>
      <c r="WEU10" s="5"/>
      <c r="WEV10" s="5"/>
      <c r="WEW10" s="5"/>
      <c r="WEX10" s="5"/>
      <c r="WEY10" s="5"/>
      <c r="WEZ10" s="5"/>
      <c r="WFA10" s="5"/>
      <c r="WFB10" s="5"/>
      <c r="WFC10" s="5"/>
      <c r="WFD10" s="5"/>
      <c r="WFE10" s="5"/>
      <c r="WFF10" s="5"/>
      <c r="WFG10" s="5"/>
      <c r="WFH10" s="5"/>
      <c r="WFI10" s="5"/>
      <c r="WFJ10" s="5"/>
      <c r="WFK10" s="5"/>
      <c r="WFL10" s="5"/>
      <c r="WFM10" s="5"/>
      <c r="WFN10" s="5"/>
      <c r="WFO10" s="5"/>
      <c r="WFP10" s="5"/>
      <c r="WFQ10" s="5"/>
      <c r="WFR10" s="5"/>
      <c r="WFS10" s="5"/>
      <c r="WFT10" s="5"/>
      <c r="WFU10" s="5"/>
      <c r="WFV10" s="5"/>
      <c r="WFW10" s="5"/>
      <c r="WFX10" s="5"/>
      <c r="WFY10" s="5"/>
      <c r="WFZ10" s="5"/>
      <c r="WGA10" s="5"/>
      <c r="WGB10" s="5"/>
      <c r="WGC10" s="5"/>
      <c r="WGD10" s="5"/>
      <c r="WGE10" s="5"/>
      <c r="WGF10" s="5"/>
      <c r="WGG10" s="5"/>
      <c r="WGH10" s="5"/>
      <c r="WGI10" s="5"/>
      <c r="WGJ10" s="5"/>
      <c r="WGK10" s="5"/>
      <c r="WGL10" s="5"/>
      <c r="WGM10" s="5"/>
      <c r="WGN10" s="5"/>
      <c r="WGO10" s="5"/>
      <c r="WGP10" s="5"/>
      <c r="WGQ10" s="5"/>
      <c r="WGR10" s="5"/>
      <c r="WGS10" s="5"/>
      <c r="WGT10" s="5"/>
      <c r="WGU10" s="5"/>
      <c r="WGV10" s="5"/>
      <c r="WGW10" s="5"/>
      <c r="WGX10" s="5"/>
      <c r="WGY10" s="5"/>
      <c r="WGZ10" s="5"/>
      <c r="WHA10" s="5"/>
      <c r="WHB10" s="5"/>
      <c r="WHC10" s="5"/>
      <c r="WHD10" s="5"/>
      <c r="WHE10" s="5"/>
      <c r="WHF10" s="5"/>
      <c r="WHG10" s="5"/>
      <c r="WHH10" s="5"/>
      <c r="WHI10" s="5"/>
      <c r="WHJ10" s="5"/>
      <c r="WHK10" s="5"/>
      <c r="WHL10" s="5"/>
      <c r="WHM10" s="5"/>
      <c r="WHN10" s="5"/>
      <c r="WHO10" s="5"/>
      <c r="WHP10" s="5"/>
      <c r="WHQ10" s="5"/>
      <c r="WHR10" s="5"/>
      <c r="WHS10" s="5"/>
      <c r="WHT10" s="5"/>
      <c r="WHU10" s="5"/>
      <c r="WHV10" s="5"/>
      <c r="WHW10" s="5"/>
      <c r="WHX10" s="5"/>
      <c r="WHY10" s="5"/>
      <c r="WHZ10" s="5"/>
      <c r="WIA10" s="5"/>
      <c r="WIB10" s="5"/>
      <c r="WIC10" s="5"/>
      <c r="WID10" s="5"/>
      <c r="WIE10" s="5"/>
      <c r="WIF10" s="5"/>
      <c r="WIG10" s="5"/>
      <c r="WIH10" s="5"/>
      <c r="WII10" s="5"/>
      <c r="WIJ10" s="5"/>
      <c r="WIK10" s="5"/>
      <c r="WIL10" s="5"/>
      <c r="WIM10" s="5"/>
      <c r="WIN10" s="5"/>
      <c r="WIO10" s="5"/>
      <c r="WIP10" s="5"/>
      <c r="WIQ10" s="5"/>
      <c r="WIR10" s="5"/>
      <c r="WIS10" s="5"/>
      <c r="WIT10" s="5"/>
      <c r="WIU10" s="5"/>
      <c r="WIV10" s="5"/>
      <c r="WIW10" s="5"/>
      <c r="WIX10" s="5"/>
      <c r="WIY10" s="5"/>
      <c r="WIZ10" s="5"/>
      <c r="WJA10" s="5"/>
      <c r="WJB10" s="5"/>
      <c r="WJC10" s="5"/>
      <c r="WJD10" s="5"/>
      <c r="WJE10" s="5"/>
      <c r="WJF10" s="5"/>
      <c r="WJG10" s="5"/>
      <c r="WJH10" s="5"/>
      <c r="WJI10" s="5"/>
      <c r="WJJ10" s="5"/>
      <c r="WJK10" s="5"/>
      <c r="WJL10" s="5"/>
      <c r="WJM10" s="5"/>
      <c r="WJN10" s="5"/>
      <c r="WJO10" s="5"/>
      <c r="WJP10" s="5"/>
      <c r="WJQ10" s="5"/>
      <c r="WJR10" s="5"/>
      <c r="WJS10" s="5"/>
      <c r="WJT10" s="5"/>
      <c r="WJU10" s="5"/>
      <c r="WJV10" s="5"/>
      <c r="WJW10" s="5"/>
      <c r="WJX10" s="5"/>
      <c r="WJY10" s="5"/>
      <c r="WJZ10" s="5"/>
      <c r="WKA10" s="5"/>
      <c r="WKB10" s="5"/>
      <c r="WKC10" s="5"/>
      <c r="WKD10" s="5"/>
      <c r="WKE10" s="5"/>
      <c r="WKF10" s="5"/>
      <c r="WKG10" s="5"/>
      <c r="WKH10" s="5"/>
      <c r="WKI10" s="5"/>
      <c r="WKJ10" s="5"/>
      <c r="WKK10" s="5"/>
      <c r="WKL10" s="5"/>
      <c r="WKM10" s="5"/>
      <c r="WKN10" s="5"/>
      <c r="WKO10" s="5"/>
      <c r="WKP10" s="5"/>
      <c r="WKQ10" s="5"/>
      <c r="WKR10" s="5"/>
      <c r="WKS10" s="5"/>
      <c r="WKT10" s="5"/>
      <c r="WKU10" s="5"/>
      <c r="WKV10" s="5"/>
      <c r="WKW10" s="5"/>
      <c r="WKX10" s="5"/>
      <c r="WKY10" s="5"/>
      <c r="WKZ10" s="5"/>
      <c r="WLA10" s="5"/>
      <c r="WLB10" s="5"/>
      <c r="WLC10" s="5"/>
      <c r="WLD10" s="5"/>
      <c r="WLE10" s="5"/>
      <c r="WLF10" s="5"/>
      <c r="WLG10" s="5"/>
      <c r="WLH10" s="5"/>
      <c r="WLI10" s="5"/>
      <c r="WLJ10" s="5"/>
      <c r="WLK10" s="5"/>
      <c r="WLL10" s="5"/>
      <c r="WLM10" s="5"/>
      <c r="WLN10" s="5"/>
      <c r="WLO10" s="5"/>
      <c r="WLP10" s="5"/>
      <c r="WLQ10" s="5"/>
      <c r="WLR10" s="5"/>
      <c r="WLS10" s="5"/>
      <c r="WLT10" s="5"/>
      <c r="WLU10" s="5"/>
      <c r="WLV10" s="5"/>
      <c r="WLW10" s="5"/>
      <c r="WLX10" s="5"/>
      <c r="WLY10" s="5"/>
      <c r="WLZ10" s="5"/>
      <c r="WMA10" s="5"/>
      <c r="WMB10" s="5"/>
      <c r="WMC10" s="5"/>
      <c r="WMD10" s="5"/>
      <c r="WME10" s="5"/>
      <c r="WMF10" s="5"/>
      <c r="WMG10" s="5"/>
      <c r="WMH10" s="5"/>
      <c r="WMI10" s="5"/>
      <c r="WMJ10" s="5"/>
      <c r="WMK10" s="5"/>
      <c r="WML10" s="5"/>
      <c r="WMM10" s="5"/>
      <c r="WMN10" s="5"/>
      <c r="WMO10" s="5"/>
      <c r="WMP10" s="5"/>
      <c r="WMQ10" s="5"/>
      <c r="WMR10" s="5"/>
      <c r="WMS10" s="5"/>
      <c r="WMT10" s="5"/>
      <c r="WMU10" s="5"/>
      <c r="WMV10" s="5"/>
      <c r="WMW10" s="5"/>
      <c r="WMX10" s="5"/>
      <c r="WMY10" s="5"/>
      <c r="WMZ10" s="5"/>
      <c r="WNA10" s="5"/>
      <c r="WNB10" s="5"/>
      <c r="WNC10" s="5"/>
      <c r="WND10" s="5"/>
      <c r="WNE10" s="5"/>
      <c r="WNF10" s="5"/>
      <c r="WNG10" s="5"/>
      <c r="WNH10" s="5"/>
      <c r="WNI10" s="5"/>
      <c r="WNJ10" s="5"/>
      <c r="WNK10" s="5"/>
      <c r="WNL10" s="5"/>
      <c r="WNM10" s="5"/>
      <c r="WNN10" s="5"/>
      <c r="WNO10" s="5"/>
      <c r="WNP10" s="5"/>
      <c r="WNQ10" s="5"/>
      <c r="WNR10" s="5"/>
      <c r="WNS10" s="5"/>
      <c r="WNT10" s="5"/>
      <c r="WNU10" s="5"/>
      <c r="WNV10" s="5"/>
      <c r="WNW10" s="5"/>
      <c r="WNX10" s="5"/>
      <c r="WNY10" s="5"/>
      <c r="WNZ10" s="5"/>
      <c r="WOA10" s="5"/>
      <c r="WOB10" s="5"/>
      <c r="WOC10" s="5"/>
      <c r="WOD10" s="5"/>
      <c r="WOE10" s="5"/>
      <c r="WOF10" s="5"/>
      <c r="WOG10" s="5"/>
      <c r="WOH10" s="5"/>
      <c r="WOI10" s="5"/>
      <c r="WOJ10" s="5"/>
      <c r="WOK10" s="5"/>
      <c r="WOL10" s="5"/>
      <c r="WOM10" s="5"/>
      <c r="WON10" s="5"/>
      <c r="WOO10" s="5"/>
      <c r="WOP10" s="5"/>
      <c r="WOQ10" s="5"/>
      <c r="WOR10" s="5"/>
      <c r="WOS10" s="5"/>
      <c r="WOT10" s="5"/>
      <c r="WOU10" s="5"/>
      <c r="WOV10" s="5"/>
      <c r="WOW10" s="5"/>
      <c r="WOX10" s="5"/>
      <c r="WOY10" s="5"/>
      <c r="WOZ10" s="5"/>
      <c r="WPA10" s="5"/>
      <c r="WPB10" s="5"/>
      <c r="WPC10" s="5"/>
      <c r="WPD10" s="5"/>
      <c r="WPE10" s="5"/>
      <c r="WPF10" s="5"/>
      <c r="WPG10" s="5"/>
      <c r="WPH10" s="5"/>
      <c r="WPI10" s="5"/>
      <c r="WPJ10" s="5"/>
      <c r="WPK10" s="5"/>
      <c r="WPL10" s="5"/>
      <c r="WPM10" s="5"/>
      <c r="WPN10" s="5"/>
      <c r="WPO10" s="5"/>
      <c r="WPP10" s="5"/>
      <c r="WPQ10" s="5"/>
      <c r="WPR10" s="5"/>
      <c r="WPS10" s="5"/>
      <c r="WPT10" s="5"/>
      <c r="WPU10" s="5"/>
      <c r="WPV10" s="5"/>
      <c r="WPW10" s="5"/>
      <c r="WPX10" s="5"/>
      <c r="WPY10" s="5"/>
      <c r="WPZ10" s="5"/>
      <c r="WQA10" s="5"/>
      <c r="WQB10" s="5"/>
      <c r="WQC10" s="5"/>
      <c r="WQD10" s="5"/>
      <c r="WQE10" s="5"/>
      <c r="WQF10" s="5"/>
      <c r="WQG10" s="5"/>
      <c r="WQH10" s="5"/>
      <c r="WQI10" s="5"/>
      <c r="WQJ10" s="5"/>
      <c r="WQK10" s="5"/>
      <c r="WQL10" s="5"/>
      <c r="WQM10" s="5"/>
      <c r="WQN10" s="5"/>
      <c r="WQO10" s="5"/>
      <c r="WQP10" s="5"/>
      <c r="WQQ10" s="5"/>
      <c r="WQR10" s="5"/>
      <c r="WQS10" s="5"/>
      <c r="WQT10" s="5"/>
      <c r="WQU10" s="5"/>
      <c r="WQV10" s="5"/>
      <c r="WQW10" s="5"/>
      <c r="WQX10" s="5"/>
      <c r="WQY10" s="5"/>
      <c r="WQZ10" s="5"/>
      <c r="WRA10" s="5"/>
      <c r="WRB10" s="5"/>
      <c r="WRC10" s="5"/>
      <c r="WRD10" s="5"/>
      <c r="WRE10" s="5"/>
      <c r="WRF10" s="5"/>
      <c r="WRG10" s="5"/>
      <c r="WRH10" s="5"/>
      <c r="WRI10" s="5"/>
      <c r="WRJ10" s="5"/>
      <c r="WRK10" s="5"/>
      <c r="WRL10" s="5"/>
      <c r="WRM10" s="5"/>
      <c r="WRN10" s="5"/>
      <c r="WRO10" s="5"/>
      <c r="WRP10" s="5"/>
      <c r="WRQ10" s="5"/>
      <c r="WRR10" s="5"/>
      <c r="WRS10" s="5"/>
      <c r="WRT10" s="5"/>
      <c r="WRU10" s="5"/>
      <c r="WRV10" s="5"/>
      <c r="WRW10" s="5"/>
      <c r="WRX10" s="5"/>
      <c r="WRY10" s="5"/>
      <c r="WRZ10" s="5"/>
      <c r="WSA10" s="5"/>
      <c r="WSB10" s="5"/>
      <c r="WSC10" s="5"/>
      <c r="WSD10" s="5"/>
      <c r="WSE10" s="5"/>
      <c r="WSF10" s="5"/>
      <c r="WSG10" s="5"/>
      <c r="WSH10" s="5"/>
      <c r="WSI10" s="5"/>
      <c r="WSJ10" s="5"/>
      <c r="WSK10" s="5"/>
      <c r="WSL10" s="5"/>
      <c r="WSM10" s="5"/>
      <c r="WSN10" s="5"/>
      <c r="WSO10" s="5"/>
      <c r="WSP10" s="5"/>
      <c r="WSQ10" s="5"/>
      <c r="WSR10" s="5"/>
      <c r="WSS10" s="5"/>
      <c r="WST10" s="5"/>
      <c r="WSU10" s="5"/>
      <c r="WSV10" s="5"/>
      <c r="WSW10" s="5"/>
      <c r="WSX10" s="5"/>
      <c r="WSY10" s="5"/>
      <c r="WSZ10" s="5"/>
      <c r="WTA10" s="5"/>
      <c r="WTB10" s="5"/>
      <c r="WTC10" s="5"/>
      <c r="WTD10" s="5"/>
      <c r="WTE10" s="5"/>
      <c r="WTF10" s="5"/>
      <c r="WTG10" s="5"/>
      <c r="WTH10" s="5"/>
      <c r="WTI10" s="5"/>
      <c r="WTJ10" s="5"/>
      <c r="WTK10" s="5"/>
      <c r="WTL10" s="5"/>
      <c r="WTM10" s="5"/>
      <c r="WTN10" s="5"/>
      <c r="WTO10" s="5"/>
      <c r="WTP10" s="5"/>
      <c r="WTQ10" s="5"/>
      <c r="WTR10" s="5"/>
      <c r="WTS10" s="5"/>
      <c r="WTT10" s="5"/>
      <c r="WTU10" s="5"/>
      <c r="WTV10" s="5"/>
      <c r="WTW10" s="5"/>
      <c r="WTX10" s="5"/>
      <c r="WTY10" s="5"/>
      <c r="WTZ10" s="5"/>
      <c r="WUA10" s="5"/>
      <c r="WUB10" s="5"/>
      <c r="WUC10" s="5"/>
      <c r="WUD10" s="5"/>
      <c r="WUE10" s="5"/>
      <c r="WUF10" s="5"/>
      <c r="WUG10" s="5"/>
      <c r="WUH10" s="5"/>
      <c r="WUI10" s="5"/>
      <c r="WUJ10" s="5"/>
      <c r="WUK10" s="5"/>
      <c r="WUL10" s="5"/>
      <c r="WUM10" s="5"/>
      <c r="WUN10" s="5"/>
      <c r="WUO10" s="5"/>
      <c r="WUP10" s="5"/>
      <c r="WUQ10" s="5"/>
      <c r="WUR10" s="5"/>
      <c r="WUS10" s="5"/>
      <c r="WUT10" s="5"/>
      <c r="WUU10" s="5"/>
      <c r="WUV10" s="5"/>
      <c r="WUW10" s="5"/>
      <c r="WUX10" s="5"/>
      <c r="WUY10" s="5"/>
      <c r="WUZ10" s="5"/>
      <c r="WVA10" s="5"/>
      <c r="WVB10" s="5"/>
      <c r="WVC10" s="5"/>
      <c r="WVD10" s="5"/>
      <c r="WVE10" s="5"/>
      <c r="WVF10" s="5"/>
      <c r="WVG10" s="5"/>
      <c r="WVH10" s="5"/>
      <c r="WVI10" s="5"/>
      <c r="WVJ10" s="5"/>
      <c r="WVK10" s="5"/>
      <c r="WVL10" s="5"/>
      <c r="WVM10" s="5"/>
      <c r="WVN10" s="5"/>
      <c r="WVO10" s="5"/>
      <c r="WVP10" s="5"/>
      <c r="WVQ10" s="5"/>
      <c r="WVR10" s="5"/>
      <c r="WVS10" s="5"/>
      <c r="WVT10" s="5"/>
      <c r="WVU10" s="5"/>
      <c r="WVV10" s="5"/>
      <c r="WVW10" s="5"/>
      <c r="WVX10" s="5"/>
      <c r="WVY10" s="5"/>
      <c r="WVZ10" s="5"/>
      <c r="WWA10" s="5"/>
      <c r="WWB10" s="5"/>
      <c r="WWC10" s="5"/>
      <c r="WWD10" s="5"/>
      <c r="WWE10" s="5"/>
      <c r="WWF10" s="5"/>
      <c r="WWG10" s="5"/>
      <c r="WWH10" s="5"/>
      <c r="WWI10" s="5"/>
      <c r="WWJ10" s="5"/>
      <c r="WWK10" s="5"/>
      <c r="WWL10" s="5"/>
      <c r="WWM10" s="5"/>
      <c r="WWN10" s="5"/>
      <c r="WWO10" s="5"/>
      <c r="WWP10" s="5"/>
      <c r="WWQ10" s="5"/>
      <c r="WWR10" s="5"/>
      <c r="WWS10" s="5"/>
      <c r="WWT10" s="5"/>
      <c r="WWU10" s="5"/>
      <c r="WWV10" s="5"/>
      <c r="WWW10" s="5"/>
      <c r="WWX10" s="5"/>
      <c r="WWY10" s="5"/>
      <c r="WWZ10" s="5"/>
      <c r="WXA10" s="5"/>
      <c r="WXB10" s="5"/>
      <c r="WXC10" s="5"/>
      <c r="WXD10" s="5"/>
      <c r="WXE10" s="5"/>
      <c r="WXF10" s="5"/>
      <c r="WXG10" s="5"/>
      <c r="WXH10" s="5"/>
      <c r="WXI10" s="5"/>
      <c r="WXJ10" s="5"/>
      <c r="WXK10" s="5"/>
      <c r="WXL10" s="5"/>
      <c r="WXM10" s="5"/>
      <c r="WXN10" s="5"/>
      <c r="WXO10" s="5"/>
      <c r="WXP10" s="5"/>
      <c r="WXQ10" s="5"/>
      <c r="WXR10" s="5"/>
      <c r="WXS10" s="5"/>
      <c r="WXT10" s="5"/>
      <c r="WXU10" s="5"/>
      <c r="WXV10" s="5"/>
      <c r="WXW10" s="5"/>
      <c r="WXX10" s="5"/>
      <c r="WXY10" s="5"/>
      <c r="WXZ10" s="5"/>
      <c r="WYA10" s="5"/>
      <c r="WYB10" s="5"/>
      <c r="WYC10" s="5"/>
      <c r="WYD10" s="5"/>
      <c r="WYE10" s="5"/>
      <c r="WYF10" s="5"/>
      <c r="WYG10" s="5"/>
      <c r="WYH10" s="5"/>
      <c r="WYI10" s="5"/>
      <c r="WYJ10" s="5"/>
      <c r="WYK10" s="5"/>
      <c r="WYL10" s="5"/>
      <c r="WYM10" s="5"/>
      <c r="WYN10" s="5"/>
      <c r="WYO10" s="5"/>
      <c r="WYP10" s="5"/>
      <c r="WYQ10" s="5"/>
      <c r="WYR10" s="5"/>
      <c r="WYS10" s="5"/>
      <c r="WYT10" s="5"/>
      <c r="WYU10" s="5"/>
      <c r="WYV10" s="5"/>
      <c r="WYW10" s="5"/>
      <c r="WYX10" s="5"/>
      <c r="WYY10" s="5"/>
      <c r="WYZ10" s="5"/>
      <c r="WZA10" s="5"/>
      <c r="WZB10" s="5"/>
      <c r="WZC10" s="5"/>
      <c r="WZD10" s="5"/>
      <c r="WZE10" s="5"/>
      <c r="WZF10" s="5"/>
      <c r="WZG10" s="5"/>
      <c r="WZH10" s="5"/>
      <c r="WZI10" s="5"/>
      <c r="WZJ10" s="5"/>
      <c r="WZK10" s="5"/>
      <c r="WZL10" s="5"/>
      <c r="WZM10" s="5"/>
      <c r="WZN10" s="5"/>
      <c r="WZO10" s="5"/>
      <c r="WZP10" s="5"/>
      <c r="WZQ10" s="5"/>
      <c r="WZR10" s="5"/>
      <c r="WZS10" s="5"/>
      <c r="WZT10" s="5"/>
      <c r="WZU10" s="5"/>
      <c r="WZV10" s="5"/>
      <c r="WZW10" s="5"/>
      <c r="WZX10" s="5"/>
      <c r="WZY10" s="5"/>
      <c r="WZZ10" s="5"/>
      <c r="XAA10" s="5"/>
      <c r="XAB10" s="5"/>
      <c r="XAC10" s="5"/>
      <c r="XAD10" s="5"/>
      <c r="XAE10" s="5"/>
      <c r="XAF10" s="5"/>
      <c r="XAG10" s="5"/>
      <c r="XAH10" s="5"/>
      <c r="XAI10" s="5"/>
      <c r="XAJ10" s="5"/>
      <c r="XAK10" s="5"/>
      <c r="XAL10" s="5"/>
      <c r="XAM10" s="5"/>
      <c r="XAN10" s="5"/>
      <c r="XAO10" s="5"/>
      <c r="XAP10" s="5"/>
      <c r="XAQ10" s="5"/>
      <c r="XAR10" s="5"/>
      <c r="XAS10" s="5"/>
      <c r="XAT10" s="5"/>
      <c r="XAU10" s="5"/>
      <c r="XAV10" s="5"/>
      <c r="XAW10" s="5"/>
      <c r="XAX10" s="5"/>
      <c r="XAY10" s="5"/>
      <c r="XAZ10" s="5"/>
      <c r="XBA10" s="5"/>
      <c r="XBB10" s="5"/>
      <c r="XBC10" s="5"/>
      <c r="XBD10" s="5"/>
      <c r="XBE10" s="5"/>
      <c r="XBF10" s="5"/>
      <c r="XBG10" s="5"/>
      <c r="XBH10" s="5"/>
      <c r="XBI10" s="5"/>
      <c r="XBJ10" s="5"/>
      <c r="XBK10" s="5"/>
      <c r="XBL10" s="5"/>
      <c r="XBM10" s="5"/>
      <c r="XBN10" s="5"/>
      <c r="XBO10" s="5"/>
      <c r="XBP10" s="5"/>
      <c r="XBQ10" s="5"/>
      <c r="XBR10" s="5"/>
      <c r="XBS10" s="5"/>
      <c r="XBT10" s="5"/>
      <c r="XBU10" s="5"/>
      <c r="XBV10" s="5"/>
      <c r="XBW10" s="5"/>
      <c r="XBX10" s="5"/>
      <c r="XBY10" s="5"/>
      <c r="XBZ10" s="5"/>
      <c r="XCA10" s="5"/>
      <c r="XCB10" s="5"/>
      <c r="XCC10" s="5"/>
      <c r="XCD10" s="5"/>
      <c r="XCE10" s="5"/>
      <c r="XCF10" s="5"/>
      <c r="XCG10" s="5"/>
      <c r="XCH10" s="5"/>
      <c r="XCI10" s="5"/>
      <c r="XCJ10" s="5"/>
      <c r="XCK10" s="5"/>
      <c r="XCL10" s="5"/>
      <c r="XCM10" s="5"/>
      <c r="XCN10" s="5"/>
      <c r="XCO10" s="5"/>
      <c r="XCP10" s="5"/>
      <c r="XCQ10" s="5"/>
      <c r="XCR10" s="5"/>
      <c r="XCS10" s="5"/>
      <c r="XCT10" s="5"/>
      <c r="XCU10" s="5"/>
      <c r="XCV10" s="5"/>
      <c r="XCW10" s="5"/>
      <c r="XCX10" s="5"/>
      <c r="XCY10" s="5"/>
      <c r="XCZ10" s="5"/>
      <c r="XDA10" s="5"/>
      <c r="XDB10" s="5"/>
      <c r="XDC10" s="5"/>
      <c r="XDD10" s="5"/>
      <c r="XDE10" s="5"/>
      <c r="XDF10" s="5"/>
      <c r="XDG10" s="5"/>
      <c r="XDH10" s="5"/>
      <c r="XDI10" s="5"/>
      <c r="XDJ10" s="5"/>
      <c r="XDK10" s="5"/>
      <c r="XDL10" s="5"/>
      <c r="XDM10" s="5"/>
      <c r="XDN10" s="5"/>
      <c r="XDO10" s="5"/>
      <c r="XDP10" s="5"/>
      <c r="XDQ10" s="5"/>
      <c r="XDR10" s="5"/>
      <c r="XDS10" s="5"/>
      <c r="XDT10" s="5"/>
      <c r="XDU10" s="5"/>
      <c r="XDV10" s="5"/>
      <c r="XDW10" s="5"/>
      <c r="XDX10" s="5"/>
      <c r="XDY10" s="5"/>
      <c r="XDZ10" s="5"/>
      <c r="XEA10" s="5"/>
      <c r="XEB10" s="5"/>
      <c r="XEC10" s="5"/>
      <c r="XED10" s="5"/>
      <c r="XEE10" s="5"/>
      <c r="XEF10" s="5"/>
      <c r="XEG10" s="5"/>
      <c r="XEH10" s="5"/>
      <c r="XEI10" s="5"/>
      <c r="XEJ10" s="5"/>
      <c r="XEK10" s="5"/>
      <c r="XEL10" s="5"/>
      <c r="XEM10" s="5"/>
      <c r="XEN10" s="5"/>
      <c r="XEO10" s="5"/>
      <c r="XEP10" s="5"/>
      <c r="XEQ10" s="5"/>
      <c r="XER10" s="5"/>
      <c r="XES10" s="5"/>
      <c r="XET10" s="5"/>
      <c r="XEU10" s="5"/>
      <c r="XEV10" s="5"/>
      <c r="XEW10" s="5"/>
      <c r="XEX10" s="5"/>
      <c r="XEY10" s="5"/>
      <c r="XEZ10" s="5"/>
      <c r="XFA10" s="5"/>
      <c r="XFB10" s="5"/>
      <c r="XFC10" s="5"/>
      <c r="XFD10" s="5"/>
    </row>
    <row r="11" spans="1:16384" x14ac:dyDescent="0.25">
      <c r="A11" s="485"/>
      <c r="B11" s="485"/>
      <c r="C11" s="485"/>
    </row>
    <row r="12" spans="1:16384" x14ac:dyDescent="0.25">
      <c r="A12" s="6"/>
    </row>
    <row r="13" spans="1:16384" x14ac:dyDescent="0.25">
      <c r="A13" s="6"/>
    </row>
    <row r="14" spans="1:16384" x14ac:dyDescent="0.25">
      <c r="A14" s="6"/>
    </row>
    <row r="15" spans="1:16384" x14ac:dyDescent="0.25">
      <c r="A15" s="6"/>
    </row>
    <row r="16" spans="1:16384" x14ac:dyDescent="0.25">
      <c r="A16" s="6"/>
    </row>
    <row r="17" spans="1:1" x14ac:dyDescent="0.25">
      <c r="A17" s="6"/>
    </row>
    <row r="18" spans="1:1" x14ac:dyDescent="0.25">
      <c r="A18" s="6"/>
    </row>
    <row r="19" spans="1:1" x14ac:dyDescent="0.25">
      <c r="A19" s="6"/>
    </row>
    <row r="20" spans="1:1" x14ac:dyDescent="0.25">
      <c r="A20" s="6"/>
    </row>
    <row r="21" spans="1:1" x14ac:dyDescent="0.25">
      <c r="A21" s="6"/>
    </row>
  </sheetData>
  <mergeCells count="38231">
    <mergeCell ref="A1:C1"/>
    <mergeCell ref="A2:C2"/>
    <mergeCell ref="D2:F2"/>
    <mergeCell ref="G2:I2"/>
    <mergeCell ref="J2:L2"/>
    <mergeCell ref="M2:O2"/>
    <mergeCell ref="A9:C9"/>
    <mergeCell ref="A10:C10"/>
    <mergeCell ref="A11:C11"/>
    <mergeCell ref="DB2:DD2"/>
    <mergeCell ref="DE2:DG2"/>
    <mergeCell ref="DH2:DJ2"/>
    <mergeCell ref="DK2:DM2"/>
    <mergeCell ref="DN2:DP2"/>
    <mergeCell ref="DQ2:DS2"/>
    <mergeCell ref="CJ2:CL2"/>
    <mergeCell ref="CM2:CO2"/>
    <mergeCell ref="CP2:CR2"/>
    <mergeCell ref="CS2:CU2"/>
    <mergeCell ref="CV2:CX2"/>
    <mergeCell ref="CY2:DA2"/>
    <mergeCell ref="BR2:BT2"/>
    <mergeCell ref="BU2:BW2"/>
    <mergeCell ref="BX2:BZ2"/>
    <mergeCell ref="CA2:CC2"/>
    <mergeCell ref="CD2:CF2"/>
    <mergeCell ref="CG2:CI2"/>
    <mergeCell ref="AZ2:BB2"/>
    <mergeCell ref="BC2:BE2"/>
    <mergeCell ref="BF2:BH2"/>
    <mergeCell ref="BI2:BK2"/>
    <mergeCell ref="BL2:BN2"/>
    <mergeCell ref="BO2:BQ2"/>
    <mergeCell ref="AH2:AJ2"/>
    <mergeCell ref="AK2:AM2"/>
    <mergeCell ref="AN2:AP2"/>
    <mergeCell ref="AQ2:AS2"/>
    <mergeCell ref="AT2:AV2"/>
    <mergeCell ref="AW2:AY2"/>
    <mergeCell ref="P2:R2"/>
    <mergeCell ref="S2:U2"/>
    <mergeCell ref="V2:X2"/>
    <mergeCell ref="Y2:AA2"/>
    <mergeCell ref="AB2:AD2"/>
    <mergeCell ref="AE2:AG2"/>
    <mergeCell ref="DK3:DM3"/>
    <mergeCell ref="DN3:DP3"/>
    <mergeCell ref="DQ3:DS3"/>
    <mergeCell ref="P4:R4"/>
    <mergeCell ref="S4:U4"/>
    <mergeCell ref="V4:X4"/>
    <mergeCell ref="Y4:AA4"/>
    <mergeCell ref="AB4:AD4"/>
    <mergeCell ref="AE4:AG4"/>
    <mergeCell ref="DB4:DD4"/>
    <mergeCell ref="DE4:DG4"/>
    <mergeCell ref="DH4:DJ4"/>
    <mergeCell ref="DK4:DM4"/>
    <mergeCell ref="DN4:DP4"/>
    <mergeCell ref="DQ4:DS4"/>
    <mergeCell ref="CJ4:CL4"/>
    <mergeCell ref="CM4:CO4"/>
    <mergeCell ref="CP4:CR4"/>
    <mergeCell ref="CS4:CU4"/>
    <mergeCell ref="HF2:HH2"/>
    <mergeCell ref="HI2:HK2"/>
    <mergeCell ref="HL2:HN2"/>
    <mergeCell ref="HO2:HQ2"/>
    <mergeCell ref="HR2:HT2"/>
    <mergeCell ref="HU2:HW2"/>
    <mergeCell ref="GN2:GP2"/>
    <mergeCell ref="GQ2:GS2"/>
    <mergeCell ref="GT2:GV2"/>
    <mergeCell ref="GW2:GY2"/>
    <mergeCell ref="GZ2:HB2"/>
    <mergeCell ref="HC2:HE2"/>
    <mergeCell ref="FV2:FX2"/>
    <mergeCell ref="FY2:GA2"/>
    <mergeCell ref="GB2:GD2"/>
    <mergeCell ref="GE2:GG2"/>
    <mergeCell ref="GH2:GJ2"/>
    <mergeCell ref="GK2:GM2"/>
    <mergeCell ref="FD2:FF2"/>
    <mergeCell ref="FG2:FI2"/>
    <mergeCell ref="FJ2:FL2"/>
    <mergeCell ref="FM2:FO2"/>
    <mergeCell ref="FP2:FR2"/>
    <mergeCell ref="FS2:FU2"/>
    <mergeCell ref="EL2:EN2"/>
    <mergeCell ref="EO2:EQ2"/>
    <mergeCell ref="ER2:ET2"/>
    <mergeCell ref="EU2:EW2"/>
    <mergeCell ref="EX2:EZ2"/>
    <mergeCell ref="FA2:FC2"/>
    <mergeCell ref="DT2:DV2"/>
    <mergeCell ref="DW2:DY2"/>
    <mergeCell ref="DZ2:EB2"/>
    <mergeCell ref="EC2:EE2"/>
    <mergeCell ref="EF2:EH2"/>
    <mergeCell ref="EI2:EK2"/>
    <mergeCell ref="LJ2:LL2"/>
    <mergeCell ref="LM2:LO2"/>
    <mergeCell ref="LP2:LR2"/>
    <mergeCell ref="LS2:LU2"/>
    <mergeCell ref="LV2:LX2"/>
    <mergeCell ref="LY2:MA2"/>
    <mergeCell ref="KR2:KT2"/>
    <mergeCell ref="KU2:KW2"/>
    <mergeCell ref="KX2:KZ2"/>
    <mergeCell ref="LA2:LC2"/>
    <mergeCell ref="LD2:LF2"/>
    <mergeCell ref="LG2:LI2"/>
    <mergeCell ref="JZ2:KB2"/>
    <mergeCell ref="KC2:KE2"/>
    <mergeCell ref="KF2:KH2"/>
    <mergeCell ref="KI2:KK2"/>
    <mergeCell ref="KL2:KN2"/>
    <mergeCell ref="KO2:KQ2"/>
    <mergeCell ref="JH2:JJ2"/>
    <mergeCell ref="JK2:JM2"/>
    <mergeCell ref="JN2:JP2"/>
    <mergeCell ref="JQ2:JS2"/>
    <mergeCell ref="JT2:JV2"/>
    <mergeCell ref="JW2:JY2"/>
    <mergeCell ref="IP2:IR2"/>
    <mergeCell ref="IS2:IU2"/>
    <mergeCell ref="IV2:IX2"/>
    <mergeCell ref="IY2:JA2"/>
    <mergeCell ref="JB2:JD2"/>
    <mergeCell ref="JE2:JG2"/>
    <mergeCell ref="HX2:HZ2"/>
    <mergeCell ref="IA2:IC2"/>
    <mergeCell ref="ID2:IF2"/>
    <mergeCell ref="IG2:II2"/>
    <mergeCell ref="IJ2:IL2"/>
    <mergeCell ref="IM2:IO2"/>
    <mergeCell ref="PN2:PP2"/>
    <mergeCell ref="PQ2:PS2"/>
    <mergeCell ref="PT2:PV2"/>
    <mergeCell ref="PW2:PY2"/>
    <mergeCell ref="PZ2:QB2"/>
    <mergeCell ref="QC2:QE2"/>
    <mergeCell ref="OV2:OX2"/>
    <mergeCell ref="OY2:PA2"/>
    <mergeCell ref="PB2:PD2"/>
    <mergeCell ref="PE2:PG2"/>
    <mergeCell ref="PH2:PJ2"/>
    <mergeCell ref="PK2:PM2"/>
    <mergeCell ref="OD2:OF2"/>
    <mergeCell ref="OG2:OI2"/>
    <mergeCell ref="OJ2:OL2"/>
    <mergeCell ref="OM2:OO2"/>
    <mergeCell ref="OP2:OR2"/>
    <mergeCell ref="OS2:OU2"/>
    <mergeCell ref="NL2:NN2"/>
    <mergeCell ref="NO2:NQ2"/>
    <mergeCell ref="NR2:NT2"/>
    <mergeCell ref="NU2:NW2"/>
    <mergeCell ref="NX2:NZ2"/>
    <mergeCell ref="OA2:OC2"/>
    <mergeCell ref="MT2:MV2"/>
    <mergeCell ref="MW2:MY2"/>
    <mergeCell ref="MZ2:NB2"/>
    <mergeCell ref="NC2:NE2"/>
    <mergeCell ref="NF2:NH2"/>
    <mergeCell ref="NI2:NK2"/>
    <mergeCell ref="MB2:MD2"/>
    <mergeCell ref="ME2:MG2"/>
    <mergeCell ref="MH2:MJ2"/>
    <mergeCell ref="MK2:MM2"/>
    <mergeCell ref="MN2:MP2"/>
    <mergeCell ref="MQ2:MS2"/>
    <mergeCell ref="TR2:TT2"/>
    <mergeCell ref="TU2:TW2"/>
    <mergeCell ref="TX2:TZ2"/>
    <mergeCell ref="UA2:UC2"/>
    <mergeCell ref="UD2:UF2"/>
    <mergeCell ref="UG2:UI2"/>
    <mergeCell ref="SZ2:TB2"/>
    <mergeCell ref="TC2:TE2"/>
    <mergeCell ref="TF2:TH2"/>
    <mergeCell ref="TI2:TK2"/>
    <mergeCell ref="TL2:TN2"/>
    <mergeCell ref="TO2:TQ2"/>
    <mergeCell ref="SH2:SJ2"/>
    <mergeCell ref="SK2:SM2"/>
    <mergeCell ref="SN2:SP2"/>
    <mergeCell ref="SQ2:SS2"/>
    <mergeCell ref="ST2:SV2"/>
    <mergeCell ref="SW2:SY2"/>
    <mergeCell ref="RP2:RR2"/>
    <mergeCell ref="RS2:RU2"/>
    <mergeCell ref="RV2:RX2"/>
    <mergeCell ref="RY2:SA2"/>
    <mergeCell ref="SB2:SD2"/>
    <mergeCell ref="SE2:SG2"/>
    <mergeCell ref="QX2:QZ2"/>
    <mergeCell ref="RA2:RC2"/>
    <mergeCell ref="RD2:RF2"/>
    <mergeCell ref="RG2:RI2"/>
    <mergeCell ref="RJ2:RL2"/>
    <mergeCell ref="RM2:RO2"/>
    <mergeCell ref="QF2:QH2"/>
    <mergeCell ref="QI2:QK2"/>
    <mergeCell ref="QL2:QN2"/>
    <mergeCell ref="QO2:QQ2"/>
    <mergeCell ref="QR2:QT2"/>
    <mergeCell ref="QU2:QW2"/>
    <mergeCell ref="XV2:XX2"/>
    <mergeCell ref="XY2:YA2"/>
    <mergeCell ref="YB2:YD2"/>
    <mergeCell ref="YE2:YG2"/>
    <mergeCell ref="YH2:YJ2"/>
    <mergeCell ref="YK2:YM2"/>
    <mergeCell ref="XD2:XF2"/>
    <mergeCell ref="XG2:XI2"/>
    <mergeCell ref="XJ2:XL2"/>
    <mergeCell ref="XM2:XO2"/>
    <mergeCell ref="XP2:XR2"/>
    <mergeCell ref="XS2:XU2"/>
    <mergeCell ref="WL2:WN2"/>
    <mergeCell ref="WO2:WQ2"/>
    <mergeCell ref="WR2:WT2"/>
    <mergeCell ref="WU2:WW2"/>
    <mergeCell ref="WX2:WZ2"/>
    <mergeCell ref="XA2:XC2"/>
    <mergeCell ref="VT2:VV2"/>
    <mergeCell ref="VW2:VY2"/>
    <mergeCell ref="VZ2:WB2"/>
    <mergeCell ref="WC2:WE2"/>
    <mergeCell ref="WF2:WH2"/>
    <mergeCell ref="WI2:WK2"/>
    <mergeCell ref="VB2:VD2"/>
    <mergeCell ref="VE2:VG2"/>
    <mergeCell ref="VH2:VJ2"/>
    <mergeCell ref="VK2:VM2"/>
    <mergeCell ref="VN2:VP2"/>
    <mergeCell ref="VQ2:VS2"/>
    <mergeCell ref="UJ2:UL2"/>
    <mergeCell ref="UM2:UO2"/>
    <mergeCell ref="UP2:UR2"/>
    <mergeCell ref="US2:UU2"/>
    <mergeCell ref="UV2:UX2"/>
    <mergeCell ref="UY2:VA2"/>
    <mergeCell ref="ABZ2:ACB2"/>
    <mergeCell ref="ACC2:ACE2"/>
    <mergeCell ref="ACF2:ACH2"/>
    <mergeCell ref="ACI2:ACK2"/>
    <mergeCell ref="ACL2:ACN2"/>
    <mergeCell ref="ACO2:ACQ2"/>
    <mergeCell ref="ABH2:ABJ2"/>
    <mergeCell ref="ABK2:ABM2"/>
    <mergeCell ref="ABN2:ABP2"/>
    <mergeCell ref="ABQ2:ABS2"/>
    <mergeCell ref="ABT2:ABV2"/>
    <mergeCell ref="ABW2:ABY2"/>
    <mergeCell ref="AAP2:AAR2"/>
    <mergeCell ref="AAS2:AAU2"/>
    <mergeCell ref="AAV2:AAX2"/>
    <mergeCell ref="AAY2:ABA2"/>
    <mergeCell ref="ABB2:ABD2"/>
    <mergeCell ref="ABE2:ABG2"/>
    <mergeCell ref="ZX2:ZZ2"/>
    <mergeCell ref="AAA2:AAC2"/>
    <mergeCell ref="AAD2:AAF2"/>
    <mergeCell ref="AAG2:AAI2"/>
    <mergeCell ref="AAJ2:AAL2"/>
    <mergeCell ref="AAM2:AAO2"/>
    <mergeCell ref="ZF2:ZH2"/>
    <mergeCell ref="ZI2:ZK2"/>
    <mergeCell ref="ZL2:ZN2"/>
    <mergeCell ref="ZO2:ZQ2"/>
    <mergeCell ref="ZR2:ZT2"/>
    <mergeCell ref="ZU2:ZW2"/>
    <mergeCell ref="YN2:YP2"/>
    <mergeCell ref="YQ2:YS2"/>
    <mergeCell ref="YT2:YV2"/>
    <mergeCell ref="YW2:YY2"/>
    <mergeCell ref="YZ2:ZB2"/>
    <mergeCell ref="ZC2:ZE2"/>
    <mergeCell ref="AGD2:AGF2"/>
    <mergeCell ref="AGG2:AGI2"/>
    <mergeCell ref="AGJ2:AGL2"/>
    <mergeCell ref="AGM2:AGO2"/>
    <mergeCell ref="AGP2:AGR2"/>
    <mergeCell ref="AGS2:AGU2"/>
    <mergeCell ref="AFL2:AFN2"/>
    <mergeCell ref="AFO2:AFQ2"/>
    <mergeCell ref="AFR2:AFT2"/>
    <mergeCell ref="AFU2:AFW2"/>
    <mergeCell ref="AFX2:AFZ2"/>
    <mergeCell ref="AGA2:AGC2"/>
    <mergeCell ref="AET2:AEV2"/>
    <mergeCell ref="AEW2:AEY2"/>
    <mergeCell ref="AEZ2:AFB2"/>
    <mergeCell ref="AFC2:AFE2"/>
    <mergeCell ref="AFF2:AFH2"/>
    <mergeCell ref="AFI2:AFK2"/>
    <mergeCell ref="AEB2:AED2"/>
    <mergeCell ref="AEE2:AEG2"/>
    <mergeCell ref="AEH2:AEJ2"/>
    <mergeCell ref="AEK2:AEM2"/>
    <mergeCell ref="AEN2:AEP2"/>
    <mergeCell ref="AEQ2:AES2"/>
    <mergeCell ref="ADJ2:ADL2"/>
    <mergeCell ref="ADM2:ADO2"/>
    <mergeCell ref="ADP2:ADR2"/>
    <mergeCell ref="ADS2:ADU2"/>
    <mergeCell ref="ADV2:ADX2"/>
    <mergeCell ref="ADY2:AEA2"/>
    <mergeCell ref="ACR2:ACT2"/>
    <mergeCell ref="ACU2:ACW2"/>
    <mergeCell ref="ACX2:ACZ2"/>
    <mergeCell ref="ADA2:ADC2"/>
    <mergeCell ref="ADD2:ADF2"/>
    <mergeCell ref="ADG2:ADI2"/>
    <mergeCell ref="AKH2:AKJ2"/>
    <mergeCell ref="AKK2:AKM2"/>
    <mergeCell ref="AKN2:AKP2"/>
    <mergeCell ref="AKQ2:AKS2"/>
    <mergeCell ref="AKT2:AKV2"/>
    <mergeCell ref="AKW2:AKY2"/>
    <mergeCell ref="AJP2:AJR2"/>
    <mergeCell ref="AJS2:AJU2"/>
    <mergeCell ref="AJV2:AJX2"/>
    <mergeCell ref="AJY2:AKA2"/>
    <mergeCell ref="AKB2:AKD2"/>
    <mergeCell ref="AKE2:AKG2"/>
    <mergeCell ref="AIX2:AIZ2"/>
    <mergeCell ref="AJA2:AJC2"/>
    <mergeCell ref="AJD2:AJF2"/>
    <mergeCell ref="AJG2:AJI2"/>
    <mergeCell ref="AJJ2:AJL2"/>
    <mergeCell ref="AJM2:AJO2"/>
    <mergeCell ref="AIF2:AIH2"/>
    <mergeCell ref="AII2:AIK2"/>
    <mergeCell ref="AIL2:AIN2"/>
    <mergeCell ref="AIO2:AIQ2"/>
    <mergeCell ref="AIR2:AIT2"/>
    <mergeCell ref="AIU2:AIW2"/>
    <mergeCell ref="AHN2:AHP2"/>
    <mergeCell ref="AHQ2:AHS2"/>
    <mergeCell ref="AHT2:AHV2"/>
    <mergeCell ref="AHW2:AHY2"/>
    <mergeCell ref="AHZ2:AIB2"/>
    <mergeCell ref="AIC2:AIE2"/>
    <mergeCell ref="AGV2:AGX2"/>
    <mergeCell ref="AGY2:AHA2"/>
    <mergeCell ref="AHB2:AHD2"/>
    <mergeCell ref="AHE2:AHG2"/>
    <mergeCell ref="AHH2:AHJ2"/>
    <mergeCell ref="AHK2:AHM2"/>
    <mergeCell ref="AOL2:AON2"/>
    <mergeCell ref="AOO2:AOQ2"/>
    <mergeCell ref="AOR2:AOT2"/>
    <mergeCell ref="AOU2:AOW2"/>
    <mergeCell ref="AOX2:AOZ2"/>
    <mergeCell ref="APA2:APC2"/>
    <mergeCell ref="ANT2:ANV2"/>
    <mergeCell ref="ANW2:ANY2"/>
    <mergeCell ref="ANZ2:AOB2"/>
    <mergeCell ref="AOC2:AOE2"/>
    <mergeCell ref="AOF2:AOH2"/>
    <mergeCell ref="AOI2:AOK2"/>
    <mergeCell ref="ANB2:AND2"/>
    <mergeCell ref="ANE2:ANG2"/>
    <mergeCell ref="ANH2:ANJ2"/>
    <mergeCell ref="ANK2:ANM2"/>
    <mergeCell ref="ANN2:ANP2"/>
    <mergeCell ref="ANQ2:ANS2"/>
    <mergeCell ref="AMJ2:AML2"/>
    <mergeCell ref="AMM2:AMO2"/>
    <mergeCell ref="AMP2:AMR2"/>
    <mergeCell ref="AMS2:AMU2"/>
    <mergeCell ref="AMV2:AMX2"/>
    <mergeCell ref="AMY2:ANA2"/>
    <mergeCell ref="ALR2:ALT2"/>
    <mergeCell ref="ALU2:ALW2"/>
    <mergeCell ref="ALX2:ALZ2"/>
    <mergeCell ref="AMA2:AMC2"/>
    <mergeCell ref="AMD2:AMF2"/>
    <mergeCell ref="AMG2:AMI2"/>
    <mergeCell ref="AKZ2:ALB2"/>
    <mergeCell ref="ALC2:ALE2"/>
    <mergeCell ref="ALF2:ALH2"/>
    <mergeCell ref="ALI2:ALK2"/>
    <mergeCell ref="ALL2:ALN2"/>
    <mergeCell ref="ALO2:ALQ2"/>
    <mergeCell ref="ASP2:ASR2"/>
    <mergeCell ref="ASS2:ASU2"/>
    <mergeCell ref="ASV2:ASX2"/>
    <mergeCell ref="ASY2:ATA2"/>
    <mergeCell ref="ATB2:ATD2"/>
    <mergeCell ref="ATE2:ATG2"/>
    <mergeCell ref="ARX2:ARZ2"/>
    <mergeCell ref="ASA2:ASC2"/>
    <mergeCell ref="ASD2:ASF2"/>
    <mergeCell ref="ASG2:ASI2"/>
    <mergeCell ref="ASJ2:ASL2"/>
    <mergeCell ref="ASM2:ASO2"/>
    <mergeCell ref="ARF2:ARH2"/>
    <mergeCell ref="ARI2:ARK2"/>
    <mergeCell ref="ARL2:ARN2"/>
    <mergeCell ref="ARO2:ARQ2"/>
    <mergeCell ref="ARR2:ART2"/>
    <mergeCell ref="ARU2:ARW2"/>
    <mergeCell ref="AQN2:AQP2"/>
    <mergeCell ref="AQQ2:AQS2"/>
    <mergeCell ref="AQT2:AQV2"/>
    <mergeCell ref="AQW2:AQY2"/>
    <mergeCell ref="AQZ2:ARB2"/>
    <mergeCell ref="ARC2:ARE2"/>
    <mergeCell ref="APV2:APX2"/>
    <mergeCell ref="APY2:AQA2"/>
    <mergeCell ref="AQB2:AQD2"/>
    <mergeCell ref="AQE2:AQG2"/>
    <mergeCell ref="AQH2:AQJ2"/>
    <mergeCell ref="AQK2:AQM2"/>
    <mergeCell ref="APD2:APF2"/>
    <mergeCell ref="APG2:API2"/>
    <mergeCell ref="APJ2:APL2"/>
    <mergeCell ref="APM2:APO2"/>
    <mergeCell ref="APP2:APR2"/>
    <mergeCell ref="APS2:APU2"/>
    <mergeCell ref="AWT2:AWV2"/>
    <mergeCell ref="AWW2:AWY2"/>
    <mergeCell ref="AWZ2:AXB2"/>
    <mergeCell ref="AXC2:AXE2"/>
    <mergeCell ref="AXF2:AXH2"/>
    <mergeCell ref="AXI2:AXK2"/>
    <mergeCell ref="AWB2:AWD2"/>
    <mergeCell ref="AWE2:AWG2"/>
    <mergeCell ref="AWH2:AWJ2"/>
    <mergeCell ref="AWK2:AWM2"/>
    <mergeCell ref="AWN2:AWP2"/>
    <mergeCell ref="AWQ2:AWS2"/>
    <mergeCell ref="AVJ2:AVL2"/>
    <mergeCell ref="AVM2:AVO2"/>
    <mergeCell ref="AVP2:AVR2"/>
    <mergeCell ref="AVS2:AVU2"/>
    <mergeCell ref="AVV2:AVX2"/>
    <mergeCell ref="AVY2:AWA2"/>
    <mergeCell ref="AUR2:AUT2"/>
    <mergeCell ref="AUU2:AUW2"/>
    <mergeCell ref="AUX2:AUZ2"/>
    <mergeCell ref="AVA2:AVC2"/>
    <mergeCell ref="AVD2:AVF2"/>
    <mergeCell ref="AVG2:AVI2"/>
    <mergeCell ref="ATZ2:AUB2"/>
    <mergeCell ref="AUC2:AUE2"/>
    <mergeCell ref="AUF2:AUH2"/>
    <mergeCell ref="AUI2:AUK2"/>
    <mergeCell ref="AUL2:AUN2"/>
    <mergeCell ref="AUO2:AUQ2"/>
    <mergeCell ref="ATH2:ATJ2"/>
    <mergeCell ref="ATK2:ATM2"/>
    <mergeCell ref="ATN2:ATP2"/>
    <mergeCell ref="ATQ2:ATS2"/>
    <mergeCell ref="ATT2:ATV2"/>
    <mergeCell ref="ATW2:ATY2"/>
    <mergeCell ref="BAX2:BAZ2"/>
    <mergeCell ref="BBA2:BBC2"/>
    <mergeCell ref="BBD2:BBF2"/>
    <mergeCell ref="BBG2:BBI2"/>
    <mergeCell ref="BBJ2:BBL2"/>
    <mergeCell ref="BBM2:BBO2"/>
    <mergeCell ref="BAF2:BAH2"/>
    <mergeCell ref="BAI2:BAK2"/>
    <mergeCell ref="BAL2:BAN2"/>
    <mergeCell ref="BAO2:BAQ2"/>
    <mergeCell ref="BAR2:BAT2"/>
    <mergeCell ref="BAU2:BAW2"/>
    <mergeCell ref="AZN2:AZP2"/>
    <mergeCell ref="AZQ2:AZS2"/>
    <mergeCell ref="AZT2:AZV2"/>
    <mergeCell ref="AZW2:AZY2"/>
    <mergeCell ref="AZZ2:BAB2"/>
    <mergeCell ref="BAC2:BAE2"/>
    <mergeCell ref="AYV2:AYX2"/>
    <mergeCell ref="AYY2:AZA2"/>
    <mergeCell ref="AZB2:AZD2"/>
    <mergeCell ref="AZE2:AZG2"/>
    <mergeCell ref="AZH2:AZJ2"/>
    <mergeCell ref="AZK2:AZM2"/>
    <mergeCell ref="AYD2:AYF2"/>
    <mergeCell ref="AYG2:AYI2"/>
    <mergeCell ref="AYJ2:AYL2"/>
    <mergeCell ref="AYM2:AYO2"/>
    <mergeCell ref="AYP2:AYR2"/>
    <mergeCell ref="AYS2:AYU2"/>
    <mergeCell ref="AXL2:AXN2"/>
    <mergeCell ref="AXO2:AXQ2"/>
    <mergeCell ref="AXR2:AXT2"/>
    <mergeCell ref="AXU2:AXW2"/>
    <mergeCell ref="AXX2:AXZ2"/>
    <mergeCell ref="AYA2:AYC2"/>
    <mergeCell ref="BFB2:BFD2"/>
    <mergeCell ref="BFE2:BFG2"/>
    <mergeCell ref="BFH2:BFJ2"/>
    <mergeCell ref="BFK2:BFM2"/>
    <mergeCell ref="BFN2:BFP2"/>
    <mergeCell ref="BFQ2:BFS2"/>
    <mergeCell ref="BEJ2:BEL2"/>
    <mergeCell ref="BEM2:BEO2"/>
    <mergeCell ref="BEP2:BER2"/>
    <mergeCell ref="BES2:BEU2"/>
    <mergeCell ref="BEV2:BEX2"/>
    <mergeCell ref="BEY2:BFA2"/>
    <mergeCell ref="BDR2:BDT2"/>
    <mergeCell ref="BDU2:BDW2"/>
    <mergeCell ref="BDX2:BDZ2"/>
    <mergeCell ref="BEA2:BEC2"/>
    <mergeCell ref="BED2:BEF2"/>
    <mergeCell ref="BEG2:BEI2"/>
    <mergeCell ref="BCZ2:BDB2"/>
    <mergeCell ref="BDC2:BDE2"/>
    <mergeCell ref="BDF2:BDH2"/>
    <mergeCell ref="BDI2:BDK2"/>
    <mergeCell ref="BDL2:BDN2"/>
    <mergeCell ref="BDO2:BDQ2"/>
    <mergeCell ref="BCH2:BCJ2"/>
    <mergeCell ref="BCK2:BCM2"/>
    <mergeCell ref="BCN2:BCP2"/>
    <mergeCell ref="BCQ2:BCS2"/>
    <mergeCell ref="BCT2:BCV2"/>
    <mergeCell ref="BCW2:BCY2"/>
    <mergeCell ref="BBP2:BBR2"/>
    <mergeCell ref="BBS2:BBU2"/>
    <mergeCell ref="BBV2:BBX2"/>
    <mergeCell ref="BBY2:BCA2"/>
    <mergeCell ref="BCB2:BCD2"/>
    <mergeCell ref="BCE2:BCG2"/>
    <mergeCell ref="BJF2:BJH2"/>
    <mergeCell ref="BJI2:BJK2"/>
    <mergeCell ref="BJL2:BJN2"/>
    <mergeCell ref="BJO2:BJQ2"/>
    <mergeCell ref="BJR2:BJT2"/>
    <mergeCell ref="BJU2:BJW2"/>
    <mergeCell ref="BIN2:BIP2"/>
    <mergeCell ref="BIQ2:BIS2"/>
    <mergeCell ref="BIT2:BIV2"/>
    <mergeCell ref="BIW2:BIY2"/>
    <mergeCell ref="BIZ2:BJB2"/>
    <mergeCell ref="BJC2:BJE2"/>
    <mergeCell ref="BHV2:BHX2"/>
    <mergeCell ref="BHY2:BIA2"/>
    <mergeCell ref="BIB2:BID2"/>
    <mergeCell ref="BIE2:BIG2"/>
    <mergeCell ref="BIH2:BIJ2"/>
    <mergeCell ref="BIK2:BIM2"/>
    <mergeCell ref="BHD2:BHF2"/>
    <mergeCell ref="BHG2:BHI2"/>
    <mergeCell ref="BHJ2:BHL2"/>
    <mergeCell ref="BHM2:BHO2"/>
    <mergeCell ref="BHP2:BHR2"/>
    <mergeCell ref="BHS2:BHU2"/>
    <mergeCell ref="BGL2:BGN2"/>
    <mergeCell ref="BGO2:BGQ2"/>
    <mergeCell ref="BGR2:BGT2"/>
    <mergeCell ref="BGU2:BGW2"/>
    <mergeCell ref="BGX2:BGZ2"/>
    <mergeCell ref="BHA2:BHC2"/>
    <mergeCell ref="BFT2:BFV2"/>
    <mergeCell ref="BFW2:BFY2"/>
    <mergeCell ref="BFZ2:BGB2"/>
    <mergeCell ref="BGC2:BGE2"/>
    <mergeCell ref="BGF2:BGH2"/>
    <mergeCell ref="BGI2:BGK2"/>
    <mergeCell ref="BNJ2:BNL2"/>
    <mergeCell ref="BNM2:BNO2"/>
    <mergeCell ref="BNP2:BNR2"/>
    <mergeCell ref="BNS2:BNU2"/>
    <mergeCell ref="BNV2:BNX2"/>
    <mergeCell ref="BNY2:BOA2"/>
    <mergeCell ref="BMR2:BMT2"/>
    <mergeCell ref="BMU2:BMW2"/>
    <mergeCell ref="BMX2:BMZ2"/>
    <mergeCell ref="BNA2:BNC2"/>
    <mergeCell ref="BND2:BNF2"/>
    <mergeCell ref="BNG2:BNI2"/>
    <mergeCell ref="BLZ2:BMB2"/>
    <mergeCell ref="BMC2:BME2"/>
    <mergeCell ref="BMF2:BMH2"/>
    <mergeCell ref="BMI2:BMK2"/>
    <mergeCell ref="BML2:BMN2"/>
    <mergeCell ref="BMO2:BMQ2"/>
    <mergeCell ref="BLH2:BLJ2"/>
    <mergeCell ref="BLK2:BLM2"/>
    <mergeCell ref="BLN2:BLP2"/>
    <mergeCell ref="BLQ2:BLS2"/>
    <mergeCell ref="BLT2:BLV2"/>
    <mergeCell ref="BLW2:BLY2"/>
    <mergeCell ref="BKP2:BKR2"/>
    <mergeCell ref="BKS2:BKU2"/>
    <mergeCell ref="BKV2:BKX2"/>
    <mergeCell ref="BKY2:BLA2"/>
    <mergeCell ref="BLB2:BLD2"/>
    <mergeCell ref="BLE2:BLG2"/>
    <mergeCell ref="BJX2:BJZ2"/>
    <mergeCell ref="BKA2:BKC2"/>
    <mergeCell ref="BKD2:BKF2"/>
    <mergeCell ref="BKG2:BKI2"/>
    <mergeCell ref="BKJ2:BKL2"/>
    <mergeCell ref="BKM2:BKO2"/>
    <mergeCell ref="BRN2:BRP2"/>
    <mergeCell ref="BRQ2:BRS2"/>
    <mergeCell ref="BRT2:BRV2"/>
    <mergeCell ref="BRW2:BRY2"/>
    <mergeCell ref="BRZ2:BSB2"/>
    <mergeCell ref="BSC2:BSE2"/>
    <mergeCell ref="BQV2:BQX2"/>
    <mergeCell ref="BQY2:BRA2"/>
    <mergeCell ref="BRB2:BRD2"/>
    <mergeCell ref="BRE2:BRG2"/>
    <mergeCell ref="BRH2:BRJ2"/>
    <mergeCell ref="BRK2:BRM2"/>
    <mergeCell ref="BQD2:BQF2"/>
    <mergeCell ref="BQG2:BQI2"/>
    <mergeCell ref="BQJ2:BQL2"/>
    <mergeCell ref="BQM2:BQO2"/>
    <mergeCell ref="BQP2:BQR2"/>
    <mergeCell ref="BQS2:BQU2"/>
    <mergeCell ref="BPL2:BPN2"/>
    <mergeCell ref="BPO2:BPQ2"/>
    <mergeCell ref="BPR2:BPT2"/>
    <mergeCell ref="BPU2:BPW2"/>
    <mergeCell ref="BPX2:BPZ2"/>
    <mergeCell ref="BQA2:BQC2"/>
    <mergeCell ref="BOT2:BOV2"/>
    <mergeCell ref="BOW2:BOY2"/>
    <mergeCell ref="BOZ2:BPB2"/>
    <mergeCell ref="BPC2:BPE2"/>
    <mergeCell ref="BPF2:BPH2"/>
    <mergeCell ref="BPI2:BPK2"/>
    <mergeCell ref="BOB2:BOD2"/>
    <mergeCell ref="BOE2:BOG2"/>
    <mergeCell ref="BOH2:BOJ2"/>
    <mergeCell ref="BOK2:BOM2"/>
    <mergeCell ref="BON2:BOP2"/>
    <mergeCell ref="BOQ2:BOS2"/>
    <mergeCell ref="BVR2:BVT2"/>
    <mergeCell ref="BVU2:BVW2"/>
    <mergeCell ref="BVX2:BVZ2"/>
    <mergeCell ref="BWA2:BWC2"/>
    <mergeCell ref="BWD2:BWF2"/>
    <mergeCell ref="BWG2:BWI2"/>
    <mergeCell ref="BUZ2:BVB2"/>
    <mergeCell ref="BVC2:BVE2"/>
    <mergeCell ref="BVF2:BVH2"/>
    <mergeCell ref="BVI2:BVK2"/>
    <mergeCell ref="BVL2:BVN2"/>
    <mergeCell ref="BVO2:BVQ2"/>
    <mergeCell ref="BUH2:BUJ2"/>
    <mergeCell ref="BUK2:BUM2"/>
    <mergeCell ref="BUN2:BUP2"/>
    <mergeCell ref="BUQ2:BUS2"/>
    <mergeCell ref="BUT2:BUV2"/>
    <mergeCell ref="BUW2:BUY2"/>
    <mergeCell ref="BTP2:BTR2"/>
    <mergeCell ref="BTS2:BTU2"/>
    <mergeCell ref="BTV2:BTX2"/>
    <mergeCell ref="BTY2:BUA2"/>
    <mergeCell ref="BUB2:BUD2"/>
    <mergeCell ref="BUE2:BUG2"/>
    <mergeCell ref="BSX2:BSZ2"/>
    <mergeCell ref="BTA2:BTC2"/>
    <mergeCell ref="BTD2:BTF2"/>
    <mergeCell ref="BTG2:BTI2"/>
    <mergeCell ref="BTJ2:BTL2"/>
    <mergeCell ref="BTM2:BTO2"/>
    <mergeCell ref="BSF2:BSH2"/>
    <mergeCell ref="BSI2:BSK2"/>
    <mergeCell ref="BSL2:BSN2"/>
    <mergeCell ref="BSO2:BSQ2"/>
    <mergeCell ref="BSR2:BST2"/>
    <mergeCell ref="BSU2:BSW2"/>
    <mergeCell ref="BZV2:BZX2"/>
    <mergeCell ref="BZY2:CAA2"/>
    <mergeCell ref="CAB2:CAD2"/>
    <mergeCell ref="CAE2:CAG2"/>
    <mergeCell ref="CAH2:CAJ2"/>
    <mergeCell ref="CAK2:CAM2"/>
    <mergeCell ref="BZD2:BZF2"/>
    <mergeCell ref="BZG2:BZI2"/>
    <mergeCell ref="BZJ2:BZL2"/>
    <mergeCell ref="BZM2:BZO2"/>
    <mergeCell ref="BZP2:BZR2"/>
    <mergeCell ref="BZS2:BZU2"/>
    <mergeCell ref="BYL2:BYN2"/>
    <mergeCell ref="BYO2:BYQ2"/>
    <mergeCell ref="BYR2:BYT2"/>
    <mergeCell ref="BYU2:BYW2"/>
    <mergeCell ref="BYX2:BYZ2"/>
    <mergeCell ref="BZA2:BZC2"/>
    <mergeCell ref="BXT2:BXV2"/>
    <mergeCell ref="BXW2:BXY2"/>
    <mergeCell ref="BXZ2:BYB2"/>
    <mergeCell ref="BYC2:BYE2"/>
    <mergeCell ref="BYF2:BYH2"/>
    <mergeCell ref="BYI2:BYK2"/>
    <mergeCell ref="BXB2:BXD2"/>
    <mergeCell ref="BXE2:BXG2"/>
    <mergeCell ref="BXH2:BXJ2"/>
    <mergeCell ref="BXK2:BXM2"/>
    <mergeCell ref="BXN2:BXP2"/>
    <mergeCell ref="BXQ2:BXS2"/>
    <mergeCell ref="BWJ2:BWL2"/>
    <mergeCell ref="BWM2:BWO2"/>
    <mergeCell ref="BWP2:BWR2"/>
    <mergeCell ref="BWS2:BWU2"/>
    <mergeCell ref="BWV2:BWX2"/>
    <mergeCell ref="BWY2:BXA2"/>
    <mergeCell ref="CDZ2:CEB2"/>
    <mergeCell ref="CEC2:CEE2"/>
    <mergeCell ref="CEF2:CEH2"/>
    <mergeCell ref="CEI2:CEK2"/>
    <mergeCell ref="CEL2:CEN2"/>
    <mergeCell ref="CEO2:CEQ2"/>
    <mergeCell ref="CDH2:CDJ2"/>
    <mergeCell ref="CDK2:CDM2"/>
    <mergeCell ref="CDN2:CDP2"/>
    <mergeCell ref="CDQ2:CDS2"/>
    <mergeCell ref="CDT2:CDV2"/>
    <mergeCell ref="CDW2:CDY2"/>
    <mergeCell ref="CCP2:CCR2"/>
    <mergeCell ref="CCS2:CCU2"/>
    <mergeCell ref="CCV2:CCX2"/>
    <mergeCell ref="CCY2:CDA2"/>
    <mergeCell ref="CDB2:CDD2"/>
    <mergeCell ref="CDE2:CDG2"/>
    <mergeCell ref="CBX2:CBZ2"/>
    <mergeCell ref="CCA2:CCC2"/>
    <mergeCell ref="CCD2:CCF2"/>
    <mergeCell ref="CCG2:CCI2"/>
    <mergeCell ref="CCJ2:CCL2"/>
    <mergeCell ref="CCM2:CCO2"/>
    <mergeCell ref="CBF2:CBH2"/>
    <mergeCell ref="CBI2:CBK2"/>
    <mergeCell ref="CBL2:CBN2"/>
    <mergeCell ref="CBO2:CBQ2"/>
    <mergeCell ref="CBR2:CBT2"/>
    <mergeCell ref="CBU2:CBW2"/>
    <mergeCell ref="CAN2:CAP2"/>
    <mergeCell ref="CAQ2:CAS2"/>
    <mergeCell ref="CAT2:CAV2"/>
    <mergeCell ref="CAW2:CAY2"/>
    <mergeCell ref="CAZ2:CBB2"/>
    <mergeCell ref="CBC2:CBE2"/>
    <mergeCell ref="CID2:CIF2"/>
    <mergeCell ref="CIG2:CII2"/>
    <mergeCell ref="CIJ2:CIL2"/>
    <mergeCell ref="CIM2:CIO2"/>
    <mergeCell ref="CIP2:CIR2"/>
    <mergeCell ref="CIS2:CIU2"/>
    <mergeCell ref="CHL2:CHN2"/>
    <mergeCell ref="CHO2:CHQ2"/>
    <mergeCell ref="CHR2:CHT2"/>
    <mergeCell ref="CHU2:CHW2"/>
    <mergeCell ref="CHX2:CHZ2"/>
    <mergeCell ref="CIA2:CIC2"/>
    <mergeCell ref="CGT2:CGV2"/>
    <mergeCell ref="CGW2:CGY2"/>
    <mergeCell ref="CGZ2:CHB2"/>
    <mergeCell ref="CHC2:CHE2"/>
    <mergeCell ref="CHF2:CHH2"/>
    <mergeCell ref="CHI2:CHK2"/>
    <mergeCell ref="CGB2:CGD2"/>
    <mergeCell ref="CGE2:CGG2"/>
    <mergeCell ref="CGH2:CGJ2"/>
    <mergeCell ref="CGK2:CGM2"/>
    <mergeCell ref="CGN2:CGP2"/>
    <mergeCell ref="CGQ2:CGS2"/>
    <mergeCell ref="CFJ2:CFL2"/>
    <mergeCell ref="CFM2:CFO2"/>
    <mergeCell ref="CFP2:CFR2"/>
    <mergeCell ref="CFS2:CFU2"/>
    <mergeCell ref="CFV2:CFX2"/>
    <mergeCell ref="CFY2:CGA2"/>
    <mergeCell ref="CER2:CET2"/>
    <mergeCell ref="CEU2:CEW2"/>
    <mergeCell ref="CEX2:CEZ2"/>
    <mergeCell ref="CFA2:CFC2"/>
    <mergeCell ref="CFD2:CFF2"/>
    <mergeCell ref="CFG2:CFI2"/>
    <mergeCell ref="CMH2:CMJ2"/>
    <mergeCell ref="CMK2:CMM2"/>
    <mergeCell ref="CMN2:CMP2"/>
    <mergeCell ref="CMQ2:CMS2"/>
    <mergeCell ref="CMT2:CMV2"/>
    <mergeCell ref="CMW2:CMY2"/>
    <mergeCell ref="CLP2:CLR2"/>
    <mergeCell ref="CLS2:CLU2"/>
    <mergeCell ref="CLV2:CLX2"/>
    <mergeCell ref="CLY2:CMA2"/>
    <mergeCell ref="CMB2:CMD2"/>
    <mergeCell ref="CME2:CMG2"/>
    <mergeCell ref="CKX2:CKZ2"/>
    <mergeCell ref="CLA2:CLC2"/>
    <mergeCell ref="CLD2:CLF2"/>
    <mergeCell ref="CLG2:CLI2"/>
    <mergeCell ref="CLJ2:CLL2"/>
    <mergeCell ref="CLM2:CLO2"/>
    <mergeCell ref="CKF2:CKH2"/>
    <mergeCell ref="CKI2:CKK2"/>
    <mergeCell ref="CKL2:CKN2"/>
    <mergeCell ref="CKO2:CKQ2"/>
    <mergeCell ref="CKR2:CKT2"/>
    <mergeCell ref="CKU2:CKW2"/>
    <mergeCell ref="CJN2:CJP2"/>
    <mergeCell ref="CJQ2:CJS2"/>
    <mergeCell ref="CJT2:CJV2"/>
    <mergeCell ref="CJW2:CJY2"/>
    <mergeCell ref="CJZ2:CKB2"/>
    <mergeCell ref="CKC2:CKE2"/>
    <mergeCell ref="CIV2:CIX2"/>
    <mergeCell ref="CIY2:CJA2"/>
    <mergeCell ref="CJB2:CJD2"/>
    <mergeCell ref="CJE2:CJG2"/>
    <mergeCell ref="CJH2:CJJ2"/>
    <mergeCell ref="CJK2:CJM2"/>
    <mergeCell ref="CQL2:CQN2"/>
    <mergeCell ref="CQO2:CQQ2"/>
    <mergeCell ref="CQR2:CQT2"/>
    <mergeCell ref="CQU2:CQW2"/>
    <mergeCell ref="CQX2:CQZ2"/>
    <mergeCell ref="CRA2:CRC2"/>
    <mergeCell ref="CPT2:CPV2"/>
    <mergeCell ref="CPW2:CPY2"/>
    <mergeCell ref="CPZ2:CQB2"/>
    <mergeCell ref="CQC2:CQE2"/>
    <mergeCell ref="CQF2:CQH2"/>
    <mergeCell ref="CQI2:CQK2"/>
    <mergeCell ref="CPB2:CPD2"/>
    <mergeCell ref="CPE2:CPG2"/>
    <mergeCell ref="CPH2:CPJ2"/>
    <mergeCell ref="CPK2:CPM2"/>
    <mergeCell ref="CPN2:CPP2"/>
    <mergeCell ref="CPQ2:CPS2"/>
    <mergeCell ref="COJ2:COL2"/>
    <mergeCell ref="COM2:COO2"/>
    <mergeCell ref="COP2:COR2"/>
    <mergeCell ref="COS2:COU2"/>
    <mergeCell ref="COV2:COX2"/>
    <mergeCell ref="COY2:CPA2"/>
    <mergeCell ref="CNR2:CNT2"/>
    <mergeCell ref="CNU2:CNW2"/>
    <mergeCell ref="CNX2:CNZ2"/>
    <mergeCell ref="COA2:COC2"/>
    <mergeCell ref="COD2:COF2"/>
    <mergeCell ref="COG2:COI2"/>
    <mergeCell ref="CMZ2:CNB2"/>
    <mergeCell ref="CNC2:CNE2"/>
    <mergeCell ref="CNF2:CNH2"/>
    <mergeCell ref="CNI2:CNK2"/>
    <mergeCell ref="CNL2:CNN2"/>
    <mergeCell ref="CNO2:CNQ2"/>
    <mergeCell ref="CUP2:CUR2"/>
    <mergeCell ref="CUS2:CUU2"/>
    <mergeCell ref="CUV2:CUX2"/>
    <mergeCell ref="CUY2:CVA2"/>
    <mergeCell ref="CVB2:CVD2"/>
    <mergeCell ref="CVE2:CVG2"/>
    <mergeCell ref="CTX2:CTZ2"/>
    <mergeCell ref="CUA2:CUC2"/>
    <mergeCell ref="CUD2:CUF2"/>
    <mergeCell ref="CUG2:CUI2"/>
    <mergeCell ref="CUJ2:CUL2"/>
    <mergeCell ref="CUM2:CUO2"/>
    <mergeCell ref="CTF2:CTH2"/>
    <mergeCell ref="CTI2:CTK2"/>
    <mergeCell ref="CTL2:CTN2"/>
    <mergeCell ref="CTO2:CTQ2"/>
    <mergeCell ref="CTR2:CTT2"/>
    <mergeCell ref="CTU2:CTW2"/>
    <mergeCell ref="CSN2:CSP2"/>
    <mergeCell ref="CSQ2:CSS2"/>
    <mergeCell ref="CST2:CSV2"/>
    <mergeCell ref="CSW2:CSY2"/>
    <mergeCell ref="CSZ2:CTB2"/>
    <mergeCell ref="CTC2:CTE2"/>
    <mergeCell ref="CRV2:CRX2"/>
    <mergeCell ref="CRY2:CSA2"/>
    <mergeCell ref="CSB2:CSD2"/>
    <mergeCell ref="CSE2:CSG2"/>
    <mergeCell ref="CSH2:CSJ2"/>
    <mergeCell ref="CSK2:CSM2"/>
    <mergeCell ref="CRD2:CRF2"/>
    <mergeCell ref="CRG2:CRI2"/>
    <mergeCell ref="CRJ2:CRL2"/>
    <mergeCell ref="CRM2:CRO2"/>
    <mergeCell ref="CRP2:CRR2"/>
    <mergeCell ref="CRS2:CRU2"/>
    <mergeCell ref="CYT2:CYV2"/>
    <mergeCell ref="CYW2:CYY2"/>
    <mergeCell ref="CYZ2:CZB2"/>
    <mergeCell ref="CZC2:CZE2"/>
    <mergeCell ref="CZF2:CZH2"/>
    <mergeCell ref="CZI2:CZK2"/>
    <mergeCell ref="CYB2:CYD2"/>
    <mergeCell ref="CYE2:CYG2"/>
    <mergeCell ref="CYH2:CYJ2"/>
    <mergeCell ref="CYK2:CYM2"/>
    <mergeCell ref="CYN2:CYP2"/>
    <mergeCell ref="CYQ2:CYS2"/>
    <mergeCell ref="CXJ2:CXL2"/>
    <mergeCell ref="CXM2:CXO2"/>
    <mergeCell ref="CXP2:CXR2"/>
    <mergeCell ref="CXS2:CXU2"/>
    <mergeCell ref="CXV2:CXX2"/>
    <mergeCell ref="CXY2:CYA2"/>
    <mergeCell ref="CWR2:CWT2"/>
    <mergeCell ref="CWU2:CWW2"/>
    <mergeCell ref="CWX2:CWZ2"/>
    <mergeCell ref="CXA2:CXC2"/>
    <mergeCell ref="CXD2:CXF2"/>
    <mergeCell ref="CXG2:CXI2"/>
    <mergeCell ref="CVZ2:CWB2"/>
    <mergeCell ref="CWC2:CWE2"/>
    <mergeCell ref="CWF2:CWH2"/>
    <mergeCell ref="CWI2:CWK2"/>
    <mergeCell ref="CWL2:CWN2"/>
    <mergeCell ref="CWO2:CWQ2"/>
    <mergeCell ref="CVH2:CVJ2"/>
    <mergeCell ref="CVK2:CVM2"/>
    <mergeCell ref="CVN2:CVP2"/>
    <mergeCell ref="CVQ2:CVS2"/>
    <mergeCell ref="CVT2:CVV2"/>
    <mergeCell ref="CVW2:CVY2"/>
    <mergeCell ref="DCX2:DCZ2"/>
    <mergeCell ref="DDA2:DDC2"/>
    <mergeCell ref="DDD2:DDF2"/>
    <mergeCell ref="DDG2:DDI2"/>
    <mergeCell ref="DDJ2:DDL2"/>
    <mergeCell ref="DDM2:DDO2"/>
    <mergeCell ref="DCF2:DCH2"/>
    <mergeCell ref="DCI2:DCK2"/>
    <mergeCell ref="DCL2:DCN2"/>
    <mergeCell ref="DCO2:DCQ2"/>
    <mergeCell ref="DCR2:DCT2"/>
    <mergeCell ref="DCU2:DCW2"/>
    <mergeCell ref="DBN2:DBP2"/>
    <mergeCell ref="DBQ2:DBS2"/>
    <mergeCell ref="DBT2:DBV2"/>
    <mergeCell ref="DBW2:DBY2"/>
    <mergeCell ref="DBZ2:DCB2"/>
    <mergeCell ref="DCC2:DCE2"/>
    <mergeCell ref="DAV2:DAX2"/>
    <mergeCell ref="DAY2:DBA2"/>
    <mergeCell ref="DBB2:DBD2"/>
    <mergeCell ref="DBE2:DBG2"/>
    <mergeCell ref="DBH2:DBJ2"/>
    <mergeCell ref="DBK2:DBM2"/>
    <mergeCell ref="DAD2:DAF2"/>
    <mergeCell ref="DAG2:DAI2"/>
    <mergeCell ref="DAJ2:DAL2"/>
    <mergeCell ref="DAM2:DAO2"/>
    <mergeCell ref="DAP2:DAR2"/>
    <mergeCell ref="DAS2:DAU2"/>
    <mergeCell ref="CZL2:CZN2"/>
    <mergeCell ref="CZO2:CZQ2"/>
    <mergeCell ref="CZR2:CZT2"/>
    <mergeCell ref="CZU2:CZW2"/>
    <mergeCell ref="CZX2:CZZ2"/>
    <mergeCell ref="DAA2:DAC2"/>
    <mergeCell ref="DHB2:DHD2"/>
    <mergeCell ref="DHE2:DHG2"/>
    <mergeCell ref="DHH2:DHJ2"/>
    <mergeCell ref="DHK2:DHM2"/>
    <mergeCell ref="DHN2:DHP2"/>
    <mergeCell ref="DHQ2:DHS2"/>
    <mergeCell ref="DGJ2:DGL2"/>
    <mergeCell ref="DGM2:DGO2"/>
    <mergeCell ref="DGP2:DGR2"/>
    <mergeCell ref="DGS2:DGU2"/>
    <mergeCell ref="DGV2:DGX2"/>
    <mergeCell ref="DGY2:DHA2"/>
    <mergeCell ref="DFR2:DFT2"/>
    <mergeCell ref="DFU2:DFW2"/>
    <mergeCell ref="DFX2:DFZ2"/>
    <mergeCell ref="DGA2:DGC2"/>
    <mergeCell ref="DGD2:DGF2"/>
    <mergeCell ref="DGG2:DGI2"/>
    <mergeCell ref="DEZ2:DFB2"/>
    <mergeCell ref="DFC2:DFE2"/>
    <mergeCell ref="DFF2:DFH2"/>
    <mergeCell ref="DFI2:DFK2"/>
    <mergeCell ref="DFL2:DFN2"/>
    <mergeCell ref="DFO2:DFQ2"/>
    <mergeCell ref="DEH2:DEJ2"/>
    <mergeCell ref="DEK2:DEM2"/>
    <mergeCell ref="DEN2:DEP2"/>
    <mergeCell ref="DEQ2:DES2"/>
    <mergeCell ref="DET2:DEV2"/>
    <mergeCell ref="DEW2:DEY2"/>
    <mergeCell ref="DDP2:DDR2"/>
    <mergeCell ref="DDS2:DDU2"/>
    <mergeCell ref="DDV2:DDX2"/>
    <mergeCell ref="DDY2:DEA2"/>
    <mergeCell ref="DEB2:DED2"/>
    <mergeCell ref="DEE2:DEG2"/>
    <mergeCell ref="DLF2:DLH2"/>
    <mergeCell ref="DLI2:DLK2"/>
    <mergeCell ref="DLL2:DLN2"/>
    <mergeCell ref="DLO2:DLQ2"/>
    <mergeCell ref="DLR2:DLT2"/>
    <mergeCell ref="DLU2:DLW2"/>
    <mergeCell ref="DKN2:DKP2"/>
    <mergeCell ref="DKQ2:DKS2"/>
    <mergeCell ref="DKT2:DKV2"/>
    <mergeCell ref="DKW2:DKY2"/>
    <mergeCell ref="DKZ2:DLB2"/>
    <mergeCell ref="DLC2:DLE2"/>
    <mergeCell ref="DJV2:DJX2"/>
    <mergeCell ref="DJY2:DKA2"/>
    <mergeCell ref="DKB2:DKD2"/>
    <mergeCell ref="DKE2:DKG2"/>
    <mergeCell ref="DKH2:DKJ2"/>
    <mergeCell ref="DKK2:DKM2"/>
    <mergeCell ref="DJD2:DJF2"/>
    <mergeCell ref="DJG2:DJI2"/>
    <mergeCell ref="DJJ2:DJL2"/>
    <mergeCell ref="DJM2:DJO2"/>
    <mergeCell ref="DJP2:DJR2"/>
    <mergeCell ref="DJS2:DJU2"/>
    <mergeCell ref="DIL2:DIN2"/>
    <mergeCell ref="DIO2:DIQ2"/>
    <mergeCell ref="DIR2:DIT2"/>
    <mergeCell ref="DIU2:DIW2"/>
    <mergeCell ref="DIX2:DIZ2"/>
    <mergeCell ref="DJA2:DJC2"/>
    <mergeCell ref="DHT2:DHV2"/>
    <mergeCell ref="DHW2:DHY2"/>
    <mergeCell ref="DHZ2:DIB2"/>
    <mergeCell ref="DIC2:DIE2"/>
    <mergeCell ref="DIF2:DIH2"/>
    <mergeCell ref="DII2:DIK2"/>
    <mergeCell ref="DPJ2:DPL2"/>
    <mergeCell ref="DPM2:DPO2"/>
    <mergeCell ref="DPP2:DPR2"/>
    <mergeCell ref="DPS2:DPU2"/>
    <mergeCell ref="DPV2:DPX2"/>
    <mergeCell ref="DPY2:DQA2"/>
    <mergeCell ref="DOR2:DOT2"/>
    <mergeCell ref="DOU2:DOW2"/>
    <mergeCell ref="DOX2:DOZ2"/>
    <mergeCell ref="DPA2:DPC2"/>
    <mergeCell ref="DPD2:DPF2"/>
    <mergeCell ref="DPG2:DPI2"/>
    <mergeCell ref="DNZ2:DOB2"/>
    <mergeCell ref="DOC2:DOE2"/>
    <mergeCell ref="DOF2:DOH2"/>
    <mergeCell ref="DOI2:DOK2"/>
    <mergeCell ref="DOL2:DON2"/>
    <mergeCell ref="DOO2:DOQ2"/>
    <mergeCell ref="DNH2:DNJ2"/>
    <mergeCell ref="DNK2:DNM2"/>
    <mergeCell ref="DNN2:DNP2"/>
    <mergeCell ref="DNQ2:DNS2"/>
    <mergeCell ref="DNT2:DNV2"/>
    <mergeCell ref="DNW2:DNY2"/>
    <mergeCell ref="DMP2:DMR2"/>
    <mergeCell ref="DMS2:DMU2"/>
    <mergeCell ref="DMV2:DMX2"/>
    <mergeCell ref="DMY2:DNA2"/>
    <mergeCell ref="DNB2:DND2"/>
    <mergeCell ref="DNE2:DNG2"/>
    <mergeCell ref="DLX2:DLZ2"/>
    <mergeCell ref="DMA2:DMC2"/>
    <mergeCell ref="DMD2:DMF2"/>
    <mergeCell ref="DMG2:DMI2"/>
    <mergeCell ref="DMJ2:DML2"/>
    <mergeCell ref="DMM2:DMO2"/>
    <mergeCell ref="DTN2:DTP2"/>
    <mergeCell ref="DTQ2:DTS2"/>
    <mergeCell ref="DTT2:DTV2"/>
    <mergeCell ref="DTW2:DTY2"/>
    <mergeCell ref="DTZ2:DUB2"/>
    <mergeCell ref="DUC2:DUE2"/>
    <mergeCell ref="DSV2:DSX2"/>
    <mergeCell ref="DSY2:DTA2"/>
    <mergeCell ref="DTB2:DTD2"/>
    <mergeCell ref="DTE2:DTG2"/>
    <mergeCell ref="DTH2:DTJ2"/>
    <mergeCell ref="DTK2:DTM2"/>
    <mergeCell ref="DSD2:DSF2"/>
    <mergeCell ref="DSG2:DSI2"/>
    <mergeCell ref="DSJ2:DSL2"/>
    <mergeCell ref="DSM2:DSO2"/>
    <mergeCell ref="DSP2:DSR2"/>
    <mergeCell ref="DSS2:DSU2"/>
    <mergeCell ref="DRL2:DRN2"/>
    <mergeCell ref="DRO2:DRQ2"/>
    <mergeCell ref="DRR2:DRT2"/>
    <mergeCell ref="DRU2:DRW2"/>
    <mergeCell ref="DRX2:DRZ2"/>
    <mergeCell ref="DSA2:DSC2"/>
    <mergeCell ref="DQT2:DQV2"/>
    <mergeCell ref="DQW2:DQY2"/>
    <mergeCell ref="DQZ2:DRB2"/>
    <mergeCell ref="DRC2:DRE2"/>
    <mergeCell ref="DRF2:DRH2"/>
    <mergeCell ref="DRI2:DRK2"/>
    <mergeCell ref="DQB2:DQD2"/>
    <mergeCell ref="DQE2:DQG2"/>
    <mergeCell ref="DQH2:DQJ2"/>
    <mergeCell ref="DQK2:DQM2"/>
    <mergeCell ref="DQN2:DQP2"/>
    <mergeCell ref="DQQ2:DQS2"/>
    <mergeCell ref="DXR2:DXT2"/>
    <mergeCell ref="DXU2:DXW2"/>
    <mergeCell ref="DXX2:DXZ2"/>
    <mergeCell ref="DYA2:DYC2"/>
    <mergeCell ref="DYD2:DYF2"/>
    <mergeCell ref="DYG2:DYI2"/>
    <mergeCell ref="DWZ2:DXB2"/>
    <mergeCell ref="DXC2:DXE2"/>
    <mergeCell ref="DXF2:DXH2"/>
    <mergeCell ref="DXI2:DXK2"/>
    <mergeCell ref="DXL2:DXN2"/>
    <mergeCell ref="DXO2:DXQ2"/>
    <mergeCell ref="DWH2:DWJ2"/>
    <mergeCell ref="DWK2:DWM2"/>
    <mergeCell ref="DWN2:DWP2"/>
    <mergeCell ref="DWQ2:DWS2"/>
    <mergeCell ref="DWT2:DWV2"/>
    <mergeCell ref="DWW2:DWY2"/>
    <mergeCell ref="DVP2:DVR2"/>
    <mergeCell ref="DVS2:DVU2"/>
    <mergeCell ref="DVV2:DVX2"/>
    <mergeCell ref="DVY2:DWA2"/>
    <mergeCell ref="DWB2:DWD2"/>
    <mergeCell ref="DWE2:DWG2"/>
    <mergeCell ref="DUX2:DUZ2"/>
    <mergeCell ref="DVA2:DVC2"/>
    <mergeCell ref="DVD2:DVF2"/>
    <mergeCell ref="DVG2:DVI2"/>
    <mergeCell ref="DVJ2:DVL2"/>
    <mergeCell ref="DVM2:DVO2"/>
    <mergeCell ref="DUF2:DUH2"/>
    <mergeCell ref="DUI2:DUK2"/>
    <mergeCell ref="DUL2:DUN2"/>
    <mergeCell ref="DUO2:DUQ2"/>
    <mergeCell ref="DUR2:DUT2"/>
    <mergeCell ref="DUU2:DUW2"/>
    <mergeCell ref="EBV2:EBX2"/>
    <mergeCell ref="EBY2:ECA2"/>
    <mergeCell ref="ECB2:ECD2"/>
    <mergeCell ref="ECE2:ECG2"/>
    <mergeCell ref="ECH2:ECJ2"/>
    <mergeCell ref="ECK2:ECM2"/>
    <mergeCell ref="EBD2:EBF2"/>
    <mergeCell ref="EBG2:EBI2"/>
    <mergeCell ref="EBJ2:EBL2"/>
    <mergeCell ref="EBM2:EBO2"/>
    <mergeCell ref="EBP2:EBR2"/>
    <mergeCell ref="EBS2:EBU2"/>
    <mergeCell ref="EAL2:EAN2"/>
    <mergeCell ref="EAO2:EAQ2"/>
    <mergeCell ref="EAR2:EAT2"/>
    <mergeCell ref="EAU2:EAW2"/>
    <mergeCell ref="EAX2:EAZ2"/>
    <mergeCell ref="EBA2:EBC2"/>
    <mergeCell ref="DZT2:DZV2"/>
    <mergeCell ref="DZW2:DZY2"/>
    <mergeCell ref="DZZ2:EAB2"/>
    <mergeCell ref="EAC2:EAE2"/>
    <mergeCell ref="EAF2:EAH2"/>
    <mergeCell ref="EAI2:EAK2"/>
    <mergeCell ref="DZB2:DZD2"/>
    <mergeCell ref="DZE2:DZG2"/>
    <mergeCell ref="DZH2:DZJ2"/>
    <mergeCell ref="DZK2:DZM2"/>
    <mergeCell ref="DZN2:DZP2"/>
    <mergeCell ref="DZQ2:DZS2"/>
    <mergeCell ref="DYJ2:DYL2"/>
    <mergeCell ref="DYM2:DYO2"/>
    <mergeCell ref="DYP2:DYR2"/>
    <mergeCell ref="DYS2:DYU2"/>
    <mergeCell ref="DYV2:DYX2"/>
    <mergeCell ref="DYY2:DZA2"/>
    <mergeCell ref="EFZ2:EGB2"/>
    <mergeCell ref="EGC2:EGE2"/>
    <mergeCell ref="EGF2:EGH2"/>
    <mergeCell ref="EGI2:EGK2"/>
    <mergeCell ref="EGL2:EGN2"/>
    <mergeCell ref="EGO2:EGQ2"/>
    <mergeCell ref="EFH2:EFJ2"/>
    <mergeCell ref="EFK2:EFM2"/>
    <mergeCell ref="EFN2:EFP2"/>
    <mergeCell ref="EFQ2:EFS2"/>
    <mergeCell ref="EFT2:EFV2"/>
    <mergeCell ref="EFW2:EFY2"/>
    <mergeCell ref="EEP2:EER2"/>
    <mergeCell ref="EES2:EEU2"/>
    <mergeCell ref="EEV2:EEX2"/>
    <mergeCell ref="EEY2:EFA2"/>
    <mergeCell ref="EFB2:EFD2"/>
    <mergeCell ref="EFE2:EFG2"/>
    <mergeCell ref="EDX2:EDZ2"/>
    <mergeCell ref="EEA2:EEC2"/>
    <mergeCell ref="EED2:EEF2"/>
    <mergeCell ref="EEG2:EEI2"/>
    <mergeCell ref="EEJ2:EEL2"/>
    <mergeCell ref="EEM2:EEO2"/>
    <mergeCell ref="EDF2:EDH2"/>
    <mergeCell ref="EDI2:EDK2"/>
    <mergeCell ref="EDL2:EDN2"/>
    <mergeCell ref="EDO2:EDQ2"/>
    <mergeCell ref="EDR2:EDT2"/>
    <mergeCell ref="EDU2:EDW2"/>
    <mergeCell ref="ECN2:ECP2"/>
    <mergeCell ref="ECQ2:ECS2"/>
    <mergeCell ref="ECT2:ECV2"/>
    <mergeCell ref="ECW2:ECY2"/>
    <mergeCell ref="ECZ2:EDB2"/>
    <mergeCell ref="EDC2:EDE2"/>
    <mergeCell ref="EKD2:EKF2"/>
    <mergeCell ref="EKG2:EKI2"/>
    <mergeCell ref="EKJ2:EKL2"/>
    <mergeCell ref="EKM2:EKO2"/>
    <mergeCell ref="EKP2:EKR2"/>
    <mergeCell ref="EKS2:EKU2"/>
    <mergeCell ref="EJL2:EJN2"/>
    <mergeCell ref="EJO2:EJQ2"/>
    <mergeCell ref="EJR2:EJT2"/>
    <mergeCell ref="EJU2:EJW2"/>
    <mergeCell ref="EJX2:EJZ2"/>
    <mergeCell ref="EKA2:EKC2"/>
    <mergeCell ref="EIT2:EIV2"/>
    <mergeCell ref="EIW2:EIY2"/>
    <mergeCell ref="EIZ2:EJB2"/>
    <mergeCell ref="EJC2:EJE2"/>
    <mergeCell ref="EJF2:EJH2"/>
    <mergeCell ref="EJI2:EJK2"/>
    <mergeCell ref="EIB2:EID2"/>
    <mergeCell ref="EIE2:EIG2"/>
    <mergeCell ref="EIH2:EIJ2"/>
    <mergeCell ref="EIK2:EIM2"/>
    <mergeCell ref="EIN2:EIP2"/>
    <mergeCell ref="EIQ2:EIS2"/>
    <mergeCell ref="EHJ2:EHL2"/>
    <mergeCell ref="EHM2:EHO2"/>
    <mergeCell ref="EHP2:EHR2"/>
    <mergeCell ref="EHS2:EHU2"/>
    <mergeCell ref="EHV2:EHX2"/>
    <mergeCell ref="EHY2:EIA2"/>
    <mergeCell ref="EGR2:EGT2"/>
    <mergeCell ref="EGU2:EGW2"/>
    <mergeCell ref="EGX2:EGZ2"/>
    <mergeCell ref="EHA2:EHC2"/>
    <mergeCell ref="EHD2:EHF2"/>
    <mergeCell ref="EHG2:EHI2"/>
    <mergeCell ref="EOH2:EOJ2"/>
    <mergeCell ref="EOK2:EOM2"/>
    <mergeCell ref="EON2:EOP2"/>
    <mergeCell ref="EOQ2:EOS2"/>
    <mergeCell ref="EOT2:EOV2"/>
    <mergeCell ref="EOW2:EOY2"/>
    <mergeCell ref="ENP2:ENR2"/>
    <mergeCell ref="ENS2:ENU2"/>
    <mergeCell ref="ENV2:ENX2"/>
    <mergeCell ref="ENY2:EOA2"/>
    <mergeCell ref="EOB2:EOD2"/>
    <mergeCell ref="EOE2:EOG2"/>
    <mergeCell ref="EMX2:EMZ2"/>
    <mergeCell ref="ENA2:ENC2"/>
    <mergeCell ref="END2:ENF2"/>
    <mergeCell ref="ENG2:ENI2"/>
    <mergeCell ref="ENJ2:ENL2"/>
    <mergeCell ref="ENM2:ENO2"/>
    <mergeCell ref="EMF2:EMH2"/>
    <mergeCell ref="EMI2:EMK2"/>
    <mergeCell ref="EML2:EMN2"/>
    <mergeCell ref="EMO2:EMQ2"/>
    <mergeCell ref="EMR2:EMT2"/>
    <mergeCell ref="EMU2:EMW2"/>
    <mergeCell ref="ELN2:ELP2"/>
    <mergeCell ref="ELQ2:ELS2"/>
    <mergeCell ref="ELT2:ELV2"/>
    <mergeCell ref="ELW2:ELY2"/>
    <mergeCell ref="ELZ2:EMB2"/>
    <mergeCell ref="EMC2:EME2"/>
    <mergeCell ref="EKV2:EKX2"/>
    <mergeCell ref="EKY2:ELA2"/>
    <mergeCell ref="ELB2:ELD2"/>
    <mergeCell ref="ELE2:ELG2"/>
    <mergeCell ref="ELH2:ELJ2"/>
    <mergeCell ref="ELK2:ELM2"/>
    <mergeCell ref="ESL2:ESN2"/>
    <mergeCell ref="ESO2:ESQ2"/>
    <mergeCell ref="ESR2:EST2"/>
    <mergeCell ref="ESU2:ESW2"/>
    <mergeCell ref="ESX2:ESZ2"/>
    <mergeCell ref="ETA2:ETC2"/>
    <mergeCell ref="ERT2:ERV2"/>
    <mergeCell ref="ERW2:ERY2"/>
    <mergeCell ref="ERZ2:ESB2"/>
    <mergeCell ref="ESC2:ESE2"/>
    <mergeCell ref="ESF2:ESH2"/>
    <mergeCell ref="ESI2:ESK2"/>
    <mergeCell ref="ERB2:ERD2"/>
    <mergeCell ref="ERE2:ERG2"/>
    <mergeCell ref="ERH2:ERJ2"/>
    <mergeCell ref="ERK2:ERM2"/>
    <mergeCell ref="ERN2:ERP2"/>
    <mergeCell ref="ERQ2:ERS2"/>
    <mergeCell ref="EQJ2:EQL2"/>
    <mergeCell ref="EQM2:EQO2"/>
    <mergeCell ref="EQP2:EQR2"/>
    <mergeCell ref="EQS2:EQU2"/>
    <mergeCell ref="EQV2:EQX2"/>
    <mergeCell ref="EQY2:ERA2"/>
    <mergeCell ref="EPR2:EPT2"/>
    <mergeCell ref="EPU2:EPW2"/>
    <mergeCell ref="EPX2:EPZ2"/>
    <mergeCell ref="EQA2:EQC2"/>
    <mergeCell ref="EQD2:EQF2"/>
    <mergeCell ref="EQG2:EQI2"/>
    <mergeCell ref="EOZ2:EPB2"/>
    <mergeCell ref="EPC2:EPE2"/>
    <mergeCell ref="EPF2:EPH2"/>
    <mergeCell ref="EPI2:EPK2"/>
    <mergeCell ref="EPL2:EPN2"/>
    <mergeCell ref="EPO2:EPQ2"/>
    <mergeCell ref="EWP2:EWR2"/>
    <mergeCell ref="EWS2:EWU2"/>
    <mergeCell ref="EWV2:EWX2"/>
    <mergeCell ref="EWY2:EXA2"/>
    <mergeCell ref="EXB2:EXD2"/>
    <mergeCell ref="EXE2:EXG2"/>
    <mergeCell ref="EVX2:EVZ2"/>
    <mergeCell ref="EWA2:EWC2"/>
    <mergeCell ref="EWD2:EWF2"/>
    <mergeCell ref="EWG2:EWI2"/>
    <mergeCell ref="EWJ2:EWL2"/>
    <mergeCell ref="EWM2:EWO2"/>
    <mergeCell ref="EVF2:EVH2"/>
    <mergeCell ref="EVI2:EVK2"/>
    <mergeCell ref="EVL2:EVN2"/>
    <mergeCell ref="EVO2:EVQ2"/>
    <mergeCell ref="EVR2:EVT2"/>
    <mergeCell ref="EVU2:EVW2"/>
    <mergeCell ref="EUN2:EUP2"/>
    <mergeCell ref="EUQ2:EUS2"/>
    <mergeCell ref="EUT2:EUV2"/>
    <mergeCell ref="EUW2:EUY2"/>
    <mergeCell ref="EUZ2:EVB2"/>
    <mergeCell ref="EVC2:EVE2"/>
    <mergeCell ref="ETV2:ETX2"/>
    <mergeCell ref="ETY2:EUA2"/>
    <mergeCell ref="EUB2:EUD2"/>
    <mergeCell ref="EUE2:EUG2"/>
    <mergeCell ref="EUH2:EUJ2"/>
    <mergeCell ref="EUK2:EUM2"/>
    <mergeCell ref="ETD2:ETF2"/>
    <mergeCell ref="ETG2:ETI2"/>
    <mergeCell ref="ETJ2:ETL2"/>
    <mergeCell ref="ETM2:ETO2"/>
    <mergeCell ref="ETP2:ETR2"/>
    <mergeCell ref="ETS2:ETU2"/>
    <mergeCell ref="FAT2:FAV2"/>
    <mergeCell ref="FAW2:FAY2"/>
    <mergeCell ref="FAZ2:FBB2"/>
    <mergeCell ref="FBC2:FBE2"/>
    <mergeCell ref="FBF2:FBH2"/>
    <mergeCell ref="FBI2:FBK2"/>
    <mergeCell ref="FAB2:FAD2"/>
    <mergeCell ref="FAE2:FAG2"/>
    <mergeCell ref="FAH2:FAJ2"/>
    <mergeCell ref="FAK2:FAM2"/>
    <mergeCell ref="FAN2:FAP2"/>
    <mergeCell ref="FAQ2:FAS2"/>
    <mergeCell ref="EZJ2:EZL2"/>
    <mergeCell ref="EZM2:EZO2"/>
    <mergeCell ref="EZP2:EZR2"/>
    <mergeCell ref="EZS2:EZU2"/>
    <mergeCell ref="EZV2:EZX2"/>
    <mergeCell ref="EZY2:FAA2"/>
    <mergeCell ref="EYR2:EYT2"/>
    <mergeCell ref="EYU2:EYW2"/>
    <mergeCell ref="EYX2:EYZ2"/>
    <mergeCell ref="EZA2:EZC2"/>
    <mergeCell ref="EZD2:EZF2"/>
    <mergeCell ref="EZG2:EZI2"/>
    <mergeCell ref="EXZ2:EYB2"/>
    <mergeCell ref="EYC2:EYE2"/>
    <mergeCell ref="EYF2:EYH2"/>
    <mergeCell ref="EYI2:EYK2"/>
    <mergeCell ref="EYL2:EYN2"/>
    <mergeCell ref="EYO2:EYQ2"/>
    <mergeCell ref="EXH2:EXJ2"/>
    <mergeCell ref="EXK2:EXM2"/>
    <mergeCell ref="EXN2:EXP2"/>
    <mergeCell ref="EXQ2:EXS2"/>
    <mergeCell ref="EXT2:EXV2"/>
    <mergeCell ref="EXW2:EXY2"/>
    <mergeCell ref="FEX2:FEZ2"/>
    <mergeCell ref="FFA2:FFC2"/>
    <mergeCell ref="FFD2:FFF2"/>
    <mergeCell ref="FFG2:FFI2"/>
    <mergeCell ref="FFJ2:FFL2"/>
    <mergeCell ref="FFM2:FFO2"/>
    <mergeCell ref="FEF2:FEH2"/>
    <mergeCell ref="FEI2:FEK2"/>
    <mergeCell ref="FEL2:FEN2"/>
    <mergeCell ref="FEO2:FEQ2"/>
    <mergeCell ref="FER2:FET2"/>
    <mergeCell ref="FEU2:FEW2"/>
    <mergeCell ref="FDN2:FDP2"/>
    <mergeCell ref="FDQ2:FDS2"/>
    <mergeCell ref="FDT2:FDV2"/>
    <mergeCell ref="FDW2:FDY2"/>
    <mergeCell ref="FDZ2:FEB2"/>
    <mergeCell ref="FEC2:FEE2"/>
    <mergeCell ref="FCV2:FCX2"/>
    <mergeCell ref="FCY2:FDA2"/>
    <mergeCell ref="FDB2:FDD2"/>
    <mergeCell ref="FDE2:FDG2"/>
    <mergeCell ref="FDH2:FDJ2"/>
    <mergeCell ref="FDK2:FDM2"/>
    <mergeCell ref="FCD2:FCF2"/>
    <mergeCell ref="FCG2:FCI2"/>
    <mergeCell ref="FCJ2:FCL2"/>
    <mergeCell ref="FCM2:FCO2"/>
    <mergeCell ref="FCP2:FCR2"/>
    <mergeCell ref="FCS2:FCU2"/>
    <mergeCell ref="FBL2:FBN2"/>
    <mergeCell ref="FBO2:FBQ2"/>
    <mergeCell ref="FBR2:FBT2"/>
    <mergeCell ref="FBU2:FBW2"/>
    <mergeCell ref="FBX2:FBZ2"/>
    <mergeCell ref="FCA2:FCC2"/>
    <mergeCell ref="FJB2:FJD2"/>
    <mergeCell ref="FJE2:FJG2"/>
    <mergeCell ref="FJH2:FJJ2"/>
    <mergeCell ref="FJK2:FJM2"/>
    <mergeCell ref="FJN2:FJP2"/>
    <mergeCell ref="FJQ2:FJS2"/>
    <mergeCell ref="FIJ2:FIL2"/>
    <mergeCell ref="FIM2:FIO2"/>
    <mergeCell ref="FIP2:FIR2"/>
    <mergeCell ref="FIS2:FIU2"/>
    <mergeCell ref="FIV2:FIX2"/>
    <mergeCell ref="FIY2:FJA2"/>
    <mergeCell ref="FHR2:FHT2"/>
    <mergeCell ref="FHU2:FHW2"/>
    <mergeCell ref="FHX2:FHZ2"/>
    <mergeCell ref="FIA2:FIC2"/>
    <mergeCell ref="FID2:FIF2"/>
    <mergeCell ref="FIG2:FII2"/>
    <mergeCell ref="FGZ2:FHB2"/>
    <mergeCell ref="FHC2:FHE2"/>
    <mergeCell ref="FHF2:FHH2"/>
    <mergeCell ref="FHI2:FHK2"/>
    <mergeCell ref="FHL2:FHN2"/>
    <mergeCell ref="FHO2:FHQ2"/>
    <mergeCell ref="FGH2:FGJ2"/>
    <mergeCell ref="FGK2:FGM2"/>
    <mergeCell ref="FGN2:FGP2"/>
    <mergeCell ref="FGQ2:FGS2"/>
    <mergeCell ref="FGT2:FGV2"/>
    <mergeCell ref="FGW2:FGY2"/>
    <mergeCell ref="FFP2:FFR2"/>
    <mergeCell ref="FFS2:FFU2"/>
    <mergeCell ref="FFV2:FFX2"/>
    <mergeCell ref="FFY2:FGA2"/>
    <mergeCell ref="FGB2:FGD2"/>
    <mergeCell ref="FGE2:FGG2"/>
    <mergeCell ref="FNF2:FNH2"/>
    <mergeCell ref="FNI2:FNK2"/>
    <mergeCell ref="FNL2:FNN2"/>
    <mergeCell ref="FNO2:FNQ2"/>
    <mergeCell ref="FNR2:FNT2"/>
    <mergeCell ref="FNU2:FNW2"/>
    <mergeCell ref="FMN2:FMP2"/>
    <mergeCell ref="FMQ2:FMS2"/>
    <mergeCell ref="FMT2:FMV2"/>
    <mergeCell ref="FMW2:FMY2"/>
    <mergeCell ref="FMZ2:FNB2"/>
    <mergeCell ref="FNC2:FNE2"/>
    <mergeCell ref="FLV2:FLX2"/>
    <mergeCell ref="FLY2:FMA2"/>
    <mergeCell ref="FMB2:FMD2"/>
    <mergeCell ref="FME2:FMG2"/>
    <mergeCell ref="FMH2:FMJ2"/>
    <mergeCell ref="FMK2:FMM2"/>
    <mergeCell ref="FLD2:FLF2"/>
    <mergeCell ref="FLG2:FLI2"/>
    <mergeCell ref="FLJ2:FLL2"/>
    <mergeCell ref="FLM2:FLO2"/>
    <mergeCell ref="FLP2:FLR2"/>
    <mergeCell ref="FLS2:FLU2"/>
    <mergeCell ref="FKL2:FKN2"/>
    <mergeCell ref="FKO2:FKQ2"/>
    <mergeCell ref="FKR2:FKT2"/>
    <mergeCell ref="FKU2:FKW2"/>
    <mergeCell ref="FKX2:FKZ2"/>
    <mergeCell ref="FLA2:FLC2"/>
    <mergeCell ref="FJT2:FJV2"/>
    <mergeCell ref="FJW2:FJY2"/>
    <mergeCell ref="FJZ2:FKB2"/>
    <mergeCell ref="FKC2:FKE2"/>
    <mergeCell ref="FKF2:FKH2"/>
    <mergeCell ref="FKI2:FKK2"/>
    <mergeCell ref="FRJ2:FRL2"/>
    <mergeCell ref="FRM2:FRO2"/>
    <mergeCell ref="FRP2:FRR2"/>
    <mergeCell ref="FRS2:FRU2"/>
    <mergeCell ref="FRV2:FRX2"/>
    <mergeCell ref="FRY2:FSA2"/>
    <mergeCell ref="FQR2:FQT2"/>
    <mergeCell ref="FQU2:FQW2"/>
    <mergeCell ref="FQX2:FQZ2"/>
    <mergeCell ref="FRA2:FRC2"/>
    <mergeCell ref="FRD2:FRF2"/>
    <mergeCell ref="FRG2:FRI2"/>
    <mergeCell ref="FPZ2:FQB2"/>
    <mergeCell ref="FQC2:FQE2"/>
    <mergeCell ref="FQF2:FQH2"/>
    <mergeCell ref="FQI2:FQK2"/>
    <mergeCell ref="FQL2:FQN2"/>
    <mergeCell ref="FQO2:FQQ2"/>
    <mergeCell ref="FPH2:FPJ2"/>
    <mergeCell ref="FPK2:FPM2"/>
    <mergeCell ref="FPN2:FPP2"/>
    <mergeCell ref="FPQ2:FPS2"/>
    <mergeCell ref="FPT2:FPV2"/>
    <mergeCell ref="FPW2:FPY2"/>
    <mergeCell ref="FOP2:FOR2"/>
    <mergeCell ref="FOS2:FOU2"/>
    <mergeCell ref="FOV2:FOX2"/>
    <mergeCell ref="FOY2:FPA2"/>
    <mergeCell ref="FPB2:FPD2"/>
    <mergeCell ref="FPE2:FPG2"/>
    <mergeCell ref="FNX2:FNZ2"/>
    <mergeCell ref="FOA2:FOC2"/>
    <mergeCell ref="FOD2:FOF2"/>
    <mergeCell ref="FOG2:FOI2"/>
    <mergeCell ref="FOJ2:FOL2"/>
    <mergeCell ref="FOM2:FOO2"/>
    <mergeCell ref="FVN2:FVP2"/>
    <mergeCell ref="FVQ2:FVS2"/>
    <mergeCell ref="FVT2:FVV2"/>
    <mergeCell ref="FVW2:FVY2"/>
    <mergeCell ref="FVZ2:FWB2"/>
    <mergeCell ref="FWC2:FWE2"/>
    <mergeCell ref="FUV2:FUX2"/>
    <mergeCell ref="FUY2:FVA2"/>
    <mergeCell ref="FVB2:FVD2"/>
    <mergeCell ref="FVE2:FVG2"/>
    <mergeCell ref="FVH2:FVJ2"/>
    <mergeCell ref="FVK2:FVM2"/>
    <mergeCell ref="FUD2:FUF2"/>
    <mergeCell ref="FUG2:FUI2"/>
    <mergeCell ref="FUJ2:FUL2"/>
    <mergeCell ref="FUM2:FUO2"/>
    <mergeCell ref="FUP2:FUR2"/>
    <mergeCell ref="FUS2:FUU2"/>
    <mergeCell ref="FTL2:FTN2"/>
    <mergeCell ref="FTO2:FTQ2"/>
    <mergeCell ref="FTR2:FTT2"/>
    <mergeCell ref="FTU2:FTW2"/>
    <mergeCell ref="FTX2:FTZ2"/>
    <mergeCell ref="FUA2:FUC2"/>
    <mergeCell ref="FST2:FSV2"/>
    <mergeCell ref="FSW2:FSY2"/>
    <mergeCell ref="FSZ2:FTB2"/>
    <mergeCell ref="FTC2:FTE2"/>
    <mergeCell ref="FTF2:FTH2"/>
    <mergeCell ref="FTI2:FTK2"/>
    <mergeCell ref="FSB2:FSD2"/>
    <mergeCell ref="FSE2:FSG2"/>
    <mergeCell ref="FSH2:FSJ2"/>
    <mergeCell ref="FSK2:FSM2"/>
    <mergeCell ref="FSN2:FSP2"/>
    <mergeCell ref="FSQ2:FSS2"/>
    <mergeCell ref="FZR2:FZT2"/>
    <mergeCell ref="FZU2:FZW2"/>
    <mergeCell ref="FZX2:FZZ2"/>
    <mergeCell ref="GAA2:GAC2"/>
    <mergeCell ref="GAD2:GAF2"/>
    <mergeCell ref="GAG2:GAI2"/>
    <mergeCell ref="FYZ2:FZB2"/>
    <mergeCell ref="FZC2:FZE2"/>
    <mergeCell ref="FZF2:FZH2"/>
    <mergeCell ref="FZI2:FZK2"/>
    <mergeCell ref="FZL2:FZN2"/>
    <mergeCell ref="FZO2:FZQ2"/>
    <mergeCell ref="FYH2:FYJ2"/>
    <mergeCell ref="FYK2:FYM2"/>
    <mergeCell ref="FYN2:FYP2"/>
    <mergeCell ref="FYQ2:FYS2"/>
    <mergeCell ref="FYT2:FYV2"/>
    <mergeCell ref="FYW2:FYY2"/>
    <mergeCell ref="FXP2:FXR2"/>
    <mergeCell ref="FXS2:FXU2"/>
    <mergeCell ref="FXV2:FXX2"/>
    <mergeCell ref="FXY2:FYA2"/>
    <mergeCell ref="FYB2:FYD2"/>
    <mergeCell ref="FYE2:FYG2"/>
    <mergeCell ref="FWX2:FWZ2"/>
    <mergeCell ref="FXA2:FXC2"/>
    <mergeCell ref="FXD2:FXF2"/>
    <mergeCell ref="FXG2:FXI2"/>
    <mergeCell ref="FXJ2:FXL2"/>
    <mergeCell ref="FXM2:FXO2"/>
    <mergeCell ref="FWF2:FWH2"/>
    <mergeCell ref="FWI2:FWK2"/>
    <mergeCell ref="FWL2:FWN2"/>
    <mergeCell ref="FWO2:FWQ2"/>
    <mergeCell ref="FWR2:FWT2"/>
    <mergeCell ref="FWU2:FWW2"/>
    <mergeCell ref="GDV2:GDX2"/>
    <mergeCell ref="GDY2:GEA2"/>
    <mergeCell ref="GEB2:GED2"/>
    <mergeCell ref="GEE2:GEG2"/>
    <mergeCell ref="GEH2:GEJ2"/>
    <mergeCell ref="GEK2:GEM2"/>
    <mergeCell ref="GDD2:GDF2"/>
    <mergeCell ref="GDG2:GDI2"/>
    <mergeCell ref="GDJ2:GDL2"/>
    <mergeCell ref="GDM2:GDO2"/>
    <mergeCell ref="GDP2:GDR2"/>
    <mergeCell ref="GDS2:GDU2"/>
    <mergeCell ref="GCL2:GCN2"/>
    <mergeCell ref="GCO2:GCQ2"/>
    <mergeCell ref="GCR2:GCT2"/>
    <mergeCell ref="GCU2:GCW2"/>
    <mergeCell ref="GCX2:GCZ2"/>
    <mergeCell ref="GDA2:GDC2"/>
    <mergeCell ref="GBT2:GBV2"/>
    <mergeCell ref="GBW2:GBY2"/>
    <mergeCell ref="GBZ2:GCB2"/>
    <mergeCell ref="GCC2:GCE2"/>
    <mergeCell ref="GCF2:GCH2"/>
    <mergeCell ref="GCI2:GCK2"/>
    <mergeCell ref="GBB2:GBD2"/>
    <mergeCell ref="GBE2:GBG2"/>
    <mergeCell ref="GBH2:GBJ2"/>
    <mergeCell ref="GBK2:GBM2"/>
    <mergeCell ref="GBN2:GBP2"/>
    <mergeCell ref="GBQ2:GBS2"/>
    <mergeCell ref="GAJ2:GAL2"/>
    <mergeCell ref="GAM2:GAO2"/>
    <mergeCell ref="GAP2:GAR2"/>
    <mergeCell ref="GAS2:GAU2"/>
    <mergeCell ref="GAV2:GAX2"/>
    <mergeCell ref="GAY2:GBA2"/>
    <mergeCell ref="GHZ2:GIB2"/>
    <mergeCell ref="GIC2:GIE2"/>
    <mergeCell ref="GIF2:GIH2"/>
    <mergeCell ref="GII2:GIK2"/>
    <mergeCell ref="GIL2:GIN2"/>
    <mergeCell ref="GIO2:GIQ2"/>
    <mergeCell ref="GHH2:GHJ2"/>
    <mergeCell ref="GHK2:GHM2"/>
    <mergeCell ref="GHN2:GHP2"/>
    <mergeCell ref="GHQ2:GHS2"/>
    <mergeCell ref="GHT2:GHV2"/>
    <mergeCell ref="GHW2:GHY2"/>
    <mergeCell ref="GGP2:GGR2"/>
    <mergeCell ref="GGS2:GGU2"/>
    <mergeCell ref="GGV2:GGX2"/>
    <mergeCell ref="GGY2:GHA2"/>
    <mergeCell ref="GHB2:GHD2"/>
    <mergeCell ref="GHE2:GHG2"/>
    <mergeCell ref="GFX2:GFZ2"/>
    <mergeCell ref="GGA2:GGC2"/>
    <mergeCell ref="GGD2:GGF2"/>
    <mergeCell ref="GGG2:GGI2"/>
    <mergeCell ref="GGJ2:GGL2"/>
    <mergeCell ref="GGM2:GGO2"/>
    <mergeCell ref="GFF2:GFH2"/>
    <mergeCell ref="GFI2:GFK2"/>
    <mergeCell ref="GFL2:GFN2"/>
    <mergeCell ref="GFO2:GFQ2"/>
    <mergeCell ref="GFR2:GFT2"/>
    <mergeCell ref="GFU2:GFW2"/>
    <mergeCell ref="GEN2:GEP2"/>
    <mergeCell ref="GEQ2:GES2"/>
    <mergeCell ref="GET2:GEV2"/>
    <mergeCell ref="GEW2:GEY2"/>
    <mergeCell ref="GEZ2:GFB2"/>
    <mergeCell ref="GFC2:GFE2"/>
    <mergeCell ref="GMD2:GMF2"/>
    <mergeCell ref="GMG2:GMI2"/>
    <mergeCell ref="GMJ2:GML2"/>
    <mergeCell ref="GMM2:GMO2"/>
    <mergeCell ref="GMP2:GMR2"/>
    <mergeCell ref="GMS2:GMU2"/>
    <mergeCell ref="GLL2:GLN2"/>
    <mergeCell ref="GLO2:GLQ2"/>
    <mergeCell ref="GLR2:GLT2"/>
    <mergeCell ref="GLU2:GLW2"/>
    <mergeCell ref="GLX2:GLZ2"/>
    <mergeCell ref="GMA2:GMC2"/>
    <mergeCell ref="GKT2:GKV2"/>
    <mergeCell ref="GKW2:GKY2"/>
    <mergeCell ref="GKZ2:GLB2"/>
    <mergeCell ref="GLC2:GLE2"/>
    <mergeCell ref="GLF2:GLH2"/>
    <mergeCell ref="GLI2:GLK2"/>
    <mergeCell ref="GKB2:GKD2"/>
    <mergeCell ref="GKE2:GKG2"/>
    <mergeCell ref="GKH2:GKJ2"/>
    <mergeCell ref="GKK2:GKM2"/>
    <mergeCell ref="GKN2:GKP2"/>
    <mergeCell ref="GKQ2:GKS2"/>
    <mergeCell ref="GJJ2:GJL2"/>
    <mergeCell ref="GJM2:GJO2"/>
    <mergeCell ref="GJP2:GJR2"/>
    <mergeCell ref="GJS2:GJU2"/>
    <mergeCell ref="GJV2:GJX2"/>
    <mergeCell ref="GJY2:GKA2"/>
    <mergeCell ref="GIR2:GIT2"/>
    <mergeCell ref="GIU2:GIW2"/>
    <mergeCell ref="GIX2:GIZ2"/>
    <mergeCell ref="GJA2:GJC2"/>
    <mergeCell ref="GJD2:GJF2"/>
    <mergeCell ref="GJG2:GJI2"/>
    <mergeCell ref="GQH2:GQJ2"/>
    <mergeCell ref="GQK2:GQM2"/>
    <mergeCell ref="GQN2:GQP2"/>
    <mergeCell ref="GQQ2:GQS2"/>
    <mergeCell ref="GQT2:GQV2"/>
    <mergeCell ref="GQW2:GQY2"/>
    <mergeCell ref="GPP2:GPR2"/>
    <mergeCell ref="GPS2:GPU2"/>
    <mergeCell ref="GPV2:GPX2"/>
    <mergeCell ref="GPY2:GQA2"/>
    <mergeCell ref="GQB2:GQD2"/>
    <mergeCell ref="GQE2:GQG2"/>
    <mergeCell ref="GOX2:GOZ2"/>
    <mergeCell ref="GPA2:GPC2"/>
    <mergeCell ref="GPD2:GPF2"/>
    <mergeCell ref="GPG2:GPI2"/>
    <mergeCell ref="GPJ2:GPL2"/>
    <mergeCell ref="GPM2:GPO2"/>
    <mergeCell ref="GOF2:GOH2"/>
    <mergeCell ref="GOI2:GOK2"/>
    <mergeCell ref="GOL2:GON2"/>
    <mergeCell ref="GOO2:GOQ2"/>
    <mergeCell ref="GOR2:GOT2"/>
    <mergeCell ref="GOU2:GOW2"/>
    <mergeCell ref="GNN2:GNP2"/>
    <mergeCell ref="GNQ2:GNS2"/>
    <mergeCell ref="GNT2:GNV2"/>
    <mergeCell ref="GNW2:GNY2"/>
    <mergeCell ref="GNZ2:GOB2"/>
    <mergeCell ref="GOC2:GOE2"/>
    <mergeCell ref="GMV2:GMX2"/>
    <mergeCell ref="GMY2:GNA2"/>
    <mergeCell ref="GNB2:GND2"/>
    <mergeCell ref="GNE2:GNG2"/>
    <mergeCell ref="GNH2:GNJ2"/>
    <mergeCell ref="GNK2:GNM2"/>
    <mergeCell ref="GUL2:GUN2"/>
    <mergeCell ref="GUO2:GUQ2"/>
    <mergeCell ref="GUR2:GUT2"/>
    <mergeCell ref="GUU2:GUW2"/>
    <mergeCell ref="GUX2:GUZ2"/>
    <mergeCell ref="GVA2:GVC2"/>
    <mergeCell ref="GTT2:GTV2"/>
    <mergeCell ref="GTW2:GTY2"/>
    <mergeCell ref="GTZ2:GUB2"/>
    <mergeCell ref="GUC2:GUE2"/>
    <mergeCell ref="GUF2:GUH2"/>
    <mergeCell ref="GUI2:GUK2"/>
    <mergeCell ref="GTB2:GTD2"/>
    <mergeCell ref="GTE2:GTG2"/>
    <mergeCell ref="GTH2:GTJ2"/>
    <mergeCell ref="GTK2:GTM2"/>
    <mergeCell ref="GTN2:GTP2"/>
    <mergeCell ref="GTQ2:GTS2"/>
    <mergeCell ref="GSJ2:GSL2"/>
    <mergeCell ref="GSM2:GSO2"/>
    <mergeCell ref="GSP2:GSR2"/>
    <mergeCell ref="GSS2:GSU2"/>
    <mergeCell ref="GSV2:GSX2"/>
    <mergeCell ref="GSY2:GTA2"/>
    <mergeCell ref="GRR2:GRT2"/>
    <mergeCell ref="GRU2:GRW2"/>
    <mergeCell ref="GRX2:GRZ2"/>
    <mergeCell ref="GSA2:GSC2"/>
    <mergeCell ref="GSD2:GSF2"/>
    <mergeCell ref="GSG2:GSI2"/>
    <mergeCell ref="GQZ2:GRB2"/>
    <mergeCell ref="GRC2:GRE2"/>
    <mergeCell ref="GRF2:GRH2"/>
    <mergeCell ref="GRI2:GRK2"/>
    <mergeCell ref="GRL2:GRN2"/>
    <mergeCell ref="GRO2:GRQ2"/>
    <mergeCell ref="GYP2:GYR2"/>
    <mergeCell ref="GYS2:GYU2"/>
    <mergeCell ref="GYV2:GYX2"/>
    <mergeCell ref="GYY2:GZA2"/>
    <mergeCell ref="GZB2:GZD2"/>
    <mergeCell ref="GZE2:GZG2"/>
    <mergeCell ref="GXX2:GXZ2"/>
    <mergeCell ref="GYA2:GYC2"/>
    <mergeCell ref="GYD2:GYF2"/>
    <mergeCell ref="GYG2:GYI2"/>
    <mergeCell ref="GYJ2:GYL2"/>
    <mergeCell ref="GYM2:GYO2"/>
    <mergeCell ref="GXF2:GXH2"/>
    <mergeCell ref="GXI2:GXK2"/>
    <mergeCell ref="GXL2:GXN2"/>
    <mergeCell ref="GXO2:GXQ2"/>
    <mergeCell ref="GXR2:GXT2"/>
    <mergeCell ref="GXU2:GXW2"/>
    <mergeCell ref="GWN2:GWP2"/>
    <mergeCell ref="GWQ2:GWS2"/>
    <mergeCell ref="GWT2:GWV2"/>
    <mergeCell ref="GWW2:GWY2"/>
    <mergeCell ref="GWZ2:GXB2"/>
    <mergeCell ref="GXC2:GXE2"/>
    <mergeCell ref="GVV2:GVX2"/>
    <mergeCell ref="GVY2:GWA2"/>
    <mergeCell ref="GWB2:GWD2"/>
    <mergeCell ref="GWE2:GWG2"/>
    <mergeCell ref="GWH2:GWJ2"/>
    <mergeCell ref="GWK2:GWM2"/>
    <mergeCell ref="GVD2:GVF2"/>
    <mergeCell ref="GVG2:GVI2"/>
    <mergeCell ref="GVJ2:GVL2"/>
    <mergeCell ref="GVM2:GVO2"/>
    <mergeCell ref="GVP2:GVR2"/>
    <mergeCell ref="GVS2:GVU2"/>
    <mergeCell ref="HCT2:HCV2"/>
    <mergeCell ref="HCW2:HCY2"/>
    <mergeCell ref="HCZ2:HDB2"/>
    <mergeCell ref="HDC2:HDE2"/>
    <mergeCell ref="HDF2:HDH2"/>
    <mergeCell ref="HDI2:HDK2"/>
    <mergeCell ref="HCB2:HCD2"/>
    <mergeCell ref="HCE2:HCG2"/>
    <mergeCell ref="HCH2:HCJ2"/>
    <mergeCell ref="HCK2:HCM2"/>
    <mergeCell ref="HCN2:HCP2"/>
    <mergeCell ref="HCQ2:HCS2"/>
    <mergeCell ref="HBJ2:HBL2"/>
    <mergeCell ref="HBM2:HBO2"/>
    <mergeCell ref="HBP2:HBR2"/>
    <mergeCell ref="HBS2:HBU2"/>
    <mergeCell ref="HBV2:HBX2"/>
    <mergeCell ref="HBY2:HCA2"/>
    <mergeCell ref="HAR2:HAT2"/>
    <mergeCell ref="HAU2:HAW2"/>
    <mergeCell ref="HAX2:HAZ2"/>
    <mergeCell ref="HBA2:HBC2"/>
    <mergeCell ref="HBD2:HBF2"/>
    <mergeCell ref="HBG2:HBI2"/>
    <mergeCell ref="GZZ2:HAB2"/>
    <mergeCell ref="HAC2:HAE2"/>
    <mergeCell ref="HAF2:HAH2"/>
    <mergeCell ref="HAI2:HAK2"/>
    <mergeCell ref="HAL2:HAN2"/>
    <mergeCell ref="HAO2:HAQ2"/>
    <mergeCell ref="GZH2:GZJ2"/>
    <mergeCell ref="GZK2:GZM2"/>
    <mergeCell ref="GZN2:GZP2"/>
    <mergeCell ref="GZQ2:GZS2"/>
    <mergeCell ref="GZT2:GZV2"/>
    <mergeCell ref="GZW2:GZY2"/>
    <mergeCell ref="HGX2:HGZ2"/>
    <mergeCell ref="HHA2:HHC2"/>
    <mergeCell ref="HHD2:HHF2"/>
    <mergeCell ref="HHG2:HHI2"/>
    <mergeCell ref="HHJ2:HHL2"/>
    <mergeCell ref="HHM2:HHO2"/>
    <mergeCell ref="HGF2:HGH2"/>
    <mergeCell ref="HGI2:HGK2"/>
    <mergeCell ref="HGL2:HGN2"/>
    <mergeCell ref="HGO2:HGQ2"/>
    <mergeCell ref="HGR2:HGT2"/>
    <mergeCell ref="HGU2:HGW2"/>
    <mergeCell ref="HFN2:HFP2"/>
    <mergeCell ref="HFQ2:HFS2"/>
    <mergeCell ref="HFT2:HFV2"/>
    <mergeCell ref="HFW2:HFY2"/>
    <mergeCell ref="HFZ2:HGB2"/>
    <mergeCell ref="HGC2:HGE2"/>
    <mergeCell ref="HEV2:HEX2"/>
    <mergeCell ref="HEY2:HFA2"/>
    <mergeCell ref="HFB2:HFD2"/>
    <mergeCell ref="HFE2:HFG2"/>
    <mergeCell ref="HFH2:HFJ2"/>
    <mergeCell ref="HFK2:HFM2"/>
    <mergeCell ref="HED2:HEF2"/>
    <mergeCell ref="HEG2:HEI2"/>
    <mergeCell ref="HEJ2:HEL2"/>
    <mergeCell ref="HEM2:HEO2"/>
    <mergeCell ref="HEP2:HER2"/>
    <mergeCell ref="HES2:HEU2"/>
    <mergeCell ref="HDL2:HDN2"/>
    <mergeCell ref="HDO2:HDQ2"/>
    <mergeCell ref="HDR2:HDT2"/>
    <mergeCell ref="HDU2:HDW2"/>
    <mergeCell ref="HDX2:HDZ2"/>
    <mergeCell ref="HEA2:HEC2"/>
    <mergeCell ref="HLB2:HLD2"/>
    <mergeCell ref="HLE2:HLG2"/>
    <mergeCell ref="HLH2:HLJ2"/>
    <mergeCell ref="HLK2:HLM2"/>
    <mergeCell ref="HLN2:HLP2"/>
    <mergeCell ref="HLQ2:HLS2"/>
    <mergeCell ref="HKJ2:HKL2"/>
    <mergeCell ref="HKM2:HKO2"/>
    <mergeCell ref="HKP2:HKR2"/>
    <mergeCell ref="HKS2:HKU2"/>
    <mergeCell ref="HKV2:HKX2"/>
    <mergeCell ref="HKY2:HLA2"/>
    <mergeCell ref="HJR2:HJT2"/>
    <mergeCell ref="HJU2:HJW2"/>
    <mergeCell ref="HJX2:HJZ2"/>
    <mergeCell ref="HKA2:HKC2"/>
    <mergeCell ref="HKD2:HKF2"/>
    <mergeCell ref="HKG2:HKI2"/>
    <mergeCell ref="HIZ2:HJB2"/>
    <mergeCell ref="HJC2:HJE2"/>
    <mergeCell ref="HJF2:HJH2"/>
    <mergeCell ref="HJI2:HJK2"/>
    <mergeCell ref="HJL2:HJN2"/>
    <mergeCell ref="HJO2:HJQ2"/>
    <mergeCell ref="HIH2:HIJ2"/>
    <mergeCell ref="HIK2:HIM2"/>
    <mergeCell ref="HIN2:HIP2"/>
    <mergeCell ref="HIQ2:HIS2"/>
    <mergeCell ref="HIT2:HIV2"/>
    <mergeCell ref="HIW2:HIY2"/>
    <mergeCell ref="HHP2:HHR2"/>
    <mergeCell ref="HHS2:HHU2"/>
    <mergeCell ref="HHV2:HHX2"/>
    <mergeCell ref="HHY2:HIA2"/>
    <mergeCell ref="HIB2:HID2"/>
    <mergeCell ref="HIE2:HIG2"/>
    <mergeCell ref="HPF2:HPH2"/>
    <mergeCell ref="HPI2:HPK2"/>
    <mergeCell ref="HPL2:HPN2"/>
    <mergeCell ref="HPO2:HPQ2"/>
    <mergeCell ref="HPR2:HPT2"/>
    <mergeCell ref="HPU2:HPW2"/>
    <mergeCell ref="HON2:HOP2"/>
    <mergeCell ref="HOQ2:HOS2"/>
    <mergeCell ref="HOT2:HOV2"/>
    <mergeCell ref="HOW2:HOY2"/>
    <mergeCell ref="HOZ2:HPB2"/>
    <mergeCell ref="HPC2:HPE2"/>
    <mergeCell ref="HNV2:HNX2"/>
    <mergeCell ref="HNY2:HOA2"/>
    <mergeCell ref="HOB2:HOD2"/>
    <mergeCell ref="HOE2:HOG2"/>
    <mergeCell ref="HOH2:HOJ2"/>
    <mergeCell ref="HOK2:HOM2"/>
    <mergeCell ref="HND2:HNF2"/>
    <mergeCell ref="HNG2:HNI2"/>
    <mergeCell ref="HNJ2:HNL2"/>
    <mergeCell ref="HNM2:HNO2"/>
    <mergeCell ref="HNP2:HNR2"/>
    <mergeCell ref="HNS2:HNU2"/>
    <mergeCell ref="HML2:HMN2"/>
    <mergeCell ref="HMO2:HMQ2"/>
    <mergeCell ref="HMR2:HMT2"/>
    <mergeCell ref="HMU2:HMW2"/>
    <mergeCell ref="HMX2:HMZ2"/>
    <mergeCell ref="HNA2:HNC2"/>
    <mergeCell ref="HLT2:HLV2"/>
    <mergeCell ref="HLW2:HLY2"/>
    <mergeCell ref="HLZ2:HMB2"/>
    <mergeCell ref="HMC2:HME2"/>
    <mergeCell ref="HMF2:HMH2"/>
    <mergeCell ref="HMI2:HMK2"/>
    <mergeCell ref="HTJ2:HTL2"/>
    <mergeCell ref="HTM2:HTO2"/>
    <mergeCell ref="HTP2:HTR2"/>
    <mergeCell ref="HTS2:HTU2"/>
    <mergeCell ref="HTV2:HTX2"/>
    <mergeCell ref="HTY2:HUA2"/>
    <mergeCell ref="HSR2:HST2"/>
    <mergeCell ref="HSU2:HSW2"/>
    <mergeCell ref="HSX2:HSZ2"/>
    <mergeCell ref="HTA2:HTC2"/>
    <mergeCell ref="HTD2:HTF2"/>
    <mergeCell ref="HTG2:HTI2"/>
    <mergeCell ref="HRZ2:HSB2"/>
    <mergeCell ref="HSC2:HSE2"/>
    <mergeCell ref="HSF2:HSH2"/>
    <mergeCell ref="HSI2:HSK2"/>
    <mergeCell ref="HSL2:HSN2"/>
    <mergeCell ref="HSO2:HSQ2"/>
    <mergeCell ref="HRH2:HRJ2"/>
    <mergeCell ref="HRK2:HRM2"/>
    <mergeCell ref="HRN2:HRP2"/>
    <mergeCell ref="HRQ2:HRS2"/>
    <mergeCell ref="HRT2:HRV2"/>
    <mergeCell ref="HRW2:HRY2"/>
    <mergeCell ref="HQP2:HQR2"/>
    <mergeCell ref="HQS2:HQU2"/>
    <mergeCell ref="HQV2:HQX2"/>
    <mergeCell ref="HQY2:HRA2"/>
    <mergeCell ref="HRB2:HRD2"/>
    <mergeCell ref="HRE2:HRG2"/>
    <mergeCell ref="HPX2:HPZ2"/>
    <mergeCell ref="HQA2:HQC2"/>
    <mergeCell ref="HQD2:HQF2"/>
    <mergeCell ref="HQG2:HQI2"/>
    <mergeCell ref="HQJ2:HQL2"/>
    <mergeCell ref="HQM2:HQO2"/>
    <mergeCell ref="HXN2:HXP2"/>
    <mergeCell ref="HXQ2:HXS2"/>
    <mergeCell ref="HXT2:HXV2"/>
    <mergeCell ref="HXW2:HXY2"/>
    <mergeCell ref="HXZ2:HYB2"/>
    <mergeCell ref="HYC2:HYE2"/>
    <mergeCell ref="HWV2:HWX2"/>
    <mergeCell ref="HWY2:HXA2"/>
    <mergeCell ref="HXB2:HXD2"/>
    <mergeCell ref="HXE2:HXG2"/>
    <mergeCell ref="HXH2:HXJ2"/>
    <mergeCell ref="HXK2:HXM2"/>
    <mergeCell ref="HWD2:HWF2"/>
    <mergeCell ref="HWG2:HWI2"/>
    <mergeCell ref="HWJ2:HWL2"/>
    <mergeCell ref="HWM2:HWO2"/>
    <mergeCell ref="HWP2:HWR2"/>
    <mergeCell ref="HWS2:HWU2"/>
    <mergeCell ref="HVL2:HVN2"/>
    <mergeCell ref="HVO2:HVQ2"/>
    <mergeCell ref="HVR2:HVT2"/>
    <mergeCell ref="HVU2:HVW2"/>
    <mergeCell ref="HVX2:HVZ2"/>
    <mergeCell ref="HWA2:HWC2"/>
    <mergeCell ref="HUT2:HUV2"/>
    <mergeCell ref="HUW2:HUY2"/>
    <mergeCell ref="HUZ2:HVB2"/>
    <mergeCell ref="HVC2:HVE2"/>
    <mergeCell ref="HVF2:HVH2"/>
    <mergeCell ref="HVI2:HVK2"/>
    <mergeCell ref="HUB2:HUD2"/>
    <mergeCell ref="HUE2:HUG2"/>
    <mergeCell ref="HUH2:HUJ2"/>
    <mergeCell ref="HUK2:HUM2"/>
    <mergeCell ref="HUN2:HUP2"/>
    <mergeCell ref="HUQ2:HUS2"/>
    <mergeCell ref="IBR2:IBT2"/>
    <mergeCell ref="IBU2:IBW2"/>
    <mergeCell ref="IBX2:IBZ2"/>
    <mergeCell ref="ICA2:ICC2"/>
    <mergeCell ref="ICD2:ICF2"/>
    <mergeCell ref="ICG2:ICI2"/>
    <mergeCell ref="IAZ2:IBB2"/>
    <mergeCell ref="IBC2:IBE2"/>
    <mergeCell ref="IBF2:IBH2"/>
    <mergeCell ref="IBI2:IBK2"/>
    <mergeCell ref="IBL2:IBN2"/>
    <mergeCell ref="IBO2:IBQ2"/>
    <mergeCell ref="IAH2:IAJ2"/>
    <mergeCell ref="IAK2:IAM2"/>
    <mergeCell ref="IAN2:IAP2"/>
    <mergeCell ref="IAQ2:IAS2"/>
    <mergeCell ref="IAT2:IAV2"/>
    <mergeCell ref="IAW2:IAY2"/>
    <mergeCell ref="HZP2:HZR2"/>
    <mergeCell ref="HZS2:HZU2"/>
    <mergeCell ref="HZV2:HZX2"/>
    <mergeCell ref="HZY2:IAA2"/>
    <mergeCell ref="IAB2:IAD2"/>
    <mergeCell ref="IAE2:IAG2"/>
    <mergeCell ref="HYX2:HYZ2"/>
    <mergeCell ref="HZA2:HZC2"/>
    <mergeCell ref="HZD2:HZF2"/>
    <mergeCell ref="HZG2:HZI2"/>
    <mergeCell ref="HZJ2:HZL2"/>
    <mergeCell ref="HZM2:HZO2"/>
    <mergeCell ref="HYF2:HYH2"/>
    <mergeCell ref="HYI2:HYK2"/>
    <mergeCell ref="HYL2:HYN2"/>
    <mergeCell ref="HYO2:HYQ2"/>
    <mergeCell ref="HYR2:HYT2"/>
    <mergeCell ref="HYU2:HYW2"/>
    <mergeCell ref="IFV2:IFX2"/>
    <mergeCell ref="IFY2:IGA2"/>
    <mergeCell ref="IGB2:IGD2"/>
    <mergeCell ref="IGE2:IGG2"/>
    <mergeCell ref="IGH2:IGJ2"/>
    <mergeCell ref="IGK2:IGM2"/>
    <mergeCell ref="IFD2:IFF2"/>
    <mergeCell ref="IFG2:IFI2"/>
    <mergeCell ref="IFJ2:IFL2"/>
    <mergeCell ref="IFM2:IFO2"/>
    <mergeCell ref="IFP2:IFR2"/>
    <mergeCell ref="IFS2:IFU2"/>
    <mergeCell ref="IEL2:IEN2"/>
    <mergeCell ref="IEO2:IEQ2"/>
    <mergeCell ref="IER2:IET2"/>
    <mergeCell ref="IEU2:IEW2"/>
    <mergeCell ref="IEX2:IEZ2"/>
    <mergeCell ref="IFA2:IFC2"/>
    <mergeCell ref="IDT2:IDV2"/>
    <mergeCell ref="IDW2:IDY2"/>
    <mergeCell ref="IDZ2:IEB2"/>
    <mergeCell ref="IEC2:IEE2"/>
    <mergeCell ref="IEF2:IEH2"/>
    <mergeCell ref="IEI2:IEK2"/>
    <mergeCell ref="IDB2:IDD2"/>
    <mergeCell ref="IDE2:IDG2"/>
    <mergeCell ref="IDH2:IDJ2"/>
    <mergeCell ref="IDK2:IDM2"/>
    <mergeCell ref="IDN2:IDP2"/>
    <mergeCell ref="IDQ2:IDS2"/>
    <mergeCell ref="ICJ2:ICL2"/>
    <mergeCell ref="ICM2:ICO2"/>
    <mergeCell ref="ICP2:ICR2"/>
    <mergeCell ref="ICS2:ICU2"/>
    <mergeCell ref="ICV2:ICX2"/>
    <mergeCell ref="ICY2:IDA2"/>
    <mergeCell ref="IJZ2:IKB2"/>
    <mergeCell ref="IKC2:IKE2"/>
    <mergeCell ref="IKF2:IKH2"/>
    <mergeCell ref="IKI2:IKK2"/>
    <mergeCell ref="IKL2:IKN2"/>
    <mergeCell ref="IKO2:IKQ2"/>
    <mergeCell ref="IJH2:IJJ2"/>
    <mergeCell ref="IJK2:IJM2"/>
    <mergeCell ref="IJN2:IJP2"/>
    <mergeCell ref="IJQ2:IJS2"/>
    <mergeCell ref="IJT2:IJV2"/>
    <mergeCell ref="IJW2:IJY2"/>
    <mergeCell ref="IIP2:IIR2"/>
    <mergeCell ref="IIS2:IIU2"/>
    <mergeCell ref="IIV2:IIX2"/>
    <mergeCell ref="IIY2:IJA2"/>
    <mergeCell ref="IJB2:IJD2"/>
    <mergeCell ref="IJE2:IJG2"/>
    <mergeCell ref="IHX2:IHZ2"/>
    <mergeCell ref="IIA2:IIC2"/>
    <mergeCell ref="IID2:IIF2"/>
    <mergeCell ref="IIG2:III2"/>
    <mergeCell ref="IIJ2:IIL2"/>
    <mergeCell ref="IIM2:IIO2"/>
    <mergeCell ref="IHF2:IHH2"/>
    <mergeCell ref="IHI2:IHK2"/>
    <mergeCell ref="IHL2:IHN2"/>
    <mergeCell ref="IHO2:IHQ2"/>
    <mergeCell ref="IHR2:IHT2"/>
    <mergeCell ref="IHU2:IHW2"/>
    <mergeCell ref="IGN2:IGP2"/>
    <mergeCell ref="IGQ2:IGS2"/>
    <mergeCell ref="IGT2:IGV2"/>
    <mergeCell ref="IGW2:IGY2"/>
    <mergeCell ref="IGZ2:IHB2"/>
    <mergeCell ref="IHC2:IHE2"/>
    <mergeCell ref="IOD2:IOF2"/>
    <mergeCell ref="IOG2:IOI2"/>
    <mergeCell ref="IOJ2:IOL2"/>
    <mergeCell ref="IOM2:IOO2"/>
    <mergeCell ref="IOP2:IOR2"/>
    <mergeCell ref="IOS2:IOU2"/>
    <mergeCell ref="INL2:INN2"/>
    <mergeCell ref="INO2:INQ2"/>
    <mergeCell ref="INR2:INT2"/>
    <mergeCell ref="INU2:INW2"/>
    <mergeCell ref="INX2:INZ2"/>
    <mergeCell ref="IOA2:IOC2"/>
    <mergeCell ref="IMT2:IMV2"/>
    <mergeCell ref="IMW2:IMY2"/>
    <mergeCell ref="IMZ2:INB2"/>
    <mergeCell ref="INC2:INE2"/>
    <mergeCell ref="INF2:INH2"/>
    <mergeCell ref="INI2:INK2"/>
    <mergeCell ref="IMB2:IMD2"/>
    <mergeCell ref="IME2:IMG2"/>
    <mergeCell ref="IMH2:IMJ2"/>
    <mergeCell ref="IMK2:IMM2"/>
    <mergeCell ref="IMN2:IMP2"/>
    <mergeCell ref="IMQ2:IMS2"/>
    <mergeCell ref="ILJ2:ILL2"/>
    <mergeCell ref="ILM2:ILO2"/>
    <mergeCell ref="ILP2:ILR2"/>
    <mergeCell ref="ILS2:ILU2"/>
    <mergeCell ref="ILV2:ILX2"/>
    <mergeCell ref="ILY2:IMA2"/>
    <mergeCell ref="IKR2:IKT2"/>
    <mergeCell ref="IKU2:IKW2"/>
    <mergeCell ref="IKX2:IKZ2"/>
    <mergeCell ref="ILA2:ILC2"/>
    <mergeCell ref="ILD2:ILF2"/>
    <mergeCell ref="ILG2:ILI2"/>
    <mergeCell ref="ISH2:ISJ2"/>
    <mergeCell ref="ISK2:ISM2"/>
    <mergeCell ref="ISN2:ISP2"/>
    <mergeCell ref="ISQ2:ISS2"/>
    <mergeCell ref="IST2:ISV2"/>
    <mergeCell ref="ISW2:ISY2"/>
    <mergeCell ref="IRP2:IRR2"/>
    <mergeCell ref="IRS2:IRU2"/>
    <mergeCell ref="IRV2:IRX2"/>
    <mergeCell ref="IRY2:ISA2"/>
    <mergeCell ref="ISB2:ISD2"/>
    <mergeCell ref="ISE2:ISG2"/>
    <mergeCell ref="IQX2:IQZ2"/>
    <mergeCell ref="IRA2:IRC2"/>
    <mergeCell ref="IRD2:IRF2"/>
    <mergeCell ref="IRG2:IRI2"/>
    <mergeCell ref="IRJ2:IRL2"/>
    <mergeCell ref="IRM2:IRO2"/>
    <mergeCell ref="IQF2:IQH2"/>
    <mergeCell ref="IQI2:IQK2"/>
    <mergeCell ref="IQL2:IQN2"/>
    <mergeCell ref="IQO2:IQQ2"/>
    <mergeCell ref="IQR2:IQT2"/>
    <mergeCell ref="IQU2:IQW2"/>
    <mergeCell ref="IPN2:IPP2"/>
    <mergeCell ref="IPQ2:IPS2"/>
    <mergeCell ref="IPT2:IPV2"/>
    <mergeCell ref="IPW2:IPY2"/>
    <mergeCell ref="IPZ2:IQB2"/>
    <mergeCell ref="IQC2:IQE2"/>
    <mergeCell ref="IOV2:IOX2"/>
    <mergeCell ref="IOY2:IPA2"/>
    <mergeCell ref="IPB2:IPD2"/>
    <mergeCell ref="IPE2:IPG2"/>
    <mergeCell ref="IPH2:IPJ2"/>
    <mergeCell ref="IPK2:IPM2"/>
    <mergeCell ref="IWL2:IWN2"/>
    <mergeCell ref="IWO2:IWQ2"/>
    <mergeCell ref="IWR2:IWT2"/>
    <mergeCell ref="IWU2:IWW2"/>
    <mergeCell ref="IWX2:IWZ2"/>
    <mergeCell ref="IXA2:IXC2"/>
    <mergeCell ref="IVT2:IVV2"/>
    <mergeCell ref="IVW2:IVY2"/>
    <mergeCell ref="IVZ2:IWB2"/>
    <mergeCell ref="IWC2:IWE2"/>
    <mergeCell ref="IWF2:IWH2"/>
    <mergeCell ref="IWI2:IWK2"/>
    <mergeCell ref="IVB2:IVD2"/>
    <mergeCell ref="IVE2:IVG2"/>
    <mergeCell ref="IVH2:IVJ2"/>
    <mergeCell ref="IVK2:IVM2"/>
    <mergeCell ref="IVN2:IVP2"/>
    <mergeCell ref="IVQ2:IVS2"/>
    <mergeCell ref="IUJ2:IUL2"/>
    <mergeCell ref="IUM2:IUO2"/>
    <mergeCell ref="IUP2:IUR2"/>
    <mergeCell ref="IUS2:IUU2"/>
    <mergeCell ref="IUV2:IUX2"/>
    <mergeCell ref="IUY2:IVA2"/>
    <mergeCell ref="ITR2:ITT2"/>
    <mergeCell ref="ITU2:ITW2"/>
    <mergeCell ref="ITX2:ITZ2"/>
    <mergeCell ref="IUA2:IUC2"/>
    <mergeCell ref="IUD2:IUF2"/>
    <mergeCell ref="IUG2:IUI2"/>
    <mergeCell ref="ISZ2:ITB2"/>
    <mergeCell ref="ITC2:ITE2"/>
    <mergeCell ref="ITF2:ITH2"/>
    <mergeCell ref="ITI2:ITK2"/>
    <mergeCell ref="ITL2:ITN2"/>
    <mergeCell ref="ITO2:ITQ2"/>
    <mergeCell ref="JAP2:JAR2"/>
    <mergeCell ref="JAS2:JAU2"/>
    <mergeCell ref="JAV2:JAX2"/>
    <mergeCell ref="JAY2:JBA2"/>
    <mergeCell ref="JBB2:JBD2"/>
    <mergeCell ref="JBE2:JBG2"/>
    <mergeCell ref="IZX2:IZZ2"/>
    <mergeCell ref="JAA2:JAC2"/>
    <mergeCell ref="JAD2:JAF2"/>
    <mergeCell ref="JAG2:JAI2"/>
    <mergeCell ref="JAJ2:JAL2"/>
    <mergeCell ref="JAM2:JAO2"/>
    <mergeCell ref="IZF2:IZH2"/>
    <mergeCell ref="IZI2:IZK2"/>
    <mergeCell ref="IZL2:IZN2"/>
    <mergeCell ref="IZO2:IZQ2"/>
    <mergeCell ref="IZR2:IZT2"/>
    <mergeCell ref="IZU2:IZW2"/>
    <mergeCell ref="IYN2:IYP2"/>
    <mergeCell ref="IYQ2:IYS2"/>
    <mergeCell ref="IYT2:IYV2"/>
    <mergeCell ref="IYW2:IYY2"/>
    <mergeCell ref="IYZ2:IZB2"/>
    <mergeCell ref="IZC2:IZE2"/>
    <mergeCell ref="IXV2:IXX2"/>
    <mergeCell ref="IXY2:IYA2"/>
    <mergeCell ref="IYB2:IYD2"/>
    <mergeCell ref="IYE2:IYG2"/>
    <mergeCell ref="IYH2:IYJ2"/>
    <mergeCell ref="IYK2:IYM2"/>
    <mergeCell ref="IXD2:IXF2"/>
    <mergeCell ref="IXG2:IXI2"/>
    <mergeCell ref="IXJ2:IXL2"/>
    <mergeCell ref="IXM2:IXO2"/>
    <mergeCell ref="IXP2:IXR2"/>
    <mergeCell ref="IXS2:IXU2"/>
    <mergeCell ref="JET2:JEV2"/>
    <mergeCell ref="JEW2:JEY2"/>
    <mergeCell ref="JEZ2:JFB2"/>
    <mergeCell ref="JFC2:JFE2"/>
    <mergeCell ref="JFF2:JFH2"/>
    <mergeCell ref="JFI2:JFK2"/>
    <mergeCell ref="JEB2:JED2"/>
    <mergeCell ref="JEE2:JEG2"/>
    <mergeCell ref="JEH2:JEJ2"/>
    <mergeCell ref="JEK2:JEM2"/>
    <mergeCell ref="JEN2:JEP2"/>
    <mergeCell ref="JEQ2:JES2"/>
    <mergeCell ref="JDJ2:JDL2"/>
    <mergeCell ref="JDM2:JDO2"/>
    <mergeCell ref="JDP2:JDR2"/>
    <mergeCell ref="JDS2:JDU2"/>
    <mergeCell ref="JDV2:JDX2"/>
    <mergeCell ref="JDY2:JEA2"/>
    <mergeCell ref="JCR2:JCT2"/>
    <mergeCell ref="JCU2:JCW2"/>
    <mergeCell ref="JCX2:JCZ2"/>
    <mergeCell ref="JDA2:JDC2"/>
    <mergeCell ref="JDD2:JDF2"/>
    <mergeCell ref="JDG2:JDI2"/>
    <mergeCell ref="JBZ2:JCB2"/>
    <mergeCell ref="JCC2:JCE2"/>
    <mergeCell ref="JCF2:JCH2"/>
    <mergeCell ref="JCI2:JCK2"/>
    <mergeCell ref="JCL2:JCN2"/>
    <mergeCell ref="JCO2:JCQ2"/>
    <mergeCell ref="JBH2:JBJ2"/>
    <mergeCell ref="JBK2:JBM2"/>
    <mergeCell ref="JBN2:JBP2"/>
    <mergeCell ref="JBQ2:JBS2"/>
    <mergeCell ref="JBT2:JBV2"/>
    <mergeCell ref="JBW2:JBY2"/>
    <mergeCell ref="JIX2:JIZ2"/>
    <mergeCell ref="JJA2:JJC2"/>
    <mergeCell ref="JJD2:JJF2"/>
    <mergeCell ref="JJG2:JJI2"/>
    <mergeCell ref="JJJ2:JJL2"/>
    <mergeCell ref="JJM2:JJO2"/>
    <mergeCell ref="JIF2:JIH2"/>
    <mergeCell ref="JII2:JIK2"/>
    <mergeCell ref="JIL2:JIN2"/>
    <mergeCell ref="JIO2:JIQ2"/>
    <mergeCell ref="JIR2:JIT2"/>
    <mergeCell ref="JIU2:JIW2"/>
    <mergeCell ref="JHN2:JHP2"/>
    <mergeCell ref="JHQ2:JHS2"/>
    <mergeCell ref="JHT2:JHV2"/>
    <mergeCell ref="JHW2:JHY2"/>
    <mergeCell ref="JHZ2:JIB2"/>
    <mergeCell ref="JIC2:JIE2"/>
    <mergeCell ref="JGV2:JGX2"/>
    <mergeCell ref="JGY2:JHA2"/>
    <mergeCell ref="JHB2:JHD2"/>
    <mergeCell ref="JHE2:JHG2"/>
    <mergeCell ref="JHH2:JHJ2"/>
    <mergeCell ref="JHK2:JHM2"/>
    <mergeCell ref="JGD2:JGF2"/>
    <mergeCell ref="JGG2:JGI2"/>
    <mergeCell ref="JGJ2:JGL2"/>
    <mergeCell ref="JGM2:JGO2"/>
    <mergeCell ref="JGP2:JGR2"/>
    <mergeCell ref="JGS2:JGU2"/>
    <mergeCell ref="JFL2:JFN2"/>
    <mergeCell ref="JFO2:JFQ2"/>
    <mergeCell ref="JFR2:JFT2"/>
    <mergeCell ref="JFU2:JFW2"/>
    <mergeCell ref="JFX2:JFZ2"/>
    <mergeCell ref="JGA2:JGC2"/>
    <mergeCell ref="JNB2:JND2"/>
    <mergeCell ref="JNE2:JNG2"/>
    <mergeCell ref="JNH2:JNJ2"/>
    <mergeCell ref="JNK2:JNM2"/>
    <mergeCell ref="JNN2:JNP2"/>
    <mergeCell ref="JNQ2:JNS2"/>
    <mergeCell ref="JMJ2:JML2"/>
    <mergeCell ref="JMM2:JMO2"/>
    <mergeCell ref="JMP2:JMR2"/>
    <mergeCell ref="JMS2:JMU2"/>
    <mergeCell ref="JMV2:JMX2"/>
    <mergeCell ref="JMY2:JNA2"/>
    <mergeCell ref="JLR2:JLT2"/>
    <mergeCell ref="JLU2:JLW2"/>
    <mergeCell ref="JLX2:JLZ2"/>
    <mergeCell ref="JMA2:JMC2"/>
    <mergeCell ref="JMD2:JMF2"/>
    <mergeCell ref="JMG2:JMI2"/>
    <mergeCell ref="JKZ2:JLB2"/>
    <mergeCell ref="JLC2:JLE2"/>
    <mergeCell ref="JLF2:JLH2"/>
    <mergeCell ref="JLI2:JLK2"/>
    <mergeCell ref="JLL2:JLN2"/>
    <mergeCell ref="JLO2:JLQ2"/>
    <mergeCell ref="JKH2:JKJ2"/>
    <mergeCell ref="JKK2:JKM2"/>
    <mergeCell ref="JKN2:JKP2"/>
    <mergeCell ref="JKQ2:JKS2"/>
    <mergeCell ref="JKT2:JKV2"/>
    <mergeCell ref="JKW2:JKY2"/>
    <mergeCell ref="JJP2:JJR2"/>
    <mergeCell ref="JJS2:JJU2"/>
    <mergeCell ref="JJV2:JJX2"/>
    <mergeCell ref="JJY2:JKA2"/>
    <mergeCell ref="JKB2:JKD2"/>
    <mergeCell ref="JKE2:JKG2"/>
    <mergeCell ref="JRF2:JRH2"/>
    <mergeCell ref="JRI2:JRK2"/>
    <mergeCell ref="JRL2:JRN2"/>
    <mergeCell ref="JRO2:JRQ2"/>
    <mergeCell ref="JRR2:JRT2"/>
    <mergeCell ref="JRU2:JRW2"/>
    <mergeCell ref="JQN2:JQP2"/>
    <mergeCell ref="JQQ2:JQS2"/>
    <mergeCell ref="JQT2:JQV2"/>
    <mergeCell ref="JQW2:JQY2"/>
    <mergeCell ref="JQZ2:JRB2"/>
    <mergeCell ref="JRC2:JRE2"/>
    <mergeCell ref="JPV2:JPX2"/>
    <mergeCell ref="JPY2:JQA2"/>
    <mergeCell ref="JQB2:JQD2"/>
    <mergeCell ref="JQE2:JQG2"/>
    <mergeCell ref="JQH2:JQJ2"/>
    <mergeCell ref="JQK2:JQM2"/>
    <mergeCell ref="JPD2:JPF2"/>
    <mergeCell ref="JPG2:JPI2"/>
    <mergeCell ref="JPJ2:JPL2"/>
    <mergeCell ref="JPM2:JPO2"/>
    <mergeCell ref="JPP2:JPR2"/>
    <mergeCell ref="JPS2:JPU2"/>
    <mergeCell ref="JOL2:JON2"/>
    <mergeCell ref="JOO2:JOQ2"/>
    <mergeCell ref="JOR2:JOT2"/>
    <mergeCell ref="JOU2:JOW2"/>
    <mergeCell ref="JOX2:JOZ2"/>
    <mergeCell ref="JPA2:JPC2"/>
    <mergeCell ref="JNT2:JNV2"/>
    <mergeCell ref="JNW2:JNY2"/>
    <mergeCell ref="JNZ2:JOB2"/>
    <mergeCell ref="JOC2:JOE2"/>
    <mergeCell ref="JOF2:JOH2"/>
    <mergeCell ref="JOI2:JOK2"/>
    <mergeCell ref="JVJ2:JVL2"/>
    <mergeCell ref="JVM2:JVO2"/>
    <mergeCell ref="JVP2:JVR2"/>
    <mergeCell ref="JVS2:JVU2"/>
    <mergeCell ref="JVV2:JVX2"/>
    <mergeCell ref="JVY2:JWA2"/>
    <mergeCell ref="JUR2:JUT2"/>
    <mergeCell ref="JUU2:JUW2"/>
    <mergeCell ref="JUX2:JUZ2"/>
    <mergeCell ref="JVA2:JVC2"/>
    <mergeCell ref="JVD2:JVF2"/>
    <mergeCell ref="JVG2:JVI2"/>
    <mergeCell ref="JTZ2:JUB2"/>
    <mergeCell ref="JUC2:JUE2"/>
    <mergeCell ref="JUF2:JUH2"/>
    <mergeCell ref="JUI2:JUK2"/>
    <mergeCell ref="JUL2:JUN2"/>
    <mergeCell ref="JUO2:JUQ2"/>
    <mergeCell ref="JTH2:JTJ2"/>
    <mergeCell ref="JTK2:JTM2"/>
    <mergeCell ref="JTN2:JTP2"/>
    <mergeCell ref="JTQ2:JTS2"/>
    <mergeCell ref="JTT2:JTV2"/>
    <mergeCell ref="JTW2:JTY2"/>
    <mergeCell ref="JSP2:JSR2"/>
    <mergeCell ref="JSS2:JSU2"/>
    <mergeCell ref="JSV2:JSX2"/>
    <mergeCell ref="JSY2:JTA2"/>
    <mergeCell ref="JTB2:JTD2"/>
    <mergeCell ref="JTE2:JTG2"/>
    <mergeCell ref="JRX2:JRZ2"/>
    <mergeCell ref="JSA2:JSC2"/>
    <mergeCell ref="JSD2:JSF2"/>
    <mergeCell ref="JSG2:JSI2"/>
    <mergeCell ref="JSJ2:JSL2"/>
    <mergeCell ref="JSM2:JSO2"/>
    <mergeCell ref="JZN2:JZP2"/>
    <mergeCell ref="JZQ2:JZS2"/>
    <mergeCell ref="JZT2:JZV2"/>
    <mergeCell ref="JZW2:JZY2"/>
    <mergeCell ref="JZZ2:KAB2"/>
    <mergeCell ref="KAC2:KAE2"/>
    <mergeCell ref="JYV2:JYX2"/>
    <mergeCell ref="JYY2:JZA2"/>
    <mergeCell ref="JZB2:JZD2"/>
    <mergeCell ref="JZE2:JZG2"/>
    <mergeCell ref="JZH2:JZJ2"/>
    <mergeCell ref="JZK2:JZM2"/>
    <mergeCell ref="JYD2:JYF2"/>
    <mergeCell ref="JYG2:JYI2"/>
    <mergeCell ref="JYJ2:JYL2"/>
    <mergeCell ref="JYM2:JYO2"/>
    <mergeCell ref="JYP2:JYR2"/>
    <mergeCell ref="JYS2:JYU2"/>
    <mergeCell ref="JXL2:JXN2"/>
    <mergeCell ref="JXO2:JXQ2"/>
    <mergeCell ref="JXR2:JXT2"/>
    <mergeCell ref="JXU2:JXW2"/>
    <mergeCell ref="JXX2:JXZ2"/>
    <mergeCell ref="JYA2:JYC2"/>
    <mergeCell ref="JWT2:JWV2"/>
    <mergeCell ref="JWW2:JWY2"/>
    <mergeCell ref="JWZ2:JXB2"/>
    <mergeCell ref="JXC2:JXE2"/>
    <mergeCell ref="JXF2:JXH2"/>
    <mergeCell ref="JXI2:JXK2"/>
    <mergeCell ref="JWB2:JWD2"/>
    <mergeCell ref="JWE2:JWG2"/>
    <mergeCell ref="JWH2:JWJ2"/>
    <mergeCell ref="JWK2:JWM2"/>
    <mergeCell ref="JWN2:JWP2"/>
    <mergeCell ref="JWQ2:JWS2"/>
    <mergeCell ref="KDR2:KDT2"/>
    <mergeCell ref="KDU2:KDW2"/>
    <mergeCell ref="KDX2:KDZ2"/>
    <mergeCell ref="KEA2:KEC2"/>
    <mergeCell ref="KED2:KEF2"/>
    <mergeCell ref="KEG2:KEI2"/>
    <mergeCell ref="KCZ2:KDB2"/>
    <mergeCell ref="KDC2:KDE2"/>
    <mergeCell ref="KDF2:KDH2"/>
    <mergeCell ref="KDI2:KDK2"/>
    <mergeCell ref="KDL2:KDN2"/>
    <mergeCell ref="KDO2:KDQ2"/>
    <mergeCell ref="KCH2:KCJ2"/>
    <mergeCell ref="KCK2:KCM2"/>
    <mergeCell ref="KCN2:KCP2"/>
    <mergeCell ref="KCQ2:KCS2"/>
    <mergeCell ref="KCT2:KCV2"/>
    <mergeCell ref="KCW2:KCY2"/>
    <mergeCell ref="KBP2:KBR2"/>
    <mergeCell ref="KBS2:KBU2"/>
    <mergeCell ref="KBV2:KBX2"/>
    <mergeCell ref="KBY2:KCA2"/>
    <mergeCell ref="KCB2:KCD2"/>
    <mergeCell ref="KCE2:KCG2"/>
    <mergeCell ref="KAX2:KAZ2"/>
    <mergeCell ref="KBA2:KBC2"/>
    <mergeCell ref="KBD2:KBF2"/>
    <mergeCell ref="KBG2:KBI2"/>
    <mergeCell ref="KBJ2:KBL2"/>
    <mergeCell ref="KBM2:KBO2"/>
    <mergeCell ref="KAF2:KAH2"/>
    <mergeCell ref="KAI2:KAK2"/>
    <mergeCell ref="KAL2:KAN2"/>
    <mergeCell ref="KAO2:KAQ2"/>
    <mergeCell ref="KAR2:KAT2"/>
    <mergeCell ref="KAU2:KAW2"/>
    <mergeCell ref="KHV2:KHX2"/>
    <mergeCell ref="KHY2:KIA2"/>
    <mergeCell ref="KIB2:KID2"/>
    <mergeCell ref="KIE2:KIG2"/>
    <mergeCell ref="KIH2:KIJ2"/>
    <mergeCell ref="KIK2:KIM2"/>
    <mergeCell ref="KHD2:KHF2"/>
    <mergeCell ref="KHG2:KHI2"/>
    <mergeCell ref="KHJ2:KHL2"/>
    <mergeCell ref="KHM2:KHO2"/>
    <mergeCell ref="KHP2:KHR2"/>
    <mergeCell ref="KHS2:KHU2"/>
    <mergeCell ref="KGL2:KGN2"/>
    <mergeCell ref="KGO2:KGQ2"/>
    <mergeCell ref="KGR2:KGT2"/>
    <mergeCell ref="KGU2:KGW2"/>
    <mergeCell ref="KGX2:KGZ2"/>
    <mergeCell ref="KHA2:KHC2"/>
    <mergeCell ref="KFT2:KFV2"/>
    <mergeCell ref="KFW2:KFY2"/>
    <mergeCell ref="KFZ2:KGB2"/>
    <mergeCell ref="KGC2:KGE2"/>
    <mergeCell ref="KGF2:KGH2"/>
    <mergeCell ref="KGI2:KGK2"/>
    <mergeCell ref="KFB2:KFD2"/>
    <mergeCell ref="KFE2:KFG2"/>
    <mergeCell ref="KFH2:KFJ2"/>
    <mergeCell ref="KFK2:KFM2"/>
    <mergeCell ref="KFN2:KFP2"/>
    <mergeCell ref="KFQ2:KFS2"/>
    <mergeCell ref="KEJ2:KEL2"/>
    <mergeCell ref="KEM2:KEO2"/>
    <mergeCell ref="KEP2:KER2"/>
    <mergeCell ref="KES2:KEU2"/>
    <mergeCell ref="KEV2:KEX2"/>
    <mergeCell ref="KEY2:KFA2"/>
    <mergeCell ref="KLZ2:KMB2"/>
    <mergeCell ref="KMC2:KME2"/>
    <mergeCell ref="KMF2:KMH2"/>
    <mergeCell ref="KMI2:KMK2"/>
    <mergeCell ref="KML2:KMN2"/>
    <mergeCell ref="KMO2:KMQ2"/>
    <mergeCell ref="KLH2:KLJ2"/>
    <mergeCell ref="KLK2:KLM2"/>
    <mergeCell ref="KLN2:KLP2"/>
    <mergeCell ref="KLQ2:KLS2"/>
    <mergeCell ref="KLT2:KLV2"/>
    <mergeCell ref="KLW2:KLY2"/>
    <mergeCell ref="KKP2:KKR2"/>
    <mergeCell ref="KKS2:KKU2"/>
    <mergeCell ref="KKV2:KKX2"/>
    <mergeCell ref="KKY2:KLA2"/>
    <mergeCell ref="KLB2:KLD2"/>
    <mergeCell ref="KLE2:KLG2"/>
    <mergeCell ref="KJX2:KJZ2"/>
    <mergeCell ref="KKA2:KKC2"/>
    <mergeCell ref="KKD2:KKF2"/>
    <mergeCell ref="KKG2:KKI2"/>
    <mergeCell ref="KKJ2:KKL2"/>
    <mergeCell ref="KKM2:KKO2"/>
    <mergeCell ref="KJF2:KJH2"/>
    <mergeCell ref="KJI2:KJK2"/>
    <mergeCell ref="KJL2:KJN2"/>
    <mergeCell ref="KJO2:KJQ2"/>
    <mergeCell ref="KJR2:KJT2"/>
    <mergeCell ref="KJU2:KJW2"/>
    <mergeCell ref="KIN2:KIP2"/>
    <mergeCell ref="KIQ2:KIS2"/>
    <mergeCell ref="KIT2:KIV2"/>
    <mergeCell ref="KIW2:KIY2"/>
    <mergeCell ref="KIZ2:KJB2"/>
    <mergeCell ref="KJC2:KJE2"/>
    <mergeCell ref="KQD2:KQF2"/>
    <mergeCell ref="KQG2:KQI2"/>
    <mergeCell ref="KQJ2:KQL2"/>
    <mergeCell ref="KQM2:KQO2"/>
    <mergeCell ref="KQP2:KQR2"/>
    <mergeCell ref="KQS2:KQU2"/>
    <mergeCell ref="KPL2:KPN2"/>
    <mergeCell ref="KPO2:KPQ2"/>
    <mergeCell ref="KPR2:KPT2"/>
    <mergeCell ref="KPU2:KPW2"/>
    <mergeCell ref="KPX2:KPZ2"/>
    <mergeCell ref="KQA2:KQC2"/>
    <mergeCell ref="KOT2:KOV2"/>
    <mergeCell ref="KOW2:KOY2"/>
    <mergeCell ref="KOZ2:KPB2"/>
    <mergeCell ref="KPC2:KPE2"/>
    <mergeCell ref="KPF2:KPH2"/>
    <mergeCell ref="KPI2:KPK2"/>
    <mergeCell ref="KOB2:KOD2"/>
    <mergeCell ref="KOE2:KOG2"/>
    <mergeCell ref="KOH2:KOJ2"/>
    <mergeCell ref="KOK2:KOM2"/>
    <mergeCell ref="KON2:KOP2"/>
    <mergeCell ref="KOQ2:KOS2"/>
    <mergeCell ref="KNJ2:KNL2"/>
    <mergeCell ref="KNM2:KNO2"/>
    <mergeCell ref="KNP2:KNR2"/>
    <mergeCell ref="KNS2:KNU2"/>
    <mergeCell ref="KNV2:KNX2"/>
    <mergeCell ref="KNY2:KOA2"/>
    <mergeCell ref="KMR2:KMT2"/>
    <mergeCell ref="KMU2:KMW2"/>
    <mergeCell ref="KMX2:KMZ2"/>
    <mergeCell ref="KNA2:KNC2"/>
    <mergeCell ref="KND2:KNF2"/>
    <mergeCell ref="KNG2:KNI2"/>
    <mergeCell ref="KUH2:KUJ2"/>
    <mergeCell ref="KUK2:KUM2"/>
    <mergeCell ref="KUN2:KUP2"/>
    <mergeCell ref="KUQ2:KUS2"/>
    <mergeCell ref="KUT2:KUV2"/>
    <mergeCell ref="KUW2:KUY2"/>
    <mergeCell ref="KTP2:KTR2"/>
    <mergeCell ref="KTS2:KTU2"/>
    <mergeCell ref="KTV2:KTX2"/>
    <mergeCell ref="KTY2:KUA2"/>
    <mergeCell ref="KUB2:KUD2"/>
    <mergeCell ref="KUE2:KUG2"/>
    <mergeCell ref="KSX2:KSZ2"/>
    <mergeCell ref="KTA2:KTC2"/>
    <mergeCell ref="KTD2:KTF2"/>
    <mergeCell ref="KTG2:KTI2"/>
    <mergeCell ref="KTJ2:KTL2"/>
    <mergeCell ref="KTM2:KTO2"/>
    <mergeCell ref="KSF2:KSH2"/>
    <mergeCell ref="KSI2:KSK2"/>
    <mergeCell ref="KSL2:KSN2"/>
    <mergeCell ref="KSO2:KSQ2"/>
    <mergeCell ref="KSR2:KST2"/>
    <mergeCell ref="KSU2:KSW2"/>
    <mergeCell ref="KRN2:KRP2"/>
    <mergeCell ref="KRQ2:KRS2"/>
    <mergeCell ref="KRT2:KRV2"/>
    <mergeCell ref="KRW2:KRY2"/>
    <mergeCell ref="KRZ2:KSB2"/>
    <mergeCell ref="KSC2:KSE2"/>
    <mergeCell ref="KQV2:KQX2"/>
    <mergeCell ref="KQY2:KRA2"/>
    <mergeCell ref="KRB2:KRD2"/>
    <mergeCell ref="KRE2:KRG2"/>
    <mergeCell ref="KRH2:KRJ2"/>
    <mergeCell ref="KRK2:KRM2"/>
    <mergeCell ref="KYL2:KYN2"/>
    <mergeCell ref="KYO2:KYQ2"/>
    <mergeCell ref="KYR2:KYT2"/>
    <mergeCell ref="KYU2:KYW2"/>
    <mergeCell ref="KYX2:KYZ2"/>
    <mergeCell ref="KZA2:KZC2"/>
    <mergeCell ref="KXT2:KXV2"/>
    <mergeCell ref="KXW2:KXY2"/>
    <mergeCell ref="KXZ2:KYB2"/>
    <mergeCell ref="KYC2:KYE2"/>
    <mergeCell ref="KYF2:KYH2"/>
    <mergeCell ref="KYI2:KYK2"/>
    <mergeCell ref="KXB2:KXD2"/>
    <mergeCell ref="KXE2:KXG2"/>
    <mergeCell ref="KXH2:KXJ2"/>
    <mergeCell ref="KXK2:KXM2"/>
    <mergeCell ref="KXN2:KXP2"/>
    <mergeCell ref="KXQ2:KXS2"/>
    <mergeCell ref="KWJ2:KWL2"/>
    <mergeCell ref="KWM2:KWO2"/>
    <mergeCell ref="KWP2:KWR2"/>
    <mergeCell ref="KWS2:KWU2"/>
    <mergeCell ref="KWV2:KWX2"/>
    <mergeCell ref="KWY2:KXA2"/>
    <mergeCell ref="KVR2:KVT2"/>
    <mergeCell ref="KVU2:KVW2"/>
    <mergeCell ref="KVX2:KVZ2"/>
    <mergeCell ref="KWA2:KWC2"/>
    <mergeCell ref="KWD2:KWF2"/>
    <mergeCell ref="KWG2:KWI2"/>
    <mergeCell ref="KUZ2:KVB2"/>
    <mergeCell ref="KVC2:KVE2"/>
    <mergeCell ref="KVF2:KVH2"/>
    <mergeCell ref="KVI2:KVK2"/>
    <mergeCell ref="KVL2:KVN2"/>
    <mergeCell ref="KVO2:KVQ2"/>
    <mergeCell ref="LCP2:LCR2"/>
    <mergeCell ref="LCS2:LCU2"/>
    <mergeCell ref="LCV2:LCX2"/>
    <mergeCell ref="LCY2:LDA2"/>
    <mergeCell ref="LDB2:LDD2"/>
    <mergeCell ref="LDE2:LDG2"/>
    <mergeCell ref="LBX2:LBZ2"/>
    <mergeCell ref="LCA2:LCC2"/>
    <mergeCell ref="LCD2:LCF2"/>
    <mergeCell ref="LCG2:LCI2"/>
    <mergeCell ref="LCJ2:LCL2"/>
    <mergeCell ref="LCM2:LCO2"/>
    <mergeCell ref="LBF2:LBH2"/>
    <mergeCell ref="LBI2:LBK2"/>
    <mergeCell ref="LBL2:LBN2"/>
    <mergeCell ref="LBO2:LBQ2"/>
    <mergeCell ref="LBR2:LBT2"/>
    <mergeCell ref="LBU2:LBW2"/>
    <mergeCell ref="LAN2:LAP2"/>
    <mergeCell ref="LAQ2:LAS2"/>
    <mergeCell ref="LAT2:LAV2"/>
    <mergeCell ref="LAW2:LAY2"/>
    <mergeCell ref="LAZ2:LBB2"/>
    <mergeCell ref="LBC2:LBE2"/>
    <mergeCell ref="KZV2:KZX2"/>
    <mergeCell ref="KZY2:LAA2"/>
    <mergeCell ref="LAB2:LAD2"/>
    <mergeCell ref="LAE2:LAG2"/>
    <mergeCell ref="LAH2:LAJ2"/>
    <mergeCell ref="LAK2:LAM2"/>
    <mergeCell ref="KZD2:KZF2"/>
    <mergeCell ref="KZG2:KZI2"/>
    <mergeCell ref="KZJ2:KZL2"/>
    <mergeCell ref="KZM2:KZO2"/>
    <mergeCell ref="KZP2:KZR2"/>
    <mergeCell ref="KZS2:KZU2"/>
    <mergeCell ref="LGT2:LGV2"/>
    <mergeCell ref="LGW2:LGY2"/>
    <mergeCell ref="LGZ2:LHB2"/>
    <mergeCell ref="LHC2:LHE2"/>
    <mergeCell ref="LHF2:LHH2"/>
    <mergeCell ref="LHI2:LHK2"/>
    <mergeCell ref="LGB2:LGD2"/>
    <mergeCell ref="LGE2:LGG2"/>
    <mergeCell ref="LGH2:LGJ2"/>
    <mergeCell ref="LGK2:LGM2"/>
    <mergeCell ref="LGN2:LGP2"/>
    <mergeCell ref="LGQ2:LGS2"/>
    <mergeCell ref="LFJ2:LFL2"/>
    <mergeCell ref="LFM2:LFO2"/>
    <mergeCell ref="LFP2:LFR2"/>
    <mergeCell ref="LFS2:LFU2"/>
    <mergeCell ref="LFV2:LFX2"/>
    <mergeCell ref="LFY2:LGA2"/>
    <mergeCell ref="LER2:LET2"/>
    <mergeCell ref="LEU2:LEW2"/>
    <mergeCell ref="LEX2:LEZ2"/>
    <mergeCell ref="LFA2:LFC2"/>
    <mergeCell ref="LFD2:LFF2"/>
    <mergeCell ref="LFG2:LFI2"/>
    <mergeCell ref="LDZ2:LEB2"/>
    <mergeCell ref="LEC2:LEE2"/>
    <mergeCell ref="LEF2:LEH2"/>
    <mergeCell ref="LEI2:LEK2"/>
    <mergeCell ref="LEL2:LEN2"/>
    <mergeCell ref="LEO2:LEQ2"/>
    <mergeCell ref="LDH2:LDJ2"/>
    <mergeCell ref="LDK2:LDM2"/>
    <mergeCell ref="LDN2:LDP2"/>
    <mergeCell ref="LDQ2:LDS2"/>
    <mergeCell ref="LDT2:LDV2"/>
    <mergeCell ref="LDW2:LDY2"/>
    <mergeCell ref="LKX2:LKZ2"/>
    <mergeCell ref="LLA2:LLC2"/>
    <mergeCell ref="LLD2:LLF2"/>
    <mergeCell ref="LLG2:LLI2"/>
    <mergeCell ref="LLJ2:LLL2"/>
    <mergeCell ref="LLM2:LLO2"/>
    <mergeCell ref="LKF2:LKH2"/>
    <mergeCell ref="LKI2:LKK2"/>
    <mergeCell ref="LKL2:LKN2"/>
    <mergeCell ref="LKO2:LKQ2"/>
    <mergeCell ref="LKR2:LKT2"/>
    <mergeCell ref="LKU2:LKW2"/>
    <mergeCell ref="LJN2:LJP2"/>
    <mergeCell ref="LJQ2:LJS2"/>
    <mergeCell ref="LJT2:LJV2"/>
    <mergeCell ref="LJW2:LJY2"/>
    <mergeCell ref="LJZ2:LKB2"/>
    <mergeCell ref="LKC2:LKE2"/>
    <mergeCell ref="LIV2:LIX2"/>
    <mergeCell ref="LIY2:LJA2"/>
    <mergeCell ref="LJB2:LJD2"/>
    <mergeCell ref="LJE2:LJG2"/>
    <mergeCell ref="LJH2:LJJ2"/>
    <mergeCell ref="LJK2:LJM2"/>
    <mergeCell ref="LID2:LIF2"/>
    <mergeCell ref="LIG2:LII2"/>
    <mergeCell ref="LIJ2:LIL2"/>
    <mergeCell ref="LIM2:LIO2"/>
    <mergeCell ref="LIP2:LIR2"/>
    <mergeCell ref="LIS2:LIU2"/>
    <mergeCell ref="LHL2:LHN2"/>
    <mergeCell ref="LHO2:LHQ2"/>
    <mergeCell ref="LHR2:LHT2"/>
    <mergeCell ref="LHU2:LHW2"/>
    <mergeCell ref="LHX2:LHZ2"/>
    <mergeCell ref="LIA2:LIC2"/>
    <mergeCell ref="LPB2:LPD2"/>
    <mergeCell ref="LPE2:LPG2"/>
    <mergeCell ref="LPH2:LPJ2"/>
    <mergeCell ref="LPK2:LPM2"/>
    <mergeCell ref="LPN2:LPP2"/>
    <mergeCell ref="LPQ2:LPS2"/>
    <mergeCell ref="LOJ2:LOL2"/>
    <mergeCell ref="LOM2:LOO2"/>
    <mergeCell ref="LOP2:LOR2"/>
    <mergeCell ref="LOS2:LOU2"/>
    <mergeCell ref="LOV2:LOX2"/>
    <mergeCell ref="LOY2:LPA2"/>
    <mergeCell ref="LNR2:LNT2"/>
    <mergeCell ref="LNU2:LNW2"/>
    <mergeCell ref="LNX2:LNZ2"/>
    <mergeCell ref="LOA2:LOC2"/>
    <mergeCell ref="LOD2:LOF2"/>
    <mergeCell ref="LOG2:LOI2"/>
    <mergeCell ref="LMZ2:LNB2"/>
    <mergeCell ref="LNC2:LNE2"/>
    <mergeCell ref="LNF2:LNH2"/>
    <mergeCell ref="LNI2:LNK2"/>
    <mergeCell ref="LNL2:LNN2"/>
    <mergeCell ref="LNO2:LNQ2"/>
    <mergeCell ref="LMH2:LMJ2"/>
    <mergeCell ref="LMK2:LMM2"/>
    <mergeCell ref="LMN2:LMP2"/>
    <mergeCell ref="LMQ2:LMS2"/>
    <mergeCell ref="LMT2:LMV2"/>
    <mergeCell ref="LMW2:LMY2"/>
    <mergeCell ref="LLP2:LLR2"/>
    <mergeCell ref="LLS2:LLU2"/>
    <mergeCell ref="LLV2:LLX2"/>
    <mergeCell ref="LLY2:LMA2"/>
    <mergeCell ref="LMB2:LMD2"/>
    <mergeCell ref="LME2:LMG2"/>
    <mergeCell ref="LTF2:LTH2"/>
    <mergeCell ref="LTI2:LTK2"/>
    <mergeCell ref="LTL2:LTN2"/>
    <mergeCell ref="LTO2:LTQ2"/>
    <mergeCell ref="LTR2:LTT2"/>
    <mergeCell ref="LTU2:LTW2"/>
    <mergeCell ref="LSN2:LSP2"/>
    <mergeCell ref="LSQ2:LSS2"/>
    <mergeCell ref="LST2:LSV2"/>
    <mergeCell ref="LSW2:LSY2"/>
    <mergeCell ref="LSZ2:LTB2"/>
    <mergeCell ref="LTC2:LTE2"/>
    <mergeCell ref="LRV2:LRX2"/>
    <mergeCell ref="LRY2:LSA2"/>
    <mergeCell ref="LSB2:LSD2"/>
    <mergeCell ref="LSE2:LSG2"/>
    <mergeCell ref="LSH2:LSJ2"/>
    <mergeCell ref="LSK2:LSM2"/>
    <mergeCell ref="LRD2:LRF2"/>
    <mergeCell ref="LRG2:LRI2"/>
    <mergeCell ref="LRJ2:LRL2"/>
    <mergeCell ref="LRM2:LRO2"/>
    <mergeCell ref="LRP2:LRR2"/>
    <mergeCell ref="LRS2:LRU2"/>
    <mergeCell ref="LQL2:LQN2"/>
    <mergeCell ref="LQO2:LQQ2"/>
    <mergeCell ref="LQR2:LQT2"/>
    <mergeCell ref="LQU2:LQW2"/>
    <mergeCell ref="LQX2:LQZ2"/>
    <mergeCell ref="LRA2:LRC2"/>
    <mergeCell ref="LPT2:LPV2"/>
    <mergeCell ref="LPW2:LPY2"/>
    <mergeCell ref="LPZ2:LQB2"/>
    <mergeCell ref="LQC2:LQE2"/>
    <mergeCell ref="LQF2:LQH2"/>
    <mergeCell ref="LQI2:LQK2"/>
    <mergeCell ref="LXJ2:LXL2"/>
    <mergeCell ref="LXM2:LXO2"/>
    <mergeCell ref="LXP2:LXR2"/>
    <mergeCell ref="LXS2:LXU2"/>
    <mergeCell ref="LXV2:LXX2"/>
    <mergeCell ref="LXY2:LYA2"/>
    <mergeCell ref="LWR2:LWT2"/>
    <mergeCell ref="LWU2:LWW2"/>
    <mergeCell ref="LWX2:LWZ2"/>
    <mergeCell ref="LXA2:LXC2"/>
    <mergeCell ref="LXD2:LXF2"/>
    <mergeCell ref="LXG2:LXI2"/>
    <mergeCell ref="LVZ2:LWB2"/>
    <mergeCell ref="LWC2:LWE2"/>
    <mergeCell ref="LWF2:LWH2"/>
    <mergeCell ref="LWI2:LWK2"/>
    <mergeCell ref="LWL2:LWN2"/>
    <mergeCell ref="LWO2:LWQ2"/>
    <mergeCell ref="LVH2:LVJ2"/>
    <mergeCell ref="LVK2:LVM2"/>
    <mergeCell ref="LVN2:LVP2"/>
    <mergeCell ref="LVQ2:LVS2"/>
    <mergeCell ref="LVT2:LVV2"/>
    <mergeCell ref="LVW2:LVY2"/>
    <mergeCell ref="LUP2:LUR2"/>
    <mergeCell ref="LUS2:LUU2"/>
    <mergeCell ref="LUV2:LUX2"/>
    <mergeCell ref="LUY2:LVA2"/>
    <mergeCell ref="LVB2:LVD2"/>
    <mergeCell ref="LVE2:LVG2"/>
    <mergeCell ref="LTX2:LTZ2"/>
    <mergeCell ref="LUA2:LUC2"/>
    <mergeCell ref="LUD2:LUF2"/>
    <mergeCell ref="LUG2:LUI2"/>
    <mergeCell ref="LUJ2:LUL2"/>
    <mergeCell ref="LUM2:LUO2"/>
    <mergeCell ref="MBN2:MBP2"/>
    <mergeCell ref="MBQ2:MBS2"/>
    <mergeCell ref="MBT2:MBV2"/>
    <mergeCell ref="MBW2:MBY2"/>
    <mergeCell ref="MBZ2:MCB2"/>
    <mergeCell ref="MCC2:MCE2"/>
    <mergeCell ref="MAV2:MAX2"/>
    <mergeCell ref="MAY2:MBA2"/>
    <mergeCell ref="MBB2:MBD2"/>
    <mergeCell ref="MBE2:MBG2"/>
    <mergeCell ref="MBH2:MBJ2"/>
    <mergeCell ref="MBK2:MBM2"/>
    <mergeCell ref="MAD2:MAF2"/>
    <mergeCell ref="MAG2:MAI2"/>
    <mergeCell ref="MAJ2:MAL2"/>
    <mergeCell ref="MAM2:MAO2"/>
    <mergeCell ref="MAP2:MAR2"/>
    <mergeCell ref="MAS2:MAU2"/>
    <mergeCell ref="LZL2:LZN2"/>
    <mergeCell ref="LZO2:LZQ2"/>
    <mergeCell ref="LZR2:LZT2"/>
    <mergeCell ref="LZU2:LZW2"/>
    <mergeCell ref="LZX2:LZZ2"/>
    <mergeCell ref="MAA2:MAC2"/>
    <mergeCell ref="LYT2:LYV2"/>
    <mergeCell ref="LYW2:LYY2"/>
    <mergeCell ref="LYZ2:LZB2"/>
    <mergeCell ref="LZC2:LZE2"/>
    <mergeCell ref="LZF2:LZH2"/>
    <mergeCell ref="LZI2:LZK2"/>
    <mergeCell ref="LYB2:LYD2"/>
    <mergeCell ref="LYE2:LYG2"/>
    <mergeCell ref="LYH2:LYJ2"/>
    <mergeCell ref="LYK2:LYM2"/>
    <mergeCell ref="LYN2:LYP2"/>
    <mergeCell ref="LYQ2:LYS2"/>
    <mergeCell ref="MFR2:MFT2"/>
    <mergeCell ref="MFU2:MFW2"/>
    <mergeCell ref="MFX2:MFZ2"/>
    <mergeCell ref="MGA2:MGC2"/>
    <mergeCell ref="MGD2:MGF2"/>
    <mergeCell ref="MGG2:MGI2"/>
    <mergeCell ref="MEZ2:MFB2"/>
    <mergeCell ref="MFC2:MFE2"/>
    <mergeCell ref="MFF2:MFH2"/>
    <mergeCell ref="MFI2:MFK2"/>
    <mergeCell ref="MFL2:MFN2"/>
    <mergeCell ref="MFO2:MFQ2"/>
    <mergeCell ref="MEH2:MEJ2"/>
    <mergeCell ref="MEK2:MEM2"/>
    <mergeCell ref="MEN2:MEP2"/>
    <mergeCell ref="MEQ2:MES2"/>
    <mergeCell ref="MET2:MEV2"/>
    <mergeCell ref="MEW2:MEY2"/>
    <mergeCell ref="MDP2:MDR2"/>
    <mergeCell ref="MDS2:MDU2"/>
    <mergeCell ref="MDV2:MDX2"/>
    <mergeCell ref="MDY2:MEA2"/>
    <mergeCell ref="MEB2:MED2"/>
    <mergeCell ref="MEE2:MEG2"/>
    <mergeCell ref="MCX2:MCZ2"/>
    <mergeCell ref="MDA2:MDC2"/>
    <mergeCell ref="MDD2:MDF2"/>
    <mergeCell ref="MDG2:MDI2"/>
    <mergeCell ref="MDJ2:MDL2"/>
    <mergeCell ref="MDM2:MDO2"/>
    <mergeCell ref="MCF2:MCH2"/>
    <mergeCell ref="MCI2:MCK2"/>
    <mergeCell ref="MCL2:MCN2"/>
    <mergeCell ref="MCO2:MCQ2"/>
    <mergeCell ref="MCR2:MCT2"/>
    <mergeCell ref="MCU2:MCW2"/>
    <mergeCell ref="MJV2:MJX2"/>
    <mergeCell ref="MJY2:MKA2"/>
    <mergeCell ref="MKB2:MKD2"/>
    <mergeCell ref="MKE2:MKG2"/>
    <mergeCell ref="MKH2:MKJ2"/>
    <mergeCell ref="MKK2:MKM2"/>
    <mergeCell ref="MJD2:MJF2"/>
    <mergeCell ref="MJG2:MJI2"/>
    <mergeCell ref="MJJ2:MJL2"/>
    <mergeCell ref="MJM2:MJO2"/>
    <mergeCell ref="MJP2:MJR2"/>
    <mergeCell ref="MJS2:MJU2"/>
    <mergeCell ref="MIL2:MIN2"/>
    <mergeCell ref="MIO2:MIQ2"/>
    <mergeCell ref="MIR2:MIT2"/>
    <mergeCell ref="MIU2:MIW2"/>
    <mergeCell ref="MIX2:MIZ2"/>
    <mergeCell ref="MJA2:MJC2"/>
    <mergeCell ref="MHT2:MHV2"/>
    <mergeCell ref="MHW2:MHY2"/>
    <mergeCell ref="MHZ2:MIB2"/>
    <mergeCell ref="MIC2:MIE2"/>
    <mergeCell ref="MIF2:MIH2"/>
    <mergeCell ref="MII2:MIK2"/>
    <mergeCell ref="MHB2:MHD2"/>
    <mergeCell ref="MHE2:MHG2"/>
    <mergeCell ref="MHH2:MHJ2"/>
    <mergeCell ref="MHK2:MHM2"/>
    <mergeCell ref="MHN2:MHP2"/>
    <mergeCell ref="MHQ2:MHS2"/>
    <mergeCell ref="MGJ2:MGL2"/>
    <mergeCell ref="MGM2:MGO2"/>
    <mergeCell ref="MGP2:MGR2"/>
    <mergeCell ref="MGS2:MGU2"/>
    <mergeCell ref="MGV2:MGX2"/>
    <mergeCell ref="MGY2:MHA2"/>
    <mergeCell ref="MNZ2:MOB2"/>
    <mergeCell ref="MOC2:MOE2"/>
    <mergeCell ref="MOF2:MOH2"/>
    <mergeCell ref="MOI2:MOK2"/>
    <mergeCell ref="MOL2:MON2"/>
    <mergeCell ref="MOO2:MOQ2"/>
    <mergeCell ref="MNH2:MNJ2"/>
    <mergeCell ref="MNK2:MNM2"/>
    <mergeCell ref="MNN2:MNP2"/>
    <mergeCell ref="MNQ2:MNS2"/>
    <mergeCell ref="MNT2:MNV2"/>
    <mergeCell ref="MNW2:MNY2"/>
    <mergeCell ref="MMP2:MMR2"/>
    <mergeCell ref="MMS2:MMU2"/>
    <mergeCell ref="MMV2:MMX2"/>
    <mergeCell ref="MMY2:MNA2"/>
    <mergeCell ref="MNB2:MND2"/>
    <mergeCell ref="MNE2:MNG2"/>
    <mergeCell ref="MLX2:MLZ2"/>
    <mergeCell ref="MMA2:MMC2"/>
    <mergeCell ref="MMD2:MMF2"/>
    <mergeCell ref="MMG2:MMI2"/>
    <mergeCell ref="MMJ2:MML2"/>
    <mergeCell ref="MMM2:MMO2"/>
    <mergeCell ref="MLF2:MLH2"/>
    <mergeCell ref="MLI2:MLK2"/>
    <mergeCell ref="MLL2:MLN2"/>
    <mergeCell ref="MLO2:MLQ2"/>
    <mergeCell ref="MLR2:MLT2"/>
    <mergeCell ref="MLU2:MLW2"/>
    <mergeCell ref="MKN2:MKP2"/>
    <mergeCell ref="MKQ2:MKS2"/>
    <mergeCell ref="MKT2:MKV2"/>
    <mergeCell ref="MKW2:MKY2"/>
    <mergeCell ref="MKZ2:MLB2"/>
    <mergeCell ref="MLC2:MLE2"/>
    <mergeCell ref="MSD2:MSF2"/>
    <mergeCell ref="MSG2:MSI2"/>
    <mergeCell ref="MSJ2:MSL2"/>
    <mergeCell ref="MSM2:MSO2"/>
    <mergeCell ref="MSP2:MSR2"/>
    <mergeCell ref="MSS2:MSU2"/>
    <mergeCell ref="MRL2:MRN2"/>
    <mergeCell ref="MRO2:MRQ2"/>
    <mergeCell ref="MRR2:MRT2"/>
    <mergeCell ref="MRU2:MRW2"/>
    <mergeCell ref="MRX2:MRZ2"/>
    <mergeCell ref="MSA2:MSC2"/>
    <mergeCell ref="MQT2:MQV2"/>
    <mergeCell ref="MQW2:MQY2"/>
    <mergeCell ref="MQZ2:MRB2"/>
    <mergeCell ref="MRC2:MRE2"/>
    <mergeCell ref="MRF2:MRH2"/>
    <mergeCell ref="MRI2:MRK2"/>
    <mergeCell ref="MQB2:MQD2"/>
    <mergeCell ref="MQE2:MQG2"/>
    <mergeCell ref="MQH2:MQJ2"/>
    <mergeCell ref="MQK2:MQM2"/>
    <mergeCell ref="MQN2:MQP2"/>
    <mergeCell ref="MQQ2:MQS2"/>
    <mergeCell ref="MPJ2:MPL2"/>
    <mergeCell ref="MPM2:MPO2"/>
    <mergeCell ref="MPP2:MPR2"/>
    <mergeCell ref="MPS2:MPU2"/>
    <mergeCell ref="MPV2:MPX2"/>
    <mergeCell ref="MPY2:MQA2"/>
    <mergeCell ref="MOR2:MOT2"/>
    <mergeCell ref="MOU2:MOW2"/>
    <mergeCell ref="MOX2:MOZ2"/>
    <mergeCell ref="MPA2:MPC2"/>
    <mergeCell ref="MPD2:MPF2"/>
    <mergeCell ref="MPG2:MPI2"/>
    <mergeCell ref="MWH2:MWJ2"/>
    <mergeCell ref="MWK2:MWM2"/>
    <mergeCell ref="MWN2:MWP2"/>
    <mergeCell ref="MWQ2:MWS2"/>
    <mergeCell ref="MWT2:MWV2"/>
    <mergeCell ref="MWW2:MWY2"/>
    <mergeCell ref="MVP2:MVR2"/>
    <mergeCell ref="MVS2:MVU2"/>
    <mergeCell ref="MVV2:MVX2"/>
    <mergeCell ref="MVY2:MWA2"/>
    <mergeCell ref="MWB2:MWD2"/>
    <mergeCell ref="MWE2:MWG2"/>
    <mergeCell ref="MUX2:MUZ2"/>
    <mergeCell ref="MVA2:MVC2"/>
    <mergeCell ref="MVD2:MVF2"/>
    <mergeCell ref="MVG2:MVI2"/>
    <mergeCell ref="MVJ2:MVL2"/>
    <mergeCell ref="MVM2:MVO2"/>
    <mergeCell ref="MUF2:MUH2"/>
    <mergeCell ref="MUI2:MUK2"/>
    <mergeCell ref="MUL2:MUN2"/>
    <mergeCell ref="MUO2:MUQ2"/>
    <mergeCell ref="MUR2:MUT2"/>
    <mergeCell ref="MUU2:MUW2"/>
    <mergeCell ref="MTN2:MTP2"/>
    <mergeCell ref="MTQ2:MTS2"/>
    <mergeCell ref="MTT2:MTV2"/>
    <mergeCell ref="MTW2:MTY2"/>
    <mergeCell ref="MTZ2:MUB2"/>
    <mergeCell ref="MUC2:MUE2"/>
    <mergeCell ref="MSV2:MSX2"/>
    <mergeCell ref="MSY2:MTA2"/>
    <mergeCell ref="MTB2:MTD2"/>
    <mergeCell ref="MTE2:MTG2"/>
    <mergeCell ref="MTH2:MTJ2"/>
    <mergeCell ref="MTK2:MTM2"/>
    <mergeCell ref="NAL2:NAN2"/>
    <mergeCell ref="NAO2:NAQ2"/>
    <mergeCell ref="NAR2:NAT2"/>
    <mergeCell ref="NAU2:NAW2"/>
    <mergeCell ref="NAX2:NAZ2"/>
    <mergeCell ref="NBA2:NBC2"/>
    <mergeCell ref="MZT2:MZV2"/>
    <mergeCell ref="MZW2:MZY2"/>
    <mergeCell ref="MZZ2:NAB2"/>
    <mergeCell ref="NAC2:NAE2"/>
    <mergeCell ref="NAF2:NAH2"/>
    <mergeCell ref="NAI2:NAK2"/>
    <mergeCell ref="MZB2:MZD2"/>
    <mergeCell ref="MZE2:MZG2"/>
    <mergeCell ref="MZH2:MZJ2"/>
    <mergeCell ref="MZK2:MZM2"/>
    <mergeCell ref="MZN2:MZP2"/>
    <mergeCell ref="MZQ2:MZS2"/>
    <mergeCell ref="MYJ2:MYL2"/>
    <mergeCell ref="MYM2:MYO2"/>
    <mergeCell ref="MYP2:MYR2"/>
    <mergeCell ref="MYS2:MYU2"/>
    <mergeCell ref="MYV2:MYX2"/>
    <mergeCell ref="MYY2:MZA2"/>
    <mergeCell ref="MXR2:MXT2"/>
    <mergeCell ref="MXU2:MXW2"/>
    <mergeCell ref="MXX2:MXZ2"/>
    <mergeCell ref="MYA2:MYC2"/>
    <mergeCell ref="MYD2:MYF2"/>
    <mergeCell ref="MYG2:MYI2"/>
    <mergeCell ref="MWZ2:MXB2"/>
    <mergeCell ref="MXC2:MXE2"/>
    <mergeCell ref="MXF2:MXH2"/>
    <mergeCell ref="MXI2:MXK2"/>
    <mergeCell ref="MXL2:MXN2"/>
    <mergeCell ref="MXO2:MXQ2"/>
    <mergeCell ref="NEP2:NER2"/>
    <mergeCell ref="NES2:NEU2"/>
    <mergeCell ref="NEV2:NEX2"/>
    <mergeCell ref="NEY2:NFA2"/>
    <mergeCell ref="NFB2:NFD2"/>
    <mergeCell ref="NFE2:NFG2"/>
    <mergeCell ref="NDX2:NDZ2"/>
    <mergeCell ref="NEA2:NEC2"/>
    <mergeCell ref="NED2:NEF2"/>
    <mergeCell ref="NEG2:NEI2"/>
    <mergeCell ref="NEJ2:NEL2"/>
    <mergeCell ref="NEM2:NEO2"/>
    <mergeCell ref="NDF2:NDH2"/>
    <mergeCell ref="NDI2:NDK2"/>
    <mergeCell ref="NDL2:NDN2"/>
    <mergeCell ref="NDO2:NDQ2"/>
    <mergeCell ref="NDR2:NDT2"/>
    <mergeCell ref="NDU2:NDW2"/>
    <mergeCell ref="NCN2:NCP2"/>
    <mergeCell ref="NCQ2:NCS2"/>
    <mergeCell ref="NCT2:NCV2"/>
    <mergeCell ref="NCW2:NCY2"/>
    <mergeCell ref="NCZ2:NDB2"/>
    <mergeCell ref="NDC2:NDE2"/>
    <mergeCell ref="NBV2:NBX2"/>
    <mergeCell ref="NBY2:NCA2"/>
    <mergeCell ref="NCB2:NCD2"/>
    <mergeCell ref="NCE2:NCG2"/>
    <mergeCell ref="NCH2:NCJ2"/>
    <mergeCell ref="NCK2:NCM2"/>
    <mergeCell ref="NBD2:NBF2"/>
    <mergeCell ref="NBG2:NBI2"/>
    <mergeCell ref="NBJ2:NBL2"/>
    <mergeCell ref="NBM2:NBO2"/>
    <mergeCell ref="NBP2:NBR2"/>
    <mergeCell ref="NBS2:NBU2"/>
    <mergeCell ref="NIT2:NIV2"/>
    <mergeCell ref="NIW2:NIY2"/>
    <mergeCell ref="NIZ2:NJB2"/>
    <mergeCell ref="NJC2:NJE2"/>
    <mergeCell ref="NJF2:NJH2"/>
    <mergeCell ref="NJI2:NJK2"/>
    <mergeCell ref="NIB2:NID2"/>
    <mergeCell ref="NIE2:NIG2"/>
    <mergeCell ref="NIH2:NIJ2"/>
    <mergeCell ref="NIK2:NIM2"/>
    <mergeCell ref="NIN2:NIP2"/>
    <mergeCell ref="NIQ2:NIS2"/>
    <mergeCell ref="NHJ2:NHL2"/>
    <mergeCell ref="NHM2:NHO2"/>
    <mergeCell ref="NHP2:NHR2"/>
    <mergeCell ref="NHS2:NHU2"/>
    <mergeCell ref="NHV2:NHX2"/>
    <mergeCell ref="NHY2:NIA2"/>
    <mergeCell ref="NGR2:NGT2"/>
    <mergeCell ref="NGU2:NGW2"/>
    <mergeCell ref="NGX2:NGZ2"/>
    <mergeCell ref="NHA2:NHC2"/>
    <mergeCell ref="NHD2:NHF2"/>
    <mergeCell ref="NHG2:NHI2"/>
    <mergeCell ref="NFZ2:NGB2"/>
    <mergeCell ref="NGC2:NGE2"/>
    <mergeCell ref="NGF2:NGH2"/>
    <mergeCell ref="NGI2:NGK2"/>
    <mergeCell ref="NGL2:NGN2"/>
    <mergeCell ref="NGO2:NGQ2"/>
    <mergeCell ref="NFH2:NFJ2"/>
    <mergeCell ref="NFK2:NFM2"/>
    <mergeCell ref="NFN2:NFP2"/>
    <mergeCell ref="NFQ2:NFS2"/>
    <mergeCell ref="NFT2:NFV2"/>
    <mergeCell ref="NFW2:NFY2"/>
    <mergeCell ref="NMX2:NMZ2"/>
    <mergeCell ref="NNA2:NNC2"/>
    <mergeCell ref="NND2:NNF2"/>
    <mergeCell ref="NNG2:NNI2"/>
    <mergeCell ref="NNJ2:NNL2"/>
    <mergeCell ref="NNM2:NNO2"/>
    <mergeCell ref="NMF2:NMH2"/>
    <mergeCell ref="NMI2:NMK2"/>
    <mergeCell ref="NML2:NMN2"/>
    <mergeCell ref="NMO2:NMQ2"/>
    <mergeCell ref="NMR2:NMT2"/>
    <mergeCell ref="NMU2:NMW2"/>
    <mergeCell ref="NLN2:NLP2"/>
    <mergeCell ref="NLQ2:NLS2"/>
    <mergeCell ref="NLT2:NLV2"/>
    <mergeCell ref="NLW2:NLY2"/>
    <mergeCell ref="NLZ2:NMB2"/>
    <mergeCell ref="NMC2:NME2"/>
    <mergeCell ref="NKV2:NKX2"/>
    <mergeCell ref="NKY2:NLA2"/>
    <mergeCell ref="NLB2:NLD2"/>
    <mergeCell ref="NLE2:NLG2"/>
    <mergeCell ref="NLH2:NLJ2"/>
    <mergeCell ref="NLK2:NLM2"/>
    <mergeCell ref="NKD2:NKF2"/>
    <mergeCell ref="NKG2:NKI2"/>
    <mergeCell ref="NKJ2:NKL2"/>
    <mergeCell ref="NKM2:NKO2"/>
    <mergeCell ref="NKP2:NKR2"/>
    <mergeCell ref="NKS2:NKU2"/>
    <mergeCell ref="NJL2:NJN2"/>
    <mergeCell ref="NJO2:NJQ2"/>
    <mergeCell ref="NJR2:NJT2"/>
    <mergeCell ref="NJU2:NJW2"/>
    <mergeCell ref="NJX2:NJZ2"/>
    <mergeCell ref="NKA2:NKC2"/>
    <mergeCell ref="NRB2:NRD2"/>
    <mergeCell ref="NRE2:NRG2"/>
    <mergeCell ref="NRH2:NRJ2"/>
    <mergeCell ref="NRK2:NRM2"/>
    <mergeCell ref="NRN2:NRP2"/>
    <mergeCell ref="NRQ2:NRS2"/>
    <mergeCell ref="NQJ2:NQL2"/>
    <mergeCell ref="NQM2:NQO2"/>
    <mergeCell ref="NQP2:NQR2"/>
    <mergeCell ref="NQS2:NQU2"/>
    <mergeCell ref="NQV2:NQX2"/>
    <mergeCell ref="NQY2:NRA2"/>
    <mergeCell ref="NPR2:NPT2"/>
    <mergeCell ref="NPU2:NPW2"/>
    <mergeCell ref="NPX2:NPZ2"/>
    <mergeCell ref="NQA2:NQC2"/>
    <mergeCell ref="NQD2:NQF2"/>
    <mergeCell ref="NQG2:NQI2"/>
    <mergeCell ref="NOZ2:NPB2"/>
    <mergeCell ref="NPC2:NPE2"/>
    <mergeCell ref="NPF2:NPH2"/>
    <mergeCell ref="NPI2:NPK2"/>
    <mergeCell ref="NPL2:NPN2"/>
    <mergeCell ref="NPO2:NPQ2"/>
    <mergeCell ref="NOH2:NOJ2"/>
    <mergeCell ref="NOK2:NOM2"/>
    <mergeCell ref="NON2:NOP2"/>
    <mergeCell ref="NOQ2:NOS2"/>
    <mergeCell ref="NOT2:NOV2"/>
    <mergeCell ref="NOW2:NOY2"/>
    <mergeCell ref="NNP2:NNR2"/>
    <mergeCell ref="NNS2:NNU2"/>
    <mergeCell ref="NNV2:NNX2"/>
    <mergeCell ref="NNY2:NOA2"/>
    <mergeCell ref="NOB2:NOD2"/>
    <mergeCell ref="NOE2:NOG2"/>
    <mergeCell ref="NVF2:NVH2"/>
    <mergeCell ref="NVI2:NVK2"/>
    <mergeCell ref="NVL2:NVN2"/>
    <mergeCell ref="NVO2:NVQ2"/>
    <mergeCell ref="NVR2:NVT2"/>
    <mergeCell ref="NVU2:NVW2"/>
    <mergeCell ref="NUN2:NUP2"/>
    <mergeCell ref="NUQ2:NUS2"/>
    <mergeCell ref="NUT2:NUV2"/>
    <mergeCell ref="NUW2:NUY2"/>
    <mergeCell ref="NUZ2:NVB2"/>
    <mergeCell ref="NVC2:NVE2"/>
    <mergeCell ref="NTV2:NTX2"/>
    <mergeCell ref="NTY2:NUA2"/>
    <mergeCell ref="NUB2:NUD2"/>
    <mergeCell ref="NUE2:NUG2"/>
    <mergeCell ref="NUH2:NUJ2"/>
    <mergeCell ref="NUK2:NUM2"/>
    <mergeCell ref="NTD2:NTF2"/>
    <mergeCell ref="NTG2:NTI2"/>
    <mergeCell ref="NTJ2:NTL2"/>
    <mergeCell ref="NTM2:NTO2"/>
    <mergeCell ref="NTP2:NTR2"/>
    <mergeCell ref="NTS2:NTU2"/>
    <mergeCell ref="NSL2:NSN2"/>
    <mergeCell ref="NSO2:NSQ2"/>
    <mergeCell ref="NSR2:NST2"/>
    <mergeCell ref="NSU2:NSW2"/>
    <mergeCell ref="NSX2:NSZ2"/>
    <mergeCell ref="NTA2:NTC2"/>
    <mergeCell ref="NRT2:NRV2"/>
    <mergeCell ref="NRW2:NRY2"/>
    <mergeCell ref="NRZ2:NSB2"/>
    <mergeCell ref="NSC2:NSE2"/>
    <mergeCell ref="NSF2:NSH2"/>
    <mergeCell ref="NSI2:NSK2"/>
    <mergeCell ref="NZJ2:NZL2"/>
    <mergeCell ref="NZM2:NZO2"/>
    <mergeCell ref="NZP2:NZR2"/>
    <mergeCell ref="NZS2:NZU2"/>
    <mergeCell ref="NZV2:NZX2"/>
    <mergeCell ref="NZY2:OAA2"/>
    <mergeCell ref="NYR2:NYT2"/>
    <mergeCell ref="NYU2:NYW2"/>
    <mergeCell ref="NYX2:NYZ2"/>
    <mergeCell ref="NZA2:NZC2"/>
    <mergeCell ref="NZD2:NZF2"/>
    <mergeCell ref="NZG2:NZI2"/>
    <mergeCell ref="NXZ2:NYB2"/>
    <mergeCell ref="NYC2:NYE2"/>
    <mergeCell ref="NYF2:NYH2"/>
    <mergeCell ref="NYI2:NYK2"/>
    <mergeCell ref="NYL2:NYN2"/>
    <mergeCell ref="NYO2:NYQ2"/>
    <mergeCell ref="NXH2:NXJ2"/>
    <mergeCell ref="NXK2:NXM2"/>
    <mergeCell ref="NXN2:NXP2"/>
    <mergeCell ref="NXQ2:NXS2"/>
    <mergeCell ref="NXT2:NXV2"/>
    <mergeCell ref="NXW2:NXY2"/>
    <mergeCell ref="NWP2:NWR2"/>
    <mergeCell ref="NWS2:NWU2"/>
    <mergeCell ref="NWV2:NWX2"/>
    <mergeCell ref="NWY2:NXA2"/>
    <mergeCell ref="NXB2:NXD2"/>
    <mergeCell ref="NXE2:NXG2"/>
    <mergeCell ref="NVX2:NVZ2"/>
    <mergeCell ref="NWA2:NWC2"/>
    <mergeCell ref="NWD2:NWF2"/>
    <mergeCell ref="NWG2:NWI2"/>
    <mergeCell ref="NWJ2:NWL2"/>
    <mergeCell ref="NWM2:NWO2"/>
    <mergeCell ref="ODN2:ODP2"/>
    <mergeCell ref="ODQ2:ODS2"/>
    <mergeCell ref="ODT2:ODV2"/>
    <mergeCell ref="ODW2:ODY2"/>
    <mergeCell ref="ODZ2:OEB2"/>
    <mergeCell ref="OEC2:OEE2"/>
    <mergeCell ref="OCV2:OCX2"/>
    <mergeCell ref="OCY2:ODA2"/>
    <mergeCell ref="ODB2:ODD2"/>
    <mergeCell ref="ODE2:ODG2"/>
    <mergeCell ref="ODH2:ODJ2"/>
    <mergeCell ref="ODK2:ODM2"/>
    <mergeCell ref="OCD2:OCF2"/>
    <mergeCell ref="OCG2:OCI2"/>
    <mergeCell ref="OCJ2:OCL2"/>
    <mergeCell ref="OCM2:OCO2"/>
    <mergeCell ref="OCP2:OCR2"/>
    <mergeCell ref="OCS2:OCU2"/>
    <mergeCell ref="OBL2:OBN2"/>
    <mergeCell ref="OBO2:OBQ2"/>
    <mergeCell ref="OBR2:OBT2"/>
    <mergeCell ref="OBU2:OBW2"/>
    <mergeCell ref="OBX2:OBZ2"/>
    <mergeCell ref="OCA2:OCC2"/>
    <mergeCell ref="OAT2:OAV2"/>
    <mergeCell ref="OAW2:OAY2"/>
    <mergeCell ref="OAZ2:OBB2"/>
    <mergeCell ref="OBC2:OBE2"/>
    <mergeCell ref="OBF2:OBH2"/>
    <mergeCell ref="OBI2:OBK2"/>
    <mergeCell ref="OAB2:OAD2"/>
    <mergeCell ref="OAE2:OAG2"/>
    <mergeCell ref="OAH2:OAJ2"/>
    <mergeCell ref="OAK2:OAM2"/>
    <mergeCell ref="OAN2:OAP2"/>
    <mergeCell ref="OAQ2:OAS2"/>
    <mergeCell ref="OHR2:OHT2"/>
    <mergeCell ref="OHU2:OHW2"/>
    <mergeCell ref="OHX2:OHZ2"/>
    <mergeCell ref="OIA2:OIC2"/>
    <mergeCell ref="OID2:OIF2"/>
    <mergeCell ref="OIG2:OII2"/>
    <mergeCell ref="OGZ2:OHB2"/>
    <mergeCell ref="OHC2:OHE2"/>
    <mergeCell ref="OHF2:OHH2"/>
    <mergeCell ref="OHI2:OHK2"/>
    <mergeCell ref="OHL2:OHN2"/>
    <mergeCell ref="OHO2:OHQ2"/>
    <mergeCell ref="OGH2:OGJ2"/>
    <mergeCell ref="OGK2:OGM2"/>
    <mergeCell ref="OGN2:OGP2"/>
    <mergeCell ref="OGQ2:OGS2"/>
    <mergeCell ref="OGT2:OGV2"/>
    <mergeCell ref="OGW2:OGY2"/>
    <mergeCell ref="OFP2:OFR2"/>
    <mergeCell ref="OFS2:OFU2"/>
    <mergeCell ref="OFV2:OFX2"/>
    <mergeCell ref="OFY2:OGA2"/>
    <mergeCell ref="OGB2:OGD2"/>
    <mergeCell ref="OGE2:OGG2"/>
    <mergeCell ref="OEX2:OEZ2"/>
    <mergeCell ref="OFA2:OFC2"/>
    <mergeCell ref="OFD2:OFF2"/>
    <mergeCell ref="OFG2:OFI2"/>
    <mergeCell ref="OFJ2:OFL2"/>
    <mergeCell ref="OFM2:OFO2"/>
    <mergeCell ref="OEF2:OEH2"/>
    <mergeCell ref="OEI2:OEK2"/>
    <mergeCell ref="OEL2:OEN2"/>
    <mergeCell ref="OEO2:OEQ2"/>
    <mergeCell ref="OER2:OET2"/>
    <mergeCell ref="OEU2:OEW2"/>
    <mergeCell ref="OLV2:OLX2"/>
    <mergeCell ref="OLY2:OMA2"/>
    <mergeCell ref="OMB2:OMD2"/>
    <mergeCell ref="OME2:OMG2"/>
    <mergeCell ref="OMH2:OMJ2"/>
    <mergeCell ref="OMK2:OMM2"/>
    <mergeCell ref="OLD2:OLF2"/>
    <mergeCell ref="OLG2:OLI2"/>
    <mergeCell ref="OLJ2:OLL2"/>
    <mergeCell ref="OLM2:OLO2"/>
    <mergeCell ref="OLP2:OLR2"/>
    <mergeCell ref="OLS2:OLU2"/>
    <mergeCell ref="OKL2:OKN2"/>
    <mergeCell ref="OKO2:OKQ2"/>
    <mergeCell ref="OKR2:OKT2"/>
    <mergeCell ref="OKU2:OKW2"/>
    <mergeCell ref="OKX2:OKZ2"/>
    <mergeCell ref="OLA2:OLC2"/>
    <mergeCell ref="OJT2:OJV2"/>
    <mergeCell ref="OJW2:OJY2"/>
    <mergeCell ref="OJZ2:OKB2"/>
    <mergeCell ref="OKC2:OKE2"/>
    <mergeCell ref="OKF2:OKH2"/>
    <mergeCell ref="OKI2:OKK2"/>
    <mergeCell ref="OJB2:OJD2"/>
    <mergeCell ref="OJE2:OJG2"/>
    <mergeCell ref="OJH2:OJJ2"/>
    <mergeCell ref="OJK2:OJM2"/>
    <mergeCell ref="OJN2:OJP2"/>
    <mergeCell ref="OJQ2:OJS2"/>
    <mergeCell ref="OIJ2:OIL2"/>
    <mergeCell ref="OIM2:OIO2"/>
    <mergeCell ref="OIP2:OIR2"/>
    <mergeCell ref="OIS2:OIU2"/>
    <mergeCell ref="OIV2:OIX2"/>
    <mergeCell ref="OIY2:OJA2"/>
    <mergeCell ref="OPZ2:OQB2"/>
    <mergeCell ref="OQC2:OQE2"/>
    <mergeCell ref="OQF2:OQH2"/>
    <mergeCell ref="OQI2:OQK2"/>
    <mergeCell ref="OQL2:OQN2"/>
    <mergeCell ref="OQO2:OQQ2"/>
    <mergeCell ref="OPH2:OPJ2"/>
    <mergeCell ref="OPK2:OPM2"/>
    <mergeCell ref="OPN2:OPP2"/>
    <mergeCell ref="OPQ2:OPS2"/>
    <mergeCell ref="OPT2:OPV2"/>
    <mergeCell ref="OPW2:OPY2"/>
    <mergeCell ref="OOP2:OOR2"/>
    <mergeCell ref="OOS2:OOU2"/>
    <mergeCell ref="OOV2:OOX2"/>
    <mergeCell ref="OOY2:OPA2"/>
    <mergeCell ref="OPB2:OPD2"/>
    <mergeCell ref="OPE2:OPG2"/>
    <mergeCell ref="ONX2:ONZ2"/>
    <mergeCell ref="OOA2:OOC2"/>
    <mergeCell ref="OOD2:OOF2"/>
    <mergeCell ref="OOG2:OOI2"/>
    <mergeCell ref="OOJ2:OOL2"/>
    <mergeCell ref="OOM2:OOO2"/>
    <mergeCell ref="ONF2:ONH2"/>
    <mergeCell ref="ONI2:ONK2"/>
    <mergeCell ref="ONL2:ONN2"/>
    <mergeCell ref="ONO2:ONQ2"/>
    <mergeCell ref="ONR2:ONT2"/>
    <mergeCell ref="ONU2:ONW2"/>
    <mergeCell ref="OMN2:OMP2"/>
    <mergeCell ref="OMQ2:OMS2"/>
    <mergeCell ref="OMT2:OMV2"/>
    <mergeCell ref="OMW2:OMY2"/>
    <mergeCell ref="OMZ2:ONB2"/>
    <mergeCell ref="ONC2:ONE2"/>
    <mergeCell ref="OUD2:OUF2"/>
    <mergeCell ref="OUG2:OUI2"/>
    <mergeCell ref="OUJ2:OUL2"/>
    <mergeCell ref="OUM2:OUO2"/>
    <mergeCell ref="OUP2:OUR2"/>
    <mergeCell ref="OUS2:OUU2"/>
    <mergeCell ref="OTL2:OTN2"/>
    <mergeCell ref="OTO2:OTQ2"/>
    <mergeCell ref="OTR2:OTT2"/>
    <mergeCell ref="OTU2:OTW2"/>
    <mergeCell ref="OTX2:OTZ2"/>
    <mergeCell ref="OUA2:OUC2"/>
    <mergeCell ref="OST2:OSV2"/>
    <mergeCell ref="OSW2:OSY2"/>
    <mergeCell ref="OSZ2:OTB2"/>
    <mergeCell ref="OTC2:OTE2"/>
    <mergeCell ref="OTF2:OTH2"/>
    <mergeCell ref="OTI2:OTK2"/>
    <mergeCell ref="OSB2:OSD2"/>
    <mergeCell ref="OSE2:OSG2"/>
    <mergeCell ref="OSH2:OSJ2"/>
    <mergeCell ref="OSK2:OSM2"/>
    <mergeCell ref="OSN2:OSP2"/>
    <mergeCell ref="OSQ2:OSS2"/>
    <mergeCell ref="ORJ2:ORL2"/>
    <mergeCell ref="ORM2:ORO2"/>
    <mergeCell ref="ORP2:ORR2"/>
    <mergeCell ref="ORS2:ORU2"/>
    <mergeCell ref="ORV2:ORX2"/>
    <mergeCell ref="ORY2:OSA2"/>
    <mergeCell ref="OQR2:OQT2"/>
    <mergeCell ref="OQU2:OQW2"/>
    <mergeCell ref="OQX2:OQZ2"/>
    <mergeCell ref="ORA2:ORC2"/>
    <mergeCell ref="ORD2:ORF2"/>
    <mergeCell ref="ORG2:ORI2"/>
    <mergeCell ref="OYH2:OYJ2"/>
    <mergeCell ref="OYK2:OYM2"/>
    <mergeCell ref="OYN2:OYP2"/>
    <mergeCell ref="OYQ2:OYS2"/>
    <mergeCell ref="OYT2:OYV2"/>
    <mergeCell ref="OYW2:OYY2"/>
    <mergeCell ref="OXP2:OXR2"/>
    <mergeCell ref="OXS2:OXU2"/>
    <mergeCell ref="OXV2:OXX2"/>
    <mergeCell ref="OXY2:OYA2"/>
    <mergeCell ref="OYB2:OYD2"/>
    <mergeCell ref="OYE2:OYG2"/>
    <mergeCell ref="OWX2:OWZ2"/>
    <mergeCell ref="OXA2:OXC2"/>
    <mergeCell ref="OXD2:OXF2"/>
    <mergeCell ref="OXG2:OXI2"/>
    <mergeCell ref="OXJ2:OXL2"/>
    <mergeCell ref="OXM2:OXO2"/>
    <mergeCell ref="OWF2:OWH2"/>
    <mergeCell ref="OWI2:OWK2"/>
    <mergeCell ref="OWL2:OWN2"/>
    <mergeCell ref="OWO2:OWQ2"/>
    <mergeCell ref="OWR2:OWT2"/>
    <mergeCell ref="OWU2:OWW2"/>
    <mergeCell ref="OVN2:OVP2"/>
    <mergeCell ref="OVQ2:OVS2"/>
    <mergeCell ref="OVT2:OVV2"/>
    <mergeCell ref="OVW2:OVY2"/>
    <mergeCell ref="OVZ2:OWB2"/>
    <mergeCell ref="OWC2:OWE2"/>
    <mergeCell ref="OUV2:OUX2"/>
    <mergeCell ref="OUY2:OVA2"/>
    <mergeCell ref="OVB2:OVD2"/>
    <mergeCell ref="OVE2:OVG2"/>
    <mergeCell ref="OVH2:OVJ2"/>
    <mergeCell ref="OVK2:OVM2"/>
    <mergeCell ref="PCL2:PCN2"/>
    <mergeCell ref="PCO2:PCQ2"/>
    <mergeCell ref="PCR2:PCT2"/>
    <mergeCell ref="PCU2:PCW2"/>
    <mergeCell ref="PCX2:PCZ2"/>
    <mergeCell ref="PDA2:PDC2"/>
    <mergeCell ref="PBT2:PBV2"/>
    <mergeCell ref="PBW2:PBY2"/>
    <mergeCell ref="PBZ2:PCB2"/>
    <mergeCell ref="PCC2:PCE2"/>
    <mergeCell ref="PCF2:PCH2"/>
    <mergeCell ref="PCI2:PCK2"/>
    <mergeCell ref="PBB2:PBD2"/>
    <mergeCell ref="PBE2:PBG2"/>
    <mergeCell ref="PBH2:PBJ2"/>
    <mergeCell ref="PBK2:PBM2"/>
    <mergeCell ref="PBN2:PBP2"/>
    <mergeCell ref="PBQ2:PBS2"/>
    <mergeCell ref="PAJ2:PAL2"/>
    <mergeCell ref="PAM2:PAO2"/>
    <mergeCell ref="PAP2:PAR2"/>
    <mergeCell ref="PAS2:PAU2"/>
    <mergeCell ref="PAV2:PAX2"/>
    <mergeCell ref="PAY2:PBA2"/>
    <mergeCell ref="OZR2:OZT2"/>
    <mergeCell ref="OZU2:OZW2"/>
    <mergeCell ref="OZX2:OZZ2"/>
    <mergeCell ref="PAA2:PAC2"/>
    <mergeCell ref="PAD2:PAF2"/>
    <mergeCell ref="PAG2:PAI2"/>
    <mergeCell ref="OYZ2:OZB2"/>
    <mergeCell ref="OZC2:OZE2"/>
    <mergeCell ref="OZF2:OZH2"/>
    <mergeCell ref="OZI2:OZK2"/>
    <mergeCell ref="OZL2:OZN2"/>
    <mergeCell ref="OZO2:OZQ2"/>
    <mergeCell ref="PGP2:PGR2"/>
    <mergeCell ref="PGS2:PGU2"/>
    <mergeCell ref="PGV2:PGX2"/>
    <mergeCell ref="PGY2:PHA2"/>
    <mergeCell ref="PHB2:PHD2"/>
    <mergeCell ref="PHE2:PHG2"/>
    <mergeCell ref="PFX2:PFZ2"/>
    <mergeCell ref="PGA2:PGC2"/>
    <mergeCell ref="PGD2:PGF2"/>
    <mergeCell ref="PGG2:PGI2"/>
    <mergeCell ref="PGJ2:PGL2"/>
    <mergeCell ref="PGM2:PGO2"/>
    <mergeCell ref="PFF2:PFH2"/>
    <mergeCell ref="PFI2:PFK2"/>
    <mergeCell ref="PFL2:PFN2"/>
    <mergeCell ref="PFO2:PFQ2"/>
    <mergeCell ref="PFR2:PFT2"/>
    <mergeCell ref="PFU2:PFW2"/>
    <mergeCell ref="PEN2:PEP2"/>
    <mergeCell ref="PEQ2:PES2"/>
    <mergeCell ref="PET2:PEV2"/>
    <mergeCell ref="PEW2:PEY2"/>
    <mergeCell ref="PEZ2:PFB2"/>
    <mergeCell ref="PFC2:PFE2"/>
    <mergeCell ref="PDV2:PDX2"/>
    <mergeCell ref="PDY2:PEA2"/>
    <mergeCell ref="PEB2:PED2"/>
    <mergeCell ref="PEE2:PEG2"/>
    <mergeCell ref="PEH2:PEJ2"/>
    <mergeCell ref="PEK2:PEM2"/>
    <mergeCell ref="PDD2:PDF2"/>
    <mergeCell ref="PDG2:PDI2"/>
    <mergeCell ref="PDJ2:PDL2"/>
    <mergeCell ref="PDM2:PDO2"/>
    <mergeCell ref="PDP2:PDR2"/>
    <mergeCell ref="PDS2:PDU2"/>
    <mergeCell ref="PKT2:PKV2"/>
    <mergeCell ref="PKW2:PKY2"/>
    <mergeCell ref="PKZ2:PLB2"/>
    <mergeCell ref="PLC2:PLE2"/>
    <mergeCell ref="PLF2:PLH2"/>
    <mergeCell ref="PLI2:PLK2"/>
    <mergeCell ref="PKB2:PKD2"/>
    <mergeCell ref="PKE2:PKG2"/>
    <mergeCell ref="PKH2:PKJ2"/>
    <mergeCell ref="PKK2:PKM2"/>
    <mergeCell ref="PKN2:PKP2"/>
    <mergeCell ref="PKQ2:PKS2"/>
    <mergeCell ref="PJJ2:PJL2"/>
    <mergeCell ref="PJM2:PJO2"/>
    <mergeCell ref="PJP2:PJR2"/>
    <mergeCell ref="PJS2:PJU2"/>
    <mergeCell ref="PJV2:PJX2"/>
    <mergeCell ref="PJY2:PKA2"/>
    <mergeCell ref="PIR2:PIT2"/>
    <mergeCell ref="PIU2:PIW2"/>
    <mergeCell ref="PIX2:PIZ2"/>
    <mergeCell ref="PJA2:PJC2"/>
    <mergeCell ref="PJD2:PJF2"/>
    <mergeCell ref="PJG2:PJI2"/>
    <mergeCell ref="PHZ2:PIB2"/>
    <mergeCell ref="PIC2:PIE2"/>
    <mergeCell ref="PIF2:PIH2"/>
    <mergeCell ref="PII2:PIK2"/>
    <mergeCell ref="PIL2:PIN2"/>
    <mergeCell ref="PIO2:PIQ2"/>
    <mergeCell ref="PHH2:PHJ2"/>
    <mergeCell ref="PHK2:PHM2"/>
    <mergeCell ref="PHN2:PHP2"/>
    <mergeCell ref="PHQ2:PHS2"/>
    <mergeCell ref="PHT2:PHV2"/>
    <mergeCell ref="PHW2:PHY2"/>
    <mergeCell ref="POX2:POZ2"/>
    <mergeCell ref="PPA2:PPC2"/>
    <mergeCell ref="PPD2:PPF2"/>
    <mergeCell ref="PPG2:PPI2"/>
    <mergeCell ref="PPJ2:PPL2"/>
    <mergeCell ref="PPM2:PPO2"/>
    <mergeCell ref="POF2:POH2"/>
    <mergeCell ref="POI2:POK2"/>
    <mergeCell ref="POL2:PON2"/>
    <mergeCell ref="POO2:POQ2"/>
    <mergeCell ref="POR2:POT2"/>
    <mergeCell ref="POU2:POW2"/>
    <mergeCell ref="PNN2:PNP2"/>
    <mergeCell ref="PNQ2:PNS2"/>
    <mergeCell ref="PNT2:PNV2"/>
    <mergeCell ref="PNW2:PNY2"/>
    <mergeCell ref="PNZ2:POB2"/>
    <mergeCell ref="POC2:POE2"/>
    <mergeCell ref="PMV2:PMX2"/>
    <mergeCell ref="PMY2:PNA2"/>
    <mergeCell ref="PNB2:PND2"/>
    <mergeCell ref="PNE2:PNG2"/>
    <mergeCell ref="PNH2:PNJ2"/>
    <mergeCell ref="PNK2:PNM2"/>
    <mergeCell ref="PMD2:PMF2"/>
    <mergeCell ref="PMG2:PMI2"/>
    <mergeCell ref="PMJ2:PML2"/>
    <mergeCell ref="PMM2:PMO2"/>
    <mergeCell ref="PMP2:PMR2"/>
    <mergeCell ref="PMS2:PMU2"/>
    <mergeCell ref="PLL2:PLN2"/>
    <mergeCell ref="PLO2:PLQ2"/>
    <mergeCell ref="PLR2:PLT2"/>
    <mergeCell ref="PLU2:PLW2"/>
    <mergeCell ref="PLX2:PLZ2"/>
    <mergeCell ref="PMA2:PMC2"/>
    <mergeCell ref="PTB2:PTD2"/>
    <mergeCell ref="PTE2:PTG2"/>
    <mergeCell ref="PTH2:PTJ2"/>
    <mergeCell ref="PTK2:PTM2"/>
    <mergeCell ref="PTN2:PTP2"/>
    <mergeCell ref="PTQ2:PTS2"/>
    <mergeCell ref="PSJ2:PSL2"/>
    <mergeCell ref="PSM2:PSO2"/>
    <mergeCell ref="PSP2:PSR2"/>
    <mergeCell ref="PSS2:PSU2"/>
    <mergeCell ref="PSV2:PSX2"/>
    <mergeCell ref="PSY2:PTA2"/>
    <mergeCell ref="PRR2:PRT2"/>
    <mergeCell ref="PRU2:PRW2"/>
    <mergeCell ref="PRX2:PRZ2"/>
    <mergeCell ref="PSA2:PSC2"/>
    <mergeCell ref="PSD2:PSF2"/>
    <mergeCell ref="PSG2:PSI2"/>
    <mergeCell ref="PQZ2:PRB2"/>
    <mergeCell ref="PRC2:PRE2"/>
    <mergeCell ref="PRF2:PRH2"/>
    <mergeCell ref="PRI2:PRK2"/>
    <mergeCell ref="PRL2:PRN2"/>
    <mergeCell ref="PRO2:PRQ2"/>
    <mergeCell ref="PQH2:PQJ2"/>
    <mergeCell ref="PQK2:PQM2"/>
    <mergeCell ref="PQN2:PQP2"/>
    <mergeCell ref="PQQ2:PQS2"/>
    <mergeCell ref="PQT2:PQV2"/>
    <mergeCell ref="PQW2:PQY2"/>
    <mergeCell ref="PPP2:PPR2"/>
    <mergeCell ref="PPS2:PPU2"/>
    <mergeCell ref="PPV2:PPX2"/>
    <mergeCell ref="PPY2:PQA2"/>
    <mergeCell ref="PQB2:PQD2"/>
    <mergeCell ref="PQE2:PQG2"/>
    <mergeCell ref="PXF2:PXH2"/>
    <mergeCell ref="PXI2:PXK2"/>
    <mergeCell ref="PXL2:PXN2"/>
    <mergeCell ref="PXO2:PXQ2"/>
    <mergeCell ref="PXR2:PXT2"/>
    <mergeCell ref="PXU2:PXW2"/>
    <mergeCell ref="PWN2:PWP2"/>
    <mergeCell ref="PWQ2:PWS2"/>
    <mergeCell ref="PWT2:PWV2"/>
    <mergeCell ref="PWW2:PWY2"/>
    <mergeCell ref="PWZ2:PXB2"/>
    <mergeCell ref="PXC2:PXE2"/>
    <mergeCell ref="PVV2:PVX2"/>
    <mergeCell ref="PVY2:PWA2"/>
    <mergeCell ref="PWB2:PWD2"/>
    <mergeCell ref="PWE2:PWG2"/>
    <mergeCell ref="PWH2:PWJ2"/>
    <mergeCell ref="PWK2:PWM2"/>
    <mergeCell ref="PVD2:PVF2"/>
    <mergeCell ref="PVG2:PVI2"/>
    <mergeCell ref="PVJ2:PVL2"/>
    <mergeCell ref="PVM2:PVO2"/>
    <mergeCell ref="PVP2:PVR2"/>
    <mergeCell ref="PVS2:PVU2"/>
    <mergeCell ref="PUL2:PUN2"/>
    <mergeCell ref="PUO2:PUQ2"/>
    <mergeCell ref="PUR2:PUT2"/>
    <mergeCell ref="PUU2:PUW2"/>
    <mergeCell ref="PUX2:PUZ2"/>
    <mergeCell ref="PVA2:PVC2"/>
    <mergeCell ref="PTT2:PTV2"/>
    <mergeCell ref="PTW2:PTY2"/>
    <mergeCell ref="PTZ2:PUB2"/>
    <mergeCell ref="PUC2:PUE2"/>
    <mergeCell ref="PUF2:PUH2"/>
    <mergeCell ref="PUI2:PUK2"/>
    <mergeCell ref="QBJ2:QBL2"/>
    <mergeCell ref="QBM2:QBO2"/>
    <mergeCell ref="QBP2:QBR2"/>
    <mergeCell ref="QBS2:QBU2"/>
    <mergeCell ref="QBV2:QBX2"/>
    <mergeCell ref="QBY2:QCA2"/>
    <mergeCell ref="QAR2:QAT2"/>
    <mergeCell ref="QAU2:QAW2"/>
    <mergeCell ref="QAX2:QAZ2"/>
    <mergeCell ref="QBA2:QBC2"/>
    <mergeCell ref="QBD2:QBF2"/>
    <mergeCell ref="QBG2:QBI2"/>
    <mergeCell ref="PZZ2:QAB2"/>
    <mergeCell ref="QAC2:QAE2"/>
    <mergeCell ref="QAF2:QAH2"/>
    <mergeCell ref="QAI2:QAK2"/>
    <mergeCell ref="QAL2:QAN2"/>
    <mergeCell ref="QAO2:QAQ2"/>
    <mergeCell ref="PZH2:PZJ2"/>
    <mergeCell ref="PZK2:PZM2"/>
    <mergeCell ref="PZN2:PZP2"/>
    <mergeCell ref="PZQ2:PZS2"/>
    <mergeCell ref="PZT2:PZV2"/>
    <mergeCell ref="PZW2:PZY2"/>
    <mergeCell ref="PYP2:PYR2"/>
    <mergeCell ref="PYS2:PYU2"/>
    <mergeCell ref="PYV2:PYX2"/>
    <mergeCell ref="PYY2:PZA2"/>
    <mergeCell ref="PZB2:PZD2"/>
    <mergeCell ref="PZE2:PZG2"/>
    <mergeCell ref="PXX2:PXZ2"/>
    <mergeCell ref="PYA2:PYC2"/>
    <mergeCell ref="PYD2:PYF2"/>
    <mergeCell ref="PYG2:PYI2"/>
    <mergeCell ref="PYJ2:PYL2"/>
    <mergeCell ref="PYM2:PYO2"/>
    <mergeCell ref="QFN2:QFP2"/>
    <mergeCell ref="QFQ2:QFS2"/>
    <mergeCell ref="QFT2:QFV2"/>
    <mergeCell ref="QFW2:QFY2"/>
    <mergeCell ref="QFZ2:QGB2"/>
    <mergeCell ref="QGC2:QGE2"/>
    <mergeCell ref="QEV2:QEX2"/>
    <mergeCell ref="QEY2:QFA2"/>
    <mergeCell ref="QFB2:QFD2"/>
    <mergeCell ref="QFE2:QFG2"/>
    <mergeCell ref="QFH2:QFJ2"/>
    <mergeCell ref="QFK2:QFM2"/>
    <mergeCell ref="QED2:QEF2"/>
    <mergeCell ref="QEG2:QEI2"/>
    <mergeCell ref="QEJ2:QEL2"/>
    <mergeCell ref="QEM2:QEO2"/>
    <mergeCell ref="QEP2:QER2"/>
    <mergeCell ref="QES2:QEU2"/>
    <mergeCell ref="QDL2:QDN2"/>
    <mergeCell ref="QDO2:QDQ2"/>
    <mergeCell ref="QDR2:QDT2"/>
    <mergeCell ref="QDU2:QDW2"/>
    <mergeCell ref="QDX2:QDZ2"/>
    <mergeCell ref="QEA2:QEC2"/>
    <mergeCell ref="QCT2:QCV2"/>
    <mergeCell ref="QCW2:QCY2"/>
    <mergeCell ref="QCZ2:QDB2"/>
    <mergeCell ref="QDC2:QDE2"/>
    <mergeCell ref="QDF2:QDH2"/>
    <mergeCell ref="QDI2:QDK2"/>
    <mergeCell ref="QCB2:QCD2"/>
    <mergeCell ref="QCE2:QCG2"/>
    <mergeCell ref="QCH2:QCJ2"/>
    <mergeCell ref="QCK2:QCM2"/>
    <mergeCell ref="QCN2:QCP2"/>
    <mergeCell ref="QCQ2:QCS2"/>
    <mergeCell ref="QJR2:QJT2"/>
    <mergeCell ref="QJU2:QJW2"/>
    <mergeCell ref="QJX2:QJZ2"/>
    <mergeCell ref="QKA2:QKC2"/>
    <mergeCell ref="QKD2:QKF2"/>
    <mergeCell ref="QKG2:QKI2"/>
    <mergeCell ref="QIZ2:QJB2"/>
    <mergeCell ref="QJC2:QJE2"/>
    <mergeCell ref="QJF2:QJH2"/>
    <mergeCell ref="QJI2:QJK2"/>
    <mergeCell ref="QJL2:QJN2"/>
    <mergeCell ref="QJO2:QJQ2"/>
    <mergeCell ref="QIH2:QIJ2"/>
    <mergeCell ref="QIK2:QIM2"/>
    <mergeCell ref="QIN2:QIP2"/>
    <mergeCell ref="QIQ2:QIS2"/>
    <mergeCell ref="QIT2:QIV2"/>
    <mergeCell ref="QIW2:QIY2"/>
    <mergeCell ref="QHP2:QHR2"/>
    <mergeCell ref="QHS2:QHU2"/>
    <mergeCell ref="QHV2:QHX2"/>
    <mergeCell ref="QHY2:QIA2"/>
    <mergeCell ref="QIB2:QID2"/>
    <mergeCell ref="QIE2:QIG2"/>
    <mergeCell ref="QGX2:QGZ2"/>
    <mergeCell ref="QHA2:QHC2"/>
    <mergeCell ref="QHD2:QHF2"/>
    <mergeCell ref="QHG2:QHI2"/>
    <mergeCell ref="QHJ2:QHL2"/>
    <mergeCell ref="QHM2:QHO2"/>
    <mergeCell ref="QGF2:QGH2"/>
    <mergeCell ref="QGI2:QGK2"/>
    <mergeCell ref="QGL2:QGN2"/>
    <mergeCell ref="QGO2:QGQ2"/>
    <mergeCell ref="QGR2:QGT2"/>
    <mergeCell ref="QGU2:QGW2"/>
    <mergeCell ref="QNV2:QNX2"/>
    <mergeCell ref="QNY2:QOA2"/>
    <mergeCell ref="QOB2:QOD2"/>
    <mergeCell ref="QOE2:QOG2"/>
    <mergeCell ref="QOH2:QOJ2"/>
    <mergeCell ref="QOK2:QOM2"/>
    <mergeCell ref="QND2:QNF2"/>
    <mergeCell ref="QNG2:QNI2"/>
    <mergeCell ref="QNJ2:QNL2"/>
    <mergeCell ref="QNM2:QNO2"/>
    <mergeCell ref="QNP2:QNR2"/>
    <mergeCell ref="QNS2:QNU2"/>
    <mergeCell ref="QML2:QMN2"/>
    <mergeCell ref="QMO2:QMQ2"/>
    <mergeCell ref="QMR2:QMT2"/>
    <mergeCell ref="QMU2:QMW2"/>
    <mergeCell ref="QMX2:QMZ2"/>
    <mergeCell ref="QNA2:QNC2"/>
    <mergeCell ref="QLT2:QLV2"/>
    <mergeCell ref="QLW2:QLY2"/>
    <mergeCell ref="QLZ2:QMB2"/>
    <mergeCell ref="QMC2:QME2"/>
    <mergeCell ref="QMF2:QMH2"/>
    <mergeCell ref="QMI2:QMK2"/>
    <mergeCell ref="QLB2:QLD2"/>
    <mergeCell ref="QLE2:QLG2"/>
    <mergeCell ref="QLH2:QLJ2"/>
    <mergeCell ref="QLK2:QLM2"/>
    <mergeCell ref="QLN2:QLP2"/>
    <mergeCell ref="QLQ2:QLS2"/>
    <mergeCell ref="QKJ2:QKL2"/>
    <mergeCell ref="QKM2:QKO2"/>
    <mergeCell ref="QKP2:QKR2"/>
    <mergeCell ref="QKS2:QKU2"/>
    <mergeCell ref="QKV2:QKX2"/>
    <mergeCell ref="QKY2:QLA2"/>
    <mergeCell ref="QRZ2:QSB2"/>
    <mergeCell ref="QSC2:QSE2"/>
    <mergeCell ref="QSF2:QSH2"/>
    <mergeCell ref="QSI2:QSK2"/>
    <mergeCell ref="QSL2:QSN2"/>
    <mergeCell ref="QSO2:QSQ2"/>
    <mergeCell ref="QRH2:QRJ2"/>
    <mergeCell ref="QRK2:QRM2"/>
    <mergeCell ref="QRN2:QRP2"/>
    <mergeCell ref="QRQ2:QRS2"/>
    <mergeCell ref="QRT2:QRV2"/>
    <mergeCell ref="QRW2:QRY2"/>
    <mergeCell ref="QQP2:QQR2"/>
    <mergeCell ref="QQS2:QQU2"/>
    <mergeCell ref="QQV2:QQX2"/>
    <mergeCell ref="QQY2:QRA2"/>
    <mergeCell ref="QRB2:QRD2"/>
    <mergeCell ref="QRE2:QRG2"/>
    <mergeCell ref="QPX2:QPZ2"/>
    <mergeCell ref="QQA2:QQC2"/>
    <mergeCell ref="QQD2:QQF2"/>
    <mergeCell ref="QQG2:QQI2"/>
    <mergeCell ref="QQJ2:QQL2"/>
    <mergeCell ref="QQM2:QQO2"/>
    <mergeCell ref="QPF2:QPH2"/>
    <mergeCell ref="QPI2:QPK2"/>
    <mergeCell ref="QPL2:QPN2"/>
    <mergeCell ref="QPO2:QPQ2"/>
    <mergeCell ref="QPR2:QPT2"/>
    <mergeCell ref="QPU2:QPW2"/>
    <mergeCell ref="QON2:QOP2"/>
    <mergeCell ref="QOQ2:QOS2"/>
    <mergeCell ref="QOT2:QOV2"/>
    <mergeCell ref="QOW2:QOY2"/>
    <mergeCell ref="QOZ2:QPB2"/>
    <mergeCell ref="QPC2:QPE2"/>
    <mergeCell ref="QWD2:QWF2"/>
    <mergeCell ref="QWG2:QWI2"/>
    <mergeCell ref="QWJ2:QWL2"/>
    <mergeCell ref="QWM2:QWO2"/>
    <mergeCell ref="QWP2:QWR2"/>
    <mergeCell ref="QWS2:QWU2"/>
    <mergeCell ref="QVL2:QVN2"/>
    <mergeCell ref="QVO2:QVQ2"/>
    <mergeCell ref="QVR2:QVT2"/>
    <mergeCell ref="QVU2:QVW2"/>
    <mergeCell ref="QVX2:QVZ2"/>
    <mergeCell ref="QWA2:QWC2"/>
    <mergeCell ref="QUT2:QUV2"/>
    <mergeCell ref="QUW2:QUY2"/>
    <mergeCell ref="QUZ2:QVB2"/>
    <mergeCell ref="QVC2:QVE2"/>
    <mergeCell ref="QVF2:QVH2"/>
    <mergeCell ref="QVI2:QVK2"/>
    <mergeCell ref="QUB2:QUD2"/>
    <mergeCell ref="QUE2:QUG2"/>
    <mergeCell ref="QUH2:QUJ2"/>
    <mergeCell ref="QUK2:QUM2"/>
    <mergeCell ref="QUN2:QUP2"/>
    <mergeCell ref="QUQ2:QUS2"/>
    <mergeCell ref="QTJ2:QTL2"/>
    <mergeCell ref="QTM2:QTO2"/>
    <mergeCell ref="QTP2:QTR2"/>
    <mergeCell ref="QTS2:QTU2"/>
    <mergeCell ref="QTV2:QTX2"/>
    <mergeCell ref="QTY2:QUA2"/>
    <mergeCell ref="QSR2:QST2"/>
    <mergeCell ref="QSU2:QSW2"/>
    <mergeCell ref="QSX2:QSZ2"/>
    <mergeCell ref="QTA2:QTC2"/>
    <mergeCell ref="QTD2:QTF2"/>
    <mergeCell ref="QTG2:QTI2"/>
    <mergeCell ref="RAH2:RAJ2"/>
    <mergeCell ref="RAK2:RAM2"/>
    <mergeCell ref="RAN2:RAP2"/>
    <mergeCell ref="RAQ2:RAS2"/>
    <mergeCell ref="RAT2:RAV2"/>
    <mergeCell ref="RAW2:RAY2"/>
    <mergeCell ref="QZP2:QZR2"/>
    <mergeCell ref="QZS2:QZU2"/>
    <mergeCell ref="QZV2:QZX2"/>
    <mergeCell ref="QZY2:RAA2"/>
    <mergeCell ref="RAB2:RAD2"/>
    <mergeCell ref="RAE2:RAG2"/>
    <mergeCell ref="QYX2:QYZ2"/>
    <mergeCell ref="QZA2:QZC2"/>
    <mergeCell ref="QZD2:QZF2"/>
    <mergeCell ref="QZG2:QZI2"/>
    <mergeCell ref="QZJ2:QZL2"/>
    <mergeCell ref="QZM2:QZO2"/>
    <mergeCell ref="QYF2:QYH2"/>
    <mergeCell ref="QYI2:QYK2"/>
    <mergeCell ref="QYL2:QYN2"/>
    <mergeCell ref="QYO2:QYQ2"/>
    <mergeCell ref="QYR2:QYT2"/>
    <mergeCell ref="QYU2:QYW2"/>
    <mergeCell ref="QXN2:QXP2"/>
    <mergeCell ref="QXQ2:QXS2"/>
    <mergeCell ref="QXT2:QXV2"/>
    <mergeCell ref="QXW2:QXY2"/>
    <mergeCell ref="QXZ2:QYB2"/>
    <mergeCell ref="QYC2:QYE2"/>
    <mergeCell ref="QWV2:QWX2"/>
    <mergeCell ref="QWY2:QXA2"/>
    <mergeCell ref="QXB2:QXD2"/>
    <mergeCell ref="QXE2:QXG2"/>
    <mergeCell ref="QXH2:QXJ2"/>
    <mergeCell ref="QXK2:QXM2"/>
    <mergeCell ref="REL2:REN2"/>
    <mergeCell ref="REO2:REQ2"/>
    <mergeCell ref="RER2:RET2"/>
    <mergeCell ref="REU2:REW2"/>
    <mergeCell ref="REX2:REZ2"/>
    <mergeCell ref="RFA2:RFC2"/>
    <mergeCell ref="RDT2:RDV2"/>
    <mergeCell ref="RDW2:RDY2"/>
    <mergeCell ref="RDZ2:REB2"/>
    <mergeCell ref="REC2:REE2"/>
    <mergeCell ref="REF2:REH2"/>
    <mergeCell ref="REI2:REK2"/>
    <mergeCell ref="RDB2:RDD2"/>
    <mergeCell ref="RDE2:RDG2"/>
    <mergeCell ref="RDH2:RDJ2"/>
    <mergeCell ref="RDK2:RDM2"/>
    <mergeCell ref="RDN2:RDP2"/>
    <mergeCell ref="RDQ2:RDS2"/>
    <mergeCell ref="RCJ2:RCL2"/>
    <mergeCell ref="RCM2:RCO2"/>
    <mergeCell ref="RCP2:RCR2"/>
    <mergeCell ref="RCS2:RCU2"/>
    <mergeCell ref="RCV2:RCX2"/>
    <mergeCell ref="RCY2:RDA2"/>
    <mergeCell ref="RBR2:RBT2"/>
    <mergeCell ref="RBU2:RBW2"/>
    <mergeCell ref="RBX2:RBZ2"/>
    <mergeCell ref="RCA2:RCC2"/>
    <mergeCell ref="RCD2:RCF2"/>
    <mergeCell ref="RCG2:RCI2"/>
    <mergeCell ref="RAZ2:RBB2"/>
    <mergeCell ref="RBC2:RBE2"/>
    <mergeCell ref="RBF2:RBH2"/>
    <mergeCell ref="RBI2:RBK2"/>
    <mergeCell ref="RBL2:RBN2"/>
    <mergeCell ref="RBO2:RBQ2"/>
    <mergeCell ref="RIP2:RIR2"/>
    <mergeCell ref="RIS2:RIU2"/>
    <mergeCell ref="RIV2:RIX2"/>
    <mergeCell ref="RIY2:RJA2"/>
    <mergeCell ref="RJB2:RJD2"/>
    <mergeCell ref="RJE2:RJG2"/>
    <mergeCell ref="RHX2:RHZ2"/>
    <mergeCell ref="RIA2:RIC2"/>
    <mergeCell ref="RID2:RIF2"/>
    <mergeCell ref="RIG2:RII2"/>
    <mergeCell ref="RIJ2:RIL2"/>
    <mergeCell ref="RIM2:RIO2"/>
    <mergeCell ref="RHF2:RHH2"/>
    <mergeCell ref="RHI2:RHK2"/>
    <mergeCell ref="RHL2:RHN2"/>
    <mergeCell ref="RHO2:RHQ2"/>
    <mergeCell ref="RHR2:RHT2"/>
    <mergeCell ref="RHU2:RHW2"/>
    <mergeCell ref="RGN2:RGP2"/>
    <mergeCell ref="RGQ2:RGS2"/>
    <mergeCell ref="RGT2:RGV2"/>
    <mergeCell ref="RGW2:RGY2"/>
    <mergeCell ref="RGZ2:RHB2"/>
    <mergeCell ref="RHC2:RHE2"/>
    <mergeCell ref="RFV2:RFX2"/>
    <mergeCell ref="RFY2:RGA2"/>
    <mergeCell ref="RGB2:RGD2"/>
    <mergeCell ref="RGE2:RGG2"/>
    <mergeCell ref="RGH2:RGJ2"/>
    <mergeCell ref="RGK2:RGM2"/>
    <mergeCell ref="RFD2:RFF2"/>
    <mergeCell ref="RFG2:RFI2"/>
    <mergeCell ref="RFJ2:RFL2"/>
    <mergeCell ref="RFM2:RFO2"/>
    <mergeCell ref="RFP2:RFR2"/>
    <mergeCell ref="RFS2:RFU2"/>
    <mergeCell ref="RMT2:RMV2"/>
    <mergeCell ref="RMW2:RMY2"/>
    <mergeCell ref="RMZ2:RNB2"/>
    <mergeCell ref="RNC2:RNE2"/>
    <mergeCell ref="RNF2:RNH2"/>
    <mergeCell ref="RNI2:RNK2"/>
    <mergeCell ref="RMB2:RMD2"/>
    <mergeCell ref="RME2:RMG2"/>
    <mergeCell ref="RMH2:RMJ2"/>
    <mergeCell ref="RMK2:RMM2"/>
    <mergeCell ref="RMN2:RMP2"/>
    <mergeCell ref="RMQ2:RMS2"/>
    <mergeCell ref="RLJ2:RLL2"/>
    <mergeCell ref="RLM2:RLO2"/>
    <mergeCell ref="RLP2:RLR2"/>
    <mergeCell ref="RLS2:RLU2"/>
    <mergeCell ref="RLV2:RLX2"/>
    <mergeCell ref="RLY2:RMA2"/>
    <mergeCell ref="RKR2:RKT2"/>
    <mergeCell ref="RKU2:RKW2"/>
    <mergeCell ref="RKX2:RKZ2"/>
    <mergeCell ref="RLA2:RLC2"/>
    <mergeCell ref="RLD2:RLF2"/>
    <mergeCell ref="RLG2:RLI2"/>
    <mergeCell ref="RJZ2:RKB2"/>
    <mergeCell ref="RKC2:RKE2"/>
    <mergeCell ref="RKF2:RKH2"/>
    <mergeCell ref="RKI2:RKK2"/>
    <mergeCell ref="RKL2:RKN2"/>
    <mergeCell ref="RKO2:RKQ2"/>
    <mergeCell ref="RJH2:RJJ2"/>
    <mergeCell ref="RJK2:RJM2"/>
    <mergeCell ref="RJN2:RJP2"/>
    <mergeCell ref="RJQ2:RJS2"/>
    <mergeCell ref="RJT2:RJV2"/>
    <mergeCell ref="RJW2:RJY2"/>
    <mergeCell ref="RQX2:RQZ2"/>
    <mergeCell ref="RRA2:RRC2"/>
    <mergeCell ref="RRD2:RRF2"/>
    <mergeCell ref="RRG2:RRI2"/>
    <mergeCell ref="RRJ2:RRL2"/>
    <mergeCell ref="RRM2:RRO2"/>
    <mergeCell ref="RQF2:RQH2"/>
    <mergeCell ref="RQI2:RQK2"/>
    <mergeCell ref="RQL2:RQN2"/>
    <mergeCell ref="RQO2:RQQ2"/>
    <mergeCell ref="RQR2:RQT2"/>
    <mergeCell ref="RQU2:RQW2"/>
    <mergeCell ref="RPN2:RPP2"/>
    <mergeCell ref="RPQ2:RPS2"/>
    <mergeCell ref="RPT2:RPV2"/>
    <mergeCell ref="RPW2:RPY2"/>
    <mergeCell ref="RPZ2:RQB2"/>
    <mergeCell ref="RQC2:RQE2"/>
    <mergeCell ref="ROV2:ROX2"/>
    <mergeCell ref="ROY2:RPA2"/>
    <mergeCell ref="RPB2:RPD2"/>
    <mergeCell ref="RPE2:RPG2"/>
    <mergeCell ref="RPH2:RPJ2"/>
    <mergeCell ref="RPK2:RPM2"/>
    <mergeCell ref="ROD2:ROF2"/>
    <mergeCell ref="ROG2:ROI2"/>
    <mergeCell ref="ROJ2:ROL2"/>
    <mergeCell ref="ROM2:ROO2"/>
    <mergeCell ref="ROP2:ROR2"/>
    <mergeCell ref="ROS2:ROU2"/>
    <mergeCell ref="RNL2:RNN2"/>
    <mergeCell ref="RNO2:RNQ2"/>
    <mergeCell ref="RNR2:RNT2"/>
    <mergeCell ref="RNU2:RNW2"/>
    <mergeCell ref="RNX2:RNZ2"/>
    <mergeCell ref="ROA2:ROC2"/>
    <mergeCell ref="RVB2:RVD2"/>
    <mergeCell ref="RVE2:RVG2"/>
    <mergeCell ref="RVH2:RVJ2"/>
    <mergeCell ref="RVK2:RVM2"/>
    <mergeCell ref="RVN2:RVP2"/>
    <mergeCell ref="RVQ2:RVS2"/>
    <mergeCell ref="RUJ2:RUL2"/>
    <mergeCell ref="RUM2:RUO2"/>
    <mergeCell ref="RUP2:RUR2"/>
    <mergeCell ref="RUS2:RUU2"/>
    <mergeCell ref="RUV2:RUX2"/>
    <mergeCell ref="RUY2:RVA2"/>
    <mergeCell ref="RTR2:RTT2"/>
    <mergeCell ref="RTU2:RTW2"/>
    <mergeCell ref="RTX2:RTZ2"/>
    <mergeCell ref="RUA2:RUC2"/>
    <mergeCell ref="RUD2:RUF2"/>
    <mergeCell ref="RUG2:RUI2"/>
    <mergeCell ref="RSZ2:RTB2"/>
    <mergeCell ref="RTC2:RTE2"/>
    <mergeCell ref="RTF2:RTH2"/>
    <mergeCell ref="RTI2:RTK2"/>
    <mergeCell ref="RTL2:RTN2"/>
    <mergeCell ref="RTO2:RTQ2"/>
    <mergeCell ref="RSH2:RSJ2"/>
    <mergeCell ref="RSK2:RSM2"/>
    <mergeCell ref="RSN2:RSP2"/>
    <mergeCell ref="RSQ2:RSS2"/>
    <mergeCell ref="RST2:RSV2"/>
    <mergeCell ref="RSW2:RSY2"/>
    <mergeCell ref="RRP2:RRR2"/>
    <mergeCell ref="RRS2:RRU2"/>
    <mergeCell ref="RRV2:RRX2"/>
    <mergeCell ref="RRY2:RSA2"/>
    <mergeCell ref="RSB2:RSD2"/>
    <mergeCell ref="RSE2:RSG2"/>
    <mergeCell ref="RZF2:RZH2"/>
    <mergeCell ref="RZI2:RZK2"/>
    <mergeCell ref="RZL2:RZN2"/>
    <mergeCell ref="RZO2:RZQ2"/>
    <mergeCell ref="RZR2:RZT2"/>
    <mergeCell ref="RZU2:RZW2"/>
    <mergeCell ref="RYN2:RYP2"/>
    <mergeCell ref="RYQ2:RYS2"/>
    <mergeCell ref="RYT2:RYV2"/>
    <mergeCell ref="RYW2:RYY2"/>
    <mergeCell ref="RYZ2:RZB2"/>
    <mergeCell ref="RZC2:RZE2"/>
    <mergeCell ref="RXV2:RXX2"/>
    <mergeCell ref="RXY2:RYA2"/>
    <mergeCell ref="RYB2:RYD2"/>
    <mergeCell ref="RYE2:RYG2"/>
    <mergeCell ref="RYH2:RYJ2"/>
    <mergeCell ref="RYK2:RYM2"/>
    <mergeCell ref="RXD2:RXF2"/>
    <mergeCell ref="RXG2:RXI2"/>
    <mergeCell ref="RXJ2:RXL2"/>
    <mergeCell ref="RXM2:RXO2"/>
    <mergeCell ref="RXP2:RXR2"/>
    <mergeCell ref="RXS2:RXU2"/>
    <mergeCell ref="RWL2:RWN2"/>
    <mergeCell ref="RWO2:RWQ2"/>
    <mergeCell ref="RWR2:RWT2"/>
    <mergeCell ref="RWU2:RWW2"/>
    <mergeCell ref="RWX2:RWZ2"/>
    <mergeCell ref="RXA2:RXC2"/>
    <mergeCell ref="RVT2:RVV2"/>
    <mergeCell ref="RVW2:RVY2"/>
    <mergeCell ref="RVZ2:RWB2"/>
    <mergeCell ref="RWC2:RWE2"/>
    <mergeCell ref="RWF2:RWH2"/>
    <mergeCell ref="RWI2:RWK2"/>
    <mergeCell ref="SDJ2:SDL2"/>
    <mergeCell ref="SDM2:SDO2"/>
    <mergeCell ref="SDP2:SDR2"/>
    <mergeCell ref="SDS2:SDU2"/>
    <mergeCell ref="SDV2:SDX2"/>
    <mergeCell ref="SDY2:SEA2"/>
    <mergeCell ref="SCR2:SCT2"/>
    <mergeCell ref="SCU2:SCW2"/>
    <mergeCell ref="SCX2:SCZ2"/>
    <mergeCell ref="SDA2:SDC2"/>
    <mergeCell ref="SDD2:SDF2"/>
    <mergeCell ref="SDG2:SDI2"/>
    <mergeCell ref="SBZ2:SCB2"/>
    <mergeCell ref="SCC2:SCE2"/>
    <mergeCell ref="SCF2:SCH2"/>
    <mergeCell ref="SCI2:SCK2"/>
    <mergeCell ref="SCL2:SCN2"/>
    <mergeCell ref="SCO2:SCQ2"/>
    <mergeCell ref="SBH2:SBJ2"/>
    <mergeCell ref="SBK2:SBM2"/>
    <mergeCell ref="SBN2:SBP2"/>
    <mergeCell ref="SBQ2:SBS2"/>
    <mergeCell ref="SBT2:SBV2"/>
    <mergeCell ref="SBW2:SBY2"/>
    <mergeCell ref="SAP2:SAR2"/>
    <mergeCell ref="SAS2:SAU2"/>
    <mergeCell ref="SAV2:SAX2"/>
    <mergeCell ref="SAY2:SBA2"/>
    <mergeCell ref="SBB2:SBD2"/>
    <mergeCell ref="SBE2:SBG2"/>
    <mergeCell ref="RZX2:RZZ2"/>
    <mergeCell ref="SAA2:SAC2"/>
    <mergeCell ref="SAD2:SAF2"/>
    <mergeCell ref="SAG2:SAI2"/>
    <mergeCell ref="SAJ2:SAL2"/>
    <mergeCell ref="SAM2:SAO2"/>
    <mergeCell ref="SHN2:SHP2"/>
    <mergeCell ref="SHQ2:SHS2"/>
    <mergeCell ref="SHT2:SHV2"/>
    <mergeCell ref="SHW2:SHY2"/>
    <mergeCell ref="SHZ2:SIB2"/>
    <mergeCell ref="SIC2:SIE2"/>
    <mergeCell ref="SGV2:SGX2"/>
    <mergeCell ref="SGY2:SHA2"/>
    <mergeCell ref="SHB2:SHD2"/>
    <mergeCell ref="SHE2:SHG2"/>
    <mergeCell ref="SHH2:SHJ2"/>
    <mergeCell ref="SHK2:SHM2"/>
    <mergeCell ref="SGD2:SGF2"/>
    <mergeCell ref="SGG2:SGI2"/>
    <mergeCell ref="SGJ2:SGL2"/>
    <mergeCell ref="SGM2:SGO2"/>
    <mergeCell ref="SGP2:SGR2"/>
    <mergeCell ref="SGS2:SGU2"/>
    <mergeCell ref="SFL2:SFN2"/>
    <mergeCell ref="SFO2:SFQ2"/>
    <mergeCell ref="SFR2:SFT2"/>
    <mergeCell ref="SFU2:SFW2"/>
    <mergeCell ref="SFX2:SFZ2"/>
    <mergeCell ref="SGA2:SGC2"/>
    <mergeCell ref="SET2:SEV2"/>
    <mergeCell ref="SEW2:SEY2"/>
    <mergeCell ref="SEZ2:SFB2"/>
    <mergeCell ref="SFC2:SFE2"/>
    <mergeCell ref="SFF2:SFH2"/>
    <mergeCell ref="SFI2:SFK2"/>
    <mergeCell ref="SEB2:SED2"/>
    <mergeCell ref="SEE2:SEG2"/>
    <mergeCell ref="SEH2:SEJ2"/>
    <mergeCell ref="SEK2:SEM2"/>
    <mergeCell ref="SEN2:SEP2"/>
    <mergeCell ref="SEQ2:SES2"/>
    <mergeCell ref="SLR2:SLT2"/>
    <mergeCell ref="SLU2:SLW2"/>
    <mergeCell ref="SLX2:SLZ2"/>
    <mergeCell ref="SMA2:SMC2"/>
    <mergeCell ref="SMD2:SMF2"/>
    <mergeCell ref="SMG2:SMI2"/>
    <mergeCell ref="SKZ2:SLB2"/>
    <mergeCell ref="SLC2:SLE2"/>
    <mergeCell ref="SLF2:SLH2"/>
    <mergeCell ref="SLI2:SLK2"/>
    <mergeCell ref="SLL2:SLN2"/>
    <mergeCell ref="SLO2:SLQ2"/>
    <mergeCell ref="SKH2:SKJ2"/>
    <mergeCell ref="SKK2:SKM2"/>
    <mergeCell ref="SKN2:SKP2"/>
    <mergeCell ref="SKQ2:SKS2"/>
    <mergeCell ref="SKT2:SKV2"/>
    <mergeCell ref="SKW2:SKY2"/>
    <mergeCell ref="SJP2:SJR2"/>
    <mergeCell ref="SJS2:SJU2"/>
    <mergeCell ref="SJV2:SJX2"/>
    <mergeCell ref="SJY2:SKA2"/>
    <mergeCell ref="SKB2:SKD2"/>
    <mergeCell ref="SKE2:SKG2"/>
    <mergeCell ref="SIX2:SIZ2"/>
    <mergeCell ref="SJA2:SJC2"/>
    <mergeCell ref="SJD2:SJF2"/>
    <mergeCell ref="SJG2:SJI2"/>
    <mergeCell ref="SJJ2:SJL2"/>
    <mergeCell ref="SJM2:SJO2"/>
    <mergeCell ref="SIF2:SIH2"/>
    <mergeCell ref="SII2:SIK2"/>
    <mergeCell ref="SIL2:SIN2"/>
    <mergeCell ref="SIO2:SIQ2"/>
    <mergeCell ref="SIR2:SIT2"/>
    <mergeCell ref="SIU2:SIW2"/>
    <mergeCell ref="SPV2:SPX2"/>
    <mergeCell ref="SPY2:SQA2"/>
    <mergeCell ref="SQB2:SQD2"/>
    <mergeCell ref="SQE2:SQG2"/>
    <mergeCell ref="SQH2:SQJ2"/>
    <mergeCell ref="SQK2:SQM2"/>
    <mergeCell ref="SPD2:SPF2"/>
    <mergeCell ref="SPG2:SPI2"/>
    <mergeCell ref="SPJ2:SPL2"/>
    <mergeCell ref="SPM2:SPO2"/>
    <mergeCell ref="SPP2:SPR2"/>
    <mergeCell ref="SPS2:SPU2"/>
    <mergeCell ref="SOL2:SON2"/>
    <mergeCell ref="SOO2:SOQ2"/>
    <mergeCell ref="SOR2:SOT2"/>
    <mergeCell ref="SOU2:SOW2"/>
    <mergeCell ref="SOX2:SOZ2"/>
    <mergeCell ref="SPA2:SPC2"/>
    <mergeCell ref="SNT2:SNV2"/>
    <mergeCell ref="SNW2:SNY2"/>
    <mergeCell ref="SNZ2:SOB2"/>
    <mergeCell ref="SOC2:SOE2"/>
    <mergeCell ref="SOF2:SOH2"/>
    <mergeCell ref="SOI2:SOK2"/>
    <mergeCell ref="SNB2:SND2"/>
    <mergeCell ref="SNE2:SNG2"/>
    <mergeCell ref="SNH2:SNJ2"/>
    <mergeCell ref="SNK2:SNM2"/>
    <mergeCell ref="SNN2:SNP2"/>
    <mergeCell ref="SNQ2:SNS2"/>
    <mergeCell ref="SMJ2:SML2"/>
    <mergeCell ref="SMM2:SMO2"/>
    <mergeCell ref="SMP2:SMR2"/>
    <mergeCell ref="SMS2:SMU2"/>
    <mergeCell ref="SMV2:SMX2"/>
    <mergeCell ref="SMY2:SNA2"/>
    <mergeCell ref="STZ2:SUB2"/>
    <mergeCell ref="SUC2:SUE2"/>
    <mergeCell ref="SUF2:SUH2"/>
    <mergeCell ref="SUI2:SUK2"/>
    <mergeCell ref="SUL2:SUN2"/>
    <mergeCell ref="SUO2:SUQ2"/>
    <mergeCell ref="STH2:STJ2"/>
    <mergeCell ref="STK2:STM2"/>
    <mergeCell ref="STN2:STP2"/>
    <mergeCell ref="STQ2:STS2"/>
    <mergeCell ref="STT2:STV2"/>
    <mergeCell ref="STW2:STY2"/>
    <mergeCell ref="SSP2:SSR2"/>
    <mergeCell ref="SSS2:SSU2"/>
    <mergeCell ref="SSV2:SSX2"/>
    <mergeCell ref="SSY2:STA2"/>
    <mergeCell ref="STB2:STD2"/>
    <mergeCell ref="STE2:STG2"/>
    <mergeCell ref="SRX2:SRZ2"/>
    <mergeCell ref="SSA2:SSC2"/>
    <mergeCell ref="SSD2:SSF2"/>
    <mergeCell ref="SSG2:SSI2"/>
    <mergeCell ref="SSJ2:SSL2"/>
    <mergeCell ref="SSM2:SSO2"/>
    <mergeCell ref="SRF2:SRH2"/>
    <mergeCell ref="SRI2:SRK2"/>
    <mergeCell ref="SRL2:SRN2"/>
    <mergeCell ref="SRO2:SRQ2"/>
    <mergeCell ref="SRR2:SRT2"/>
    <mergeCell ref="SRU2:SRW2"/>
    <mergeCell ref="SQN2:SQP2"/>
    <mergeCell ref="SQQ2:SQS2"/>
    <mergeCell ref="SQT2:SQV2"/>
    <mergeCell ref="SQW2:SQY2"/>
    <mergeCell ref="SQZ2:SRB2"/>
    <mergeCell ref="SRC2:SRE2"/>
    <mergeCell ref="SYD2:SYF2"/>
    <mergeCell ref="SYG2:SYI2"/>
    <mergeCell ref="SYJ2:SYL2"/>
    <mergeCell ref="SYM2:SYO2"/>
    <mergeCell ref="SYP2:SYR2"/>
    <mergeCell ref="SYS2:SYU2"/>
    <mergeCell ref="SXL2:SXN2"/>
    <mergeCell ref="SXO2:SXQ2"/>
    <mergeCell ref="SXR2:SXT2"/>
    <mergeCell ref="SXU2:SXW2"/>
    <mergeCell ref="SXX2:SXZ2"/>
    <mergeCell ref="SYA2:SYC2"/>
    <mergeCell ref="SWT2:SWV2"/>
    <mergeCell ref="SWW2:SWY2"/>
    <mergeCell ref="SWZ2:SXB2"/>
    <mergeCell ref="SXC2:SXE2"/>
    <mergeCell ref="SXF2:SXH2"/>
    <mergeCell ref="SXI2:SXK2"/>
    <mergeCell ref="SWB2:SWD2"/>
    <mergeCell ref="SWE2:SWG2"/>
    <mergeCell ref="SWH2:SWJ2"/>
    <mergeCell ref="SWK2:SWM2"/>
    <mergeCell ref="SWN2:SWP2"/>
    <mergeCell ref="SWQ2:SWS2"/>
    <mergeCell ref="SVJ2:SVL2"/>
    <mergeCell ref="SVM2:SVO2"/>
    <mergeCell ref="SVP2:SVR2"/>
    <mergeCell ref="SVS2:SVU2"/>
    <mergeCell ref="SVV2:SVX2"/>
    <mergeCell ref="SVY2:SWA2"/>
    <mergeCell ref="SUR2:SUT2"/>
    <mergeCell ref="SUU2:SUW2"/>
    <mergeCell ref="SUX2:SUZ2"/>
    <mergeCell ref="SVA2:SVC2"/>
    <mergeCell ref="SVD2:SVF2"/>
    <mergeCell ref="SVG2:SVI2"/>
    <mergeCell ref="TCH2:TCJ2"/>
    <mergeCell ref="TCK2:TCM2"/>
    <mergeCell ref="TCN2:TCP2"/>
    <mergeCell ref="TCQ2:TCS2"/>
    <mergeCell ref="TCT2:TCV2"/>
    <mergeCell ref="TCW2:TCY2"/>
    <mergeCell ref="TBP2:TBR2"/>
    <mergeCell ref="TBS2:TBU2"/>
    <mergeCell ref="TBV2:TBX2"/>
    <mergeCell ref="TBY2:TCA2"/>
    <mergeCell ref="TCB2:TCD2"/>
    <mergeCell ref="TCE2:TCG2"/>
    <mergeCell ref="TAX2:TAZ2"/>
    <mergeCell ref="TBA2:TBC2"/>
    <mergeCell ref="TBD2:TBF2"/>
    <mergeCell ref="TBG2:TBI2"/>
    <mergeCell ref="TBJ2:TBL2"/>
    <mergeCell ref="TBM2:TBO2"/>
    <mergeCell ref="TAF2:TAH2"/>
    <mergeCell ref="TAI2:TAK2"/>
    <mergeCell ref="TAL2:TAN2"/>
    <mergeCell ref="TAO2:TAQ2"/>
    <mergeCell ref="TAR2:TAT2"/>
    <mergeCell ref="TAU2:TAW2"/>
    <mergeCell ref="SZN2:SZP2"/>
    <mergeCell ref="SZQ2:SZS2"/>
    <mergeCell ref="SZT2:SZV2"/>
    <mergeCell ref="SZW2:SZY2"/>
    <mergeCell ref="SZZ2:TAB2"/>
    <mergeCell ref="TAC2:TAE2"/>
    <mergeCell ref="SYV2:SYX2"/>
    <mergeCell ref="SYY2:SZA2"/>
    <mergeCell ref="SZB2:SZD2"/>
    <mergeCell ref="SZE2:SZG2"/>
    <mergeCell ref="SZH2:SZJ2"/>
    <mergeCell ref="SZK2:SZM2"/>
    <mergeCell ref="TGL2:TGN2"/>
    <mergeCell ref="TGO2:TGQ2"/>
    <mergeCell ref="TGR2:TGT2"/>
    <mergeCell ref="TGU2:TGW2"/>
    <mergeCell ref="TGX2:TGZ2"/>
    <mergeCell ref="THA2:THC2"/>
    <mergeCell ref="TFT2:TFV2"/>
    <mergeCell ref="TFW2:TFY2"/>
    <mergeCell ref="TFZ2:TGB2"/>
    <mergeCell ref="TGC2:TGE2"/>
    <mergeCell ref="TGF2:TGH2"/>
    <mergeCell ref="TGI2:TGK2"/>
    <mergeCell ref="TFB2:TFD2"/>
    <mergeCell ref="TFE2:TFG2"/>
    <mergeCell ref="TFH2:TFJ2"/>
    <mergeCell ref="TFK2:TFM2"/>
    <mergeCell ref="TFN2:TFP2"/>
    <mergeCell ref="TFQ2:TFS2"/>
    <mergeCell ref="TEJ2:TEL2"/>
    <mergeCell ref="TEM2:TEO2"/>
    <mergeCell ref="TEP2:TER2"/>
    <mergeCell ref="TES2:TEU2"/>
    <mergeCell ref="TEV2:TEX2"/>
    <mergeCell ref="TEY2:TFA2"/>
    <mergeCell ref="TDR2:TDT2"/>
    <mergeCell ref="TDU2:TDW2"/>
    <mergeCell ref="TDX2:TDZ2"/>
    <mergeCell ref="TEA2:TEC2"/>
    <mergeCell ref="TED2:TEF2"/>
    <mergeCell ref="TEG2:TEI2"/>
    <mergeCell ref="TCZ2:TDB2"/>
    <mergeCell ref="TDC2:TDE2"/>
    <mergeCell ref="TDF2:TDH2"/>
    <mergeCell ref="TDI2:TDK2"/>
    <mergeCell ref="TDL2:TDN2"/>
    <mergeCell ref="TDO2:TDQ2"/>
    <mergeCell ref="TKP2:TKR2"/>
    <mergeCell ref="TKS2:TKU2"/>
    <mergeCell ref="TKV2:TKX2"/>
    <mergeCell ref="TKY2:TLA2"/>
    <mergeCell ref="TLB2:TLD2"/>
    <mergeCell ref="TLE2:TLG2"/>
    <mergeCell ref="TJX2:TJZ2"/>
    <mergeCell ref="TKA2:TKC2"/>
    <mergeCell ref="TKD2:TKF2"/>
    <mergeCell ref="TKG2:TKI2"/>
    <mergeCell ref="TKJ2:TKL2"/>
    <mergeCell ref="TKM2:TKO2"/>
    <mergeCell ref="TJF2:TJH2"/>
    <mergeCell ref="TJI2:TJK2"/>
    <mergeCell ref="TJL2:TJN2"/>
    <mergeCell ref="TJO2:TJQ2"/>
    <mergeCell ref="TJR2:TJT2"/>
    <mergeCell ref="TJU2:TJW2"/>
    <mergeCell ref="TIN2:TIP2"/>
    <mergeCell ref="TIQ2:TIS2"/>
    <mergeCell ref="TIT2:TIV2"/>
    <mergeCell ref="TIW2:TIY2"/>
    <mergeCell ref="TIZ2:TJB2"/>
    <mergeCell ref="TJC2:TJE2"/>
    <mergeCell ref="THV2:THX2"/>
    <mergeCell ref="THY2:TIA2"/>
    <mergeCell ref="TIB2:TID2"/>
    <mergeCell ref="TIE2:TIG2"/>
    <mergeCell ref="TIH2:TIJ2"/>
    <mergeCell ref="TIK2:TIM2"/>
    <mergeCell ref="THD2:THF2"/>
    <mergeCell ref="THG2:THI2"/>
    <mergeCell ref="THJ2:THL2"/>
    <mergeCell ref="THM2:THO2"/>
    <mergeCell ref="THP2:THR2"/>
    <mergeCell ref="THS2:THU2"/>
    <mergeCell ref="TOT2:TOV2"/>
    <mergeCell ref="TOW2:TOY2"/>
    <mergeCell ref="TOZ2:TPB2"/>
    <mergeCell ref="TPC2:TPE2"/>
    <mergeCell ref="TPF2:TPH2"/>
    <mergeCell ref="TPI2:TPK2"/>
    <mergeCell ref="TOB2:TOD2"/>
    <mergeCell ref="TOE2:TOG2"/>
    <mergeCell ref="TOH2:TOJ2"/>
    <mergeCell ref="TOK2:TOM2"/>
    <mergeCell ref="TON2:TOP2"/>
    <mergeCell ref="TOQ2:TOS2"/>
    <mergeCell ref="TNJ2:TNL2"/>
    <mergeCell ref="TNM2:TNO2"/>
    <mergeCell ref="TNP2:TNR2"/>
    <mergeCell ref="TNS2:TNU2"/>
    <mergeCell ref="TNV2:TNX2"/>
    <mergeCell ref="TNY2:TOA2"/>
    <mergeCell ref="TMR2:TMT2"/>
    <mergeCell ref="TMU2:TMW2"/>
    <mergeCell ref="TMX2:TMZ2"/>
    <mergeCell ref="TNA2:TNC2"/>
    <mergeCell ref="TND2:TNF2"/>
    <mergeCell ref="TNG2:TNI2"/>
    <mergeCell ref="TLZ2:TMB2"/>
    <mergeCell ref="TMC2:TME2"/>
    <mergeCell ref="TMF2:TMH2"/>
    <mergeCell ref="TMI2:TMK2"/>
    <mergeCell ref="TML2:TMN2"/>
    <mergeCell ref="TMO2:TMQ2"/>
    <mergeCell ref="TLH2:TLJ2"/>
    <mergeCell ref="TLK2:TLM2"/>
    <mergeCell ref="TLN2:TLP2"/>
    <mergeCell ref="TLQ2:TLS2"/>
    <mergeCell ref="TLT2:TLV2"/>
    <mergeCell ref="TLW2:TLY2"/>
    <mergeCell ref="TSX2:TSZ2"/>
    <mergeCell ref="TTA2:TTC2"/>
    <mergeCell ref="TTD2:TTF2"/>
    <mergeCell ref="TTG2:TTI2"/>
    <mergeCell ref="TTJ2:TTL2"/>
    <mergeCell ref="TTM2:TTO2"/>
    <mergeCell ref="TSF2:TSH2"/>
    <mergeCell ref="TSI2:TSK2"/>
    <mergeCell ref="TSL2:TSN2"/>
    <mergeCell ref="TSO2:TSQ2"/>
    <mergeCell ref="TSR2:TST2"/>
    <mergeCell ref="TSU2:TSW2"/>
    <mergeCell ref="TRN2:TRP2"/>
    <mergeCell ref="TRQ2:TRS2"/>
    <mergeCell ref="TRT2:TRV2"/>
    <mergeCell ref="TRW2:TRY2"/>
    <mergeCell ref="TRZ2:TSB2"/>
    <mergeCell ref="TSC2:TSE2"/>
    <mergeCell ref="TQV2:TQX2"/>
    <mergeCell ref="TQY2:TRA2"/>
    <mergeCell ref="TRB2:TRD2"/>
    <mergeCell ref="TRE2:TRG2"/>
    <mergeCell ref="TRH2:TRJ2"/>
    <mergeCell ref="TRK2:TRM2"/>
    <mergeCell ref="TQD2:TQF2"/>
    <mergeCell ref="TQG2:TQI2"/>
    <mergeCell ref="TQJ2:TQL2"/>
    <mergeCell ref="TQM2:TQO2"/>
    <mergeCell ref="TQP2:TQR2"/>
    <mergeCell ref="TQS2:TQU2"/>
    <mergeCell ref="TPL2:TPN2"/>
    <mergeCell ref="TPO2:TPQ2"/>
    <mergeCell ref="TPR2:TPT2"/>
    <mergeCell ref="TPU2:TPW2"/>
    <mergeCell ref="TPX2:TPZ2"/>
    <mergeCell ref="TQA2:TQC2"/>
    <mergeCell ref="TXB2:TXD2"/>
    <mergeCell ref="TXE2:TXG2"/>
    <mergeCell ref="TXH2:TXJ2"/>
    <mergeCell ref="TXK2:TXM2"/>
    <mergeCell ref="TXN2:TXP2"/>
    <mergeCell ref="TXQ2:TXS2"/>
    <mergeCell ref="TWJ2:TWL2"/>
    <mergeCell ref="TWM2:TWO2"/>
    <mergeCell ref="TWP2:TWR2"/>
    <mergeCell ref="TWS2:TWU2"/>
    <mergeCell ref="TWV2:TWX2"/>
    <mergeCell ref="TWY2:TXA2"/>
    <mergeCell ref="TVR2:TVT2"/>
    <mergeCell ref="TVU2:TVW2"/>
    <mergeCell ref="TVX2:TVZ2"/>
    <mergeCell ref="TWA2:TWC2"/>
    <mergeCell ref="TWD2:TWF2"/>
    <mergeCell ref="TWG2:TWI2"/>
    <mergeCell ref="TUZ2:TVB2"/>
    <mergeCell ref="TVC2:TVE2"/>
    <mergeCell ref="TVF2:TVH2"/>
    <mergeCell ref="TVI2:TVK2"/>
    <mergeCell ref="TVL2:TVN2"/>
    <mergeCell ref="TVO2:TVQ2"/>
    <mergeCell ref="TUH2:TUJ2"/>
    <mergeCell ref="TUK2:TUM2"/>
    <mergeCell ref="TUN2:TUP2"/>
    <mergeCell ref="TUQ2:TUS2"/>
    <mergeCell ref="TUT2:TUV2"/>
    <mergeCell ref="TUW2:TUY2"/>
    <mergeCell ref="TTP2:TTR2"/>
    <mergeCell ref="TTS2:TTU2"/>
    <mergeCell ref="TTV2:TTX2"/>
    <mergeCell ref="TTY2:TUA2"/>
    <mergeCell ref="TUB2:TUD2"/>
    <mergeCell ref="TUE2:TUG2"/>
    <mergeCell ref="UBF2:UBH2"/>
    <mergeCell ref="UBI2:UBK2"/>
    <mergeCell ref="UBL2:UBN2"/>
    <mergeCell ref="UBO2:UBQ2"/>
    <mergeCell ref="UBR2:UBT2"/>
    <mergeCell ref="UBU2:UBW2"/>
    <mergeCell ref="UAN2:UAP2"/>
    <mergeCell ref="UAQ2:UAS2"/>
    <mergeCell ref="UAT2:UAV2"/>
    <mergeCell ref="UAW2:UAY2"/>
    <mergeCell ref="UAZ2:UBB2"/>
    <mergeCell ref="UBC2:UBE2"/>
    <mergeCell ref="TZV2:TZX2"/>
    <mergeCell ref="TZY2:UAA2"/>
    <mergeCell ref="UAB2:UAD2"/>
    <mergeCell ref="UAE2:UAG2"/>
    <mergeCell ref="UAH2:UAJ2"/>
    <mergeCell ref="UAK2:UAM2"/>
    <mergeCell ref="TZD2:TZF2"/>
    <mergeCell ref="TZG2:TZI2"/>
    <mergeCell ref="TZJ2:TZL2"/>
    <mergeCell ref="TZM2:TZO2"/>
    <mergeCell ref="TZP2:TZR2"/>
    <mergeCell ref="TZS2:TZU2"/>
    <mergeCell ref="TYL2:TYN2"/>
    <mergeCell ref="TYO2:TYQ2"/>
    <mergeCell ref="TYR2:TYT2"/>
    <mergeCell ref="TYU2:TYW2"/>
    <mergeCell ref="TYX2:TYZ2"/>
    <mergeCell ref="TZA2:TZC2"/>
    <mergeCell ref="TXT2:TXV2"/>
    <mergeCell ref="TXW2:TXY2"/>
    <mergeCell ref="TXZ2:TYB2"/>
    <mergeCell ref="TYC2:TYE2"/>
    <mergeCell ref="TYF2:TYH2"/>
    <mergeCell ref="TYI2:TYK2"/>
    <mergeCell ref="UFJ2:UFL2"/>
    <mergeCell ref="UFM2:UFO2"/>
    <mergeCell ref="UFP2:UFR2"/>
    <mergeCell ref="UFS2:UFU2"/>
    <mergeCell ref="UFV2:UFX2"/>
    <mergeCell ref="UFY2:UGA2"/>
    <mergeCell ref="UER2:UET2"/>
    <mergeCell ref="UEU2:UEW2"/>
    <mergeCell ref="UEX2:UEZ2"/>
    <mergeCell ref="UFA2:UFC2"/>
    <mergeCell ref="UFD2:UFF2"/>
    <mergeCell ref="UFG2:UFI2"/>
    <mergeCell ref="UDZ2:UEB2"/>
    <mergeCell ref="UEC2:UEE2"/>
    <mergeCell ref="UEF2:UEH2"/>
    <mergeCell ref="UEI2:UEK2"/>
    <mergeCell ref="UEL2:UEN2"/>
    <mergeCell ref="UEO2:UEQ2"/>
    <mergeCell ref="UDH2:UDJ2"/>
    <mergeCell ref="UDK2:UDM2"/>
    <mergeCell ref="UDN2:UDP2"/>
    <mergeCell ref="UDQ2:UDS2"/>
    <mergeCell ref="UDT2:UDV2"/>
    <mergeCell ref="UDW2:UDY2"/>
    <mergeCell ref="UCP2:UCR2"/>
    <mergeCell ref="UCS2:UCU2"/>
    <mergeCell ref="UCV2:UCX2"/>
    <mergeCell ref="UCY2:UDA2"/>
    <mergeCell ref="UDB2:UDD2"/>
    <mergeCell ref="UDE2:UDG2"/>
    <mergeCell ref="UBX2:UBZ2"/>
    <mergeCell ref="UCA2:UCC2"/>
    <mergeCell ref="UCD2:UCF2"/>
    <mergeCell ref="UCG2:UCI2"/>
    <mergeCell ref="UCJ2:UCL2"/>
    <mergeCell ref="UCM2:UCO2"/>
    <mergeCell ref="UJN2:UJP2"/>
    <mergeCell ref="UJQ2:UJS2"/>
    <mergeCell ref="UJT2:UJV2"/>
    <mergeCell ref="UJW2:UJY2"/>
    <mergeCell ref="UJZ2:UKB2"/>
    <mergeCell ref="UKC2:UKE2"/>
    <mergeCell ref="UIV2:UIX2"/>
    <mergeCell ref="UIY2:UJA2"/>
    <mergeCell ref="UJB2:UJD2"/>
    <mergeCell ref="UJE2:UJG2"/>
    <mergeCell ref="UJH2:UJJ2"/>
    <mergeCell ref="UJK2:UJM2"/>
    <mergeCell ref="UID2:UIF2"/>
    <mergeCell ref="UIG2:UII2"/>
    <mergeCell ref="UIJ2:UIL2"/>
    <mergeCell ref="UIM2:UIO2"/>
    <mergeCell ref="UIP2:UIR2"/>
    <mergeCell ref="UIS2:UIU2"/>
    <mergeCell ref="UHL2:UHN2"/>
    <mergeCell ref="UHO2:UHQ2"/>
    <mergeCell ref="UHR2:UHT2"/>
    <mergeCell ref="UHU2:UHW2"/>
    <mergeCell ref="UHX2:UHZ2"/>
    <mergeCell ref="UIA2:UIC2"/>
    <mergeCell ref="UGT2:UGV2"/>
    <mergeCell ref="UGW2:UGY2"/>
    <mergeCell ref="UGZ2:UHB2"/>
    <mergeCell ref="UHC2:UHE2"/>
    <mergeCell ref="UHF2:UHH2"/>
    <mergeCell ref="UHI2:UHK2"/>
    <mergeCell ref="UGB2:UGD2"/>
    <mergeCell ref="UGE2:UGG2"/>
    <mergeCell ref="UGH2:UGJ2"/>
    <mergeCell ref="UGK2:UGM2"/>
    <mergeCell ref="UGN2:UGP2"/>
    <mergeCell ref="UGQ2:UGS2"/>
    <mergeCell ref="UNR2:UNT2"/>
    <mergeCell ref="UNU2:UNW2"/>
    <mergeCell ref="UNX2:UNZ2"/>
    <mergeCell ref="UOA2:UOC2"/>
    <mergeCell ref="UOD2:UOF2"/>
    <mergeCell ref="UOG2:UOI2"/>
    <mergeCell ref="UMZ2:UNB2"/>
    <mergeCell ref="UNC2:UNE2"/>
    <mergeCell ref="UNF2:UNH2"/>
    <mergeCell ref="UNI2:UNK2"/>
    <mergeCell ref="UNL2:UNN2"/>
    <mergeCell ref="UNO2:UNQ2"/>
    <mergeCell ref="UMH2:UMJ2"/>
    <mergeCell ref="UMK2:UMM2"/>
    <mergeCell ref="UMN2:UMP2"/>
    <mergeCell ref="UMQ2:UMS2"/>
    <mergeCell ref="UMT2:UMV2"/>
    <mergeCell ref="UMW2:UMY2"/>
    <mergeCell ref="ULP2:ULR2"/>
    <mergeCell ref="ULS2:ULU2"/>
    <mergeCell ref="ULV2:ULX2"/>
    <mergeCell ref="ULY2:UMA2"/>
    <mergeCell ref="UMB2:UMD2"/>
    <mergeCell ref="UME2:UMG2"/>
    <mergeCell ref="UKX2:UKZ2"/>
    <mergeCell ref="ULA2:ULC2"/>
    <mergeCell ref="ULD2:ULF2"/>
    <mergeCell ref="ULG2:ULI2"/>
    <mergeCell ref="ULJ2:ULL2"/>
    <mergeCell ref="ULM2:ULO2"/>
    <mergeCell ref="UKF2:UKH2"/>
    <mergeCell ref="UKI2:UKK2"/>
    <mergeCell ref="UKL2:UKN2"/>
    <mergeCell ref="UKO2:UKQ2"/>
    <mergeCell ref="UKR2:UKT2"/>
    <mergeCell ref="UKU2:UKW2"/>
    <mergeCell ref="URV2:URX2"/>
    <mergeCell ref="URY2:USA2"/>
    <mergeCell ref="USB2:USD2"/>
    <mergeCell ref="USE2:USG2"/>
    <mergeCell ref="USH2:USJ2"/>
    <mergeCell ref="USK2:USM2"/>
    <mergeCell ref="URD2:URF2"/>
    <mergeCell ref="URG2:URI2"/>
    <mergeCell ref="URJ2:URL2"/>
    <mergeCell ref="URM2:URO2"/>
    <mergeCell ref="URP2:URR2"/>
    <mergeCell ref="URS2:URU2"/>
    <mergeCell ref="UQL2:UQN2"/>
    <mergeCell ref="UQO2:UQQ2"/>
    <mergeCell ref="UQR2:UQT2"/>
    <mergeCell ref="UQU2:UQW2"/>
    <mergeCell ref="UQX2:UQZ2"/>
    <mergeCell ref="URA2:URC2"/>
    <mergeCell ref="UPT2:UPV2"/>
    <mergeCell ref="UPW2:UPY2"/>
    <mergeCell ref="UPZ2:UQB2"/>
    <mergeCell ref="UQC2:UQE2"/>
    <mergeCell ref="UQF2:UQH2"/>
    <mergeCell ref="UQI2:UQK2"/>
    <mergeCell ref="UPB2:UPD2"/>
    <mergeCell ref="UPE2:UPG2"/>
    <mergeCell ref="UPH2:UPJ2"/>
    <mergeCell ref="UPK2:UPM2"/>
    <mergeCell ref="UPN2:UPP2"/>
    <mergeCell ref="UPQ2:UPS2"/>
    <mergeCell ref="UOJ2:UOL2"/>
    <mergeCell ref="UOM2:UOO2"/>
    <mergeCell ref="UOP2:UOR2"/>
    <mergeCell ref="UOS2:UOU2"/>
    <mergeCell ref="UOV2:UOX2"/>
    <mergeCell ref="UOY2:UPA2"/>
    <mergeCell ref="UVZ2:UWB2"/>
    <mergeCell ref="UWC2:UWE2"/>
    <mergeCell ref="UWF2:UWH2"/>
    <mergeCell ref="UWI2:UWK2"/>
    <mergeCell ref="UWL2:UWN2"/>
    <mergeCell ref="UWO2:UWQ2"/>
    <mergeCell ref="UVH2:UVJ2"/>
    <mergeCell ref="UVK2:UVM2"/>
    <mergeCell ref="UVN2:UVP2"/>
    <mergeCell ref="UVQ2:UVS2"/>
    <mergeCell ref="UVT2:UVV2"/>
    <mergeCell ref="UVW2:UVY2"/>
    <mergeCell ref="UUP2:UUR2"/>
    <mergeCell ref="UUS2:UUU2"/>
    <mergeCell ref="UUV2:UUX2"/>
    <mergeCell ref="UUY2:UVA2"/>
    <mergeCell ref="UVB2:UVD2"/>
    <mergeCell ref="UVE2:UVG2"/>
    <mergeCell ref="UTX2:UTZ2"/>
    <mergeCell ref="UUA2:UUC2"/>
    <mergeCell ref="UUD2:UUF2"/>
    <mergeCell ref="UUG2:UUI2"/>
    <mergeCell ref="UUJ2:UUL2"/>
    <mergeCell ref="UUM2:UUO2"/>
    <mergeCell ref="UTF2:UTH2"/>
    <mergeCell ref="UTI2:UTK2"/>
    <mergeCell ref="UTL2:UTN2"/>
    <mergeCell ref="UTO2:UTQ2"/>
    <mergeCell ref="UTR2:UTT2"/>
    <mergeCell ref="UTU2:UTW2"/>
    <mergeCell ref="USN2:USP2"/>
    <mergeCell ref="USQ2:USS2"/>
    <mergeCell ref="UST2:USV2"/>
    <mergeCell ref="USW2:USY2"/>
    <mergeCell ref="USZ2:UTB2"/>
    <mergeCell ref="UTC2:UTE2"/>
    <mergeCell ref="VAD2:VAF2"/>
    <mergeCell ref="VAG2:VAI2"/>
    <mergeCell ref="VAJ2:VAL2"/>
    <mergeCell ref="VAM2:VAO2"/>
    <mergeCell ref="VAP2:VAR2"/>
    <mergeCell ref="VAS2:VAU2"/>
    <mergeCell ref="UZL2:UZN2"/>
    <mergeCell ref="UZO2:UZQ2"/>
    <mergeCell ref="UZR2:UZT2"/>
    <mergeCell ref="UZU2:UZW2"/>
    <mergeCell ref="UZX2:UZZ2"/>
    <mergeCell ref="VAA2:VAC2"/>
    <mergeCell ref="UYT2:UYV2"/>
    <mergeCell ref="UYW2:UYY2"/>
    <mergeCell ref="UYZ2:UZB2"/>
    <mergeCell ref="UZC2:UZE2"/>
    <mergeCell ref="UZF2:UZH2"/>
    <mergeCell ref="UZI2:UZK2"/>
    <mergeCell ref="UYB2:UYD2"/>
    <mergeCell ref="UYE2:UYG2"/>
    <mergeCell ref="UYH2:UYJ2"/>
    <mergeCell ref="UYK2:UYM2"/>
    <mergeCell ref="UYN2:UYP2"/>
    <mergeCell ref="UYQ2:UYS2"/>
    <mergeCell ref="UXJ2:UXL2"/>
    <mergeCell ref="UXM2:UXO2"/>
    <mergeCell ref="UXP2:UXR2"/>
    <mergeCell ref="UXS2:UXU2"/>
    <mergeCell ref="UXV2:UXX2"/>
    <mergeCell ref="UXY2:UYA2"/>
    <mergeCell ref="UWR2:UWT2"/>
    <mergeCell ref="UWU2:UWW2"/>
    <mergeCell ref="UWX2:UWZ2"/>
    <mergeCell ref="UXA2:UXC2"/>
    <mergeCell ref="UXD2:UXF2"/>
    <mergeCell ref="UXG2:UXI2"/>
    <mergeCell ref="VEH2:VEJ2"/>
    <mergeCell ref="VEK2:VEM2"/>
    <mergeCell ref="VEN2:VEP2"/>
    <mergeCell ref="VEQ2:VES2"/>
    <mergeCell ref="VET2:VEV2"/>
    <mergeCell ref="VEW2:VEY2"/>
    <mergeCell ref="VDP2:VDR2"/>
    <mergeCell ref="VDS2:VDU2"/>
    <mergeCell ref="VDV2:VDX2"/>
    <mergeCell ref="VDY2:VEA2"/>
    <mergeCell ref="VEB2:VED2"/>
    <mergeCell ref="VEE2:VEG2"/>
    <mergeCell ref="VCX2:VCZ2"/>
    <mergeCell ref="VDA2:VDC2"/>
    <mergeCell ref="VDD2:VDF2"/>
    <mergeCell ref="VDG2:VDI2"/>
    <mergeCell ref="VDJ2:VDL2"/>
    <mergeCell ref="VDM2:VDO2"/>
    <mergeCell ref="VCF2:VCH2"/>
    <mergeCell ref="VCI2:VCK2"/>
    <mergeCell ref="VCL2:VCN2"/>
    <mergeCell ref="VCO2:VCQ2"/>
    <mergeCell ref="VCR2:VCT2"/>
    <mergeCell ref="VCU2:VCW2"/>
    <mergeCell ref="VBN2:VBP2"/>
    <mergeCell ref="VBQ2:VBS2"/>
    <mergeCell ref="VBT2:VBV2"/>
    <mergeCell ref="VBW2:VBY2"/>
    <mergeCell ref="VBZ2:VCB2"/>
    <mergeCell ref="VCC2:VCE2"/>
    <mergeCell ref="VAV2:VAX2"/>
    <mergeCell ref="VAY2:VBA2"/>
    <mergeCell ref="VBB2:VBD2"/>
    <mergeCell ref="VBE2:VBG2"/>
    <mergeCell ref="VBH2:VBJ2"/>
    <mergeCell ref="VBK2:VBM2"/>
    <mergeCell ref="VIL2:VIN2"/>
    <mergeCell ref="VIO2:VIQ2"/>
    <mergeCell ref="VIR2:VIT2"/>
    <mergeCell ref="VIU2:VIW2"/>
    <mergeCell ref="VIX2:VIZ2"/>
    <mergeCell ref="VJA2:VJC2"/>
    <mergeCell ref="VHT2:VHV2"/>
    <mergeCell ref="VHW2:VHY2"/>
    <mergeCell ref="VHZ2:VIB2"/>
    <mergeCell ref="VIC2:VIE2"/>
    <mergeCell ref="VIF2:VIH2"/>
    <mergeCell ref="VII2:VIK2"/>
    <mergeCell ref="VHB2:VHD2"/>
    <mergeCell ref="VHE2:VHG2"/>
    <mergeCell ref="VHH2:VHJ2"/>
    <mergeCell ref="VHK2:VHM2"/>
    <mergeCell ref="VHN2:VHP2"/>
    <mergeCell ref="VHQ2:VHS2"/>
    <mergeCell ref="VGJ2:VGL2"/>
    <mergeCell ref="VGM2:VGO2"/>
    <mergeCell ref="VGP2:VGR2"/>
    <mergeCell ref="VGS2:VGU2"/>
    <mergeCell ref="VGV2:VGX2"/>
    <mergeCell ref="VGY2:VHA2"/>
    <mergeCell ref="VFR2:VFT2"/>
    <mergeCell ref="VFU2:VFW2"/>
    <mergeCell ref="VFX2:VFZ2"/>
    <mergeCell ref="VGA2:VGC2"/>
    <mergeCell ref="VGD2:VGF2"/>
    <mergeCell ref="VGG2:VGI2"/>
    <mergeCell ref="VEZ2:VFB2"/>
    <mergeCell ref="VFC2:VFE2"/>
    <mergeCell ref="VFF2:VFH2"/>
    <mergeCell ref="VFI2:VFK2"/>
    <mergeCell ref="VFL2:VFN2"/>
    <mergeCell ref="VFO2:VFQ2"/>
    <mergeCell ref="VMP2:VMR2"/>
    <mergeCell ref="VMS2:VMU2"/>
    <mergeCell ref="VMV2:VMX2"/>
    <mergeCell ref="VMY2:VNA2"/>
    <mergeCell ref="VNB2:VND2"/>
    <mergeCell ref="VNE2:VNG2"/>
    <mergeCell ref="VLX2:VLZ2"/>
    <mergeCell ref="VMA2:VMC2"/>
    <mergeCell ref="VMD2:VMF2"/>
    <mergeCell ref="VMG2:VMI2"/>
    <mergeCell ref="VMJ2:VML2"/>
    <mergeCell ref="VMM2:VMO2"/>
    <mergeCell ref="VLF2:VLH2"/>
    <mergeCell ref="VLI2:VLK2"/>
    <mergeCell ref="VLL2:VLN2"/>
    <mergeCell ref="VLO2:VLQ2"/>
    <mergeCell ref="VLR2:VLT2"/>
    <mergeCell ref="VLU2:VLW2"/>
    <mergeCell ref="VKN2:VKP2"/>
    <mergeCell ref="VKQ2:VKS2"/>
    <mergeCell ref="VKT2:VKV2"/>
    <mergeCell ref="VKW2:VKY2"/>
    <mergeCell ref="VKZ2:VLB2"/>
    <mergeCell ref="VLC2:VLE2"/>
    <mergeCell ref="VJV2:VJX2"/>
    <mergeCell ref="VJY2:VKA2"/>
    <mergeCell ref="VKB2:VKD2"/>
    <mergeCell ref="VKE2:VKG2"/>
    <mergeCell ref="VKH2:VKJ2"/>
    <mergeCell ref="VKK2:VKM2"/>
    <mergeCell ref="VJD2:VJF2"/>
    <mergeCell ref="VJG2:VJI2"/>
    <mergeCell ref="VJJ2:VJL2"/>
    <mergeCell ref="VJM2:VJO2"/>
    <mergeCell ref="VJP2:VJR2"/>
    <mergeCell ref="VJS2:VJU2"/>
    <mergeCell ref="VQT2:VQV2"/>
    <mergeCell ref="VQW2:VQY2"/>
    <mergeCell ref="VQZ2:VRB2"/>
    <mergeCell ref="VRC2:VRE2"/>
    <mergeCell ref="VRF2:VRH2"/>
    <mergeCell ref="VRI2:VRK2"/>
    <mergeCell ref="VQB2:VQD2"/>
    <mergeCell ref="VQE2:VQG2"/>
    <mergeCell ref="VQH2:VQJ2"/>
    <mergeCell ref="VQK2:VQM2"/>
    <mergeCell ref="VQN2:VQP2"/>
    <mergeCell ref="VQQ2:VQS2"/>
    <mergeCell ref="VPJ2:VPL2"/>
    <mergeCell ref="VPM2:VPO2"/>
    <mergeCell ref="VPP2:VPR2"/>
    <mergeCell ref="VPS2:VPU2"/>
    <mergeCell ref="VPV2:VPX2"/>
    <mergeCell ref="VPY2:VQA2"/>
    <mergeCell ref="VOR2:VOT2"/>
    <mergeCell ref="VOU2:VOW2"/>
    <mergeCell ref="VOX2:VOZ2"/>
    <mergeCell ref="VPA2:VPC2"/>
    <mergeCell ref="VPD2:VPF2"/>
    <mergeCell ref="VPG2:VPI2"/>
    <mergeCell ref="VNZ2:VOB2"/>
    <mergeCell ref="VOC2:VOE2"/>
    <mergeCell ref="VOF2:VOH2"/>
    <mergeCell ref="VOI2:VOK2"/>
    <mergeCell ref="VOL2:VON2"/>
    <mergeCell ref="VOO2:VOQ2"/>
    <mergeCell ref="VNH2:VNJ2"/>
    <mergeCell ref="VNK2:VNM2"/>
    <mergeCell ref="VNN2:VNP2"/>
    <mergeCell ref="VNQ2:VNS2"/>
    <mergeCell ref="VNT2:VNV2"/>
    <mergeCell ref="VNW2:VNY2"/>
    <mergeCell ref="VUX2:VUZ2"/>
    <mergeCell ref="VVA2:VVC2"/>
    <mergeCell ref="VVD2:VVF2"/>
    <mergeCell ref="VVG2:VVI2"/>
    <mergeCell ref="VVJ2:VVL2"/>
    <mergeCell ref="VVM2:VVO2"/>
    <mergeCell ref="VUF2:VUH2"/>
    <mergeCell ref="VUI2:VUK2"/>
    <mergeCell ref="VUL2:VUN2"/>
    <mergeCell ref="VUO2:VUQ2"/>
    <mergeCell ref="VUR2:VUT2"/>
    <mergeCell ref="VUU2:VUW2"/>
    <mergeCell ref="VTN2:VTP2"/>
    <mergeCell ref="VTQ2:VTS2"/>
    <mergeCell ref="VTT2:VTV2"/>
    <mergeCell ref="VTW2:VTY2"/>
    <mergeCell ref="VTZ2:VUB2"/>
    <mergeCell ref="VUC2:VUE2"/>
    <mergeCell ref="VSV2:VSX2"/>
    <mergeCell ref="VSY2:VTA2"/>
    <mergeCell ref="VTB2:VTD2"/>
    <mergeCell ref="VTE2:VTG2"/>
    <mergeCell ref="VTH2:VTJ2"/>
    <mergeCell ref="VTK2:VTM2"/>
    <mergeCell ref="VSD2:VSF2"/>
    <mergeCell ref="VSG2:VSI2"/>
    <mergeCell ref="VSJ2:VSL2"/>
    <mergeCell ref="VSM2:VSO2"/>
    <mergeCell ref="VSP2:VSR2"/>
    <mergeCell ref="VSS2:VSU2"/>
    <mergeCell ref="VRL2:VRN2"/>
    <mergeCell ref="VRO2:VRQ2"/>
    <mergeCell ref="VRR2:VRT2"/>
    <mergeCell ref="VRU2:VRW2"/>
    <mergeCell ref="VRX2:VRZ2"/>
    <mergeCell ref="VSA2:VSC2"/>
    <mergeCell ref="VZB2:VZD2"/>
    <mergeCell ref="VZE2:VZG2"/>
    <mergeCell ref="VZH2:VZJ2"/>
    <mergeCell ref="VZK2:VZM2"/>
    <mergeCell ref="VZN2:VZP2"/>
    <mergeCell ref="VZQ2:VZS2"/>
    <mergeCell ref="VYJ2:VYL2"/>
    <mergeCell ref="VYM2:VYO2"/>
    <mergeCell ref="VYP2:VYR2"/>
    <mergeCell ref="VYS2:VYU2"/>
    <mergeCell ref="VYV2:VYX2"/>
    <mergeCell ref="VYY2:VZA2"/>
    <mergeCell ref="VXR2:VXT2"/>
    <mergeCell ref="VXU2:VXW2"/>
    <mergeCell ref="VXX2:VXZ2"/>
    <mergeCell ref="VYA2:VYC2"/>
    <mergeCell ref="VYD2:VYF2"/>
    <mergeCell ref="VYG2:VYI2"/>
    <mergeCell ref="VWZ2:VXB2"/>
    <mergeCell ref="VXC2:VXE2"/>
    <mergeCell ref="VXF2:VXH2"/>
    <mergeCell ref="VXI2:VXK2"/>
    <mergeCell ref="VXL2:VXN2"/>
    <mergeCell ref="VXO2:VXQ2"/>
    <mergeCell ref="VWH2:VWJ2"/>
    <mergeCell ref="VWK2:VWM2"/>
    <mergeCell ref="VWN2:VWP2"/>
    <mergeCell ref="VWQ2:VWS2"/>
    <mergeCell ref="VWT2:VWV2"/>
    <mergeCell ref="VWW2:VWY2"/>
    <mergeCell ref="VVP2:VVR2"/>
    <mergeCell ref="VVS2:VVU2"/>
    <mergeCell ref="VVV2:VVX2"/>
    <mergeCell ref="VVY2:VWA2"/>
    <mergeCell ref="VWB2:VWD2"/>
    <mergeCell ref="VWE2:VWG2"/>
    <mergeCell ref="WDF2:WDH2"/>
    <mergeCell ref="WDI2:WDK2"/>
    <mergeCell ref="WDL2:WDN2"/>
    <mergeCell ref="WDO2:WDQ2"/>
    <mergeCell ref="WDR2:WDT2"/>
    <mergeCell ref="WDU2:WDW2"/>
    <mergeCell ref="WCN2:WCP2"/>
    <mergeCell ref="WCQ2:WCS2"/>
    <mergeCell ref="WCT2:WCV2"/>
    <mergeCell ref="WCW2:WCY2"/>
    <mergeCell ref="WCZ2:WDB2"/>
    <mergeCell ref="WDC2:WDE2"/>
    <mergeCell ref="WBV2:WBX2"/>
    <mergeCell ref="WBY2:WCA2"/>
    <mergeCell ref="WCB2:WCD2"/>
    <mergeCell ref="WCE2:WCG2"/>
    <mergeCell ref="WCH2:WCJ2"/>
    <mergeCell ref="WCK2:WCM2"/>
    <mergeCell ref="WBD2:WBF2"/>
    <mergeCell ref="WBG2:WBI2"/>
    <mergeCell ref="WBJ2:WBL2"/>
    <mergeCell ref="WBM2:WBO2"/>
    <mergeCell ref="WBP2:WBR2"/>
    <mergeCell ref="WBS2:WBU2"/>
    <mergeCell ref="WAL2:WAN2"/>
    <mergeCell ref="WAO2:WAQ2"/>
    <mergeCell ref="WAR2:WAT2"/>
    <mergeCell ref="WAU2:WAW2"/>
    <mergeCell ref="WAX2:WAZ2"/>
    <mergeCell ref="WBA2:WBC2"/>
    <mergeCell ref="VZT2:VZV2"/>
    <mergeCell ref="VZW2:VZY2"/>
    <mergeCell ref="VZZ2:WAB2"/>
    <mergeCell ref="WAC2:WAE2"/>
    <mergeCell ref="WAF2:WAH2"/>
    <mergeCell ref="WAI2:WAK2"/>
    <mergeCell ref="WHJ2:WHL2"/>
    <mergeCell ref="WHM2:WHO2"/>
    <mergeCell ref="WHP2:WHR2"/>
    <mergeCell ref="WHS2:WHU2"/>
    <mergeCell ref="WHV2:WHX2"/>
    <mergeCell ref="WHY2:WIA2"/>
    <mergeCell ref="WGR2:WGT2"/>
    <mergeCell ref="WGU2:WGW2"/>
    <mergeCell ref="WGX2:WGZ2"/>
    <mergeCell ref="WHA2:WHC2"/>
    <mergeCell ref="WHD2:WHF2"/>
    <mergeCell ref="WHG2:WHI2"/>
    <mergeCell ref="WFZ2:WGB2"/>
    <mergeCell ref="WGC2:WGE2"/>
    <mergeCell ref="WGF2:WGH2"/>
    <mergeCell ref="WGI2:WGK2"/>
    <mergeCell ref="WGL2:WGN2"/>
    <mergeCell ref="WGO2:WGQ2"/>
    <mergeCell ref="WFH2:WFJ2"/>
    <mergeCell ref="WFK2:WFM2"/>
    <mergeCell ref="WFN2:WFP2"/>
    <mergeCell ref="WFQ2:WFS2"/>
    <mergeCell ref="WFT2:WFV2"/>
    <mergeCell ref="WFW2:WFY2"/>
    <mergeCell ref="WEP2:WER2"/>
    <mergeCell ref="WES2:WEU2"/>
    <mergeCell ref="WEV2:WEX2"/>
    <mergeCell ref="WEY2:WFA2"/>
    <mergeCell ref="WFB2:WFD2"/>
    <mergeCell ref="WFE2:WFG2"/>
    <mergeCell ref="WDX2:WDZ2"/>
    <mergeCell ref="WEA2:WEC2"/>
    <mergeCell ref="WED2:WEF2"/>
    <mergeCell ref="WEG2:WEI2"/>
    <mergeCell ref="WEJ2:WEL2"/>
    <mergeCell ref="WEM2:WEO2"/>
    <mergeCell ref="WLN2:WLP2"/>
    <mergeCell ref="WLQ2:WLS2"/>
    <mergeCell ref="WLT2:WLV2"/>
    <mergeCell ref="WLW2:WLY2"/>
    <mergeCell ref="WLZ2:WMB2"/>
    <mergeCell ref="WMC2:WME2"/>
    <mergeCell ref="WKV2:WKX2"/>
    <mergeCell ref="WKY2:WLA2"/>
    <mergeCell ref="WLB2:WLD2"/>
    <mergeCell ref="WLE2:WLG2"/>
    <mergeCell ref="WLH2:WLJ2"/>
    <mergeCell ref="WLK2:WLM2"/>
    <mergeCell ref="WKD2:WKF2"/>
    <mergeCell ref="WKG2:WKI2"/>
    <mergeCell ref="WKJ2:WKL2"/>
    <mergeCell ref="WKM2:WKO2"/>
    <mergeCell ref="WKP2:WKR2"/>
    <mergeCell ref="WKS2:WKU2"/>
    <mergeCell ref="WJL2:WJN2"/>
    <mergeCell ref="WJO2:WJQ2"/>
    <mergeCell ref="WJR2:WJT2"/>
    <mergeCell ref="WJU2:WJW2"/>
    <mergeCell ref="WJX2:WJZ2"/>
    <mergeCell ref="WKA2:WKC2"/>
    <mergeCell ref="WIT2:WIV2"/>
    <mergeCell ref="WIW2:WIY2"/>
    <mergeCell ref="WIZ2:WJB2"/>
    <mergeCell ref="WJC2:WJE2"/>
    <mergeCell ref="WJF2:WJH2"/>
    <mergeCell ref="WJI2:WJK2"/>
    <mergeCell ref="WIB2:WID2"/>
    <mergeCell ref="WIE2:WIG2"/>
    <mergeCell ref="WIH2:WIJ2"/>
    <mergeCell ref="WIK2:WIM2"/>
    <mergeCell ref="WIN2:WIP2"/>
    <mergeCell ref="WIQ2:WIS2"/>
    <mergeCell ref="WPR2:WPT2"/>
    <mergeCell ref="WPU2:WPW2"/>
    <mergeCell ref="WPX2:WPZ2"/>
    <mergeCell ref="WQA2:WQC2"/>
    <mergeCell ref="WQD2:WQF2"/>
    <mergeCell ref="WQG2:WQI2"/>
    <mergeCell ref="WOZ2:WPB2"/>
    <mergeCell ref="WPC2:WPE2"/>
    <mergeCell ref="WPF2:WPH2"/>
    <mergeCell ref="WPI2:WPK2"/>
    <mergeCell ref="WPL2:WPN2"/>
    <mergeCell ref="WPO2:WPQ2"/>
    <mergeCell ref="WOH2:WOJ2"/>
    <mergeCell ref="WOK2:WOM2"/>
    <mergeCell ref="WON2:WOP2"/>
    <mergeCell ref="WOQ2:WOS2"/>
    <mergeCell ref="WOT2:WOV2"/>
    <mergeCell ref="WOW2:WOY2"/>
    <mergeCell ref="WNP2:WNR2"/>
    <mergeCell ref="WNS2:WNU2"/>
    <mergeCell ref="WNV2:WNX2"/>
    <mergeCell ref="WNY2:WOA2"/>
    <mergeCell ref="WOB2:WOD2"/>
    <mergeCell ref="WOE2:WOG2"/>
    <mergeCell ref="WMX2:WMZ2"/>
    <mergeCell ref="WNA2:WNC2"/>
    <mergeCell ref="WND2:WNF2"/>
    <mergeCell ref="WNG2:WNI2"/>
    <mergeCell ref="WNJ2:WNL2"/>
    <mergeCell ref="WNM2:WNO2"/>
    <mergeCell ref="WMF2:WMH2"/>
    <mergeCell ref="WMI2:WMK2"/>
    <mergeCell ref="WML2:WMN2"/>
    <mergeCell ref="WMO2:WMQ2"/>
    <mergeCell ref="WMR2:WMT2"/>
    <mergeCell ref="WMU2:WMW2"/>
    <mergeCell ref="WTV2:WTX2"/>
    <mergeCell ref="WTY2:WUA2"/>
    <mergeCell ref="WUB2:WUD2"/>
    <mergeCell ref="WUE2:WUG2"/>
    <mergeCell ref="WUH2:WUJ2"/>
    <mergeCell ref="WUK2:WUM2"/>
    <mergeCell ref="WTD2:WTF2"/>
    <mergeCell ref="WTG2:WTI2"/>
    <mergeCell ref="WTJ2:WTL2"/>
    <mergeCell ref="WTM2:WTO2"/>
    <mergeCell ref="WTP2:WTR2"/>
    <mergeCell ref="WTS2:WTU2"/>
    <mergeCell ref="WSL2:WSN2"/>
    <mergeCell ref="WSO2:WSQ2"/>
    <mergeCell ref="WSR2:WST2"/>
    <mergeCell ref="WSU2:WSW2"/>
    <mergeCell ref="WSX2:WSZ2"/>
    <mergeCell ref="WTA2:WTC2"/>
    <mergeCell ref="WRT2:WRV2"/>
    <mergeCell ref="WRW2:WRY2"/>
    <mergeCell ref="WRZ2:WSB2"/>
    <mergeCell ref="WSC2:WSE2"/>
    <mergeCell ref="WSF2:WSH2"/>
    <mergeCell ref="WSI2:WSK2"/>
    <mergeCell ref="WRB2:WRD2"/>
    <mergeCell ref="WRE2:WRG2"/>
    <mergeCell ref="WRH2:WRJ2"/>
    <mergeCell ref="WRK2:WRM2"/>
    <mergeCell ref="WRN2:WRP2"/>
    <mergeCell ref="WRQ2:WRS2"/>
    <mergeCell ref="WQJ2:WQL2"/>
    <mergeCell ref="WQM2:WQO2"/>
    <mergeCell ref="WQP2:WQR2"/>
    <mergeCell ref="WQS2:WQU2"/>
    <mergeCell ref="WQV2:WQX2"/>
    <mergeCell ref="WQY2:WRA2"/>
    <mergeCell ref="WXZ2:WYB2"/>
    <mergeCell ref="WYC2:WYE2"/>
    <mergeCell ref="WYF2:WYH2"/>
    <mergeCell ref="WYI2:WYK2"/>
    <mergeCell ref="WYL2:WYN2"/>
    <mergeCell ref="WYO2:WYQ2"/>
    <mergeCell ref="WXH2:WXJ2"/>
    <mergeCell ref="WXK2:WXM2"/>
    <mergeCell ref="WXN2:WXP2"/>
    <mergeCell ref="WXQ2:WXS2"/>
    <mergeCell ref="WXT2:WXV2"/>
    <mergeCell ref="WXW2:WXY2"/>
    <mergeCell ref="WWP2:WWR2"/>
    <mergeCell ref="WWS2:WWU2"/>
    <mergeCell ref="WWV2:WWX2"/>
    <mergeCell ref="WWY2:WXA2"/>
    <mergeCell ref="WXB2:WXD2"/>
    <mergeCell ref="WXE2:WXG2"/>
    <mergeCell ref="WVX2:WVZ2"/>
    <mergeCell ref="WWA2:WWC2"/>
    <mergeCell ref="WWD2:WWF2"/>
    <mergeCell ref="WWG2:WWI2"/>
    <mergeCell ref="WWJ2:WWL2"/>
    <mergeCell ref="WWM2:WWO2"/>
    <mergeCell ref="WVF2:WVH2"/>
    <mergeCell ref="WVI2:WVK2"/>
    <mergeCell ref="WVL2:WVN2"/>
    <mergeCell ref="WVO2:WVQ2"/>
    <mergeCell ref="WVR2:WVT2"/>
    <mergeCell ref="WVU2:WVW2"/>
    <mergeCell ref="WUN2:WUP2"/>
    <mergeCell ref="WUQ2:WUS2"/>
    <mergeCell ref="WUT2:WUV2"/>
    <mergeCell ref="WUW2:WUY2"/>
    <mergeCell ref="WUZ2:WVB2"/>
    <mergeCell ref="WVC2:WVE2"/>
    <mergeCell ref="XEX2:XEZ2"/>
    <mergeCell ref="XFA2:XFC2"/>
    <mergeCell ref="A3:C3"/>
    <mergeCell ref="D3:F3"/>
    <mergeCell ref="G3:I3"/>
    <mergeCell ref="J3:L3"/>
    <mergeCell ref="M3:O3"/>
    <mergeCell ref="P3:R3"/>
    <mergeCell ref="S3:U3"/>
    <mergeCell ref="V3:X3"/>
    <mergeCell ref="XEF2:XEH2"/>
    <mergeCell ref="XEI2:XEK2"/>
    <mergeCell ref="XEL2:XEN2"/>
    <mergeCell ref="XEO2:XEQ2"/>
    <mergeCell ref="XER2:XET2"/>
    <mergeCell ref="XEU2:XEW2"/>
    <mergeCell ref="XDN2:XDP2"/>
    <mergeCell ref="XDQ2:XDS2"/>
    <mergeCell ref="XDT2:XDV2"/>
    <mergeCell ref="XDW2:XDY2"/>
    <mergeCell ref="XDZ2:XEB2"/>
    <mergeCell ref="XEC2:XEE2"/>
    <mergeCell ref="XCV2:XCX2"/>
    <mergeCell ref="XCY2:XDA2"/>
    <mergeCell ref="XDB2:XDD2"/>
    <mergeCell ref="XDE2:XDG2"/>
    <mergeCell ref="XDH2:XDJ2"/>
    <mergeCell ref="XDK2:XDM2"/>
    <mergeCell ref="XCD2:XCF2"/>
    <mergeCell ref="XCG2:XCI2"/>
    <mergeCell ref="XCJ2:XCL2"/>
    <mergeCell ref="XCM2:XCO2"/>
    <mergeCell ref="XCP2:XCR2"/>
    <mergeCell ref="XCS2:XCU2"/>
    <mergeCell ref="XBL2:XBN2"/>
    <mergeCell ref="XBO2:XBQ2"/>
    <mergeCell ref="XBR2:XBT2"/>
    <mergeCell ref="XBU2:XBW2"/>
    <mergeCell ref="XBX2:XBZ2"/>
    <mergeCell ref="XCA2:XCC2"/>
    <mergeCell ref="XAT2:XAV2"/>
    <mergeCell ref="XAW2:XAY2"/>
    <mergeCell ref="XAZ2:XBB2"/>
    <mergeCell ref="XBC2:XBE2"/>
    <mergeCell ref="XBF2:XBH2"/>
    <mergeCell ref="XBI2:XBK2"/>
    <mergeCell ref="XAB2:XAD2"/>
    <mergeCell ref="XAE2:XAG2"/>
    <mergeCell ref="XAH2:XAJ2"/>
    <mergeCell ref="XAK2:XAM2"/>
    <mergeCell ref="XAN2:XAP2"/>
    <mergeCell ref="XAQ2:XAS2"/>
    <mergeCell ref="WZJ2:WZL2"/>
    <mergeCell ref="WZM2:WZO2"/>
    <mergeCell ref="WZP2:WZR2"/>
    <mergeCell ref="WZS2:WZU2"/>
    <mergeCell ref="WZV2:WZX2"/>
    <mergeCell ref="WZY2:XAA2"/>
    <mergeCell ref="WYR2:WYT2"/>
    <mergeCell ref="WYU2:WYW2"/>
    <mergeCell ref="WYX2:WYZ2"/>
    <mergeCell ref="WZA2:WZC2"/>
    <mergeCell ref="WZD2:WZF2"/>
    <mergeCell ref="WZG2:WZI2"/>
    <mergeCell ref="DT3:DV3"/>
    <mergeCell ref="DW3:DY3"/>
    <mergeCell ref="DZ3:EB3"/>
    <mergeCell ref="CS3:CU3"/>
    <mergeCell ref="CV3:CX3"/>
    <mergeCell ref="CY3:DA3"/>
    <mergeCell ref="DB3:DD3"/>
    <mergeCell ref="DE3:DG3"/>
    <mergeCell ref="DH3:DJ3"/>
    <mergeCell ref="CA3:CC3"/>
    <mergeCell ref="CD3:CF3"/>
    <mergeCell ref="CG3:CI3"/>
    <mergeCell ref="CJ3:CL3"/>
    <mergeCell ref="CM3:CO3"/>
    <mergeCell ref="CP3:CR3"/>
    <mergeCell ref="BI3:BK3"/>
    <mergeCell ref="BL3:BN3"/>
    <mergeCell ref="BO3:BQ3"/>
    <mergeCell ref="BR3:BT3"/>
    <mergeCell ref="BU3:BW3"/>
    <mergeCell ref="BX3:BZ3"/>
    <mergeCell ref="AQ3:AS3"/>
    <mergeCell ref="AT3:AV3"/>
    <mergeCell ref="AW3:AY3"/>
    <mergeCell ref="AZ3:BB3"/>
    <mergeCell ref="BC3:BE3"/>
    <mergeCell ref="BF3:BH3"/>
    <mergeCell ref="Y3:AA3"/>
    <mergeCell ref="AB3:AD3"/>
    <mergeCell ref="AE3:AG3"/>
    <mergeCell ref="AH3:AJ3"/>
    <mergeCell ref="AK3:AM3"/>
    <mergeCell ref="AN3:AP3"/>
    <mergeCell ref="HO3:HQ3"/>
    <mergeCell ref="HR3:HT3"/>
    <mergeCell ref="HU3:HW3"/>
    <mergeCell ref="HX3:HZ3"/>
    <mergeCell ref="IA3:IC3"/>
    <mergeCell ref="ID3:IF3"/>
    <mergeCell ref="GW3:GY3"/>
    <mergeCell ref="GZ3:HB3"/>
    <mergeCell ref="HC3:HE3"/>
    <mergeCell ref="HF3:HH3"/>
    <mergeCell ref="HI3:HK3"/>
    <mergeCell ref="HL3:HN3"/>
    <mergeCell ref="GE3:GG3"/>
    <mergeCell ref="GH3:GJ3"/>
    <mergeCell ref="GK3:GM3"/>
    <mergeCell ref="GN3:GP3"/>
    <mergeCell ref="GQ3:GS3"/>
    <mergeCell ref="GT3:GV3"/>
    <mergeCell ref="FM3:FO3"/>
    <mergeCell ref="FP3:FR3"/>
    <mergeCell ref="FS3:FU3"/>
    <mergeCell ref="FV3:FX3"/>
    <mergeCell ref="FY3:GA3"/>
    <mergeCell ref="GB3:GD3"/>
    <mergeCell ref="EU3:EW3"/>
    <mergeCell ref="EX3:EZ3"/>
    <mergeCell ref="FA3:FC3"/>
    <mergeCell ref="FD3:FF3"/>
    <mergeCell ref="FG3:FI3"/>
    <mergeCell ref="FJ3:FL3"/>
    <mergeCell ref="EC3:EE3"/>
    <mergeCell ref="EF3:EH3"/>
    <mergeCell ref="EI3:EK3"/>
    <mergeCell ref="EL3:EN3"/>
    <mergeCell ref="EO3:EQ3"/>
    <mergeCell ref="ER3:ET3"/>
    <mergeCell ref="LS3:LU3"/>
    <mergeCell ref="LV3:LX3"/>
    <mergeCell ref="LY3:MA3"/>
    <mergeCell ref="MB3:MD3"/>
    <mergeCell ref="ME3:MG3"/>
    <mergeCell ref="MH3:MJ3"/>
    <mergeCell ref="LA3:LC3"/>
    <mergeCell ref="LD3:LF3"/>
    <mergeCell ref="LG3:LI3"/>
    <mergeCell ref="LJ3:LL3"/>
    <mergeCell ref="LM3:LO3"/>
    <mergeCell ref="LP3:LR3"/>
    <mergeCell ref="KI3:KK3"/>
    <mergeCell ref="KL3:KN3"/>
    <mergeCell ref="KO3:KQ3"/>
    <mergeCell ref="KR3:KT3"/>
    <mergeCell ref="KU3:KW3"/>
    <mergeCell ref="KX3:KZ3"/>
    <mergeCell ref="JQ3:JS3"/>
    <mergeCell ref="JT3:JV3"/>
    <mergeCell ref="JW3:JY3"/>
    <mergeCell ref="JZ3:KB3"/>
    <mergeCell ref="KC3:KE3"/>
    <mergeCell ref="KF3:KH3"/>
    <mergeCell ref="IY3:JA3"/>
    <mergeCell ref="JB3:JD3"/>
    <mergeCell ref="JE3:JG3"/>
    <mergeCell ref="JH3:JJ3"/>
    <mergeCell ref="JK3:JM3"/>
    <mergeCell ref="JN3:JP3"/>
    <mergeCell ref="IG3:II3"/>
    <mergeCell ref="IJ3:IL3"/>
    <mergeCell ref="IM3:IO3"/>
    <mergeCell ref="IP3:IR3"/>
    <mergeCell ref="IS3:IU3"/>
    <mergeCell ref="IV3:IX3"/>
    <mergeCell ref="PW3:PY3"/>
    <mergeCell ref="PZ3:QB3"/>
    <mergeCell ref="QC3:QE3"/>
    <mergeCell ref="QF3:QH3"/>
    <mergeCell ref="QI3:QK3"/>
    <mergeCell ref="QL3:QN3"/>
    <mergeCell ref="PE3:PG3"/>
    <mergeCell ref="PH3:PJ3"/>
    <mergeCell ref="PK3:PM3"/>
    <mergeCell ref="PN3:PP3"/>
    <mergeCell ref="PQ3:PS3"/>
    <mergeCell ref="PT3:PV3"/>
    <mergeCell ref="OM3:OO3"/>
    <mergeCell ref="OP3:OR3"/>
    <mergeCell ref="OS3:OU3"/>
    <mergeCell ref="OV3:OX3"/>
    <mergeCell ref="OY3:PA3"/>
    <mergeCell ref="PB3:PD3"/>
    <mergeCell ref="NU3:NW3"/>
    <mergeCell ref="NX3:NZ3"/>
    <mergeCell ref="OA3:OC3"/>
    <mergeCell ref="OD3:OF3"/>
    <mergeCell ref="OG3:OI3"/>
    <mergeCell ref="OJ3:OL3"/>
    <mergeCell ref="NC3:NE3"/>
    <mergeCell ref="NF3:NH3"/>
    <mergeCell ref="NI3:NK3"/>
    <mergeCell ref="NL3:NN3"/>
    <mergeCell ref="NO3:NQ3"/>
    <mergeCell ref="NR3:NT3"/>
    <mergeCell ref="MK3:MM3"/>
    <mergeCell ref="MN3:MP3"/>
    <mergeCell ref="MQ3:MS3"/>
    <mergeCell ref="MT3:MV3"/>
    <mergeCell ref="MW3:MY3"/>
    <mergeCell ref="MZ3:NB3"/>
    <mergeCell ref="UA3:UC3"/>
    <mergeCell ref="UD3:UF3"/>
    <mergeCell ref="UG3:UI3"/>
    <mergeCell ref="UJ3:UL3"/>
    <mergeCell ref="UM3:UO3"/>
    <mergeCell ref="UP3:UR3"/>
    <mergeCell ref="TI3:TK3"/>
    <mergeCell ref="TL3:TN3"/>
    <mergeCell ref="TO3:TQ3"/>
    <mergeCell ref="TR3:TT3"/>
    <mergeCell ref="TU3:TW3"/>
    <mergeCell ref="TX3:TZ3"/>
    <mergeCell ref="SQ3:SS3"/>
    <mergeCell ref="ST3:SV3"/>
    <mergeCell ref="SW3:SY3"/>
    <mergeCell ref="SZ3:TB3"/>
    <mergeCell ref="TC3:TE3"/>
    <mergeCell ref="TF3:TH3"/>
    <mergeCell ref="RY3:SA3"/>
    <mergeCell ref="SB3:SD3"/>
    <mergeCell ref="SE3:SG3"/>
    <mergeCell ref="SH3:SJ3"/>
    <mergeCell ref="SK3:SM3"/>
    <mergeCell ref="SN3:SP3"/>
    <mergeCell ref="RG3:RI3"/>
    <mergeCell ref="RJ3:RL3"/>
    <mergeCell ref="RM3:RO3"/>
    <mergeCell ref="RP3:RR3"/>
    <mergeCell ref="RS3:RU3"/>
    <mergeCell ref="RV3:RX3"/>
    <mergeCell ref="QO3:QQ3"/>
    <mergeCell ref="QR3:QT3"/>
    <mergeCell ref="QU3:QW3"/>
    <mergeCell ref="QX3:QZ3"/>
    <mergeCell ref="RA3:RC3"/>
    <mergeCell ref="RD3:RF3"/>
    <mergeCell ref="YE3:YG3"/>
    <mergeCell ref="YH3:YJ3"/>
    <mergeCell ref="YK3:YM3"/>
    <mergeCell ref="YN3:YP3"/>
    <mergeCell ref="YQ3:YS3"/>
    <mergeCell ref="YT3:YV3"/>
    <mergeCell ref="XM3:XO3"/>
    <mergeCell ref="XP3:XR3"/>
    <mergeCell ref="XS3:XU3"/>
    <mergeCell ref="XV3:XX3"/>
    <mergeCell ref="XY3:YA3"/>
    <mergeCell ref="YB3:YD3"/>
    <mergeCell ref="WU3:WW3"/>
    <mergeCell ref="WX3:WZ3"/>
    <mergeCell ref="XA3:XC3"/>
    <mergeCell ref="XD3:XF3"/>
    <mergeCell ref="XG3:XI3"/>
    <mergeCell ref="XJ3:XL3"/>
    <mergeCell ref="WC3:WE3"/>
    <mergeCell ref="WF3:WH3"/>
    <mergeCell ref="WI3:WK3"/>
    <mergeCell ref="WL3:WN3"/>
    <mergeCell ref="WO3:WQ3"/>
    <mergeCell ref="WR3:WT3"/>
    <mergeCell ref="VK3:VM3"/>
    <mergeCell ref="VN3:VP3"/>
    <mergeCell ref="VQ3:VS3"/>
    <mergeCell ref="VT3:VV3"/>
    <mergeCell ref="VW3:VY3"/>
    <mergeCell ref="VZ3:WB3"/>
    <mergeCell ref="US3:UU3"/>
    <mergeCell ref="UV3:UX3"/>
    <mergeCell ref="UY3:VA3"/>
    <mergeCell ref="VB3:VD3"/>
    <mergeCell ref="VE3:VG3"/>
    <mergeCell ref="VH3:VJ3"/>
    <mergeCell ref="ACI3:ACK3"/>
    <mergeCell ref="ACL3:ACN3"/>
    <mergeCell ref="ACO3:ACQ3"/>
    <mergeCell ref="ACR3:ACT3"/>
    <mergeCell ref="ACU3:ACW3"/>
    <mergeCell ref="ACX3:ACZ3"/>
    <mergeCell ref="ABQ3:ABS3"/>
    <mergeCell ref="ABT3:ABV3"/>
    <mergeCell ref="ABW3:ABY3"/>
    <mergeCell ref="ABZ3:ACB3"/>
    <mergeCell ref="ACC3:ACE3"/>
    <mergeCell ref="ACF3:ACH3"/>
    <mergeCell ref="AAY3:ABA3"/>
    <mergeCell ref="ABB3:ABD3"/>
    <mergeCell ref="ABE3:ABG3"/>
    <mergeCell ref="ABH3:ABJ3"/>
    <mergeCell ref="ABK3:ABM3"/>
    <mergeCell ref="ABN3:ABP3"/>
    <mergeCell ref="AAG3:AAI3"/>
    <mergeCell ref="AAJ3:AAL3"/>
    <mergeCell ref="AAM3:AAO3"/>
    <mergeCell ref="AAP3:AAR3"/>
    <mergeCell ref="AAS3:AAU3"/>
    <mergeCell ref="AAV3:AAX3"/>
    <mergeCell ref="ZO3:ZQ3"/>
    <mergeCell ref="ZR3:ZT3"/>
    <mergeCell ref="ZU3:ZW3"/>
    <mergeCell ref="ZX3:ZZ3"/>
    <mergeCell ref="AAA3:AAC3"/>
    <mergeCell ref="AAD3:AAF3"/>
    <mergeCell ref="YW3:YY3"/>
    <mergeCell ref="YZ3:ZB3"/>
    <mergeCell ref="ZC3:ZE3"/>
    <mergeCell ref="ZF3:ZH3"/>
    <mergeCell ref="ZI3:ZK3"/>
    <mergeCell ref="ZL3:ZN3"/>
    <mergeCell ref="AGM3:AGO3"/>
    <mergeCell ref="AGP3:AGR3"/>
    <mergeCell ref="AGS3:AGU3"/>
    <mergeCell ref="AGV3:AGX3"/>
    <mergeCell ref="AGY3:AHA3"/>
    <mergeCell ref="AHB3:AHD3"/>
    <mergeCell ref="AFU3:AFW3"/>
    <mergeCell ref="AFX3:AFZ3"/>
    <mergeCell ref="AGA3:AGC3"/>
    <mergeCell ref="AGD3:AGF3"/>
    <mergeCell ref="AGG3:AGI3"/>
    <mergeCell ref="AGJ3:AGL3"/>
    <mergeCell ref="AFC3:AFE3"/>
    <mergeCell ref="AFF3:AFH3"/>
    <mergeCell ref="AFI3:AFK3"/>
    <mergeCell ref="AFL3:AFN3"/>
    <mergeCell ref="AFO3:AFQ3"/>
    <mergeCell ref="AFR3:AFT3"/>
    <mergeCell ref="AEK3:AEM3"/>
    <mergeCell ref="AEN3:AEP3"/>
    <mergeCell ref="AEQ3:AES3"/>
    <mergeCell ref="AET3:AEV3"/>
    <mergeCell ref="AEW3:AEY3"/>
    <mergeCell ref="AEZ3:AFB3"/>
    <mergeCell ref="ADS3:ADU3"/>
    <mergeCell ref="ADV3:ADX3"/>
    <mergeCell ref="ADY3:AEA3"/>
    <mergeCell ref="AEB3:AED3"/>
    <mergeCell ref="AEE3:AEG3"/>
    <mergeCell ref="AEH3:AEJ3"/>
    <mergeCell ref="ADA3:ADC3"/>
    <mergeCell ref="ADD3:ADF3"/>
    <mergeCell ref="ADG3:ADI3"/>
    <mergeCell ref="ADJ3:ADL3"/>
    <mergeCell ref="ADM3:ADO3"/>
    <mergeCell ref="ADP3:ADR3"/>
    <mergeCell ref="AKQ3:AKS3"/>
    <mergeCell ref="AKT3:AKV3"/>
    <mergeCell ref="AKW3:AKY3"/>
    <mergeCell ref="AKZ3:ALB3"/>
    <mergeCell ref="ALC3:ALE3"/>
    <mergeCell ref="ALF3:ALH3"/>
    <mergeCell ref="AJY3:AKA3"/>
    <mergeCell ref="AKB3:AKD3"/>
    <mergeCell ref="AKE3:AKG3"/>
    <mergeCell ref="AKH3:AKJ3"/>
    <mergeCell ref="AKK3:AKM3"/>
    <mergeCell ref="AKN3:AKP3"/>
    <mergeCell ref="AJG3:AJI3"/>
    <mergeCell ref="AJJ3:AJL3"/>
    <mergeCell ref="AJM3:AJO3"/>
    <mergeCell ref="AJP3:AJR3"/>
    <mergeCell ref="AJS3:AJU3"/>
    <mergeCell ref="AJV3:AJX3"/>
    <mergeCell ref="AIO3:AIQ3"/>
    <mergeCell ref="AIR3:AIT3"/>
    <mergeCell ref="AIU3:AIW3"/>
    <mergeCell ref="AIX3:AIZ3"/>
    <mergeCell ref="AJA3:AJC3"/>
    <mergeCell ref="AJD3:AJF3"/>
    <mergeCell ref="AHW3:AHY3"/>
    <mergeCell ref="AHZ3:AIB3"/>
    <mergeCell ref="AIC3:AIE3"/>
    <mergeCell ref="AIF3:AIH3"/>
    <mergeCell ref="AII3:AIK3"/>
    <mergeCell ref="AIL3:AIN3"/>
    <mergeCell ref="AHE3:AHG3"/>
    <mergeCell ref="AHH3:AHJ3"/>
    <mergeCell ref="AHK3:AHM3"/>
    <mergeCell ref="AHN3:AHP3"/>
    <mergeCell ref="AHQ3:AHS3"/>
    <mergeCell ref="AHT3:AHV3"/>
    <mergeCell ref="AOU3:AOW3"/>
    <mergeCell ref="AOX3:AOZ3"/>
    <mergeCell ref="APA3:APC3"/>
    <mergeCell ref="APD3:APF3"/>
    <mergeCell ref="APG3:API3"/>
    <mergeCell ref="APJ3:APL3"/>
    <mergeCell ref="AOC3:AOE3"/>
    <mergeCell ref="AOF3:AOH3"/>
    <mergeCell ref="AOI3:AOK3"/>
    <mergeCell ref="AOL3:AON3"/>
    <mergeCell ref="AOO3:AOQ3"/>
    <mergeCell ref="AOR3:AOT3"/>
    <mergeCell ref="ANK3:ANM3"/>
    <mergeCell ref="ANN3:ANP3"/>
    <mergeCell ref="ANQ3:ANS3"/>
    <mergeCell ref="ANT3:ANV3"/>
    <mergeCell ref="ANW3:ANY3"/>
    <mergeCell ref="ANZ3:AOB3"/>
    <mergeCell ref="AMS3:AMU3"/>
    <mergeCell ref="AMV3:AMX3"/>
    <mergeCell ref="AMY3:ANA3"/>
    <mergeCell ref="ANB3:AND3"/>
    <mergeCell ref="ANE3:ANG3"/>
    <mergeCell ref="ANH3:ANJ3"/>
    <mergeCell ref="AMA3:AMC3"/>
    <mergeCell ref="AMD3:AMF3"/>
    <mergeCell ref="AMG3:AMI3"/>
    <mergeCell ref="AMJ3:AML3"/>
    <mergeCell ref="AMM3:AMO3"/>
    <mergeCell ref="AMP3:AMR3"/>
    <mergeCell ref="ALI3:ALK3"/>
    <mergeCell ref="ALL3:ALN3"/>
    <mergeCell ref="ALO3:ALQ3"/>
    <mergeCell ref="ALR3:ALT3"/>
    <mergeCell ref="ALU3:ALW3"/>
    <mergeCell ref="ALX3:ALZ3"/>
    <mergeCell ref="ASY3:ATA3"/>
    <mergeCell ref="ATB3:ATD3"/>
    <mergeCell ref="ATE3:ATG3"/>
    <mergeCell ref="ATH3:ATJ3"/>
    <mergeCell ref="ATK3:ATM3"/>
    <mergeCell ref="ATN3:ATP3"/>
    <mergeCell ref="ASG3:ASI3"/>
    <mergeCell ref="ASJ3:ASL3"/>
    <mergeCell ref="ASM3:ASO3"/>
    <mergeCell ref="ASP3:ASR3"/>
    <mergeCell ref="ASS3:ASU3"/>
    <mergeCell ref="ASV3:ASX3"/>
    <mergeCell ref="ARO3:ARQ3"/>
    <mergeCell ref="ARR3:ART3"/>
    <mergeCell ref="ARU3:ARW3"/>
    <mergeCell ref="ARX3:ARZ3"/>
    <mergeCell ref="ASA3:ASC3"/>
    <mergeCell ref="ASD3:ASF3"/>
    <mergeCell ref="AQW3:AQY3"/>
    <mergeCell ref="AQZ3:ARB3"/>
    <mergeCell ref="ARC3:ARE3"/>
    <mergeCell ref="ARF3:ARH3"/>
    <mergeCell ref="ARI3:ARK3"/>
    <mergeCell ref="ARL3:ARN3"/>
    <mergeCell ref="AQE3:AQG3"/>
    <mergeCell ref="AQH3:AQJ3"/>
    <mergeCell ref="AQK3:AQM3"/>
    <mergeCell ref="AQN3:AQP3"/>
    <mergeCell ref="AQQ3:AQS3"/>
    <mergeCell ref="AQT3:AQV3"/>
    <mergeCell ref="APM3:APO3"/>
    <mergeCell ref="APP3:APR3"/>
    <mergeCell ref="APS3:APU3"/>
    <mergeCell ref="APV3:APX3"/>
    <mergeCell ref="APY3:AQA3"/>
    <mergeCell ref="AQB3:AQD3"/>
    <mergeCell ref="AXC3:AXE3"/>
    <mergeCell ref="AXF3:AXH3"/>
    <mergeCell ref="AXI3:AXK3"/>
    <mergeCell ref="AXL3:AXN3"/>
    <mergeCell ref="AXO3:AXQ3"/>
    <mergeCell ref="AXR3:AXT3"/>
    <mergeCell ref="AWK3:AWM3"/>
    <mergeCell ref="AWN3:AWP3"/>
    <mergeCell ref="AWQ3:AWS3"/>
    <mergeCell ref="AWT3:AWV3"/>
    <mergeCell ref="AWW3:AWY3"/>
    <mergeCell ref="AWZ3:AXB3"/>
    <mergeCell ref="AVS3:AVU3"/>
    <mergeCell ref="AVV3:AVX3"/>
    <mergeCell ref="AVY3:AWA3"/>
    <mergeCell ref="AWB3:AWD3"/>
    <mergeCell ref="AWE3:AWG3"/>
    <mergeCell ref="AWH3:AWJ3"/>
    <mergeCell ref="AVA3:AVC3"/>
    <mergeCell ref="AVD3:AVF3"/>
    <mergeCell ref="AVG3:AVI3"/>
    <mergeCell ref="AVJ3:AVL3"/>
    <mergeCell ref="AVM3:AVO3"/>
    <mergeCell ref="AVP3:AVR3"/>
    <mergeCell ref="AUI3:AUK3"/>
    <mergeCell ref="AUL3:AUN3"/>
    <mergeCell ref="AUO3:AUQ3"/>
    <mergeCell ref="AUR3:AUT3"/>
    <mergeCell ref="AUU3:AUW3"/>
    <mergeCell ref="AUX3:AUZ3"/>
    <mergeCell ref="ATQ3:ATS3"/>
    <mergeCell ref="ATT3:ATV3"/>
    <mergeCell ref="ATW3:ATY3"/>
    <mergeCell ref="ATZ3:AUB3"/>
    <mergeCell ref="AUC3:AUE3"/>
    <mergeCell ref="AUF3:AUH3"/>
    <mergeCell ref="BBG3:BBI3"/>
    <mergeCell ref="BBJ3:BBL3"/>
    <mergeCell ref="BBM3:BBO3"/>
    <mergeCell ref="BBP3:BBR3"/>
    <mergeCell ref="BBS3:BBU3"/>
    <mergeCell ref="BBV3:BBX3"/>
    <mergeCell ref="BAO3:BAQ3"/>
    <mergeCell ref="BAR3:BAT3"/>
    <mergeCell ref="BAU3:BAW3"/>
    <mergeCell ref="BAX3:BAZ3"/>
    <mergeCell ref="BBA3:BBC3"/>
    <mergeCell ref="BBD3:BBF3"/>
    <mergeCell ref="AZW3:AZY3"/>
    <mergeCell ref="AZZ3:BAB3"/>
    <mergeCell ref="BAC3:BAE3"/>
    <mergeCell ref="BAF3:BAH3"/>
    <mergeCell ref="BAI3:BAK3"/>
    <mergeCell ref="BAL3:BAN3"/>
    <mergeCell ref="AZE3:AZG3"/>
    <mergeCell ref="AZH3:AZJ3"/>
    <mergeCell ref="AZK3:AZM3"/>
    <mergeCell ref="AZN3:AZP3"/>
    <mergeCell ref="AZQ3:AZS3"/>
    <mergeCell ref="AZT3:AZV3"/>
    <mergeCell ref="AYM3:AYO3"/>
    <mergeCell ref="AYP3:AYR3"/>
    <mergeCell ref="AYS3:AYU3"/>
    <mergeCell ref="AYV3:AYX3"/>
    <mergeCell ref="AYY3:AZA3"/>
    <mergeCell ref="AZB3:AZD3"/>
    <mergeCell ref="AXU3:AXW3"/>
    <mergeCell ref="AXX3:AXZ3"/>
    <mergeCell ref="AYA3:AYC3"/>
    <mergeCell ref="AYD3:AYF3"/>
    <mergeCell ref="AYG3:AYI3"/>
    <mergeCell ref="AYJ3:AYL3"/>
    <mergeCell ref="BFK3:BFM3"/>
    <mergeCell ref="BFN3:BFP3"/>
    <mergeCell ref="BFQ3:BFS3"/>
    <mergeCell ref="BFT3:BFV3"/>
    <mergeCell ref="BFW3:BFY3"/>
    <mergeCell ref="BFZ3:BGB3"/>
    <mergeCell ref="BES3:BEU3"/>
    <mergeCell ref="BEV3:BEX3"/>
    <mergeCell ref="BEY3:BFA3"/>
    <mergeCell ref="BFB3:BFD3"/>
    <mergeCell ref="BFE3:BFG3"/>
    <mergeCell ref="BFH3:BFJ3"/>
    <mergeCell ref="BEA3:BEC3"/>
    <mergeCell ref="BED3:BEF3"/>
    <mergeCell ref="BEG3:BEI3"/>
    <mergeCell ref="BEJ3:BEL3"/>
    <mergeCell ref="BEM3:BEO3"/>
    <mergeCell ref="BEP3:BER3"/>
    <mergeCell ref="BDI3:BDK3"/>
    <mergeCell ref="BDL3:BDN3"/>
    <mergeCell ref="BDO3:BDQ3"/>
    <mergeCell ref="BDR3:BDT3"/>
    <mergeCell ref="BDU3:BDW3"/>
    <mergeCell ref="BDX3:BDZ3"/>
    <mergeCell ref="BCQ3:BCS3"/>
    <mergeCell ref="BCT3:BCV3"/>
    <mergeCell ref="BCW3:BCY3"/>
    <mergeCell ref="BCZ3:BDB3"/>
    <mergeCell ref="BDC3:BDE3"/>
    <mergeCell ref="BDF3:BDH3"/>
    <mergeCell ref="BBY3:BCA3"/>
    <mergeCell ref="BCB3:BCD3"/>
    <mergeCell ref="BCE3:BCG3"/>
    <mergeCell ref="BCH3:BCJ3"/>
    <mergeCell ref="BCK3:BCM3"/>
    <mergeCell ref="BCN3:BCP3"/>
    <mergeCell ref="BJO3:BJQ3"/>
    <mergeCell ref="BJR3:BJT3"/>
    <mergeCell ref="BJU3:BJW3"/>
    <mergeCell ref="BJX3:BJZ3"/>
    <mergeCell ref="BKA3:BKC3"/>
    <mergeCell ref="BKD3:BKF3"/>
    <mergeCell ref="BIW3:BIY3"/>
    <mergeCell ref="BIZ3:BJB3"/>
    <mergeCell ref="BJC3:BJE3"/>
    <mergeCell ref="BJF3:BJH3"/>
    <mergeCell ref="BJI3:BJK3"/>
    <mergeCell ref="BJL3:BJN3"/>
    <mergeCell ref="BIE3:BIG3"/>
    <mergeCell ref="BIH3:BIJ3"/>
    <mergeCell ref="BIK3:BIM3"/>
    <mergeCell ref="BIN3:BIP3"/>
    <mergeCell ref="BIQ3:BIS3"/>
    <mergeCell ref="BIT3:BIV3"/>
    <mergeCell ref="BHM3:BHO3"/>
    <mergeCell ref="BHP3:BHR3"/>
    <mergeCell ref="BHS3:BHU3"/>
    <mergeCell ref="BHV3:BHX3"/>
    <mergeCell ref="BHY3:BIA3"/>
    <mergeCell ref="BIB3:BID3"/>
    <mergeCell ref="BGU3:BGW3"/>
    <mergeCell ref="BGX3:BGZ3"/>
    <mergeCell ref="BHA3:BHC3"/>
    <mergeCell ref="BHD3:BHF3"/>
    <mergeCell ref="BHG3:BHI3"/>
    <mergeCell ref="BHJ3:BHL3"/>
    <mergeCell ref="BGC3:BGE3"/>
    <mergeCell ref="BGF3:BGH3"/>
    <mergeCell ref="BGI3:BGK3"/>
    <mergeCell ref="BGL3:BGN3"/>
    <mergeCell ref="BGO3:BGQ3"/>
    <mergeCell ref="BGR3:BGT3"/>
    <mergeCell ref="BNS3:BNU3"/>
    <mergeCell ref="BNV3:BNX3"/>
    <mergeCell ref="BNY3:BOA3"/>
    <mergeCell ref="BOB3:BOD3"/>
    <mergeCell ref="BOE3:BOG3"/>
    <mergeCell ref="BOH3:BOJ3"/>
    <mergeCell ref="BNA3:BNC3"/>
    <mergeCell ref="BND3:BNF3"/>
    <mergeCell ref="BNG3:BNI3"/>
    <mergeCell ref="BNJ3:BNL3"/>
    <mergeCell ref="BNM3:BNO3"/>
    <mergeCell ref="BNP3:BNR3"/>
    <mergeCell ref="BMI3:BMK3"/>
    <mergeCell ref="BML3:BMN3"/>
    <mergeCell ref="BMO3:BMQ3"/>
    <mergeCell ref="BMR3:BMT3"/>
    <mergeCell ref="BMU3:BMW3"/>
    <mergeCell ref="BMX3:BMZ3"/>
    <mergeCell ref="BLQ3:BLS3"/>
    <mergeCell ref="BLT3:BLV3"/>
    <mergeCell ref="BLW3:BLY3"/>
    <mergeCell ref="BLZ3:BMB3"/>
    <mergeCell ref="BMC3:BME3"/>
    <mergeCell ref="BMF3:BMH3"/>
    <mergeCell ref="BKY3:BLA3"/>
    <mergeCell ref="BLB3:BLD3"/>
    <mergeCell ref="BLE3:BLG3"/>
    <mergeCell ref="BLH3:BLJ3"/>
    <mergeCell ref="BLK3:BLM3"/>
    <mergeCell ref="BLN3:BLP3"/>
    <mergeCell ref="BKG3:BKI3"/>
    <mergeCell ref="BKJ3:BKL3"/>
    <mergeCell ref="BKM3:BKO3"/>
    <mergeCell ref="BKP3:BKR3"/>
    <mergeCell ref="BKS3:BKU3"/>
    <mergeCell ref="BKV3:BKX3"/>
    <mergeCell ref="BRW3:BRY3"/>
    <mergeCell ref="BRZ3:BSB3"/>
    <mergeCell ref="BSC3:BSE3"/>
    <mergeCell ref="BSF3:BSH3"/>
    <mergeCell ref="BSI3:BSK3"/>
    <mergeCell ref="BSL3:BSN3"/>
    <mergeCell ref="BRE3:BRG3"/>
    <mergeCell ref="BRH3:BRJ3"/>
    <mergeCell ref="BRK3:BRM3"/>
    <mergeCell ref="BRN3:BRP3"/>
    <mergeCell ref="BRQ3:BRS3"/>
    <mergeCell ref="BRT3:BRV3"/>
    <mergeCell ref="BQM3:BQO3"/>
    <mergeCell ref="BQP3:BQR3"/>
    <mergeCell ref="BQS3:BQU3"/>
    <mergeCell ref="BQV3:BQX3"/>
    <mergeCell ref="BQY3:BRA3"/>
    <mergeCell ref="BRB3:BRD3"/>
    <mergeCell ref="BPU3:BPW3"/>
    <mergeCell ref="BPX3:BPZ3"/>
    <mergeCell ref="BQA3:BQC3"/>
    <mergeCell ref="BQD3:BQF3"/>
    <mergeCell ref="BQG3:BQI3"/>
    <mergeCell ref="BQJ3:BQL3"/>
    <mergeCell ref="BPC3:BPE3"/>
    <mergeCell ref="BPF3:BPH3"/>
    <mergeCell ref="BPI3:BPK3"/>
    <mergeCell ref="BPL3:BPN3"/>
    <mergeCell ref="BPO3:BPQ3"/>
    <mergeCell ref="BPR3:BPT3"/>
    <mergeCell ref="BOK3:BOM3"/>
    <mergeCell ref="BON3:BOP3"/>
    <mergeCell ref="BOQ3:BOS3"/>
    <mergeCell ref="BOT3:BOV3"/>
    <mergeCell ref="BOW3:BOY3"/>
    <mergeCell ref="BOZ3:BPB3"/>
    <mergeCell ref="BWA3:BWC3"/>
    <mergeCell ref="BWD3:BWF3"/>
    <mergeCell ref="BWG3:BWI3"/>
    <mergeCell ref="BWJ3:BWL3"/>
    <mergeCell ref="BWM3:BWO3"/>
    <mergeCell ref="BWP3:BWR3"/>
    <mergeCell ref="BVI3:BVK3"/>
    <mergeCell ref="BVL3:BVN3"/>
    <mergeCell ref="BVO3:BVQ3"/>
    <mergeCell ref="BVR3:BVT3"/>
    <mergeCell ref="BVU3:BVW3"/>
    <mergeCell ref="BVX3:BVZ3"/>
    <mergeCell ref="BUQ3:BUS3"/>
    <mergeCell ref="BUT3:BUV3"/>
    <mergeCell ref="BUW3:BUY3"/>
    <mergeCell ref="BUZ3:BVB3"/>
    <mergeCell ref="BVC3:BVE3"/>
    <mergeCell ref="BVF3:BVH3"/>
    <mergeCell ref="BTY3:BUA3"/>
    <mergeCell ref="BUB3:BUD3"/>
    <mergeCell ref="BUE3:BUG3"/>
    <mergeCell ref="BUH3:BUJ3"/>
    <mergeCell ref="BUK3:BUM3"/>
    <mergeCell ref="BUN3:BUP3"/>
    <mergeCell ref="BTG3:BTI3"/>
    <mergeCell ref="BTJ3:BTL3"/>
    <mergeCell ref="BTM3:BTO3"/>
    <mergeCell ref="BTP3:BTR3"/>
    <mergeCell ref="BTS3:BTU3"/>
    <mergeCell ref="BTV3:BTX3"/>
    <mergeCell ref="BSO3:BSQ3"/>
    <mergeCell ref="BSR3:BST3"/>
    <mergeCell ref="BSU3:BSW3"/>
    <mergeCell ref="BSX3:BSZ3"/>
    <mergeCell ref="BTA3:BTC3"/>
    <mergeCell ref="BTD3:BTF3"/>
    <mergeCell ref="CAE3:CAG3"/>
    <mergeCell ref="CAH3:CAJ3"/>
    <mergeCell ref="CAK3:CAM3"/>
    <mergeCell ref="CAN3:CAP3"/>
    <mergeCell ref="CAQ3:CAS3"/>
    <mergeCell ref="CAT3:CAV3"/>
    <mergeCell ref="BZM3:BZO3"/>
    <mergeCell ref="BZP3:BZR3"/>
    <mergeCell ref="BZS3:BZU3"/>
    <mergeCell ref="BZV3:BZX3"/>
    <mergeCell ref="BZY3:CAA3"/>
    <mergeCell ref="CAB3:CAD3"/>
    <mergeCell ref="BYU3:BYW3"/>
    <mergeCell ref="BYX3:BYZ3"/>
    <mergeCell ref="BZA3:BZC3"/>
    <mergeCell ref="BZD3:BZF3"/>
    <mergeCell ref="BZG3:BZI3"/>
    <mergeCell ref="BZJ3:BZL3"/>
    <mergeCell ref="BYC3:BYE3"/>
    <mergeCell ref="BYF3:BYH3"/>
    <mergeCell ref="BYI3:BYK3"/>
    <mergeCell ref="BYL3:BYN3"/>
    <mergeCell ref="BYO3:BYQ3"/>
    <mergeCell ref="BYR3:BYT3"/>
    <mergeCell ref="BXK3:BXM3"/>
    <mergeCell ref="BXN3:BXP3"/>
    <mergeCell ref="BXQ3:BXS3"/>
    <mergeCell ref="BXT3:BXV3"/>
    <mergeCell ref="BXW3:BXY3"/>
    <mergeCell ref="BXZ3:BYB3"/>
    <mergeCell ref="BWS3:BWU3"/>
    <mergeCell ref="BWV3:BWX3"/>
    <mergeCell ref="BWY3:BXA3"/>
    <mergeCell ref="BXB3:BXD3"/>
    <mergeCell ref="BXE3:BXG3"/>
    <mergeCell ref="BXH3:BXJ3"/>
    <mergeCell ref="CEI3:CEK3"/>
    <mergeCell ref="CEL3:CEN3"/>
    <mergeCell ref="CEO3:CEQ3"/>
    <mergeCell ref="CER3:CET3"/>
    <mergeCell ref="CEU3:CEW3"/>
    <mergeCell ref="CEX3:CEZ3"/>
    <mergeCell ref="CDQ3:CDS3"/>
    <mergeCell ref="CDT3:CDV3"/>
    <mergeCell ref="CDW3:CDY3"/>
    <mergeCell ref="CDZ3:CEB3"/>
    <mergeCell ref="CEC3:CEE3"/>
    <mergeCell ref="CEF3:CEH3"/>
    <mergeCell ref="CCY3:CDA3"/>
    <mergeCell ref="CDB3:CDD3"/>
    <mergeCell ref="CDE3:CDG3"/>
    <mergeCell ref="CDH3:CDJ3"/>
    <mergeCell ref="CDK3:CDM3"/>
    <mergeCell ref="CDN3:CDP3"/>
    <mergeCell ref="CCG3:CCI3"/>
    <mergeCell ref="CCJ3:CCL3"/>
    <mergeCell ref="CCM3:CCO3"/>
    <mergeCell ref="CCP3:CCR3"/>
    <mergeCell ref="CCS3:CCU3"/>
    <mergeCell ref="CCV3:CCX3"/>
    <mergeCell ref="CBO3:CBQ3"/>
    <mergeCell ref="CBR3:CBT3"/>
    <mergeCell ref="CBU3:CBW3"/>
    <mergeCell ref="CBX3:CBZ3"/>
    <mergeCell ref="CCA3:CCC3"/>
    <mergeCell ref="CCD3:CCF3"/>
    <mergeCell ref="CAW3:CAY3"/>
    <mergeCell ref="CAZ3:CBB3"/>
    <mergeCell ref="CBC3:CBE3"/>
    <mergeCell ref="CBF3:CBH3"/>
    <mergeCell ref="CBI3:CBK3"/>
    <mergeCell ref="CBL3:CBN3"/>
    <mergeCell ref="CIM3:CIO3"/>
    <mergeCell ref="CIP3:CIR3"/>
    <mergeCell ref="CIS3:CIU3"/>
    <mergeCell ref="CIV3:CIX3"/>
    <mergeCell ref="CIY3:CJA3"/>
    <mergeCell ref="CJB3:CJD3"/>
    <mergeCell ref="CHU3:CHW3"/>
    <mergeCell ref="CHX3:CHZ3"/>
    <mergeCell ref="CIA3:CIC3"/>
    <mergeCell ref="CID3:CIF3"/>
    <mergeCell ref="CIG3:CII3"/>
    <mergeCell ref="CIJ3:CIL3"/>
    <mergeCell ref="CHC3:CHE3"/>
    <mergeCell ref="CHF3:CHH3"/>
    <mergeCell ref="CHI3:CHK3"/>
    <mergeCell ref="CHL3:CHN3"/>
    <mergeCell ref="CHO3:CHQ3"/>
    <mergeCell ref="CHR3:CHT3"/>
    <mergeCell ref="CGK3:CGM3"/>
    <mergeCell ref="CGN3:CGP3"/>
    <mergeCell ref="CGQ3:CGS3"/>
    <mergeCell ref="CGT3:CGV3"/>
    <mergeCell ref="CGW3:CGY3"/>
    <mergeCell ref="CGZ3:CHB3"/>
    <mergeCell ref="CFS3:CFU3"/>
    <mergeCell ref="CFV3:CFX3"/>
    <mergeCell ref="CFY3:CGA3"/>
    <mergeCell ref="CGB3:CGD3"/>
    <mergeCell ref="CGE3:CGG3"/>
    <mergeCell ref="CGH3:CGJ3"/>
    <mergeCell ref="CFA3:CFC3"/>
    <mergeCell ref="CFD3:CFF3"/>
    <mergeCell ref="CFG3:CFI3"/>
    <mergeCell ref="CFJ3:CFL3"/>
    <mergeCell ref="CFM3:CFO3"/>
    <mergeCell ref="CFP3:CFR3"/>
    <mergeCell ref="CMQ3:CMS3"/>
    <mergeCell ref="CMT3:CMV3"/>
    <mergeCell ref="CMW3:CMY3"/>
    <mergeCell ref="CMZ3:CNB3"/>
    <mergeCell ref="CNC3:CNE3"/>
    <mergeCell ref="CNF3:CNH3"/>
    <mergeCell ref="CLY3:CMA3"/>
    <mergeCell ref="CMB3:CMD3"/>
    <mergeCell ref="CME3:CMG3"/>
    <mergeCell ref="CMH3:CMJ3"/>
    <mergeCell ref="CMK3:CMM3"/>
    <mergeCell ref="CMN3:CMP3"/>
    <mergeCell ref="CLG3:CLI3"/>
    <mergeCell ref="CLJ3:CLL3"/>
    <mergeCell ref="CLM3:CLO3"/>
    <mergeCell ref="CLP3:CLR3"/>
    <mergeCell ref="CLS3:CLU3"/>
    <mergeCell ref="CLV3:CLX3"/>
    <mergeCell ref="CKO3:CKQ3"/>
    <mergeCell ref="CKR3:CKT3"/>
    <mergeCell ref="CKU3:CKW3"/>
    <mergeCell ref="CKX3:CKZ3"/>
    <mergeCell ref="CLA3:CLC3"/>
    <mergeCell ref="CLD3:CLF3"/>
    <mergeCell ref="CJW3:CJY3"/>
    <mergeCell ref="CJZ3:CKB3"/>
    <mergeCell ref="CKC3:CKE3"/>
    <mergeCell ref="CKF3:CKH3"/>
    <mergeCell ref="CKI3:CKK3"/>
    <mergeCell ref="CKL3:CKN3"/>
    <mergeCell ref="CJE3:CJG3"/>
    <mergeCell ref="CJH3:CJJ3"/>
    <mergeCell ref="CJK3:CJM3"/>
    <mergeCell ref="CJN3:CJP3"/>
    <mergeCell ref="CJQ3:CJS3"/>
    <mergeCell ref="CJT3:CJV3"/>
    <mergeCell ref="CQU3:CQW3"/>
    <mergeCell ref="CQX3:CQZ3"/>
    <mergeCell ref="CRA3:CRC3"/>
    <mergeCell ref="CRD3:CRF3"/>
    <mergeCell ref="CRG3:CRI3"/>
    <mergeCell ref="CRJ3:CRL3"/>
    <mergeCell ref="CQC3:CQE3"/>
    <mergeCell ref="CQF3:CQH3"/>
    <mergeCell ref="CQI3:CQK3"/>
    <mergeCell ref="CQL3:CQN3"/>
    <mergeCell ref="CQO3:CQQ3"/>
    <mergeCell ref="CQR3:CQT3"/>
    <mergeCell ref="CPK3:CPM3"/>
    <mergeCell ref="CPN3:CPP3"/>
    <mergeCell ref="CPQ3:CPS3"/>
    <mergeCell ref="CPT3:CPV3"/>
    <mergeCell ref="CPW3:CPY3"/>
    <mergeCell ref="CPZ3:CQB3"/>
    <mergeCell ref="COS3:COU3"/>
    <mergeCell ref="COV3:COX3"/>
    <mergeCell ref="COY3:CPA3"/>
    <mergeCell ref="CPB3:CPD3"/>
    <mergeCell ref="CPE3:CPG3"/>
    <mergeCell ref="CPH3:CPJ3"/>
    <mergeCell ref="COA3:COC3"/>
    <mergeCell ref="COD3:COF3"/>
    <mergeCell ref="COG3:COI3"/>
    <mergeCell ref="COJ3:COL3"/>
    <mergeCell ref="COM3:COO3"/>
    <mergeCell ref="COP3:COR3"/>
    <mergeCell ref="CNI3:CNK3"/>
    <mergeCell ref="CNL3:CNN3"/>
    <mergeCell ref="CNO3:CNQ3"/>
    <mergeCell ref="CNR3:CNT3"/>
    <mergeCell ref="CNU3:CNW3"/>
    <mergeCell ref="CNX3:CNZ3"/>
    <mergeCell ref="CUY3:CVA3"/>
    <mergeCell ref="CVB3:CVD3"/>
    <mergeCell ref="CVE3:CVG3"/>
    <mergeCell ref="CVH3:CVJ3"/>
    <mergeCell ref="CVK3:CVM3"/>
    <mergeCell ref="CVN3:CVP3"/>
    <mergeCell ref="CUG3:CUI3"/>
    <mergeCell ref="CUJ3:CUL3"/>
    <mergeCell ref="CUM3:CUO3"/>
    <mergeCell ref="CUP3:CUR3"/>
    <mergeCell ref="CUS3:CUU3"/>
    <mergeCell ref="CUV3:CUX3"/>
    <mergeCell ref="CTO3:CTQ3"/>
    <mergeCell ref="CTR3:CTT3"/>
    <mergeCell ref="CTU3:CTW3"/>
    <mergeCell ref="CTX3:CTZ3"/>
    <mergeCell ref="CUA3:CUC3"/>
    <mergeCell ref="CUD3:CUF3"/>
    <mergeCell ref="CSW3:CSY3"/>
    <mergeCell ref="CSZ3:CTB3"/>
    <mergeCell ref="CTC3:CTE3"/>
    <mergeCell ref="CTF3:CTH3"/>
    <mergeCell ref="CTI3:CTK3"/>
    <mergeCell ref="CTL3:CTN3"/>
    <mergeCell ref="CSE3:CSG3"/>
    <mergeCell ref="CSH3:CSJ3"/>
    <mergeCell ref="CSK3:CSM3"/>
    <mergeCell ref="CSN3:CSP3"/>
    <mergeCell ref="CSQ3:CSS3"/>
    <mergeCell ref="CST3:CSV3"/>
    <mergeCell ref="CRM3:CRO3"/>
    <mergeCell ref="CRP3:CRR3"/>
    <mergeCell ref="CRS3:CRU3"/>
    <mergeCell ref="CRV3:CRX3"/>
    <mergeCell ref="CRY3:CSA3"/>
    <mergeCell ref="CSB3:CSD3"/>
    <mergeCell ref="CZC3:CZE3"/>
    <mergeCell ref="CZF3:CZH3"/>
    <mergeCell ref="CZI3:CZK3"/>
    <mergeCell ref="CZL3:CZN3"/>
    <mergeCell ref="CZO3:CZQ3"/>
    <mergeCell ref="CZR3:CZT3"/>
    <mergeCell ref="CYK3:CYM3"/>
    <mergeCell ref="CYN3:CYP3"/>
    <mergeCell ref="CYQ3:CYS3"/>
    <mergeCell ref="CYT3:CYV3"/>
    <mergeCell ref="CYW3:CYY3"/>
    <mergeCell ref="CYZ3:CZB3"/>
    <mergeCell ref="CXS3:CXU3"/>
    <mergeCell ref="CXV3:CXX3"/>
    <mergeCell ref="CXY3:CYA3"/>
    <mergeCell ref="CYB3:CYD3"/>
    <mergeCell ref="CYE3:CYG3"/>
    <mergeCell ref="CYH3:CYJ3"/>
    <mergeCell ref="CXA3:CXC3"/>
    <mergeCell ref="CXD3:CXF3"/>
    <mergeCell ref="CXG3:CXI3"/>
    <mergeCell ref="CXJ3:CXL3"/>
    <mergeCell ref="CXM3:CXO3"/>
    <mergeCell ref="CXP3:CXR3"/>
    <mergeCell ref="CWI3:CWK3"/>
    <mergeCell ref="CWL3:CWN3"/>
    <mergeCell ref="CWO3:CWQ3"/>
    <mergeCell ref="CWR3:CWT3"/>
    <mergeCell ref="CWU3:CWW3"/>
    <mergeCell ref="CWX3:CWZ3"/>
    <mergeCell ref="CVQ3:CVS3"/>
    <mergeCell ref="CVT3:CVV3"/>
    <mergeCell ref="CVW3:CVY3"/>
    <mergeCell ref="CVZ3:CWB3"/>
    <mergeCell ref="CWC3:CWE3"/>
    <mergeCell ref="CWF3:CWH3"/>
    <mergeCell ref="DDG3:DDI3"/>
    <mergeCell ref="DDJ3:DDL3"/>
    <mergeCell ref="DDM3:DDO3"/>
    <mergeCell ref="DDP3:DDR3"/>
    <mergeCell ref="DDS3:DDU3"/>
    <mergeCell ref="DDV3:DDX3"/>
    <mergeCell ref="DCO3:DCQ3"/>
    <mergeCell ref="DCR3:DCT3"/>
    <mergeCell ref="DCU3:DCW3"/>
    <mergeCell ref="DCX3:DCZ3"/>
    <mergeCell ref="DDA3:DDC3"/>
    <mergeCell ref="DDD3:DDF3"/>
    <mergeCell ref="DBW3:DBY3"/>
    <mergeCell ref="DBZ3:DCB3"/>
    <mergeCell ref="DCC3:DCE3"/>
    <mergeCell ref="DCF3:DCH3"/>
    <mergeCell ref="DCI3:DCK3"/>
    <mergeCell ref="DCL3:DCN3"/>
    <mergeCell ref="DBE3:DBG3"/>
    <mergeCell ref="DBH3:DBJ3"/>
    <mergeCell ref="DBK3:DBM3"/>
    <mergeCell ref="DBN3:DBP3"/>
    <mergeCell ref="DBQ3:DBS3"/>
    <mergeCell ref="DBT3:DBV3"/>
    <mergeCell ref="DAM3:DAO3"/>
    <mergeCell ref="DAP3:DAR3"/>
    <mergeCell ref="DAS3:DAU3"/>
    <mergeCell ref="DAV3:DAX3"/>
    <mergeCell ref="DAY3:DBA3"/>
    <mergeCell ref="DBB3:DBD3"/>
    <mergeCell ref="CZU3:CZW3"/>
    <mergeCell ref="CZX3:CZZ3"/>
    <mergeCell ref="DAA3:DAC3"/>
    <mergeCell ref="DAD3:DAF3"/>
    <mergeCell ref="DAG3:DAI3"/>
    <mergeCell ref="DAJ3:DAL3"/>
    <mergeCell ref="DHK3:DHM3"/>
    <mergeCell ref="DHN3:DHP3"/>
    <mergeCell ref="DHQ3:DHS3"/>
    <mergeCell ref="DHT3:DHV3"/>
    <mergeCell ref="DHW3:DHY3"/>
    <mergeCell ref="DHZ3:DIB3"/>
    <mergeCell ref="DGS3:DGU3"/>
    <mergeCell ref="DGV3:DGX3"/>
    <mergeCell ref="DGY3:DHA3"/>
    <mergeCell ref="DHB3:DHD3"/>
    <mergeCell ref="DHE3:DHG3"/>
    <mergeCell ref="DHH3:DHJ3"/>
    <mergeCell ref="DGA3:DGC3"/>
    <mergeCell ref="DGD3:DGF3"/>
    <mergeCell ref="DGG3:DGI3"/>
    <mergeCell ref="DGJ3:DGL3"/>
    <mergeCell ref="DGM3:DGO3"/>
    <mergeCell ref="DGP3:DGR3"/>
    <mergeCell ref="DFI3:DFK3"/>
    <mergeCell ref="DFL3:DFN3"/>
    <mergeCell ref="DFO3:DFQ3"/>
    <mergeCell ref="DFR3:DFT3"/>
    <mergeCell ref="DFU3:DFW3"/>
    <mergeCell ref="DFX3:DFZ3"/>
    <mergeCell ref="DEQ3:DES3"/>
    <mergeCell ref="DET3:DEV3"/>
    <mergeCell ref="DEW3:DEY3"/>
    <mergeCell ref="DEZ3:DFB3"/>
    <mergeCell ref="DFC3:DFE3"/>
    <mergeCell ref="DFF3:DFH3"/>
    <mergeCell ref="DDY3:DEA3"/>
    <mergeCell ref="DEB3:DED3"/>
    <mergeCell ref="DEE3:DEG3"/>
    <mergeCell ref="DEH3:DEJ3"/>
    <mergeCell ref="DEK3:DEM3"/>
    <mergeCell ref="DEN3:DEP3"/>
    <mergeCell ref="DLO3:DLQ3"/>
    <mergeCell ref="DLR3:DLT3"/>
    <mergeCell ref="DLU3:DLW3"/>
    <mergeCell ref="DLX3:DLZ3"/>
    <mergeCell ref="DMA3:DMC3"/>
    <mergeCell ref="DMD3:DMF3"/>
    <mergeCell ref="DKW3:DKY3"/>
    <mergeCell ref="DKZ3:DLB3"/>
    <mergeCell ref="DLC3:DLE3"/>
    <mergeCell ref="DLF3:DLH3"/>
    <mergeCell ref="DLI3:DLK3"/>
    <mergeCell ref="DLL3:DLN3"/>
    <mergeCell ref="DKE3:DKG3"/>
    <mergeCell ref="DKH3:DKJ3"/>
    <mergeCell ref="DKK3:DKM3"/>
    <mergeCell ref="DKN3:DKP3"/>
    <mergeCell ref="DKQ3:DKS3"/>
    <mergeCell ref="DKT3:DKV3"/>
    <mergeCell ref="DJM3:DJO3"/>
    <mergeCell ref="DJP3:DJR3"/>
    <mergeCell ref="DJS3:DJU3"/>
    <mergeCell ref="DJV3:DJX3"/>
    <mergeCell ref="DJY3:DKA3"/>
    <mergeCell ref="DKB3:DKD3"/>
    <mergeCell ref="DIU3:DIW3"/>
    <mergeCell ref="DIX3:DIZ3"/>
    <mergeCell ref="DJA3:DJC3"/>
    <mergeCell ref="DJD3:DJF3"/>
    <mergeCell ref="DJG3:DJI3"/>
    <mergeCell ref="DJJ3:DJL3"/>
    <mergeCell ref="DIC3:DIE3"/>
    <mergeCell ref="DIF3:DIH3"/>
    <mergeCell ref="DII3:DIK3"/>
    <mergeCell ref="DIL3:DIN3"/>
    <mergeCell ref="DIO3:DIQ3"/>
    <mergeCell ref="DIR3:DIT3"/>
    <mergeCell ref="DPS3:DPU3"/>
    <mergeCell ref="DPV3:DPX3"/>
    <mergeCell ref="DPY3:DQA3"/>
    <mergeCell ref="DQB3:DQD3"/>
    <mergeCell ref="DQE3:DQG3"/>
    <mergeCell ref="DQH3:DQJ3"/>
    <mergeCell ref="DPA3:DPC3"/>
    <mergeCell ref="DPD3:DPF3"/>
    <mergeCell ref="DPG3:DPI3"/>
    <mergeCell ref="DPJ3:DPL3"/>
    <mergeCell ref="DPM3:DPO3"/>
    <mergeCell ref="DPP3:DPR3"/>
    <mergeCell ref="DOI3:DOK3"/>
    <mergeCell ref="DOL3:DON3"/>
    <mergeCell ref="DOO3:DOQ3"/>
    <mergeCell ref="DOR3:DOT3"/>
    <mergeCell ref="DOU3:DOW3"/>
    <mergeCell ref="DOX3:DOZ3"/>
    <mergeCell ref="DNQ3:DNS3"/>
    <mergeCell ref="DNT3:DNV3"/>
    <mergeCell ref="DNW3:DNY3"/>
    <mergeCell ref="DNZ3:DOB3"/>
    <mergeCell ref="DOC3:DOE3"/>
    <mergeCell ref="DOF3:DOH3"/>
    <mergeCell ref="DMY3:DNA3"/>
    <mergeCell ref="DNB3:DND3"/>
    <mergeCell ref="DNE3:DNG3"/>
    <mergeCell ref="DNH3:DNJ3"/>
    <mergeCell ref="DNK3:DNM3"/>
    <mergeCell ref="DNN3:DNP3"/>
    <mergeCell ref="DMG3:DMI3"/>
    <mergeCell ref="DMJ3:DML3"/>
    <mergeCell ref="DMM3:DMO3"/>
    <mergeCell ref="DMP3:DMR3"/>
    <mergeCell ref="DMS3:DMU3"/>
    <mergeCell ref="DMV3:DMX3"/>
    <mergeCell ref="DTW3:DTY3"/>
    <mergeCell ref="DTZ3:DUB3"/>
    <mergeCell ref="DUC3:DUE3"/>
    <mergeCell ref="DUF3:DUH3"/>
    <mergeCell ref="DUI3:DUK3"/>
    <mergeCell ref="DUL3:DUN3"/>
    <mergeCell ref="DTE3:DTG3"/>
    <mergeCell ref="DTH3:DTJ3"/>
    <mergeCell ref="DTK3:DTM3"/>
    <mergeCell ref="DTN3:DTP3"/>
    <mergeCell ref="DTQ3:DTS3"/>
    <mergeCell ref="DTT3:DTV3"/>
    <mergeCell ref="DSM3:DSO3"/>
    <mergeCell ref="DSP3:DSR3"/>
    <mergeCell ref="DSS3:DSU3"/>
    <mergeCell ref="DSV3:DSX3"/>
    <mergeCell ref="DSY3:DTA3"/>
    <mergeCell ref="DTB3:DTD3"/>
    <mergeCell ref="DRU3:DRW3"/>
    <mergeCell ref="DRX3:DRZ3"/>
    <mergeCell ref="DSA3:DSC3"/>
    <mergeCell ref="DSD3:DSF3"/>
    <mergeCell ref="DSG3:DSI3"/>
    <mergeCell ref="DSJ3:DSL3"/>
    <mergeCell ref="DRC3:DRE3"/>
    <mergeCell ref="DRF3:DRH3"/>
    <mergeCell ref="DRI3:DRK3"/>
    <mergeCell ref="DRL3:DRN3"/>
    <mergeCell ref="DRO3:DRQ3"/>
    <mergeCell ref="DRR3:DRT3"/>
    <mergeCell ref="DQK3:DQM3"/>
    <mergeCell ref="DQN3:DQP3"/>
    <mergeCell ref="DQQ3:DQS3"/>
    <mergeCell ref="DQT3:DQV3"/>
    <mergeCell ref="DQW3:DQY3"/>
    <mergeCell ref="DQZ3:DRB3"/>
    <mergeCell ref="DYA3:DYC3"/>
    <mergeCell ref="DYD3:DYF3"/>
    <mergeCell ref="DYG3:DYI3"/>
    <mergeCell ref="DYJ3:DYL3"/>
    <mergeCell ref="DYM3:DYO3"/>
    <mergeCell ref="DYP3:DYR3"/>
    <mergeCell ref="DXI3:DXK3"/>
    <mergeCell ref="DXL3:DXN3"/>
    <mergeCell ref="DXO3:DXQ3"/>
    <mergeCell ref="DXR3:DXT3"/>
    <mergeCell ref="DXU3:DXW3"/>
    <mergeCell ref="DXX3:DXZ3"/>
    <mergeCell ref="DWQ3:DWS3"/>
    <mergeCell ref="DWT3:DWV3"/>
    <mergeCell ref="DWW3:DWY3"/>
    <mergeCell ref="DWZ3:DXB3"/>
    <mergeCell ref="DXC3:DXE3"/>
    <mergeCell ref="DXF3:DXH3"/>
    <mergeCell ref="DVY3:DWA3"/>
    <mergeCell ref="DWB3:DWD3"/>
    <mergeCell ref="DWE3:DWG3"/>
    <mergeCell ref="DWH3:DWJ3"/>
    <mergeCell ref="DWK3:DWM3"/>
    <mergeCell ref="DWN3:DWP3"/>
    <mergeCell ref="DVG3:DVI3"/>
    <mergeCell ref="DVJ3:DVL3"/>
    <mergeCell ref="DVM3:DVO3"/>
    <mergeCell ref="DVP3:DVR3"/>
    <mergeCell ref="DVS3:DVU3"/>
    <mergeCell ref="DVV3:DVX3"/>
    <mergeCell ref="DUO3:DUQ3"/>
    <mergeCell ref="DUR3:DUT3"/>
    <mergeCell ref="DUU3:DUW3"/>
    <mergeCell ref="DUX3:DUZ3"/>
    <mergeCell ref="DVA3:DVC3"/>
    <mergeCell ref="DVD3:DVF3"/>
    <mergeCell ref="ECE3:ECG3"/>
    <mergeCell ref="ECH3:ECJ3"/>
    <mergeCell ref="ECK3:ECM3"/>
    <mergeCell ref="ECN3:ECP3"/>
    <mergeCell ref="ECQ3:ECS3"/>
    <mergeCell ref="ECT3:ECV3"/>
    <mergeCell ref="EBM3:EBO3"/>
    <mergeCell ref="EBP3:EBR3"/>
    <mergeCell ref="EBS3:EBU3"/>
    <mergeCell ref="EBV3:EBX3"/>
    <mergeCell ref="EBY3:ECA3"/>
    <mergeCell ref="ECB3:ECD3"/>
    <mergeCell ref="EAU3:EAW3"/>
    <mergeCell ref="EAX3:EAZ3"/>
    <mergeCell ref="EBA3:EBC3"/>
    <mergeCell ref="EBD3:EBF3"/>
    <mergeCell ref="EBG3:EBI3"/>
    <mergeCell ref="EBJ3:EBL3"/>
    <mergeCell ref="EAC3:EAE3"/>
    <mergeCell ref="EAF3:EAH3"/>
    <mergeCell ref="EAI3:EAK3"/>
    <mergeCell ref="EAL3:EAN3"/>
    <mergeCell ref="EAO3:EAQ3"/>
    <mergeCell ref="EAR3:EAT3"/>
    <mergeCell ref="DZK3:DZM3"/>
    <mergeCell ref="DZN3:DZP3"/>
    <mergeCell ref="DZQ3:DZS3"/>
    <mergeCell ref="DZT3:DZV3"/>
    <mergeCell ref="DZW3:DZY3"/>
    <mergeCell ref="DZZ3:EAB3"/>
    <mergeCell ref="DYS3:DYU3"/>
    <mergeCell ref="DYV3:DYX3"/>
    <mergeCell ref="DYY3:DZA3"/>
    <mergeCell ref="DZB3:DZD3"/>
    <mergeCell ref="DZE3:DZG3"/>
    <mergeCell ref="DZH3:DZJ3"/>
    <mergeCell ref="EGI3:EGK3"/>
    <mergeCell ref="EGL3:EGN3"/>
    <mergeCell ref="EGO3:EGQ3"/>
    <mergeCell ref="EGR3:EGT3"/>
    <mergeCell ref="EGU3:EGW3"/>
    <mergeCell ref="EGX3:EGZ3"/>
    <mergeCell ref="EFQ3:EFS3"/>
    <mergeCell ref="EFT3:EFV3"/>
    <mergeCell ref="EFW3:EFY3"/>
    <mergeCell ref="EFZ3:EGB3"/>
    <mergeCell ref="EGC3:EGE3"/>
    <mergeCell ref="EGF3:EGH3"/>
    <mergeCell ref="EEY3:EFA3"/>
    <mergeCell ref="EFB3:EFD3"/>
    <mergeCell ref="EFE3:EFG3"/>
    <mergeCell ref="EFH3:EFJ3"/>
    <mergeCell ref="EFK3:EFM3"/>
    <mergeCell ref="EFN3:EFP3"/>
    <mergeCell ref="EEG3:EEI3"/>
    <mergeCell ref="EEJ3:EEL3"/>
    <mergeCell ref="EEM3:EEO3"/>
    <mergeCell ref="EEP3:EER3"/>
    <mergeCell ref="EES3:EEU3"/>
    <mergeCell ref="EEV3:EEX3"/>
    <mergeCell ref="EDO3:EDQ3"/>
    <mergeCell ref="EDR3:EDT3"/>
    <mergeCell ref="EDU3:EDW3"/>
    <mergeCell ref="EDX3:EDZ3"/>
    <mergeCell ref="EEA3:EEC3"/>
    <mergeCell ref="EED3:EEF3"/>
    <mergeCell ref="ECW3:ECY3"/>
    <mergeCell ref="ECZ3:EDB3"/>
    <mergeCell ref="EDC3:EDE3"/>
    <mergeCell ref="EDF3:EDH3"/>
    <mergeCell ref="EDI3:EDK3"/>
    <mergeCell ref="EDL3:EDN3"/>
    <mergeCell ref="EKM3:EKO3"/>
    <mergeCell ref="EKP3:EKR3"/>
    <mergeCell ref="EKS3:EKU3"/>
    <mergeCell ref="EKV3:EKX3"/>
    <mergeCell ref="EKY3:ELA3"/>
    <mergeCell ref="ELB3:ELD3"/>
    <mergeCell ref="EJU3:EJW3"/>
    <mergeCell ref="EJX3:EJZ3"/>
    <mergeCell ref="EKA3:EKC3"/>
    <mergeCell ref="EKD3:EKF3"/>
    <mergeCell ref="EKG3:EKI3"/>
    <mergeCell ref="EKJ3:EKL3"/>
    <mergeCell ref="EJC3:EJE3"/>
    <mergeCell ref="EJF3:EJH3"/>
    <mergeCell ref="EJI3:EJK3"/>
    <mergeCell ref="EJL3:EJN3"/>
    <mergeCell ref="EJO3:EJQ3"/>
    <mergeCell ref="EJR3:EJT3"/>
    <mergeCell ref="EIK3:EIM3"/>
    <mergeCell ref="EIN3:EIP3"/>
    <mergeCell ref="EIQ3:EIS3"/>
    <mergeCell ref="EIT3:EIV3"/>
    <mergeCell ref="EIW3:EIY3"/>
    <mergeCell ref="EIZ3:EJB3"/>
    <mergeCell ref="EHS3:EHU3"/>
    <mergeCell ref="EHV3:EHX3"/>
    <mergeCell ref="EHY3:EIA3"/>
    <mergeCell ref="EIB3:EID3"/>
    <mergeCell ref="EIE3:EIG3"/>
    <mergeCell ref="EIH3:EIJ3"/>
    <mergeCell ref="EHA3:EHC3"/>
    <mergeCell ref="EHD3:EHF3"/>
    <mergeCell ref="EHG3:EHI3"/>
    <mergeCell ref="EHJ3:EHL3"/>
    <mergeCell ref="EHM3:EHO3"/>
    <mergeCell ref="EHP3:EHR3"/>
    <mergeCell ref="EOQ3:EOS3"/>
    <mergeCell ref="EOT3:EOV3"/>
    <mergeCell ref="EOW3:EOY3"/>
    <mergeCell ref="EOZ3:EPB3"/>
    <mergeCell ref="EPC3:EPE3"/>
    <mergeCell ref="EPF3:EPH3"/>
    <mergeCell ref="ENY3:EOA3"/>
    <mergeCell ref="EOB3:EOD3"/>
    <mergeCell ref="EOE3:EOG3"/>
    <mergeCell ref="EOH3:EOJ3"/>
    <mergeCell ref="EOK3:EOM3"/>
    <mergeCell ref="EON3:EOP3"/>
    <mergeCell ref="ENG3:ENI3"/>
    <mergeCell ref="ENJ3:ENL3"/>
    <mergeCell ref="ENM3:ENO3"/>
    <mergeCell ref="ENP3:ENR3"/>
    <mergeCell ref="ENS3:ENU3"/>
    <mergeCell ref="ENV3:ENX3"/>
    <mergeCell ref="EMO3:EMQ3"/>
    <mergeCell ref="EMR3:EMT3"/>
    <mergeCell ref="EMU3:EMW3"/>
    <mergeCell ref="EMX3:EMZ3"/>
    <mergeCell ref="ENA3:ENC3"/>
    <mergeCell ref="END3:ENF3"/>
    <mergeCell ref="ELW3:ELY3"/>
    <mergeCell ref="ELZ3:EMB3"/>
    <mergeCell ref="EMC3:EME3"/>
    <mergeCell ref="EMF3:EMH3"/>
    <mergeCell ref="EMI3:EMK3"/>
    <mergeCell ref="EML3:EMN3"/>
    <mergeCell ref="ELE3:ELG3"/>
    <mergeCell ref="ELH3:ELJ3"/>
    <mergeCell ref="ELK3:ELM3"/>
    <mergeCell ref="ELN3:ELP3"/>
    <mergeCell ref="ELQ3:ELS3"/>
    <mergeCell ref="ELT3:ELV3"/>
    <mergeCell ref="ESU3:ESW3"/>
    <mergeCell ref="ESX3:ESZ3"/>
    <mergeCell ref="ETA3:ETC3"/>
    <mergeCell ref="ETD3:ETF3"/>
    <mergeCell ref="ETG3:ETI3"/>
    <mergeCell ref="ETJ3:ETL3"/>
    <mergeCell ref="ESC3:ESE3"/>
    <mergeCell ref="ESF3:ESH3"/>
    <mergeCell ref="ESI3:ESK3"/>
    <mergeCell ref="ESL3:ESN3"/>
    <mergeCell ref="ESO3:ESQ3"/>
    <mergeCell ref="ESR3:EST3"/>
    <mergeCell ref="ERK3:ERM3"/>
    <mergeCell ref="ERN3:ERP3"/>
    <mergeCell ref="ERQ3:ERS3"/>
    <mergeCell ref="ERT3:ERV3"/>
    <mergeCell ref="ERW3:ERY3"/>
    <mergeCell ref="ERZ3:ESB3"/>
    <mergeCell ref="EQS3:EQU3"/>
    <mergeCell ref="EQV3:EQX3"/>
    <mergeCell ref="EQY3:ERA3"/>
    <mergeCell ref="ERB3:ERD3"/>
    <mergeCell ref="ERE3:ERG3"/>
    <mergeCell ref="ERH3:ERJ3"/>
    <mergeCell ref="EQA3:EQC3"/>
    <mergeCell ref="EQD3:EQF3"/>
    <mergeCell ref="EQG3:EQI3"/>
    <mergeCell ref="EQJ3:EQL3"/>
    <mergeCell ref="EQM3:EQO3"/>
    <mergeCell ref="EQP3:EQR3"/>
    <mergeCell ref="EPI3:EPK3"/>
    <mergeCell ref="EPL3:EPN3"/>
    <mergeCell ref="EPO3:EPQ3"/>
    <mergeCell ref="EPR3:EPT3"/>
    <mergeCell ref="EPU3:EPW3"/>
    <mergeCell ref="EPX3:EPZ3"/>
    <mergeCell ref="EWY3:EXA3"/>
    <mergeCell ref="EXB3:EXD3"/>
    <mergeCell ref="EXE3:EXG3"/>
    <mergeCell ref="EXH3:EXJ3"/>
    <mergeCell ref="EXK3:EXM3"/>
    <mergeCell ref="EXN3:EXP3"/>
    <mergeCell ref="EWG3:EWI3"/>
    <mergeCell ref="EWJ3:EWL3"/>
    <mergeCell ref="EWM3:EWO3"/>
    <mergeCell ref="EWP3:EWR3"/>
    <mergeCell ref="EWS3:EWU3"/>
    <mergeCell ref="EWV3:EWX3"/>
    <mergeCell ref="EVO3:EVQ3"/>
    <mergeCell ref="EVR3:EVT3"/>
    <mergeCell ref="EVU3:EVW3"/>
    <mergeCell ref="EVX3:EVZ3"/>
    <mergeCell ref="EWA3:EWC3"/>
    <mergeCell ref="EWD3:EWF3"/>
    <mergeCell ref="EUW3:EUY3"/>
    <mergeCell ref="EUZ3:EVB3"/>
    <mergeCell ref="EVC3:EVE3"/>
    <mergeCell ref="EVF3:EVH3"/>
    <mergeCell ref="EVI3:EVK3"/>
    <mergeCell ref="EVL3:EVN3"/>
    <mergeCell ref="EUE3:EUG3"/>
    <mergeCell ref="EUH3:EUJ3"/>
    <mergeCell ref="EUK3:EUM3"/>
    <mergeCell ref="EUN3:EUP3"/>
    <mergeCell ref="EUQ3:EUS3"/>
    <mergeCell ref="EUT3:EUV3"/>
    <mergeCell ref="ETM3:ETO3"/>
    <mergeCell ref="ETP3:ETR3"/>
    <mergeCell ref="ETS3:ETU3"/>
    <mergeCell ref="ETV3:ETX3"/>
    <mergeCell ref="ETY3:EUA3"/>
    <mergeCell ref="EUB3:EUD3"/>
    <mergeCell ref="FBC3:FBE3"/>
    <mergeCell ref="FBF3:FBH3"/>
    <mergeCell ref="FBI3:FBK3"/>
    <mergeCell ref="FBL3:FBN3"/>
    <mergeCell ref="FBO3:FBQ3"/>
    <mergeCell ref="FBR3:FBT3"/>
    <mergeCell ref="FAK3:FAM3"/>
    <mergeCell ref="FAN3:FAP3"/>
    <mergeCell ref="FAQ3:FAS3"/>
    <mergeCell ref="FAT3:FAV3"/>
    <mergeCell ref="FAW3:FAY3"/>
    <mergeCell ref="FAZ3:FBB3"/>
    <mergeCell ref="EZS3:EZU3"/>
    <mergeCell ref="EZV3:EZX3"/>
    <mergeCell ref="EZY3:FAA3"/>
    <mergeCell ref="FAB3:FAD3"/>
    <mergeCell ref="FAE3:FAG3"/>
    <mergeCell ref="FAH3:FAJ3"/>
    <mergeCell ref="EZA3:EZC3"/>
    <mergeCell ref="EZD3:EZF3"/>
    <mergeCell ref="EZG3:EZI3"/>
    <mergeCell ref="EZJ3:EZL3"/>
    <mergeCell ref="EZM3:EZO3"/>
    <mergeCell ref="EZP3:EZR3"/>
    <mergeCell ref="EYI3:EYK3"/>
    <mergeCell ref="EYL3:EYN3"/>
    <mergeCell ref="EYO3:EYQ3"/>
    <mergeCell ref="EYR3:EYT3"/>
    <mergeCell ref="EYU3:EYW3"/>
    <mergeCell ref="EYX3:EYZ3"/>
    <mergeCell ref="EXQ3:EXS3"/>
    <mergeCell ref="EXT3:EXV3"/>
    <mergeCell ref="EXW3:EXY3"/>
    <mergeCell ref="EXZ3:EYB3"/>
    <mergeCell ref="EYC3:EYE3"/>
    <mergeCell ref="EYF3:EYH3"/>
    <mergeCell ref="FFG3:FFI3"/>
    <mergeCell ref="FFJ3:FFL3"/>
    <mergeCell ref="FFM3:FFO3"/>
    <mergeCell ref="FFP3:FFR3"/>
    <mergeCell ref="FFS3:FFU3"/>
    <mergeCell ref="FFV3:FFX3"/>
    <mergeCell ref="FEO3:FEQ3"/>
    <mergeCell ref="FER3:FET3"/>
    <mergeCell ref="FEU3:FEW3"/>
    <mergeCell ref="FEX3:FEZ3"/>
    <mergeCell ref="FFA3:FFC3"/>
    <mergeCell ref="FFD3:FFF3"/>
    <mergeCell ref="FDW3:FDY3"/>
    <mergeCell ref="FDZ3:FEB3"/>
    <mergeCell ref="FEC3:FEE3"/>
    <mergeCell ref="FEF3:FEH3"/>
    <mergeCell ref="FEI3:FEK3"/>
    <mergeCell ref="FEL3:FEN3"/>
    <mergeCell ref="FDE3:FDG3"/>
    <mergeCell ref="FDH3:FDJ3"/>
    <mergeCell ref="FDK3:FDM3"/>
    <mergeCell ref="FDN3:FDP3"/>
    <mergeCell ref="FDQ3:FDS3"/>
    <mergeCell ref="FDT3:FDV3"/>
    <mergeCell ref="FCM3:FCO3"/>
    <mergeCell ref="FCP3:FCR3"/>
    <mergeCell ref="FCS3:FCU3"/>
    <mergeCell ref="FCV3:FCX3"/>
    <mergeCell ref="FCY3:FDA3"/>
    <mergeCell ref="FDB3:FDD3"/>
    <mergeCell ref="FBU3:FBW3"/>
    <mergeCell ref="FBX3:FBZ3"/>
    <mergeCell ref="FCA3:FCC3"/>
    <mergeCell ref="FCD3:FCF3"/>
    <mergeCell ref="FCG3:FCI3"/>
    <mergeCell ref="FCJ3:FCL3"/>
    <mergeCell ref="FJK3:FJM3"/>
    <mergeCell ref="FJN3:FJP3"/>
    <mergeCell ref="FJQ3:FJS3"/>
    <mergeCell ref="FJT3:FJV3"/>
    <mergeCell ref="FJW3:FJY3"/>
    <mergeCell ref="FJZ3:FKB3"/>
    <mergeCell ref="FIS3:FIU3"/>
    <mergeCell ref="FIV3:FIX3"/>
    <mergeCell ref="FIY3:FJA3"/>
    <mergeCell ref="FJB3:FJD3"/>
    <mergeCell ref="FJE3:FJG3"/>
    <mergeCell ref="FJH3:FJJ3"/>
    <mergeCell ref="FIA3:FIC3"/>
    <mergeCell ref="FID3:FIF3"/>
    <mergeCell ref="FIG3:FII3"/>
    <mergeCell ref="FIJ3:FIL3"/>
    <mergeCell ref="FIM3:FIO3"/>
    <mergeCell ref="FIP3:FIR3"/>
    <mergeCell ref="FHI3:FHK3"/>
    <mergeCell ref="FHL3:FHN3"/>
    <mergeCell ref="FHO3:FHQ3"/>
    <mergeCell ref="FHR3:FHT3"/>
    <mergeCell ref="FHU3:FHW3"/>
    <mergeCell ref="FHX3:FHZ3"/>
    <mergeCell ref="FGQ3:FGS3"/>
    <mergeCell ref="FGT3:FGV3"/>
    <mergeCell ref="FGW3:FGY3"/>
    <mergeCell ref="FGZ3:FHB3"/>
    <mergeCell ref="FHC3:FHE3"/>
    <mergeCell ref="FHF3:FHH3"/>
    <mergeCell ref="FFY3:FGA3"/>
    <mergeCell ref="FGB3:FGD3"/>
    <mergeCell ref="FGE3:FGG3"/>
    <mergeCell ref="FGH3:FGJ3"/>
    <mergeCell ref="FGK3:FGM3"/>
    <mergeCell ref="FGN3:FGP3"/>
    <mergeCell ref="FNO3:FNQ3"/>
    <mergeCell ref="FNR3:FNT3"/>
    <mergeCell ref="FNU3:FNW3"/>
    <mergeCell ref="FNX3:FNZ3"/>
    <mergeCell ref="FOA3:FOC3"/>
    <mergeCell ref="FOD3:FOF3"/>
    <mergeCell ref="FMW3:FMY3"/>
    <mergeCell ref="FMZ3:FNB3"/>
    <mergeCell ref="FNC3:FNE3"/>
    <mergeCell ref="FNF3:FNH3"/>
    <mergeCell ref="FNI3:FNK3"/>
    <mergeCell ref="FNL3:FNN3"/>
    <mergeCell ref="FME3:FMG3"/>
    <mergeCell ref="FMH3:FMJ3"/>
    <mergeCell ref="FMK3:FMM3"/>
    <mergeCell ref="FMN3:FMP3"/>
    <mergeCell ref="FMQ3:FMS3"/>
    <mergeCell ref="FMT3:FMV3"/>
    <mergeCell ref="FLM3:FLO3"/>
    <mergeCell ref="FLP3:FLR3"/>
    <mergeCell ref="FLS3:FLU3"/>
    <mergeCell ref="FLV3:FLX3"/>
    <mergeCell ref="FLY3:FMA3"/>
    <mergeCell ref="FMB3:FMD3"/>
    <mergeCell ref="FKU3:FKW3"/>
    <mergeCell ref="FKX3:FKZ3"/>
    <mergeCell ref="FLA3:FLC3"/>
    <mergeCell ref="FLD3:FLF3"/>
    <mergeCell ref="FLG3:FLI3"/>
    <mergeCell ref="FLJ3:FLL3"/>
    <mergeCell ref="FKC3:FKE3"/>
    <mergeCell ref="FKF3:FKH3"/>
    <mergeCell ref="FKI3:FKK3"/>
    <mergeCell ref="FKL3:FKN3"/>
    <mergeCell ref="FKO3:FKQ3"/>
    <mergeCell ref="FKR3:FKT3"/>
    <mergeCell ref="FRS3:FRU3"/>
    <mergeCell ref="FRV3:FRX3"/>
    <mergeCell ref="FRY3:FSA3"/>
    <mergeCell ref="FSB3:FSD3"/>
    <mergeCell ref="FSE3:FSG3"/>
    <mergeCell ref="FSH3:FSJ3"/>
    <mergeCell ref="FRA3:FRC3"/>
    <mergeCell ref="FRD3:FRF3"/>
    <mergeCell ref="FRG3:FRI3"/>
    <mergeCell ref="FRJ3:FRL3"/>
    <mergeCell ref="FRM3:FRO3"/>
    <mergeCell ref="FRP3:FRR3"/>
    <mergeCell ref="FQI3:FQK3"/>
    <mergeCell ref="FQL3:FQN3"/>
    <mergeCell ref="FQO3:FQQ3"/>
    <mergeCell ref="FQR3:FQT3"/>
    <mergeCell ref="FQU3:FQW3"/>
    <mergeCell ref="FQX3:FQZ3"/>
    <mergeCell ref="FPQ3:FPS3"/>
    <mergeCell ref="FPT3:FPV3"/>
    <mergeCell ref="FPW3:FPY3"/>
    <mergeCell ref="FPZ3:FQB3"/>
    <mergeCell ref="FQC3:FQE3"/>
    <mergeCell ref="FQF3:FQH3"/>
    <mergeCell ref="FOY3:FPA3"/>
    <mergeCell ref="FPB3:FPD3"/>
    <mergeCell ref="FPE3:FPG3"/>
    <mergeCell ref="FPH3:FPJ3"/>
    <mergeCell ref="FPK3:FPM3"/>
    <mergeCell ref="FPN3:FPP3"/>
    <mergeCell ref="FOG3:FOI3"/>
    <mergeCell ref="FOJ3:FOL3"/>
    <mergeCell ref="FOM3:FOO3"/>
    <mergeCell ref="FOP3:FOR3"/>
    <mergeCell ref="FOS3:FOU3"/>
    <mergeCell ref="FOV3:FOX3"/>
    <mergeCell ref="FVW3:FVY3"/>
    <mergeCell ref="FVZ3:FWB3"/>
    <mergeCell ref="FWC3:FWE3"/>
    <mergeCell ref="FWF3:FWH3"/>
    <mergeCell ref="FWI3:FWK3"/>
    <mergeCell ref="FWL3:FWN3"/>
    <mergeCell ref="FVE3:FVG3"/>
    <mergeCell ref="FVH3:FVJ3"/>
    <mergeCell ref="FVK3:FVM3"/>
    <mergeCell ref="FVN3:FVP3"/>
    <mergeCell ref="FVQ3:FVS3"/>
    <mergeCell ref="FVT3:FVV3"/>
    <mergeCell ref="FUM3:FUO3"/>
    <mergeCell ref="FUP3:FUR3"/>
    <mergeCell ref="FUS3:FUU3"/>
    <mergeCell ref="FUV3:FUX3"/>
    <mergeCell ref="FUY3:FVA3"/>
    <mergeCell ref="FVB3:FVD3"/>
    <mergeCell ref="FTU3:FTW3"/>
    <mergeCell ref="FTX3:FTZ3"/>
    <mergeCell ref="FUA3:FUC3"/>
    <mergeCell ref="FUD3:FUF3"/>
    <mergeCell ref="FUG3:FUI3"/>
    <mergeCell ref="FUJ3:FUL3"/>
    <mergeCell ref="FTC3:FTE3"/>
    <mergeCell ref="FTF3:FTH3"/>
    <mergeCell ref="FTI3:FTK3"/>
    <mergeCell ref="FTL3:FTN3"/>
    <mergeCell ref="FTO3:FTQ3"/>
    <mergeCell ref="FTR3:FTT3"/>
    <mergeCell ref="FSK3:FSM3"/>
    <mergeCell ref="FSN3:FSP3"/>
    <mergeCell ref="FSQ3:FSS3"/>
    <mergeCell ref="FST3:FSV3"/>
    <mergeCell ref="FSW3:FSY3"/>
    <mergeCell ref="FSZ3:FTB3"/>
    <mergeCell ref="GAA3:GAC3"/>
    <mergeCell ref="GAD3:GAF3"/>
    <mergeCell ref="GAG3:GAI3"/>
    <mergeCell ref="GAJ3:GAL3"/>
    <mergeCell ref="GAM3:GAO3"/>
    <mergeCell ref="GAP3:GAR3"/>
    <mergeCell ref="FZI3:FZK3"/>
    <mergeCell ref="FZL3:FZN3"/>
    <mergeCell ref="FZO3:FZQ3"/>
    <mergeCell ref="FZR3:FZT3"/>
    <mergeCell ref="FZU3:FZW3"/>
    <mergeCell ref="FZX3:FZZ3"/>
    <mergeCell ref="FYQ3:FYS3"/>
    <mergeCell ref="FYT3:FYV3"/>
    <mergeCell ref="FYW3:FYY3"/>
    <mergeCell ref="FYZ3:FZB3"/>
    <mergeCell ref="FZC3:FZE3"/>
    <mergeCell ref="FZF3:FZH3"/>
    <mergeCell ref="FXY3:FYA3"/>
    <mergeCell ref="FYB3:FYD3"/>
    <mergeCell ref="FYE3:FYG3"/>
    <mergeCell ref="FYH3:FYJ3"/>
    <mergeCell ref="FYK3:FYM3"/>
    <mergeCell ref="FYN3:FYP3"/>
    <mergeCell ref="FXG3:FXI3"/>
    <mergeCell ref="FXJ3:FXL3"/>
    <mergeCell ref="FXM3:FXO3"/>
    <mergeCell ref="FXP3:FXR3"/>
    <mergeCell ref="FXS3:FXU3"/>
    <mergeCell ref="FXV3:FXX3"/>
    <mergeCell ref="FWO3:FWQ3"/>
    <mergeCell ref="FWR3:FWT3"/>
    <mergeCell ref="FWU3:FWW3"/>
    <mergeCell ref="FWX3:FWZ3"/>
    <mergeCell ref="FXA3:FXC3"/>
    <mergeCell ref="FXD3:FXF3"/>
    <mergeCell ref="GEE3:GEG3"/>
    <mergeCell ref="GEH3:GEJ3"/>
    <mergeCell ref="GEK3:GEM3"/>
    <mergeCell ref="GEN3:GEP3"/>
    <mergeCell ref="GEQ3:GES3"/>
    <mergeCell ref="GET3:GEV3"/>
    <mergeCell ref="GDM3:GDO3"/>
    <mergeCell ref="GDP3:GDR3"/>
    <mergeCell ref="GDS3:GDU3"/>
    <mergeCell ref="GDV3:GDX3"/>
    <mergeCell ref="GDY3:GEA3"/>
    <mergeCell ref="GEB3:GED3"/>
    <mergeCell ref="GCU3:GCW3"/>
    <mergeCell ref="GCX3:GCZ3"/>
    <mergeCell ref="GDA3:GDC3"/>
    <mergeCell ref="GDD3:GDF3"/>
    <mergeCell ref="GDG3:GDI3"/>
    <mergeCell ref="GDJ3:GDL3"/>
    <mergeCell ref="GCC3:GCE3"/>
    <mergeCell ref="GCF3:GCH3"/>
    <mergeCell ref="GCI3:GCK3"/>
    <mergeCell ref="GCL3:GCN3"/>
    <mergeCell ref="GCO3:GCQ3"/>
    <mergeCell ref="GCR3:GCT3"/>
    <mergeCell ref="GBK3:GBM3"/>
    <mergeCell ref="GBN3:GBP3"/>
    <mergeCell ref="GBQ3:GBS3"/>
    <mergeCell ref="GBT3:GBV3"/>
    <mergeCell ref="GBW3:GBY3"/>
    <mergeCell ref="GBZ3:GCB3"/>
    <mergeCell ref="GAS3:GAU3"/>
    <mergeCell ref="GAV3:GAX3"/>
    <mergeCell ref="GAY3:GBA3"/>
    <mergeCell ref="GBB3:GBD3"/>
    <mergeCell ref="GBE3:GBG3"/>
    <mergeCell ref="GBH3:GBJ3"/>
    <mergeCell ref="GII3:GIK3"/>
    <mergeCell ref="GIL3:GIN3"/>
    <mergeCell ref="GIO3:GIQ3"/>
    <mergeCell ref="GIR3:GIT3"/>
    <mergeCell ref="GIU3:GIW3"/>
    <mergeCell ref="GIX3:GIZ3"/>
    <mergeCell ref="GHQ3:GHS3"/>
    <mergeCell ref="GHT3:GHV3"/>
    <mergeCell ref="GHW3:GHY3"/>
    <mergeCell ref="GHZ3:GIB3"/>
    <mergeCell ref="GIC3:GIE3"/>
    <mergeCell ref="GIF3:GIH3"/>
    <mergeCell ref="GGY3:GHA3"/>
    <mergeCell ref="GHB3:GHD3"/>
    <mergeCell ref="GHE3:GHG3"/>
    <mergeCell ref="GHH3:GHJ3"/>
    <mergeCell ref="GHK3:GHM3"/>
    <mergeCell ref="GHN3:GHP3"/>
    <mergeCell ref="GGG3:GGI3"/>
    <mergeCell ref="GGJ3:GGL3"/>
    <mergeCell ref="GGM3:GGO3"/>
    <mergeCell ref="GGP3:GGR3"/>
    <mergeCell ref="GGS3:GGU3"/>
    <mergeCell ref="GGV3:GGX3"/>
    <mergeCell ref="GFO3:GFQ3"/>
    <mergeCell ref="GFR3:GFT3"/>
    <mergeCell ref="GFU3:GFW3"/>
    <mergeCell ref="GFX3:GFZ3"/>
    <mergeCell ref="GGA3:GGC3"/>
    <mergeCell ref="GGD3:GGF3"/>
    <mergeCell ref="GEW3:GEY3"/>
    <mergeCell ref="GEZ3:GFB3"/>
    <mergeCell ref="GFC3:GFE3"/>
    <mergeCell ref="GFF3:GFH3"/>
    <mergeCell ref="GFI3:GFK3"/>
    <mergeCell ref="GFL3:GFN3"/>
    <mergeCell ref="GMM3:GMO3"/>
    <mergeCell ref="GMP3:GMR3"/>
    <mergeCell ref="GMS3:GMU3"/>
    <mergeCell ref="GMV3:GMX3"/>
    <mergeCell ref="GMY3:GNA3"/>
    <mergeCell ref="GNB3:GND3"/>
    <mergeCell ref="GLU3:GLW3"/>
    <mergeCell ref="GLX3:GLZ3"/>
    <mergeCell ref="GMA3:GMC3"/>
    <mergeCell ref="GMD3:GMF3"/>
    <mergeCell ref="GMG3:GMI3"/>
    <mergeCell ref="GMJ3:GML3"/>
    <mergeCell ref="GLC3:GLE3"/>
    <mergeCell ref="GLF3:GLH3"/>
    <mergeCell ref="GLI3:GLK3"/>
    <mergeCell ref="GLL3:GLN3"/>
    <mergeCell ref="GLO3:GLQ3"/>
    <mergeCell ref="GLR3:GLT3"/>
    <mergeCell ref="GKK3:GKM3"/>
    <mergeCell ref="GKN3:GKP3"/>
    <mergeCell ref="GKQ3:GKS3"/>
    <mergeCell ref="GKT3:GKV3"/>
    <mergeCell ref="GKW3:GKY3"/>
    <mergeCell ref="GKZ3:GLB3"/>
    <mergeCell ref="GJS3:GJU3"/>
    <mergeCell ref="GJV3:GJX3"/>
    <mergeCell ref="GJY3:GKA3"/>
    <mergeCell ref="GKB3:GKD3"/>
    <mergeCell ref="GKE3:GKG3"/>
    <mergeCell ref="GKH3:GKJ3"/>
    <mergeCell ref="GJA3:GJC3"/>
    <mergeCell ref="GJD3:GJF3"/>
    <mergeCell ref="GJG3:GJI3"/>
    <mergeCell ref="GJJ3:GJL3"/>
    <mergeCell ref="GJM3:GJO3"/>
    <mergeCell ref="GJP3:GJR3"/>
    <mergeCell ref="GQQ3:GQS3"/>
    <mergeCell ref="GQT3:GQV3"/>
    <mergeCell ref="GQW3:GQY3"/>
    <mergeCell ref="GQZ3:GRB3"/>
    <mergeCell ref="GRC3:GRE3"/>
    <mergeCell ref="GRF3:GRH3"/>
    <mergeCell ref="GPY3:GQA3"/>
    <mergeCell ref="GQB3:GQD3"/>
    <mergeCell ref="GQE3:GQG3"/>
    <mergeCell ref="GQH3:GQJ3"/>
    <mergeCell ref="GQK3:GQM3"/>
    <mergeCell ref="GQN3:GQP3"/>
    <mergeCell ref="GPG3:GPI3"/>
    <mergeCell ref="GPJ3:GPL3"/>
    <mergeCell ref="GPM3:GPO3"/>
    <mergeCell ref="GPP3:GPR3"/>
    <mergeCell ref="GPS3:GPU3"/>
    <mergeCell ref="GPV3:GPX3"/>
    <mergeCell ref="GOO3:GOQ3"/>
    <mergeCell ref="GOR3:GOT3"/>
    <mergeCell ref="GOU3:GOW3"/>
    <mergeCell ref="GOX3:GOZ3"/>
    <mergeCell ref="GPA3:GPC3"/>
    <mergeCell ref="GPD3:GPF3"/>
    <mergeCell ref="GNW3:GNY3"/>
    <mergeCell ref="GNZ3:GOB3"/>
    <mergeCell ref="GOC3:GOE3"/>
    <mergeCell ref="GOF3:GOH3"/>
    <mergeCell ref="GOI3:GOK3"/>
    <mergeCell ref="GOL3:GON3"/>
    <mergeCell ref="GNE3:GNG3"/>
    <mergeCell ref="GNH3:GNJ3"/>
    <mergeCell ref="GNK3:GNM3"/>
    <mergeCell ref="GNN3:GNP3"/>
    <mergeCell ref="GNQ3:GNS3"/>
    <mergeCell ref="GNT3:GNV3"/>
    <mergeCell ref="GUU3:GUW3"/>
    <mergeCell ref="GUX3:GUZ3"/>
    <mergeCell ref="GVA3:GVC3"/>
    <mergeCell ref="GVD3:GVF3"/>
    <mergeCell ref="GVG3:GVI3"/>
    <mergeCell ref="GVJ3:GVL3"/>
    <mergeCell ref="GUC3:GUE3"/>
    <mergeCell ref="GUF3:GUH3"/>
    <mergeCell ref="GUI3:GUK3"/>
    <mergeCell ref="GUL3:GUN3"/>
    <mergeCell ref="GUO3:GUQ3"/>
    <mergeCell ref="GUR3:GUT3"/>
    <mergeCell ref="GTK3:GTM3"/>
    <mergeCell ref="GTN3:GTP3"/>
    <mergeCell ref="GTQ3:GTS3"/>
    <mergeCell ref="GTT3:GTV3"/>
    <mergeCell ref="GTW3:GTY3"/>
    <mergeCell ref="GTZ3:GUB3"/>
    <mergeCell ref="GSS3:GSU3"/>
    <mergeCell ref="GSV3:GSX3"/>
    <mergeCell ref="GSY3:GTA3"/>
    <mergeCell ref="GTB3:GTD3"/>
    <mergeCell ref="GTE3:GTG3"/>
    <mergeCell ref="GTH3:GTJ3"/>
    <mergeCell ref="GSA3:GSC3"/>
    <mergeCell ref="GSD3:GSF3"/>
    <mergeCell ref="GSG3:GSI3"/>
    <mergeCell ref="GSJ3:GSL3"/>
    <mergeCell ref="GSM3:GSO3"/>
    <mergeCell ref="GSP3:GSR3"/>
    <mergeCell ref="GRI3:GRK3"/>
    <mergeCell ref="GRL3:GRN3"/>
    <mergeCell ref="GRO3:GRQ3"/>
    <mergeCell ref="GRR3:GRT3"/>
    <mergeCell ref="GRU3:GRW3"/>
    <mergeCell ref="GRX3:GRZ3"/>
    <mergeCell ref="GYY3:GZA3"/>
    <mergeCell ref="GZB3:GZD3"/>
    <mergeCell ref="GZE3:GZG3"/>
    <mergeCell ref="GZH3:GZJ3"/>
    <mergeCell ref="GZK3:GZM3"/>
    <mergeCell ref="GZN3:GZP3"/>
    <mergeCell ref="GYG3:GYI3"/>
    <mergeCell ref="GYJ3:GYL3"/>
    <mergeCell ref="GYM3:GYO3"/>
    <mergeCell ref="GYP3:GYR3"/>
    <mergeCell ref="GYS3:GYU3"/>
    <mergeCell ref="GYV3:GYX3"/>
    <mergeCell ref="GXO3:GXQ3"/>
    <mergeCell ref="GXR3:GXT3"/>
    <mergeCell ref="GXU3:GXW3"/>
    <mergeCell ref="GXX3:GXZ3"/>
    <mergeCell ref="GYA3:GYC3"/>
    <mergeCell ref="GYD3:GYF3"/>
    <mergeCell ref="GWW3:GWY3"/>
    <mergeCell ref="GWZ3:GXB3"/>
    <mergeCell ref="GXC3:GXE3"/>
    <mergeCell ref="GXF3:GXH3"/>
    <mergeCell ref="GXI3:GXK3"/>
    <mergeCell ref="GXL3:GXN3"/>
    <mergeCell ref="GWE3:GWG3"/>
    <mergeCell ref="GWH3:GWJ3"/>
    <mergeCell ref="GWK3:GWM3"/>
    <mergeCell ref="GWN3:GWP3"/>
    <mergeCell ref="GWQ3:GWS3"/>
    <mergeCell ref="GWT3:GWV3"/>
    <mergeCell ref="GVM3:GVO3"/>
    <mergeCell ref="GVP3:GVR3"/>
    <mergeCell ref="GVS3:GVU3"/>
    <mergeCell ref="GVV3:GVX3"/>
    <mergeCell ref="GVY3:GWA3"/>
    <mergeCell ref="GWB3:GWD3"/>
    <mergeCell ref="HDC3:HDE3"/>
    <mergeCell ref="HDF3:HDH3"/>
    <mergeCell ref="HDI3:HDK3"/>
    <mergeCell ref="HDL3:HDN3"/>
    <mergeCell ref="HDO3:HDQ3"/>
    <mergeCell ref="HDR3:HDT3"/>
    <mergeCell ref="HCK3:HCM3"/>
    <mergeCell ref="HCN3:HCP3"/>
    <mergeCell ref="HCQ3:HCS3"/>
    <mergeCell ref="HCT3:HCV3"/>
    <mergeCell ref="HCW3:HCY3"/>
    <mergeCell ref="HCZ3:HDB3"/>
    <mergeCell ref="HBS3:HBU3"/>
    <mergeCell ref="HBV3:HBX3"/>
    <mergeCell ref="HBY3:HCA3"/>
    <mergeCell ref="HCB3:HCD3"/>
    <mergeCell ref="HCE3:HCG3"/>
    <mergeCell ref="HCH3:HCJ3"/>
    <mergeCell ref="HBA3:HBC3"/>
    <mergeCell ref="HBD3:HBF3"/>
    <mergeCell ref="HBG3:HBI3"/>
    <mergeCell ref="HBJ3:HBL3"/>
    <mergeCell ref="HBM3:HBO3"/>
    <mergeCell ref="HBP3:HBR3"/>
    <mergeCell ref="HAI3:HAK3"/>
    <mergeCell ref="HAL3:HAN3"/>
    <mergeCell ref="HAO3:HAQ3"/>
    <mergeCell ref="HAR3:HAT3"/>
    <mergeCell ref="HAU3:HAW3"/>
    <mergeCell ref="HAX3:HAZ3"/>
    <mergeCell ref="GZQ3:GZS3"/>
    <mergeCell ref="GZT3:GZV3"/>
    <mergeCell ref="GZW3:GZY3"/>
    <mergeCell ref="GZZ3:HAB3"/>
    <mergeCell ref="HAC3:HAE3"/>
    <mergeCell ref="HAF3:HAH3"/>
    <mergeCell ref="HHG3:HHI3"/>
    <mergeCell ref="HHJ3:HHL3"/>
    <mergeCell ref="HHM3:HHO3"/>
    <mergeCell ref="HHP3:HHR3"/>
    <mergeCell ref="HHS3:HHU3"/>
    <mergeCell ref="HHV3:HHX3"/>
    <mergeCell ref="HGO3:HGQ3"/>
    <mergeCell ref="HGR3:HGT3"/>
    <mergeCell ref="HGU3:HGW3"/>
    <mergeCell ref="HGX3:HGZ3"/>
    <mergeCell ref="HHA3:HHC3"/>
    <mergeCell ref="HHD3:HHF3"/>
    <mergeCell ref="HFW3:HFY3"/>
    <mergeCell ref="HFZ3:HGB3"/>
    <mergeCell ref="HGC3:HGE3"/>
    <mergeCell ref="HGF3:HGH3"/>
    <mergeCell ref="HGI3:HGK3"/>
    <mergeCell ref="HGL3:HGN3"/>
    <mergeCell ref="HFE3:HFG3"/>
    <mergeCell ref="HFH3:HFJ3"/>
    <mergeCell ref="HFK3:HFM3"/>
    <mergeCell ref="HFN3:HFP3"/>
    <mergeCell ref="HFQ3:HFS3"/>
    <mergeCell ref="HFT3:HFV3"/>
    <mergeCell ref="HEM3:HEO3"/>
    <mergeCell ref="HEP3:HER3"/>
    <mergeCell ref="HES3:HEU3"/>
    <mergeCell ref="HEV3:HEX3"/>
    <mergeCell ref="HEY3:HFA3"/>
    <mergeCell ref="HFB3:HFD3"/>
    <mergeCell ref="HDU3:HDW3"/>
    <mergeCell ref="HDX3:HDZ3"/>
    <mergeCell ref="HEA3:HEC3"/>
    <mergeCell ref="HED3:HEF3"/>
    <mergeCell ref="HEG3:HEI3"/>
    <mergeCell ref="HEJ3:HEL3"/>
    <mergeCell ref="HLK3:HLM3"/>
    <mergeCell ref="HLN3:HLP3"/>
    <mergeCell ref="HLQ3:HLS3"/>
    <mergeCell ref="HLT3:HLV3"/>
    <mergeCell ref="HLW3:HLY3"/>
    <mergeCell ref="HLZ3:HMB3"/>
    <mergeCell ref="HKS3:HKU3"/>
    <mergeCell ref="HKV3:HKX3"/>
    <mergeCell ref="HKY3:HLA3"/>
    <mergeCell ref="HLB3:HLD3"/>
    <mergeCell ref="HLE3:HLG3"/>
    <mergeCell ref="HLH3:HLJ3"/>
    <mergeCell ref="HKA3:HKC3"/>
    <mergeCell ref="HKD3:HKF3"/>
    <mergeCell ref="HKG3:HKI3"/>
    <mergeCell ref="HKJ3:HKL3"/>
    <mergeCell ref="HKM3:HKO3"/>
    <mergeCell ref="HKP3:HKR3"/>
    <mergeCell ref="HJI3:HJK3"/>
    <mergeCell ref="HJL3:HJN3"/>
    <mergeCell ref="HJO3:HJQ3"/>
    <mergeCell ref="HJR3:HJT3"/>
    <mergeCell ref="HJU3:HJW3"/>
    <mergeCell ref="HJX3:HJZ3"/>
    <mergeCell ref="HIQ3:HIS3"/>
    <mergeCell ref="HIT3:HIV3"/>
    <mergeCell ref="HIW3:HIY3"/>
    <mergeCell ref="HIZ3:HJB3"/>
    <mergeCell ref="HJC3:HJE3"/>
    <mergeCell ref="HJF3:HJH3"/>
    <mergeCell ref="HHY3:HIA3"/>
    <mergeCell ref="HIB3:HID3"/>
    <mergeCell ref="HIE3:HIG3"/>
    <mergeCell ref="HIH3:HIJ3"/>
    <mergeCell ref="HIK3:HIM3"/>
    <mergeCell ref="HIN3:HIP3"/>
    <mergeCell ref="HPO3:HPQ3"/>
    <mergeCell ref="HPR3:HPT3"/>
    <mergeCell ref="HPU3:HPW3"/>
    <mergeCell ref="HPX3:HPZ3"/>
    <mergeCell ref="HQA3:HQC3"/>
    <mergeCell ref="HQD3:HQF3"/>
    <mergeCell ref="HOW3:HOY3"/>
    <mergeCell ref="HOZ3:HPB3"/>
    <mergeCell ref="HPC3:HPE3"/>
    <mergeCell ref="HPF3:HPH3"/>
    <mergeCell ref="HPI3:HPK3"/>
    <mergeCell ref="HPL3:HPN3"/>
    <mergeCell ref="HOE3:HOG3"/>
    <mergeCell ref="HOH3:HOJ3"/>
    <mergeCell ref="HOK3:HOM3"/>
    <mergeCell ref="HON3:HOP3"/>
    <mergeCell ref="HOQ3:HOS3"/>
    <mergeCell ref="HOT3:HOV3"/>
    <mergeCell ref="HNM3:HNO3"/>
    <mergeCell ref="HNP3:HNR3"/>
    <mergeCell ref="HNS3:HNU3"/>
    <mergeCell ref="HNV3:HNX3"/>
    <mergeCell ref="HNY3:HOA3"/>
    <mergeCell ref="HOB3:HOD3"/>
    <mergeCell ref="HMU3:HMW3"/>
    <mergeCell ref="HMX3:HMZ3"/>
    <mergeCell ref="HNA3:HNC3"/>
    <mergeCell ref="HND3:HNF3"/>
    <mergeCell ref="HNG3:HNI3"/>
    <mergeCell ref="HNJ3:HNL3"/>
    <mergeCell ref="HMC3:HME3"/>
    <mergeCell ref="HMF3:HMH3"/>
    <mergeCell ref="HMI3:HMK3"/>
    <mergeCell ref="HML3:HMN3"/>
    <mergeCell ref="HMO3:HMQ3"/>
    <mergeCell ref="HMR3:HMT3"/>
    <mergeCell ref="HTS3:HTU3"/>
    <mergeCell ref="HTV3:HTX3"/>
    <mergeCell ref="HTY3:HUA3"/>
    <mergeCell ref="HUB3:HUD3"/>
    <mergeCell ref="HUE3:HUG3"/>
    <mergeCell ref="HUH3:HUJ3"/>
    <mergeCell ref="HTA3:HTC3"/>
    <mergeCell ref="HTD3:HTF3"/>
    <mergeCell ref="HTG3:HTI3"/>
    <mergeCell ref="HTJ3:HTL3"/>
    <mergeCell ref="HTM3:HTO3"/>
    <mergeCell ref="HTP3:HTR3"/>
    <mergeCell ref="HSI3:HSK3"/>
    <mergeCell ref="HSL3:HSN3"/>
    <mergeCell ref="HSO3:HSQ3"/>
    <mergeCell ref="HSR3:HST3"/>
    <mergeCell ref="HSU3:HSW3"/>
    <mergeCell ref="HSX3:HSZ3"/>
    <mergeCell ref="HRQ3:HRS3"/>
    <mergeCell ref="HRT3:HRV3"/>
    <mergeCell ref="HRW3:HRY3"/>
    <mergeCell ref="HRZ3:HSB3"/>
    <mergeCell ref="HSC3:HSE3"/>
    <mergeCell ref="HSF3:HSH3"/>
    <mergeCell ref="HQY3:HRA3"/>
    <mergeCell ref="HRB3:HRD3"/>
    <mergeCell ref="HRE3:HRG3"/>
    <mergeCell ref="HRH3:HRJ3"/>
    <mergeCell ref="HRK3:HRM3"/>
    <mergeCell ref="HRN3:HRP3"/>
    <mergeCell ref="HQG3:HQI3"/>
    <mergeCell ref="HQJ3:HQL3"/>
    <mergeCell ref="HQM3:HQO3"/>
    <mergeCell ref="HQP3:HQR3"/>
    <mergeCell ref="HQS3:HQU3"/>
    <mergeCell ref="HQV3:HQX3"/>
    <mergeCell ref="HXW3:HXY3"/>
    <mergeCell ref="HXZ3:HYB3"/>
    <mergeCell ref="HYC3:HYE3"/>
    <mergeCell ref="HYF3:HYH3"/>
    <mergeCell ref="HYI3:HYK3"/>
    <mergeCell ref="HYL3:HYN3"/>
    <mergeCell ref="HXE3:HXG3"/>
    <mergeCell ref="HXH3:HXJ3"/>
    <mergeCell ref="HXK3:HXM3"/>
    <mergeCell ref="HXN3:HXP3"/>
    <mergeCell ref="HXQ3:HXS3"/>
    <mergeCell ref="HXT3:HXV3"/>
    <mergeCell ref="HWM3:HWO3"/>
    <mergeCell ref="HWP3:HWR3"/>
    <mergeCell ref="HWS3:HWU3"/>
    <mergeCell ref="HWV3:HWX3"/>
    <mergeCell ref="HWY3:HXA3"/>
    <mergeCell ref="HXB3:HXD3"/>
    <mergeCell ref="HVU3:HVW3"/>
    <mergeCell ref="HVX3:HVZ3"/>
    <mergeCell ref="HWA3:HWC3"/>
    <mergeCell ref="HWD3:HWF3"/>
    <mergeCell ref="HWG3:HWI3"/>
    <mergeCell ref="HWJ3:HWL3"/>
    <mergeCell ref="HVC3:HVE3"/>
    <mergeCell ref="HVF3:HVH3"/>
    <mergeCell ref="HVI3:HVK3"/>
    <mergeCell ref="HVL3:HVN3"/>
    <mergeCell ref="HVO3:HVQ3"/>
    <mergeCell ref="HVR3:HVT3"/>
    <mergeCell ref="HUK3:HUM3"/>
    <mergeCell ref="HUN3:HUP3"/>
    <mergeCell ref="HUQ3:HUS3"/>
    <mergeCell ref="HUT3:HUV3"/>
    <mergeCell ref="HUW3:HUY3"/>
    <mergeCell ref="HUZ3:HVB3"/>
    <mergeCell ref="ICA3:ICC3"/>
    <mergeCell ref="ICD3:ICF3"/>
    <mergeCell ref="ICG3:ICI3"/>
    <mergeCell ref="ICJ3:ICL3"/>
    <mergeCell ref="ICM3:ICO3"/>
    <mergeCell ref="ICP3:ICR3"/>
    <mergeCell ref="IBI3:IBK3"/>
    <mergeCell ref="IBL3:IBN3"/>
    <mergeCell ref="IBO3:IBQ3"/>
    <mergeCell ref="IBR3:IBT3"/>
    <mergeCell ref="IBU3:IBW3"/>
    <mergeCell ref="IBX3:IBZ3"/>
    <mergeCell ref="IAQ3:IAS3"/>
    <mergeCell ref="IAT3:IAV3"/>
    <mergeCell ref="IAW3:IAY3"/>
    <mergeCell ref="IAZ3:IBB3"/>
    <mergeCell ref="IBC3:IBE3"/>
    <mergeCell ref="IBF3:IBH3"/>
    <mergeCell ref="HZY3:IAA3"/>
    <mergeCell ref="IAB3:IAD3"/>
    <mergeCell ref="IAE3:IAG3"/>
    <mergeCell ref="IAH3:IAJ3"/>
    <mergeCell ref="IAK3:IAM3"/>
    <mergeCell ref="IAN3:IAP3"/>
    <mergeCell ref="HZG3:HZI3"/>
    <mergeCell ref="HZJ3:HZL3"/>
    <mergeCell ref="HZM3:HZO3"/>
    <mergeCell ref="HZP3:HZR3"/>
    <mergeCell ref="HZS3:HZU3"/>
    <mergeCell ref="HZV3:HZX3"/>
    <mergeCell ref="HYO3:HYQ3"/>
    <mergeCell ref="HYR3:HYT3"/>
    <mergeCell ref="HYU3:HYW3"/>
    <mergeCell ref="HYX3:HYZ3"/>
    <mergeCell ref="HZA3:HZC3"/>
    <mergeCell ref="HZD3:HZF3"/>
    <mergeCell ref="IGE3:IGG3"/>
    <mergeCell ref="IGH3:IGJ3"/>
    <mergeCell ref="IGK3:IGM3"/>
    <mergeCell ref="IGN3:IGP3"/>
    <mergeCell ref="IGQ3:IGS3"/>
    <mergeCell ref="IGT3:IGV3"/>
    <mergeCell ref="IFM3:IFO3"/>
    <mergeCell ref="IFP3:IFR3"/>
    <mergeCell ref="IFS3:IFU3"/>
    <mergeCell ref="IFV3:IFX3"/>
    <mergeCell ref="IFY3:IGA3"/>
    <mergeCell ref="IGB3:IGD3"/>
    <mergeCell ref="IEU3:IEW3"/>
    <mergeCell ref="IEX3:IEZ3"/>
    <mergeCell ref="IFA3:IFC3"/>
    <mergeCell ref="IFD3:IFF3"/>
    <mergeCell ref="IFG3:IFI3"/>
    <mergeCell ref="IFJ3:IFL3"/>
    <mergeCell ref="IEC3:IEE3"/>
    <mergeCell ref="IEF3:IEH3"/>
    <mergeCell ref="IEI3:IEK3"/>
    <mergeCell ref="IEL3:IEN3"/>
    <mergeCell ref="IEO3:IEQ3"/>
    <mergeCell ref="IER3:IET3"/>
    <mergeCell ref="IDK3:IDM3"/>
    <mergeCell ref="IDN3:IDP3"/>
    <mergeCell ref="IDQ3:IDS3"/>
    <mergeCell ref="IDT3:IDV3"/>
    <mergeCell ref="IDW3:IDY3"/>
    <mergeCell ref="IDZ3:IEB3"/>
    <mergeCell ref="ICS3:ICU3"/>
    <mergeCell ref="ICV3:ICX3"/>
    <mergeCell ref="ICY3:IDA3"/>
    <mergeCell ref="IDB3:IDD3"/>
    <mergeCell ref="IDE3:IDG3"/>
    <mergeCell ref="IDH3:IDJ3"/>
    <mergeCell ref="IKI3:IKK3"/>
    <mergeCell ref="IKL3:IKN3"/>
    <mergeCell ref="IKO3:IKQ3"/>
    <mergeCell ref="IKR3:IKT3"/>
    <mergeCell ref="IKU3:IKW3"/>
    <mergeCell ref="IKX3:IKZ3"/>
    <mergeCell ref="IJQ3:IJS3"/>
    <mergeCell ref="IJT3:IJV3"/>
    <mergeCell ref="IJW3:IJY3"/>
    <mergeCell ref="IJZ3:IKB3"/>
    <mergeCell ref="IKC3:IKE3"/>
    <mergeCell ref="IKF3:IKH3"/>
    <mergeCell ref="IIY3:IJA3"/>
    <mergeCell ref="IJB3:IJD3"/>
    <mergeCell ref="IJE3:IJG3"/>
    <mergeCell ref="IJH3:IJJ3"/>
    <mergeCell ref="IJK3:IJM3"/>
    <mergeCell ref="IJN3:IJP3"/>
    <mergeCell ref="IIG3:III3"/>
    <mergeCell ref="IIJ3:IIL3"/>
    <mergeCell ref="IIM3:IIO3"/>
    <mergeCell ref="IIP3:IIR3"/>
    <mergeCell ref="IIS3:IIU3"/>
    <mergeCell ref="IIV3:IIX3"/>
    <mergeCell ref="IHO3:IHQ3"/>
    <mergeCell ref="IHR3:IHT3"/>
    <mergeCell ref="IHU3:IHW3"/>
    <mergeCell ref="IHX3:IHZ3"/>
    <mergeCell ref="IIA3:IIC3"/>
    <mergeCell ref="IID3:IIF3"/>
    <mergeCell ref="IGW3:IGY3"/>
    <mergeCell ref="IGZ3:IHB3"/>
    <mergeCell ref="IHC3:IHE3"/>
    <mergeCell ref="IHF3:IHH3"/>
    <mergeCell ref="IHI3:IHK3"/>
    <mergeCell ref="IHL3:IHN3"/>
    <mergeCell ref="IOM3:IOO3"/>
    <mergeCell ref="IOP3:IOR3"/>
    <mergeCell ref="IOS3:IOU3"/>
    <mergeCell ref="IOV3:IOX3"/>
    <mergeCell ref="IOY3:IPA3"/>
    <mergeCell ref="IPB3:IPD3"/>
    <mergeCell ref="INU3:INW3"/>
    <mergeCell ref="INX3:INZ3"/>
    <mergeCell ref="IOA3:IOC3"/>
    <mergeCell ref="IOD3:IOF3"/>
    <mergeCell ref="IOG3:IOI3"/>
    <mergeCell ref="IOJ3:IOL3"/>
    <mergeCell ref="INC3:INE3"/>
    <mergeCell ref="INF3:INH3"/>
    <mergeCell ref="INI3:INK3"/>
    <mergeCell ref="INL3:INN3"/>
    <mergeCell ref="INO3:INQ3"/>
    <mergeCell ref="INR3:INT3"/>
    <mergeCell ref="IMK3:IMM3"/>
    <mergeCell ref="IMN3:IMP3"/>
    <mergeCell ref="IMQ3:IMS3"/>
    <mergeCell ref="IMT3:IMV3"/>
    <mergeCell ref="IMW3:IMY3"/>
    <mergeCell ref="IMZ3:INB3"/>
    <mergeCell ref="ILS3:ILU3"/>
    <mergeCell ref="ILV3:ILX3"/>
    <mergeCell ref="ILY3:IMA3"/>
    <mergeCell ref="IMB3:IMD3"/>
    <mergeCell ref="IME3:IMG3"/>
    <mergeCell ref="IMH3:IMJ3"/>
    <mergeCell ref="ILA3:ILC3"/>
    <mergeCell ref="ILD3:ILF3"/>
    <mergeCell ref="ILG3:ILI3"/>
    <mergeCell ref="ILJ3:ILL3"/>
    <mergeCell ref="ILM3:ILO3"/>
    <mergeCell ref="ILP3:ILR3"/>
    <mergeCell ref="ISQ3:ISS3"/>
    <mergeCell ref="IST3:ISV3"/>
    <mergeCell ref="ISW3:ISY3"/>
    <mergeCell ref="ISZ3:ITB3"/>
    <mergeCell ref="ITC3:ITE3"/>
    <mergeCell ref="ITF3:ITH3"/>
    <mergeCell ref="IRY3:ISA3"/>
    <mergeCell ref="ISB3:ISD3"/>
    <mergeCell ref="ISE3:ISG3"/>
    <mergeCell ref="ISH3:ISJ3"/>
    <mergeCell ref="ISK3:ISM3"/>
    <mergeCell ref="ISN3:ISP3"/>
    <mergeCell ref="IRG3:IRI3"/>
    <mergeCell ref="IRJ3:IRL3"/>
    <mergeCell ref="IRM3:IRO3"/>
    <mergeCell ref="IRP3:IRR3"/>
    <mergeCell ref="IRS3:IRU3"/>
    <mergeCell ref="IRV3:IRX3"/>
    <mergeCell ref="IQO3:IQQ3"/>
    <mergeCell ref="IQR3:IQT3"/>
    <mergeCell ref="IQU3:IQW3"/>
    <mergeCell ref="IQX3:IQZ3"/>
    <mergeCell ref="IRA3:IRC3"/>
    <mergeCell ref="IRD3:IRF3"/>
    <mergeCell ref="IPW3:IPY3"/>
    <mergeCell ref="IPZ3:IQB3"/>
    <mergeCell ref="IQC3:IQE3"/>
    <mergeCell ref="IQF3:IQH3"/>
    <mergeCell ref="IQI3:IQK3"/>
    <mergeCell ref="IQL3:IQN3"/>
    <mergeCell ref="IPE3:IPG3"/>
    <mergeCell ref="IPH3:IPJ3"/>
    <mergeCell ref="IPK3:IPM3"/>
    <mergeCell ref="IPN3:IPP3"/>
    <mergeCell ref="IPQ3:IPS3"/>
    <mergeCell ref="IPT3:IPV3"/>
    <mergeCell ref="IWU3:IWW3"/>
    <mergeCell ref="IWX3:IWZ3"/>
    <mergeCell ref="IXA3:IXC3"/>
    <mergeCell ref="IXD3:IXF3"/>
    <mergeCell ref="IXG3:IXI3"/>
    <mergeCell ref="IXJ3:IXL3"/>
    <mergeCell ref="IWC3:IWE3"/>
    <mergeCell ref="IWF3:IWH3"/>
    <mergeCell ref="IWI3:IWK3"/>
    <mergeCell ref="IWL3:IWN3"/>
    <mergeCell ref="IWO3:IWQ3"/>
    <mergeCell ref="IWR3:IWT3"/>
    <mergeCell ref="IVK3:IVM3"/>
    <mergeCell ref="IVN3:IVP3"/>
    <mergeCell ref="IVQ3:IVS3"/>
    <mergeCell ref="IVT3:IVV3"/>
    <mergeCell ref="IVW3:IVY3"/>
    <mergeCell ref="IVZ3:IWB3"/>
    <mergeCell ref="IUS3:IUU3"/>
    <mergeCell ref="IUV3:IUX3"/>
    <mergeCell ref="IUY3:IVA3"/>
    <mergeCell ref="IVB3:IVD3"/>
    <mergeCell ref="IVE3:IVG3"/>
    <mergeCell ref="IVH3:IVJ3"/>
    <mergeCell ref="IUA3:IUC3"/>
    <mergeCell ref="IUD3:IUF3"/>
    <mergeCell ref="IUG3:IUI3"/>
    <mergeCell ref="IUJ3:IUL3"/>
    <mergeCell ref="IUM3:IUO3"/>
    <mergeCell ref="IUP3:IUR3"/>
    <mergeCell ref="ITI3:ITK3"/>
    <mergeCell ref="ITL3:ITN3"/>
    <mergeCell ref="ITO3:ITQ3"/>
    <mergeCell ref="ITR3:ITT3"/>
    <mergeCell ref="ITU3:ITW3"/>
    <mergeCell ref="ITX3:ITZ3"/>
    <mergeCell ref="JAY3:JBA3"/>
    <mergeCell ref="JBB3:JBD3"/>
    <mergeCell ref="JBE3:JBG3"/>
    <mergeCell ref="JBH3:JBJ3"/>
    <mergeCell ref="JBK3:JBM3"/>
    <mergeCell ref="JBN3:JBP3"/>
    <mergeCell ref="JAG3:JAI3"/>
    <mergeCell ref="JAJ3:JAL3"/>
    <mergeCell ref="JAM3:JAO3"/>
    <mergeCell ref="JAP3:JAR3"/>
    <mergeCell ref="JAS3:JAU3"/>
    <mergeCell ref="JAV3:JAX3"/>
    <mergeCell ref="IZO3:IZQ3"/>
    <mergeCell ref="IZR3:IZT3"/>
    <mergeCell ref="IZU3:IZW3"/>
    <mergeCell ref="IZX3:IZZ3"/>
    <mergeCell ref="JAA3:JAC3"/>
    <mergeCell ref="JAD3:JAF3"/>
    <mergeCell ref="IYW3:IYY3"/>
    <mergeCell ref="IYZ3:IZB3"/>
    <mergeCell ref="IZC3:IZE3"/>
    <mergeCell ref="IZF3:IZH3"/>
    <mergeCell ref="IZI3:IZK3"/>
    <mergeCell ref="IZL3:IZN3"/>
    <mergeCell ref="IYE3:IYG3"/>
    <mergeCell ref="IYH3:IYJ3"/>
    <mergeCell ref="IYK3:IYM3"/>
    <mergeCell ref="IYN3:IYP3"/>
    <mergeCell ref="IYQ3:IYS3"/>
    <mergeCell ref="IYT3:IYV3"/>
    <mergeCell ref="IXM3:IXO3"/>
    <mergeCell ref="IXP3:IXR3"/>
    <mergeCell ref="IXS3:IXU3"/>
    <mergeCell ref="IXV3:IXX3"/>
    <mergeCell ref="IXY3:IYA3"/>
    <mergeCell ref="IYB3:IYD3"/>
    <mergeCell ref="JFC3:JFE3"/>
    <mergeCell ref="JFF3:JFH3"/>
    <mergeCell ref="JFI3:JFK3"/>
    <mergeCell ref="JFL3:JFN3"/>
    <mergeCell ref="JFO3:JFQ3"/>
    <mergeCell ref="JFR3:JFT3"/>
    <mergeCell ref="JEK3:JEM3"/>
    <mergeCell ref="JEN3:JEP3"/>
    <mergeCell ref="JEQ3:JES3"/>
    <mergeCell ref="JET3:JEV3"/>
    <mergeCell ref="JEW3:JEY3"/>
    <mergeCell ref="JEZ3:JFB3"/>
    <mergeCell ref="JDS3:JDU3"/>
    <mergeCell ref="JDV3:JDX3"/>
    <mergeCell ref="JDY3:JEA3"/>
    <mergeCell ref="JEB3:JED3"/>
    <mergeCell ref="JEE3:JEG3"/>
    <mergeCell ref="JEH3:JEJ3"/>
    <mergeCell ref="JDA3:JDC3"/>
    <mergeCell ref="JDD3:JDF3"/>
    <mergeCell ref="JDG3:JDI3"/>
    <mergeCell ref="JDJ3:JDL3"/>
    <mergeCell ref="JDM3:JDO3"/>
    <mergeCell ref="JDP3:JDR3"/>
    <mergeCell ref="JCI3:JCK3"/>
    <mergeCell ref="JCL3:JCN3"/>
    <mergeCell ref="JCO3:JCQ3"/>
    <mergeCell ref="JCR3:JCT3"/>
    <mergeCell ref="JCU3:JCW3"/>
    <mergeCell ref="JCX3:JCZ3"/>
    <mergeCell ref="JBQ3:JBS3"/>
    <mergeCell ref="JBT3:JBV3"/>
    <mergeCell ref="JBW3:JBY3"/>
    <mergeCell ref="JBZ3:JCB3"/>
    <mergeCell ref="JCC3:JCE3"/>
    <mergeCell ref="JCF3:JCH3"/>
    <mergeCell ref="JJG3:JJI3"/>
    <mergeCell ref="JJJ3:JJL3"/>
    <mergeCell ref="JJM3:JJO3"/>
    <mergeCell ref="JJP3:JJR3"/>
    <mergeCell ref="JJS3:JJU3"/>
    <mergeCell ref="JJV3:JJX3"/>
    <mergeCell ref="JIO3:JIQ3"/>
    <mergeCell ref="JIR3:JIT3"/>
    <mergeCell ref="JIU3:JIW3"/>
    <mergeCell ref="JIX3:JIZ3"/>
    <mergeCell ref="JJA3:JJC3"/>
    <mergeCell ref="JJD3:JJF3"/>
    <mergeCell ref="JHW3:JHY3"/>
    <mergeCell ref="JHZ3:JIB3"/>
    <mergeCell ref="JIC3:JIE3"/>
    <mergeCell ref="JIF3:JIH3"/>
    <mergeCell ref="JII3:JIK3"/>
    <mergeCell ref="JIL3:JIN3"/>
    <mergeCell ref="JHE3:JHG3"/>
    <mergeCell ref="JHH3:JHJ3"/>
    <mergeCell ref="JHK3:JHM3"/>
    <mergeCell ref="JHN3:JHP3"/>
    <mergeCell ref="JHQ3:JHS3"/>
    <mergeCell ref="JHT3:JHV3"/>
    <mergeCell ref="JGM3:JGO3"/>
    <mergeCell ref="JGP3:JGR3"/>
    <mergeCell ref="JGS3:JGU3"/>
    <mergeCell ref="JGV3:JGX3"/>
    <mergeCell ref="JGY3:JHA3"/>
    <mergeCell ref="JHB3:JHD3"/>
    <mergeCell ref="JFU3:JFW3"/>
    <mergeCell ref="JFX3:JFZ3"/>
    <mergeCell ref="JGA3:JGC3"/>
    <mergeCell ref="JGD3:JGF3"/>
    <mergeCell ref="JGG3:JGI3"/>
    <mergeCell ref="JGJ3:JGL3"/>
    <mergeCell ref="JNK3:JNM3"/>
    <mergeCell ref="JNN3:JNP3"/>
    <mergeCell ref="JNQ3:JNS3"/>
    <mergeCell ref="JNT3:JNV3"/>
    <mergeCell ref="JNW3:JNY3"/>
    <mergeCell ref="JNZ3:JOB3"/>
    <mergeCell ref="JMS3:JMU3"/>
    <mergeCell ref="JMV3:JMX3"/>
    <mergeCell ref="JMY3:JNA3"/>
    <mergeCell ref="JNB3:JND3"/>
    <mergeCell ref="JNE3:JNG3"/>
    <mergeCell ref="JNH3:JNJ3"/>
    <mergeCell ref="JMA3:JMC3"/>
    <mergeCell ref="JMD3:JMF3"/>
    <mergeCell ref="JMG3:JMI3"/>
    <mergeCell ref="JMJ3:JML3"/>
    <mergeCell ref="JMM3:JMO3"/>
    <mergeCell ref="JMP3:JMR3"/>
    <mergeCell ref="JLI3:JLK3"/>
    <mergeCell ref="JLL3:JLN3"/>
    <mergeCell ref="JLO3:JLQ3"/>
    <mergeCell ref="JLR3:JLT3"/>
    <mergeCell ref="JLU3:JLW3"/>
    <mergeCell ref="JLX3:JLZ3"/>
    <mergeCell ref="JKQ3:JKS3"/>
    <mergeCell ref="JKT3:JKV3"/>
    <mergeCell ref="JKW3:JKY3"/>
    <mergeCell ref="JKZ3:JLB3"/>
    <mergeCell ref="JLC3:JLE3"/>
    <mergeCell ref="JLF3:JLH3"/>
    <mergeCell ref="JJY3:JKA3"/>
    <mergeCell ref="JKB3:JKD3"/>
    <mergeCell ref="JKE3:JKG3"/>
    <mergeCell ref="JKH3:JKJ3"/>
    <mergeCell ref="JKK3:JKM3"/>
    <mergeCell ref="JKN3:JKP3"/>
    <mergeCell ref="JRO3:JRQ3"/>
    <mergeCell ref="JRR3:JRT3"/>
    <mergeCell ref="JRU3:JRW3"/>
    <mergeCell ref="JRX3:JRZ3"/>
    <mergeCell ref="JSA3:JSC3"/>
    <mergeCell ref="JSD3:JSF3"/>
    <mergeCell ref="JQW3:JQY3"/>
    <mergeCell ref="JQZ3:JRB3"/>
    <mergeCell ref="JRC3:JRE3"/>
    <mergeCell ref="JRF3:JRH3"/>
    <mergeCell ref="JRI3:JRK3"/>
    <mergeCell ref="JRL3:JRN3"/>
    <mergeCell ref="JQE3:JQG3"/>
    <mergeCell ref="JQH3:JQJ3"/>
    <mergeCell ref="JQK3:JQM3"/>
    <mergeCell ref="JQN3:JQP3"/>
    <mergeCell ref="JQQ3:JQS3"/>
    <mergeCell ref="JQT3:JQV3"/>
    <mergeCell ref="JPM3:JPO3"/>
    <mergeCell ref="JPP3:JPR3"/>
    <mergeCell ref="JPS3:JPU3"/>
    <mergeCell ref="JPV3:JPX3"/>
    <mergeCell ref="JPY3:JQA3"/>
    <mergeCell ref="JQB3:JQD3"/>
    <mergeCell ref="JOU3:JOW3"/>
    <mergeCell ref="JOX3:JOZ3"/>
    <mergeCell ref="JPA3:JPC3"/>
    <mergeCell ref="JPD3:JPF3"/>
    <mergeCell ref="JPG3:JPI3"/>
    <mergeCell ref="JPJ3:JPL3"/>
    <mergeCell ref="JOC3:JOE3"/>
    <mergeCell ref="JOF3:JOH3"/>
    <mergeCell ref="JOI3:JOK3"/>
    <mergeCell ref="JOL3:JON3"/>
    <mergeCell ref="JOO3:JOQ3"/>
    <mergeCell ref="JOR3:JOT3"/>
    <mergeCell ref="JVS3:JVU3"/>
    <mergeCell ref="JVV3:JVX3"/>
    <mergeCell ref="JVY3:JWA3"/>
    <mergeCell ref="JWB3:JWD3"/>
    <mergeCell ref="JWE3:JWG3"/>
    <mergeCell ref="JWH3:JWJ3"/>
    <mergeCell ref="JVA3:JVC3"/>
    <mergeCell ref="JVD3:JVF3"/>
    <mergeCell ref="JVG3:JVI3"/>
    <mergeCell ref="JVJ3:JVL3"/>
    <mergeCell ref="JVM3:JVO3"/>
    <mergeCell ref="JVP3:JVR3"/>
    <mergeCell ref="JUI3:JUK3"/>
    <mergeCell ref="JUL3:JUN3"/>
    <mergeCell ref="JUO3:JUQ3"/>
    <mergeCell ref="JUR3:JUT3"/>
    <mergeCell ref="JUU3:JUW3"/>
    <mergeCell ref="JUX3:JUZ3"/>
    <mergeCell ref="JTQ3:JTS3"/>
    <mergeCell ref="JTT3:JTV3"/>
    <mergeCell ref="JTW3:JTY3"/>
    <mergeCell ref="JTZ3:JUB3"/>
    <mergeCell ref="JUC3:JUE3"/>
    <mergeCell ref="JUF3:JUH3"/>
    <mergeCell ref="JSY3:JTA3"/>
    <mergeCell ref="JTB3:JTD3"/>
    <mergeCell ref="JTE3:JTG3"/>
    <mergeCell ref="JTH3:JTJ3"/>
    <mergeCell ref="JTK3:JTM3"/>
    <mergeCell ref="JTN3:JTP3"/>
    <mergeCell ref="JSG3:JSI3"/>
    <mergeCell ref="JSJ3:JSL3"/>
    <mergeCell ref="JSM3:JSO3"/>
    <mergeCell ref="JSP3:JSR3"/>
    <mergeCell ref="JSS3:JSU3"/>
    <mergeCell ref="JSV3:JSX3"/>
    <mergeCell ref="JZW3:JZY3"/>
    <mergeCell ref="JZZ3:KAB3"/>
    <mergeCell ref="KAC3:KAE3"/>
    <mergeCell ref="KAF3:KAH3"/>
    <mergeCell ref="KAI3:KAK3"/>
    <mergeCell ref="KAL3:KAN3"/>
    <mergeCell ref="JZE3:JZG3"/>
    <mergeCell ref="JZH3:JZJ3"/>
    <mergeCell ref="JZK3:JZM3"/>
    <mergeCell ref="JZN3:JZP3"/>
    <mergeCell ref="JZQ3:JZS3"/>
    <mergeCell ref="JZT3:JZV3"/>
    <mergeCell ref="JYM3:JYO3"/>
    <mergeCell ref="JYP3:JYR3"/>
    <mergeCell ref="JYS3:JYU3"/>
    <mergeCell ref="JYV3:JYX3"/>
    <mergeCell ref="JYY3:JZA3"/>
    <mergeCell ref="JZB3:JZD3"/>
    <mergeCell ref="JXU3:JXW3"/>
    <mergeCell ref="JXX3:JXZ3"/>
    <mergeCell ref="JYA3:JYC3"/>
    <mergeCell ref="JYD3:JYF3"/>
    <mergeCell ref="JYG3:JYI3"/>
    <mergeCell ref="JYJ3:JYL3"/>
    <mergeCell ref="JXC3:JXE3"/>
    <mergeCell ref="JXF3:JXH3"/>
    <mergeCell ref="JXI3:JXK3"/>
    <mergeCell ref="JXL3:JXN3"/>
    <mergeCell ref="JXO3:JXQ3"/>
    <mergeCell ref="JXR3:JXT3"/>
    <mergeCell ref="JWK3:JWM3"/>
    <mergeCell ref="JWN3:JWP3"/>
    <mergeCell ref="JWQ3:JWS3"/>
    <mergeCell ref="JWT3:JWV3"/>
    <mergeCell ref="JWW3:JWY3"/>
    <mergeCell ref="JWZ3:JXB3"/>
    <mergeCell ref="KEA3:KEC3"/>
    <mergeCell ref="KED3:KEF3"/>
    <mergeCell ref="KEG3:KEI3"/>
    <mergeCell ref="KEJ3:KEL3"/>
    <mergeCell ref="KEM3:KEO3"/>
    <mergeCell ref="KEP3:KER3"/>
    <mergeCell ref="KDI3:KDK3"/>
    <mergeCell ref="KDL3:KDN3"/>
    <mergeCell ref="KDO3:KDQ3"/>
    <mergeCell ref="KDR3:KDT3"/>
    <mergeCell ref="KDU3:KDW3"/>
    <mergeCell ref="KDX3:KDZ3"/>
    <mergeCell ref="KCQ3:KCS3"/>
    <mergeCell ref="KCT3:KCV3"/>
    <mergeCell ref="KCW3:KCY3"/>
    <mergeCell ref="KCZ3:KDB3"/>
    <mergeCell ref="KDC3:KDE3"/>
    <mergeCell ref="KDF3:KDH3"/>
    <mergeCell ref="KBY3:KCA3"/>
    <mergeCell ref="KCB3:KCD3"/>
    <mergeCell ref="KCE3:KCG3"/>
    <mergeCell ref="KCH3:KCJ3"/>
    <mergeCell ref="KCK3:KCM3"/>
    <mergeCell ref="KCN3:KCP3"/>
    <mergeCell ref="KBG3:KBI3"/>
    <mergeCell ref="KBJ3:KBL3"/>
    <mergeCell ref="KBM3:KBO3"/>
    <mergeCell ref="KBP3:KBR3"/>
    <mergeCell ref="KBS3:KBU3"/>
    <mergeCell ref="KBV3:KBX3"/>
    <mergeCell ref="KAO3:KAQ3"/>
    <mergeCell ref="KAR3:KAT3"/>
    <mergeCell ref="KAU3:KAW3"/>
    <mergeCell ref="KAX3:KAZ3"/>
    <mergeCell ref="KBA3:KBC3"/>
    <mergeCell ref="KBD3:KBF3"/>
    <mergeCell ref="KIE3:KIG3"/>
    <mergeCell ref="KIH3:KIJ3"/>
    <mergeCell ref="KIK3:KIM3"/>
    <mergeCell ref="KIN3:KIP3"/>
    <mergeCell ref="KIQ3:KIS3"/>
    <mergeCell ref="KIT3:KIV3"/>
    <mergeCell ref="KHM3:KHO3"/>
    <mergeCell ref="KHP3:KHR3"/>
    <mergeCell ref="KHS3:KHU3"/>
    <mergeCell ref="KHV3:KHX3"/>
    <mergeCell ref="KHY3:KIA3"/>
    <mergeCell ref="KIB3:KID3"/>
    <mergeCell ref="KGU3:KGW3"/>
    <mergeCell ref="KGX3:KGZ3"/>
    <mergeCell ref="KHA3:KHC3"/>
    <mergeCell ref="KHD3:KHF3"/>
    <mergeCell ref="KHG3:KHI3"/>
    <mergeCell ref="KHJ3:KHL3"/>
    <mergeCell ref="KGC3:KGE3"/>
    <mergeCell ref="KGF3:KGH3"/>
    <mergeCell ref="KGI3:KGK3"/>
    <mergeCell ref="KGL3:KGN3"/>
    <mergeCell ref="KGO3:KGQ3"/>
    <mergeCell ref="KGR3:KGT3"/>
    <mergeCell ref="KFK3:KFM3"/>
    <mergeCell ref="KFN3:KFP3"/>
    <mergeCell ref="KFQ3:KFS3"/>
    <mergeCell ref="KFT3:KFV3"/>
    <mergeCell ref="KFW3:KFY3"/>
    <mergeCell ref="KFZ3:KGB3"/>
    <mergeCell ref="KES3:KEU3"/>
    <mergeCell ref="KEV3:KEX3"/>
    <mergeCell ref="KEY3:KFA3"/>
    <mergeCell ref="KFB3:KFD3"/>
    <mergeCell ref="KFE3:KFG3"/>
    <mergeCell ref="KFH3:KFJ3"/>
    <mergeCell ref="KMI3:KMK3"/>
    <mergeCell ref="KML3:KMN3"/>
    <mergeCell ref="KMO3:KMQ3"/>
    <mergeCell ref="KMR3:KMT3"/>
    <mergeCell ref="KMU3:KMW3"/>
    <mergeCell ref="KMX3:KMZ3"/>
    <mergeCell ref="KLQ3:KLS3"/>
    <mergeCell ref="KLT3:KLV3"/>
    <mergeCell ref="KLW3:KLY3"/>
    <mergeCell ref="KLZ3:KMB3"/>
    <mergeCell ref="KMC3:KME3"/>
    <mergeCell ref="KMF3:KMH3"/>
    <mergeCell ref="KKY3:KLA3"/>
    <mergeCell ref="KLB3:KLD3"/>
    <mergeCell ref="KLE3:KLG3"/>
    <mergeCell ref="KLH3:KLJ3"/>
    <mergeCell ref="KLK3:KLM3"/>
    <mergeCell ref="KLN3:KLP3"/>
    <mergeCell ref="KKG3:KKI3"/>
    <mergeCell ref="KKJ3:KKL3"/>
    <mergeCell ref="KKM3:KKO3"/>
    <mergeCell ref="KKP3:KKR3"/>
    <mergeCell ref="KKS3:KKU3"/>
    <mergeCell ref="KKV3:KKX3"/>
    <mergeCell ref="KJO3:KJQ3"/>
    <mergeCell ref="KJR3:KJT3"/>
    <mergeCell ref="KJU3:KJW3"/>
    <mergeCell ref="KJX3:KJZ3"/>
    <mergeCell ref="KKA3:KKC3"/>
    <mergeCell ref="KKD3:KKF3"/>
    <mergeCell ref="KIW3:KIY3"/>
    <mergeCell ref="KIZ3:KJB3"/>
    <mergeCell ref="KJC3:KJE3"/>
    <mergeCell ref="KJF3:KJH3"/>
    <mergeCell ref="KJI3:KJK3"/>
    <mergeCell ref="KJL3:KJN3"/>
    <mergeCell ref="KQM3:KQO3"/>
    <mergeCell ref="KQP3:KQR3"/>
    <mergeCell ref="KQS3:KQU3"/>
    <mergeCell ref="KQV3:KQX3"/>
    <mergeCell ref="KQY3:KRA3"/>
    <mergeCell ref="KRB3:KRD3"/>
    <mergeCell ref="KPU3:KPW3"/>
    <mergeCell ref="KPX3:KPZ3"/>
    <mergeCell ref="KQA3:KQC3"/>
    <mergeCell ref="KQD3:KQF3"/>
    <mergeCell ref="KQG3:KQI3"/>
    <mergeCell ref="KQJ3:KQL3"/>
    <mergeCell ref="KPC3:KPE3"/>
    <mergeCell ref="KPF3:KPH3"/>
    <mergeCell ref="KPI3:KPK3"/>
    <mergeCell ref="KPL3:KPN3"/>
    <mergeCell ref="KPO3:KPQ3"/>
    <mergeCell ref="KPR3:KPT3"/>
    <mergeCell ref="KOK3:KOM3"/>
    <mergeCell ref="KON3:KOP3"/>
    <mergeCell ref="KOQ3:KOS3"/>
    <mergeCell ref="KOT3:KOV3"/>
    <mergeCell ref="KOW3:KOY3"/>
    <mergeCell ref="KOZ3:KPB3"/>
    <mergeCell ref="KNS3:KNU3"/>
    <mergeCell ref="KNV3:KNX3"/>
    <mergeCell ref="KNY3:KOA3"/>
    <mergeCell ref="KOB3:KOD3"/>
    <mergeCell ref="KOE3:KOG3"/>
    <mergeCell ref="KOH3:KOJ3"/>
    <mergeCell ref="KNA3:KNC3"/>
    <mergeCell ref="KND3:KNF3"/>
    <mergeCell ref="KNG3:KNI3"/>
    <mergeCell ref="KNJ3:KNL3"/>
    <mergeCell ref="KNM3:KNO3"/>
    <mergeCell ref="KNP3:KNR3"/>
    <mergeCell ref="KUQ3:KUS3"/>
    <mergeCell ref="KUT3:KUV3"/>
    <mergeCell ref="KUW3:KUY3"/>
    <mergeCell ref="KUZ3:KVB3"/>
    <mergeCell ref="KVC3:KVE3"/>
    <mergeCell ref="KVF3:KVH3"/>
    <mergeCell ref="KTY3:KUA3"/>
    <mergeCell ref="KUB3:KUD3"/>
    <mergeCell ref="KUE3:KUG3"/>
    <mergeCell ref="KUH3:KUJ3"/>
    <mergeCell ref="KUK3:KUM3"/>
    <mergeCell ref="KUN3:KUP3"/>
    <mergeCell ref="KTG3:KTI3"/>
    <mergeCell ref="KTJ3:KTL3"/>
    <mergeCell ref="KTM3:KTO3"/>
    <mergeCell ref="KTP3:KTR3"/>
    <mergeCell ref="KTS3:KTU3"/>
    <mergeCell ref="KTV3:KTX3"/>
    <mergeCell ref="KSO3:KSQ3"/>
    <mergeCell ref="KSR3:KST3"/>
    <mergeCell ref="KSU3:KSW3"/>
    <mergeCell ref="KSX3:KSZ3"/>
    <mergeCell ref="KTA3:KTC3"/>
    <mergeCell ref="KTD3:KTF3"/>
    <mergeCell ref="KRW3:KRY3"/>
    <mergeCell ref="KRZ3:KSB3"/>
    <mergeCell ref="KSC3:KSE3"/>
    <mergeCell ref="KSF3:KSH3"/>
    <mergeCell ref="KSI3:KSK3"/>
    <mergeCell ref="KSL3:KSN3"/>
    <mergeCell ref="KRE3:KRG3"/>
    <mergeCell ref="KRH3:KRJ3"/>
    <mergeCell ref="KRK3:KRM3"/>
    <mergeCell ref="KRN3:KRP3"/>
    <mergeCell ref="KRQ3:KRS3"/>
    <mergeCell ref="KRT3:KRV3"/>
    <mergeCell ref="KYU3:KYW3"/>
    <mergeCell ref="KYX3:KYZ3"/>
    <mergeCell ref="KZA3:KZC3"/>
    <mergeCell ref="KZD3:KZF3"/>
    <mergeCell ref="KZG3:KZI3"/>
    <mergeCell ref="KZJ3:KZL3"/>
    <mergeCell ref="KYC3:KYE3"/>
    <mergeCell ref="KYF3:KYH3"/>
    <mergeCell ref="KYI3:KYK3"/>
    <mergeCell ref="KYL3:KYN3"/>
    <mergeCell ref="KYO3:KYQ3"/>
    <mergeCell ref="KYR3:KYT3"/>
    <mergeCell ref="KXK3:KXM3"/>
    <mergeCell ref="KXN3:KXP3"/>
    <mergeCell ref="KXQ3:KXS3"/>
    <mergeCell ref="KXT3:KXV3"/>
    <mergeCell ref="KXW3:KXY3"/>
    <mergeCell ref="KXZ3:KYB3"/>
    <mergeCell ref="KWS3:KWU3"/>
    <mergeCell ref="KWV3:KWX3"/>
    <mergeCell ref="KWY3:KXA3"/>
    <mergeCell ref="KXB3:KXD3"/>
    <mergeCell ref="KXE3:KXG3"/>
    <mergeCell ref="KXH3:KXJ3"/>
    <mergeCell ref="KWA3:KWC3"/>
    <mergeCell ref="KWD3:KWF3"/>
    <mergeCell ref="KWG3:KWI3"/>
    <mergeCell ref="KWJ3:KWL3"/>
    <mergeCell ref="KWM3:KWO3"/>
    <mergeCell ref="KWP3:KWR3"/>
    <mergeCell ref="KVI3:KVK3"/>
    <mergeCell ref="KVL3:KVN3"/>
    <mergeCell ref="KVO3:KVQ3"/>
    <mergeCell ref="KVR3:KVT3"/>
    <mergeCell ref="KVU3:KVW3"/>
    <mergeCell ref="KVX3:KVZ3"/>
    <mergeCell ref="LCY3:LDA3"/>
    <mergeCell ref="LDB3:LDD3"/>
    <mergeCell ref="LDE3:LDG3"/>
    <mergeCell ref="LDH3:LDJ3"/>
    <mergeCell ref="LDK3:LDM3"/>
    <mergeCell ref="LDN3:LDP3"/>
    <mergeCell ref="LCG3:LCI3"/>
    <mergeCell ref="LCJ3:LCL3"/>
    <mergeCell ref="LCM3:LCO3"/>
    <mergeCell ref="LCP3:LCR3"/>
    <mergeCell ref="LCS3:LCU3"/>
    <mergeCell ref="LCV3:LCX3"/>
    <mergeCell ref="LBO3:LBQ3"/>
    <mergeCell ref="LBR3:LBT3"/>
    <mergeCell ref="LBU3:LBW3"/>
    <mergeCell ref="LBX3:LBZ3"/>
    <mergeCell ref="LCA3:LCC3"/>
    <mergeCell ref="LCD3:LCF3"/>
    <mergeCell ref="LAW3:LAY3"/>
    <mergeCell ref="LAZ3:LBB3"/>
    <mergeCell ref="LBC3:LBE3"/>
    <mergeCell ref="LBF3:LBH3"/>
    <mergeCell ref="LBI3:LBK3"/>
    <mergeCell ref="LBL3:LBN3"/>
    <mergeCell ref="LAE3:LAG3"/>
    <mergeCell ref="LAH3:LAJ3"/>
    <mergeCell ref="LAK3:LAM3"/>
    <mergeCell ref="LAN3:LAP3"/>
    <mergeCell ref="LAQ3:LAS3"/>
    <mergeCell ref="LAT3:LAV3"/>
    <mergeCell ref="KZM3:KZO3"/>
    <mergeCell ref="KZP3:KZR3"/>
    <mergeCell ref="KZS3:KZU3"/>
    <mergeCell ref="KZV3:KZX3"/>
    <mergeCell ref="KZY3:LAA3"/>
    <mergeCell ref="LAB3:LAD3"/>
    <mergeCell ref="LHC3:LHE3"/>
    <mergeCell ref="LHF3:LHH3"/>
    <mergeCell ref="LHI3:LHK3"/>
    <mergeCell ref="LHL3:LHN3"/>
    <mergeCell ref="LHO3:LHQ3"/>
    <mergeCell ref="LHR3:LHT3"/>
    <mergeCell ref="LGK3:LGM3"/>
    <mergeCell ref="LGN3:LGP3"/>
    <mergeCell ref="LGQ3:LGS3"/>
    <mergeCell ref="LGT3:LGV3"/>
    <mergeCell ref="LGW3:LGY3"/>
    <mergeCell ref="LGZ3:LHB3"/>
    <mergeCell ref="LFS3:LFU3"/>
    <mergeCell ref="LFV3:LFX3"/>
    <mergeCell ref="LFY3:LGA3"/>
    <mergeCell ref="LGB3:LGD3"/>
    <mergeCell ref="LGE3:LGG3"/>
    <mergeCell ref="LGH3:LGJ3"/>
    <mergeCell ref="LFA3:LFC3"/>
    <mergeCell ref="LFD3:LFF3"/>
    <mergeCell ref="LFG3:LFI3"/>
    <mergeCell ref="LFJ3:LFL3"/>
    <mergeCell ref="LFM3:LFO3"/>
    <mergeCell ref="LFP3:LFR3"/>
    <mergeCell ref="LEI3:LEK3"/>
    <mergeCell ref="LEL3:LEN3"/>
    <mergeCell ref="LEO3:LEQ3"/>
    <mergeCell ref="LER3:LET3"/>
    <mergeCell ref="LEU3:LEW3"/>
    <mergeCell ref="LEX3:LEZ3"/>
    <mergeCell ref="LDQ3:LDS3"/>
    <mergeCell ref="LDT3:LDV3"/>
    <mergeCell ref="LDW3:LDY3"/>
    <mergeCell ref="LDZ3:LEB3"/>
    <mergeCell ref="LEC3:LEE3"/>
    <mergeCell ref="LEF3:LEH3"/>
    <mergeCell ref="LLG3:LLI3"/>
    <mergeCell ref="LLJ3:LLL3"/>
    <mergeCell ref="LLM3:LLO3"/>
    <mergeCell ref="LLP3:LLR3"/>
    <mergeCell ref="LLS3:LLU3"/>
    <mergeCell ref="LLV3:LLX3"/>
    <mergeCell ref="LKO3:LKQ3"/>
    <mergeCell ref="LKR3:LKT3"/>
    <mergeCell ref="LKU3:LKW3"/>
    <mergeCell ref="LKX3:LKZ3"/>
    <mergeCell ref="LLA3:LLC3"/>
    <mergeCell ref="LLD3:LLF3"/>
    <mergeCell ref="LJW3:LJY3"/>
    <mergeCell ref="LJZ3:LKB3"/>
    <mergeCell ref="LKC3:LKE3"/>
    <mergeCell ref="LKF3:LKH3"/>
    <mergeCell ref="LKI3:LKK3"/>
    <mergeCell ref="LKL3:LKN3"/>
    <mergeCell ref="LJE3:LJG3"/>
    <mergeCell ref="LJH3:LJJ3"/>
    <mergeCell ref="LJK3:LJM3"/>
    <mergeCell ref="LJN3:LJP3"/>
    <mergeCell ref="LJQ3:LJS3"/>
    <mergeCell ref="LJT3:LJV3"/>
    <mergeCell ref="LIM3:LIO3"/>
    <mergeCell ref="LIP3:LIR3"/>
    <mergeCell ref="LIS3:LIU3"/>
    <mergeCell ref="LIV3:LIX3"/>
    <mergeCell ref="LIY3:LJA3"/>
    <mergeCell ref="LJB3:LJD3"/>
    <mergeCell ref="LHU3:LHW3"/>
    <mergeCell ref="LHX3:LHZ3"/>
    <mergeCell ref="LIA3:LIC3"/>
    <mergeCell ref="LID3:LIF3"/>
    <mergeCell ref="LIG3:LII3"/>
    <mergeCell ref="LIJ3:LIL3"/>
    <mergeCell ref="LPK3:LPM3"/>
    <mergeCell ref="LPN3:LPP3"/>
    <mergeCell ref="LPQ3:LPS3"/>
    <mergeCell ref="LPT3:LPV3"/>
    <mergeCell ref="LPW3:LPY3"/>
    <mergeCell ref="LPZ3:LQB3"/>
    <mergeCell ref="LOS3:LOU3"/>
    <mergeCell ref="LOV3:LOX3"/>
    <mergeCell ref="LOY3:LPA3"/>
    <mergeCell ref="LPB3:LPD3"/>
    <mergeCell ref="LPE3:LPG3"/>
    <mergeCell ref="LPH3:LPJ3"/>
    <mergeCell ref="LOA3:LOC3"/>
    <mergeCell ref="LOD3:LOF3"/>
    <mergeCell ref="LOG3:LOI3"/>
    <mergeCell ref="LOJ3:LOL3"/>
    <mergeCell ref="LOM3:LOO3"/>
    <mergeCell ref="LOP3:LOR3"/>
    <mergeCell ref="LNI3:LNK3"/>
    <mergeCell ref="LNL3:LNN3"/>
    <mergeCell ref="LNO3:LNQ3"/>
    <mergeCell ref="LNR3:LNT3"/>
    <mergeCell ref="LNU3:LNW3"/>
    <mergeCell ref="LNX3:LNZ3"/>
    <mergeCell ref="LMQ3:LMS3"/>
    <mergeCell ref="LMT3:LMV3"/>
    <mergeCell ref="LMW3:LMY3"/>
    <mergeCell ref="LMZ3:LNB3"/>
    <mergeCell ref="LNC3:LNE3"/>
    <mergeCell ref="LNF3:LNH3"/>
    <mergeCell ref="LLY3:LMA3"/>
    <mergeCell ref="LMB3:LMD3"/>
    <mergeCell ref="LME3:LMG3"/>
    <mergeCell ref="LMH3:LMJ3"/>
    <mergeCell ref="LMK3:LMM3"/>
    <mergeCell ref="LMN3:LMP3"/>
    <mergeCell ref="LTO3:LTQ3"/>
    <mergeCell ref="LTR3:LTT3"/>
    <mergeCell ref="LTU3:LTW3"/>
    <mergeCell ref="LTX3:LTZ3"/>
    <mergeCell ref="LUA3:LUC3"/>
    <mergeCell ref="LUD3:LUF3"/>
    <mergeCell ref="LSW3:LSY3"/>
    <mergeCell ref="LSZ3:LTB3"/>
    <mergeCell ref="LTC3:LTE3"/>
    <mergeCell ref="LTF3:LTH3"/>
    <mergeCell ref="LTI3:LTK3"/>
    <mergeCell ref="LTL3:LTN3"/>
    <mergeCell ref="LSE3:LSG3"/>
    <mergeCell ref="LSH3:LSJ3"/>
    <mergeCell ref="LSK3:LSM3"/>
    <mergeCell ref="LSN3:LSP3"/>
    <mergeCell ref="LSQ3:LSS3"/>
    <mergeCell ref="LST3:LSV3"/>
    <mergeCell ref="LRM3:LRO3"/>
    <mergeCell ref="LRP3:LRR3"/>
    <mergeCell ref="LRS3:LRU3"/>
    <mergeCell ref="LRV3:LRX3"/>
    <mergeCell ref="LRY3:LSA3"/>
    <mergeCell ref="LSB3:LSD3"/>
    <mergeCell ref="LQU3:LQW3"/>
    <mergeCell ref="LQX3:LQZ3"/>
    <mergeCell ref="LRA3:LRC3"/>
    <mergeCell ref="LRD3:LRF3"/>
    <mergeCell ref="LRG3:LRI3"/>
    <mergeCell ref="LRJ3:LRL3"/>
    <mergeCell ref="LQC3:LQE3"/>
    <mergeCell ref="LQF3:LQH3"/>
    <mergeCell ref="LQI3:LQK3"/>
    <mergeCell ref="LQL3:LQN3"/>
    <mergeCell ref="LQO3:LQQ3"/>
    <mergeCell ref="LQR3:LQT3"/>
    <mergeCell ref="LXS3:LXU3"/>
    <mergeCell ref="LXV3:LXX3"/>
    <mergeCell ref="LXY3:LYA3"/>
    <mergeCell ref="LYB3:LYD3"/>
    <mergeCell ref="LYE3:LYG3"/>
    <mergeCell ref="LYH3:LYJ3"/>
    <mergeCell ref="LXA3:LXC3"/>
    <mergeCell ref="LXD3:LXF3"/>
    <mergeCell ref="LXG3:LXI3"/>
    <mergeCell ref="LXJ3:LXL3"/>
    <mergeCell ref="LXM3:LXO3"/>
    <mergeCell ref="LXP3:LXR3"/>
    <mergeCell ref="LWI3:LWK3"/>
    <mergeCell ref="LWL3:LWN3"/>
    <mergeCell ref="LWO3:LWQ3"/>
    <mergeCell ref="LWR3:LWT3"/>
    <mergeCell ref="LWU3:LWW3"/>
    <mergeCell ref="LWX3:LWZ3"/>
    <mergeCell ref="LVQ3:LVS3"/>
    <mergeCell ref="LVT3:LVV3"/>
    <mergeCell ref="LVW3:LVY3"/>
    <mergeCell ref="LVZ3:LWB3"/>
    <mergeCell ref="LWC3:LWE3"/>
    <mergeCell ref="LWF3:LWH3"/>
    <mergeCell ref="LUY3:LVA3"/>
    <mergeCell ref="LVB3:LVD3"/>
    <mergeCell ref="LVE3:LVG3"/>
    <mergeCell ref="LVH3:LVJ3"/>
    <mergeCell ref="LVK3:LVM3"/>
    <mergeCell ref="LVN3:LVP3"/>
    <mergeCell ref="LUG3:LUI3"/>
    <mergeCell ref="LUJ3:LUL3"/>
    <mergeCell ref="LUM3:LUO3"/>
    <mergeCell ref="LUP3:LUR3"/>
    <mergeCell ref="LUS3:LUU3"/>
    <mergeCell ref="LUV3:LUX3"/>
    <mergeCell ref="MBW3:MBY3"/>
    <mergeCell ref="MBZ3:MCB3"/>
    <mergeCell ref="MCC3:MCE3"/>
    <mergeCell ref="MCF3:MCH3"/>
    <mergeCell ref="MCI3:MCK3"/>
    <mergeCell ref="MCL3:MCN3"/>
    <mergeCell ref="MBE3:MBG3"/>
    <mergeCell ref="MBH3:MBJ3"/>
    <mergeCell ref="MBK3:MBM3"/>
    <mergeCell ref="MBN3:MBP3"/>
    <mergeCell ref="MBQ3:MBS3"/>
    <mergeCell ref="MBT3:MBV3"/>
    <mergeCell ref="MAM3:MAO3"/>
    <mergeCell ref="MAP3:MAR3"/>
    <mergeCell ref="MAS3:MAU3"/>
    <mergeCell ref="MAV3:MAX3"/>
    <mergeCell ref="MAY3:MBA3"/>
    <mergeCell ref="MBB3:MBD3"/>
    <mergeCell ref="LZU3:LZW3"/>
    <mergeCell ref="LZX3:LZZ3"/>
    <mergeCell ref="MAA3:MAC3"/>
    <mergeCell ref="MAD3:MAF3"/>
    <mergeCell ref="MAG3:MAI3"/>
    <mergeCell ref="MAJ3:MAL3"/>
    <mergeCell ref="LZC3:LZE3"/>
    <mergeCell ref="LZF3:LZH3"/>
    <mergeCell ref="LZI3:LZK3"/>
    <mergeCell ref="LZL3:LZN3"/>
    <mergeCell ref="LZO3:LZQ3"/>
    <mergeCell ref="LZR3:LZT3"/>
    <mergeCell ref="LYK3:LYM3"/>
    <mergeCell ref="LYN3:LYP3"/>
    <mergeCell ref="LYQ3:LYS3"/>
    <mergeCell ref="LYT3:LYV3"/>
    <mergeCell ref="LYW3:LYY3"/>
    <mergeCell ref="LYZ3:LZB3"/>
    <mergeCell ref="MGA3:MGC3"/>
    <mergeCell ref="MGD3:MGF3"/>
    <mergeCell ref="MGG3:MGI3"/>
    <mergeCell ref="MGJ3:MGL3"/>
    <mergeCell ref="MGM3:MGO3"/>
    <mergeCell ref="MGP3:MGR3"/>
    <mergeCell ref="MFI3:MFK3"/>
    <mergeCell ref="MFL3:MFN3"/>
    <mergeCell ref="MFO3:MFQ3"/>
    <mergeCell ref="MFR3:MFT3"/>
    <mergeCell ref="MFU3:MFW3"/>
    <mergeCell ref="MFX3:MFZ3"/>
    <mergeCell ref="MEQ3:MES3"/>
    <mergeCell ref="MET3:MEV3"/>
    <mergeCell ref="MEW3:MEY3"/>
    <mergeCell ref="MEZ3:MFB3"/>
    <mergeCell ref="MFC3:MFE3"/>
    <mergeCell ref="MFF3:MFH3"/>
    <mergeCell ref="MDY3:MEA3"/>
    <mergeCell ref="MEB3:MED3"/>
    <mergeCell ref="MEE3:MEG3"/>
    <mergeCell ref="MEH3:MEJ3"/>
    <mergeCell ref="MEK3:MEM3"/>
    <mergeCell ref="MEN3:MEP3"/>
    <mergeCell ref="MDG3:MDI3"/>
    <mergeCell ref="MDJ3:MDL3"/>
    <mergeCell ref="MDM3:MDO3"/>
    <mergeCell ref="MDP3:MDR3"/>
    <mergeCell ref="MDS3:MDU3"/>
    <mergeCell ref="MDV3:MDX3"/>
    <mergeCell ref="MCO3:MCQ3"/>
    <mergeCell ref="MCR3:MCT3"/>
    <mergeCell ref="MCU3:MCW3"/>
    <mergeCell ref="MCX3:MCZ3"/>
    <mergeCell ref="MDA3:MDC3"/>
    <mergeCell ref="MDD3:MDF3"/>
    <mergeCell ref="MKE3:MKG3"/>
    <mergeCell ref="MKH3:MKJ3"/>
    <mergeCell ref="MKK3:MKM3"/>
    <mergeCell ref="MKN3:MKP3"/>
    <mergeCell ref="MKQ3:MKS3"/>
    <mergeCell ref="MKT3:MKV3"/>
    <mergeCell ref="MJM3:MJO3"/>
    <mergeCell ref="MJP3:MJR3"/>
    <mergeCell ref="MJS3:MJU3"/>
    <mergeCell ref="MJV3:MJX3"/>
    <mergeCell ref="MJY3:MKA3"/>
    <mergeCell ref="MKB3:MKD3"/>
    <mergeCell ref="MIU3:MIW3"/>
    <mergeCell ref="MIX3:MIZ3"/>
    <mergeCell ref="MJA3:MJC3"/>
    <mergeCell ref="MJD3:MJF3"/>
    <mergeCell ref="MJG3:MJI3"/>
    <mergeCell ref="MJJ3:MJL3"/>
    <mergeCell ref="MIC3:MIE3"/>
    <mergeCell ref="MIF3:MIH3"/>
    <mergeCell ref="MII3:MIK3"/>
    <mergeCell ref="MIL3:MIN3"/>
    <mergeCell ref="MIO3:MIQ3"/>
    <mergeCell ref="MIR3:MIT3"/>
    <mergeCell ref="MHK3:MHM3"/>
    <mergeCell ref="MHN3:MHP3"/>
    <mergeCell ref="MHQ3:MHS3"/>
    <mergeCell ref="MHT3:MHV3"/>
    <mergeCell ref="MHW3:MHY3"/>
    <mergeCell ref="MHZ3:MIB3"/>
    <mergeCell ref="MGS3:MGU3"/>
    <mergeCell ref="MGV3:MGX3"/>
    <mergeCell ref="MGY3:MHA3"/>
    <mergeCell ref="MHB3:MHD3"/>
    <mergeCell ref="MHE3:MHG3"/>
    <mergeCell ref="MHH3:MHJ3"/>
    <mergeCell ref="MOI3:MOK3"/>
    <mergeCell ref="MOL3:MON3"/>
    <mergeCell ref="MOO3:MOQ3"/>
    <mergeCell ref="MOR3:MOT3"/>
    <mergeCell ref="MOU3:MOW3"/>
    <mergeCell ref="MOX3:MOZ3"/>
    <mergeCell ref="MNQ3:MNS3"/>
    <mergeCell ref="MNT3:MNV3"/>
    <mergeCell ref="MNW3:MNY3"/>
    <mergeCell ref="MNZ3:MOB3"/>
    <mergeCell ref="MOC3:MOE3"/>
    <mergeCell ref="MOF3:MOH3"/>
    <mergeCell ref="MMY3:MNA3"/>
    <mergeCell ref="MNB3:MND3"/>
    <mergeCell ref="MNE3:MNG3"/>
    <mergeCell ref="MNH3:MNJ3"/>
    <mergeCell ref="MNK3:MNM3"/>
    <mergeCell ref="MNN3:MNP3"/>
    <mergeCell ref="MMG3:MMI3"/>
    <mergeCell ref="MMJ3:MML3"/>
    <mergeCell ref="MMM3:MMO3"/>
    <mergeCell ref="MMP3:MMR3"/>
    <mergeCell ref="MMS3:MMU3"/>
    <mergeCell ref="MMV3:MMX3"/>
    <mergeCell ref="MLO3:MLQ3"/>
    <mergeCell ref="MLR3:MLT3"/>
    <mergeCell ref="MLU3:MLW3"/>
    <mergeCell ref="MLX3:MLZ3"/>
    <mergeCell ref="MMA3:MMC3"/>
    <mergeCell ref="MMD3:MMF3"/>
    <mergeCell ref="MKW3:MKY3"/>
    <mergeCell ref="MKZ3:MLB3"/>
    <mergeCell ref="MLC3:MLE3"/>
    <mergeCell ref="MLF3:MLH3"/>
    <mergeCell ref="MLI3:MLK3"/>
    <mergeCell ref="MLL3:MLN3"/>
    <mergeCell ref="MSM3:MSO3"/>
    <mergeCell ref="MSP3:MSR3"/>
    <mergeCell ref="MSS3:MSU3"/>
    <mergeCell ref="MSV3:MSX3"/>
    <mergeCell ref="MSY3:MTA3"/>
    <mergeCell ref="MTB3:MTD3"/>
    <mergeCell ref="MRU3:MRW3"/>
    <mergeCell ref="MRX3:MRZ3"/>
    <mergeCell ref="MSA3:MSC3"/>
    <mergeCell ref="MSD3:MSF3"/>
    <mergeCell ref="MSG3:MSI3"/>
    <mergeCell ref="MSJ3:MSL3"/>
    <mergeCell ref="MRC3:MRE3"/>
    <mergeCell ref="MRF3:MRH3"/>
    <mergeCell ref="MRI3:MRK3"/>
    <mergeCell ref="MRL3:MRN3"/>
    <mergeCell ref="MRO3:MRQ3"/>
    <mergeCell ref="MRR3:MRT3"/>
    <mergeCell ref="MQK3:MQM3"/>
    <mergeCell ref="MQN3:MQP3"/>
    <mergeCell ref="MQQ3:MQS3"/>
    <mergeCell ref="MQT3:MQV3"/>
    <mergeCell ref="MQW3:MQY3"/>
    <mergeCell ref="MQZ3:MRB3"/>
    <mergeCell ref="MPS3:MPU3"/>
    <mergeCell ref="MPV3:MPX3"/>
    <mergeCell ref="MPY3:MQA3"/>
    <mergeCell ref="MQB3:MQD3"/>
    <mergeCell ref="MQE3:MQG3"/>
    <mergeCell ref="MQH3:MQJ3"/>
    <mergeCell ref="MPA3:MPC3"/>
    <mergeCell ref="MPD3:MPF3"/>
    <mergeCell ref="MPG3:MPI3"/>
    <mergeCell ref="MPJ3:MPL3"/>
    <mergeCell ref="MPM3:MPO3"/>
    <mergeCell ref="MPP3:MPR3"/>
    <mergeCell ref="MWQ3:MWS3"/>
    <mergeCell ref="MWT3:MWV3"/>
    <mergeCell ref="MWW3:MWY3"/>
    <mergeCell ref="MWZ3:MXB3"/>
    <mergeCell ref="MXC3:MXE3"/>
    <mergeCell ref="MXF3:MXH3"/>
    <mergeCell ref="MVY3:MWA3"/>
    <mergeCell ref="MWB3:MWD3"/>
    <mergeCell ref="MWE3:MWG3"/>
    <mergeCell ref="MWH3:MWJ3"/>
    <mergeCell ref="MWK3:MWM3"/>
    <mergeCell ref="MWN3:MWP3"/>
    <mergeCell ref="MVG3:MVI3"/>
    <mergeCell ref="MVJ3:MVL3"/>
    <mergeCell ref="MVM3:MVO3"/>
    <mergeCell ref="MVP3:MVR3"/>
    <mergeCell ref="MVS3:MVU3"/>
    <mergeCell ref="MVV3:MVX3"/>
    <mergeCell ref="MUO3:MUQ3"/>
    <mergeCell ref="MUR3:MUT3"/>
    <mergeCell ref="MUU3:MUW3"/>
    <mergeCell ref="MUX3:MUZ3"/>
    <mergeCell ref="MVA3:MVC3"/>
    <mergeCell ref="MVD3:MVF3"/>
    <mergeCell ref="MTW3:MTY3"/>
    <mergeCell ref="MTZ3:MUB3"/>
    <mergeCell ref="MUC3:MUE3"/>
    <mergeCell ref="MUF3:MUH3"/>
    <mergeCell ref="MUI3:MUK3"/>
    <mergeCell ref="MUL3:MUN3"/>
    <mergeCell ref="MTE3:MTG3"/>
    <mergeCell ref="MTH3:MTJ3"/>
    <mergeCell ref="MTK3:MTM3"/>
    <mergeCell ref="MTN3:MTP3"/>
    <mergeCell ref="MTQ3:MTS3"/>
    <mergeCell ref="MTT3:MTV3"/>
    <mergeCell ref="NAU3:NAW3"/>
    <mergeCell ref="NAX3:NAZ3"/>
    <mergeCell ref="NBA3:NBC3"/>
    <mergeCell ref="NBD3:NBF3"/>
    <mergeCell ref="NBG3:NBI3"/>
    <mergeCell ref="NBJ3:NBL3"/>
    <mergeCell ref="NAC3:NAE3"/>
    <mergeCell ref="NAF3:NAH3"/>
    <mergeCell ref="NAI3:NAK3"/>
    <mergeCell ref="NAL3:NAN3"/>
    <mergeCell ref="NAO3:NAQ3"/>
    <mergeCell ref="NAR3:NAT3"/>
    <mergeCell ref="MZK3:MZM3"/>
    <mergeCell ref="MZN3:MZP3"/>
    <mergeCell ref="MZQ3:MZS3"/>
    <mergeCell ref="MZT3:MZV3"/>
    <mergeCell ref="MZW3:MZY3"/>
    <mergeCell ref="MZZ3:NAB3"/>
    <mergeCell ref="MYS3:MYU3"/>
    <mergeCell ref="MYV3:MYX3"/>
    <mergeCell ref="MYY3:MZA3"/>
    <mergeCell ref="MZB3:MZD3"/>
    <mergeCell ref="MZE3:MZG3"/>
    <mergeCell ref="MZH3:MZJ3"/>
    <mergeCell ref="MYA3:MYC3"/>
    <mergeCell ref="MYD3:MYF3"/>
    <mergeCell ref="MYG3:MYI3"/>
    <mergeCell ref="MYJ3:MYL3"/>
    <mergeCell ref="MYM3:MYO3"/>
    <mergeCell ref="MYP3:MYR3"/>
    <mergeCell ref="MXI3:MXK3"/>
    <mergeCell ref="MXL3:MXN3"/>
    <mergeCell ref="MXO3:MXQ3"/>
    <mergeCell ref="MXR3:MXT3"/>
    <mergeCell ref="MXU3:MXW3"/>
    <mergeCell ref="MXX3:MXZ3"/>
    <mergeCell ref="NEY3:NFA3"/>
    <mergeCell ref="NFB3:NFD3"/>
    <mergeCell ref="NFE3:NFG3"/>
    <mergeCell ref="NFH3:NFJ3"/>
    <mergeCell ref="NFK3:NFM3"/>
    <mergeCell ref="NFN3:NFP3"/>
    <mergeCell ref="NEG3:NEI3"/>
    <mergeCell ref="NEJ3:NEL3"/>
    <mergeCell ref="NEM3:NEO3"/>
    <mergeCell ref="NEP3:NER3"/>
    <mergeCell ref="NES3:NEU3"/>
    <mergeCell ref="NEV3:NEX3"/>
    <mergeCell ref="NDO3:NDQ3"/>
    <mergeCell ref="NDR3:NDT3"/>
    <mergeCell ref="NDU3:NDW3"/>
    <mergeCell ref="NDX3:NDZ3"/>
    <mergeCell ref="NEA3:NEC3"/>
    <mergeCell ref="NED3:NEF3"/>
    <mergeCell ref="NCW3:NCY3"/>
    <mergeCell ref="NCZ3:NDB3"/>
    <mergeCell ref="NDC3:NDE3"/>
    <mergeCell ref="NDF3:NDH3"/>
    <mergeCell ref="NDI3:NDK3"/>
    <mergeCell ref="NDL3:NDN3"/>
    <mergeCell ref="NCE3:NCG3"/>
    <mergeCell ref="NCH3:NCJ3"/>
    <mergeCell ref="NCK3:NCM3"/>
    <mergeCell ref="NCN3:NCP3"/>
    <mergeCell ref="NCQ3:NCS3"/>
    <mergeCell ref="NCT3:NCV3"/>
    <mergeCell ref="NBM3:NBO3"/>
    <mergeCell ref="NBP3:NBR3"/>
    <mergeCell ref="NBS3:NBU3"/>
    <mergeCell ref="NBV3:NBX3"/>
    <mergeCell ref="NBY3:NCA3"/>
    <mergeCell ref="NCB3:NCD3"/>
    <mergeCell ref="NJC3:NJE3"/>
    <mergeCell ref="NJF3:NJH3"/>
    <mergeCell ref="NJI3:NJK3"/>
    <mergeCell ref="NJL3:NJN3"/>
    <mergeCell ref="NJO3:NJQ3"/>
    <mergeCell ref="NJR3:NJT3"/>
    <mergeCell ref="NIK3:NIM3"/>
    <mergeCell ref="NIN3:NIP3"/>
    <mergeCell ref="NIQ3:NIS3"/>
    <mergeCell ref="NIT3:NIV3"/>
    <mergeCell ref="NIW3:NIY3"/>
    <mergeCell ref="NIZ3:NJB3"/>
    <mergeCell ref="NHS3:NHU3"/>
    <mergeCell ref="NHV3:NHX3"/>
    <mergeCell ref="NHY3:NIA3"/>
    <mergeCell ref="NIB3:NID3"/>
    <mergeCell ref="NIE3:NIG3"/>
    <mergeCell ref="NIH3:NIJ3"/>
    <mergeCell ref="NHA3:NHC3"/>
    <mergeCell ref="NHD3:NHF3"/>
    <mergeCell ref="NHG3:NHI3"/>
    <mergeCell ref="NHJ3:NHL3"/>
    <mergeCell ref="NHM3:NHO3"/>
    <mergeCell ref="NHP3:NHR3"/>
    <mergeCell ref="NGI3:NGK3"/>
    <mergeCell ref="NGL3:NGN3"/>
    <mergeCell ref="NGO3:NGQ3"/>
    <mergeCell ref="NGR3:NGT3"/>
    <mergeCell ref="NGU3:NGW3"/>
    <mergeCell ref="NGX3:NGZ3"/>
    <mergeCell ref="NFQ3:NFS3"/>
    <mergeCell ref="NFT3:NFV3"/>
    <mergeCell ref="NFW3:NFY3"/>
    <mergeCell ref="NFZ3:NGB3"/>
    <mergeCell ref="NGC3:NGE3"/>
    <mergeCell ref="NGF3:NGH3"/>
    <mergeCell ref="NNG3:NNI3"/>
    <mergeCell ref="NNJ3:NNL3"/>
    <mergeCell ref="NNM3:NNO3"/>
    <mergeCell ref="NNP3:NNR3"/>
    <mergeCell ref="NNS3:NNU3"/>
    <mergeCell ref="NNV3:NNX3"/>
    <mergeCell ref="NMO3:NMQ3"/>
    <mergeCell ref="NMR3:NMT3"/>
    <mergeCell ref="NMU3:NMW3"/>
    <mergeCell ref="NMX3:NMZ3"/>
    <mergeCell ref="NNA3:NNC3"/>
    <mergeCell ref="NND3:NNF3"/>
    <mergeCell ref="NLW3:NLY3"/>
    <mergeCell ref="NLZ3:NMB3"/>
    <mergeCell ref="NMC3:NME3"/>
    <mergeCell ref="NMF3:NMH3"/>
    <mergeCell ref="NMI3:NMK3"/>
    <mergeCell ref="NML3:NMN3"/>
    <mergeCell ref="NLE3:NLG3"/>
    <mergeCell ref="NLH3:NLJ3"/>
    <mergeCell ref="NLK3:NLM3"/>
    <mergeCell ref="NLN3:NLP3"/>
    <mergeCell ref="NLQ3:NLS3"/>
    <mergeCell ref="NLT3:NLV3"/>
    <mergeCell ref="NKM3:NKO3"/>
    <mergeCell ref="NKP3:NKR3"/>
    <mergeCell ref="NKS3:NKU3"/>
    <mergeCell ref="NKV3:NKX3"/>
    <mergeCell ref="NKY3:NLA3"/>
    <mergeCell ref="NLB3:NLD3"/>
    <mergeCell ref="NJU3:NJW3"/>
    <mergeCell ref="NJX3:NJZ3"/>
    <mergeCell ref="NKA3:NKC3"/>
    <mergeCell ref="NKD3:NKF3"/>
    <mergeCell ref="NKG3:NKI3"/>
    <mergeCell ref="NKJ3:NKL3"/>
    <mergeCell ref="NRK3:NRM3"/>
    <mergeCell ref="NRN3:NRP3"/>
    <mergeCell ref="NRQ3:NRS3"/>
    <mergeCell ref="NRT3:NRV3"/>
    <mergeCell ref="NRW3:NRY3"/>
    <mergeCell ref="NRZ3:NSB3"/>
    <mergeCell ref="NQS3:NQU3"/>
    <mergeCell ref="NQV3:NQX3"/>
    <mergeCell ref="NQY3:NRA3"/>
    <mergeCell ref="NRB3:NRD3"/>
    <mergeCell ref="NRE3:NRG3"/>
    <mergeCell ref="NRH3:NRJ3"/>
    <mergeCell ref="NQA3:NQC3"/>
    <mergeCell ref="NQD3:NQF3"/>
    <mergeCell ref="NQG3:NQI3"/>
    <mergeCell ref="NQJ3:NQL3"/>
    <mergeCell ref="NQM3:NQO3"/>
    <mergeCell ref="NQP3:NQR3"/>
    <mergeCell ref="NPI3:NPK3"/>
    <mergeCell ref="NPL3:NPN3"/>
    <mergeCell ref="NPO3:NPQ3"/>
    <mergeCell ref="NPR3:NPT3"/>
    <mergeCell ref="NPU3:NPW3"/>
    <mergeCell ref="NPX3:NPZ3"/>
    <mergeCell ref="NOQ3:NOS3"/>
    <mergeCell ref="NOT3:NOV3"/>
    <mergeCell ref="NOW3:NOY3"/>
    <mergeCell ref="NOZ3:NPB3"/>
    <mergeCell ref="NPC3:NPE3"/>
    <mergeCell ref="NPF3:NPH3"/>
    <mergeCell ref="NNY3:NOA3"/>
    <mergeCell ref="NOB3:NOD3"/>
    <mergeCell ref="NOE3:NOG3"/>
    <mergeCell ref="NOH3:NOJ3"/>
    <mergeCell ref="NOK3:NOM3"/>
    <mergeCell ref="NON3:NOP3"/>
    <mergeCell ref="NVO3:NVQ3"/>
    <mergeCell ref="NVR3:NVT3"/>
    <mergeCell ref="NVU3:NVW3"/>
    <mergeCell ref="NVX3:NVZ3"/>
    <mergeCell ref="NWA3:NWC3"/>
    <mergeCell ref="NWD3:NWF3"/>
    <mergeCell ref="NUW3:NUY3"/>
    <mergeCell ref="NUZ3:NVB3"/>
    <mergeCell ref="NVC3:NVE3"/>
    <mergeCell ref="NVF3:NVH3"/>
    <mergeCell ref="NVI3:NVK3"/>
    <mergeCell ref="NVL3:NVN3"/>
    <mergeCell ref="NUE3:NUG3"/>
    <mergeCell ref="NUH3:NUJ3"/>
    <mergeCell ref="NUK3:NUM3"/>
    <mergeCell ref="NUN3:NUP3"/>
    <mergeCell ref="NUQ3:NUS3"/>
    <mergeCell ref="NUT3:NUV3"/>
    <mergeCell ref="NTM3:NTO3"/>
    <mergeCell ref="NTP3:NTR3"/>
    <mergeCell ref="NTS3:NTU3"/>
    <mergeCell ref="NTV3:NTX3"/>
    <mergeCell ref="NTY3:NUA3"/>
    <mergeCell ref="NUB3:NUD3"/>
    <mergeCell ref="NSU3:NSW3"/>
    <mergeCell ref="NSX3:NSZ3"/>
    <mergeCell ref="NTA3:NTC3"/>
    <mergeCell ref="NTD3:NTF3"/>
    <mergeCell ref="NTG3:NTI3"/>
    <mergeCell ref="NTJ3:NTL3"/>
    <mergeCell ref="NSC3:NSE3"/>
    <mergeCell ref="NSF3:NSH3"/>
    <mergeCell ref="NSI3:NSK3"/>
    <mergeCell ref="NSL3:NSN3"/>
    <mergeCell ref="NSO3:NSQ3"/>
    <mergeCell ref="NSR3:NST3"/>
    <mergeCell ref="NZS3:NZU3"/>
    <mergeCell ref="NZV3:NZX3"/>
    <mergeCell ref="NZY3:OAA3"/>
    <mergeCell ref="OAB3:OAD3"/>
    <mergeCell ref="OAE3:OAG3"/>
    <mergeCell ref="OAH3:OAJ3"/>
    <mergeCell ref="NZA3:NZC3"/>
    <mergeCell ref="NZD3:NZF3"/>
    <mergeCell ref="NZG3:NZI3"/>
    <mergeCell ref="NZJ3:NZL3"/>
    <mergeCell ref="NZM3:NZO3"/>
    <mergeCell ref="NZP3:NZR3"/>
    <mergeCell ref="NYI3:NYK3"/>
    <mergeCell ref="NYL3:NYN3"/>
    <mergeCell ref="NYO3:NYQ3"/>
    <mergeCell ref="NYR3:NYT3"/>
    <mergeCell ref="NYU3:NYW3"/>
    <mergeCell ref="NYX3:NYZ3"/>
    <mergeCell ref="NXQ3:NXS3"/>
    <mergeCell ref="NXT3:NXV3"/>
    <mergeCell ref="NXW3:NXY3"/>
    <mergeCell ref="NXZ3:NYB3"/>
    <mergeCell ref="NYC3:NYE3"/>
    <mergeCell ref="NYF3:NYH3"/>
    <mergeCell ref="NWY3:NXA3"/>
    <mergeCell ref="NXB3:NXD3"/>
    <mergeCell ref="NXE3:NXG3"/>
    <mergeCell ref="NXH3:NXJ3"/>
    <mergeCell ref="NXK3:NXM3"/>
    <mergeCell ref="NXN3:NXP3"/>
    <mergeCell ref="NWG3:NWI3"/>
    <mergeCell ref="NWJ3:NWL3"/>
    <mergeCell ref="NWM3:NWO3"/>
    <mergeCell ref="NWP3:NWR3"/>
    <mergeCell ref="NWS3:NWU3"/>
    <mergeCell ref="NWV3:NWX3"/>
    <mergeCell ref="ODW3:ODY3"/>
    <mergeCell ref="ODZ3:OEB3"/>
    <mergeCell ref="OEC3:OEE3"/>
    <mergeCell ref="OEF3:OEH3"/>
    <mergeCell ref="OEI3:OEK3"/>
    <mergeCell ref="OEL3:OEN3"/>
    <mergeCell ref="ODE3:ODG3"/>
    <mergeCell ref="ODH3:ODJ3"/>
    <mergeCell ref="ODK3:ODM3"/>
    <mergeCell ref="ODN3:ODP3"/>
    <mergeCell ref="ODQ3:ODS3"/>
    <mergeCell ref="ODT3:ODV3"/>
    <mergeCell ref="OCM3:OCO3"/>
    <mergeCell ref="OCP3:OCR3"/>
    <mergeCell ref="OCS3:OCU3"/>
    <mergeCell ref="OCV3:OCX3"/>
    <mergeCell ref="OCY3:ODA3"/>
    <mergeCell ref="ODB3:ODD3"/>
    <mergeCell ref="OBU3:OBW3"/>
    <mergeCell ref="OBX3:OBZ3"/>
    <mergeCell ref="OCA3:OCC3"/>
    <mergeCell ref="OCD3:OCF3"/>
    <mergeCell ref="OCG3:OCI3"/>
    <mergeCell ref="OCJ3:OCL3"/>
    <mergeCell ref="OBC3:OBE3"/>
    <mergeCell ref="OBF3:OBH3"/>
    <mergeCell ref="OBI3:OBK3"/>
    <mergeCell ref="OBL3:OBN3"/>
    <mergeCell ref="OBO3:OBQ3"/>
    <mergeCell ref="OBR3:OBT3"/>
    <mergeCell ref="OAK3:OAM3"/>
    <mergeCell ref="OAN3:OAP3"/>
    <mergeCell ref="OAQ3:OAS3"/>
    <mergeCell ref="OAT3:OAV3"/>
    <mergeCell ref="OAW3:OAY3"/>
    <mergeCell ref="OAZ3:OBB3"/>
    <mergeCell ref="OIA3:OIC3"/>
    <mergeCell ref="OID3:OIF3"/>
    <mergeCell ref="OIG3:OII3"/>
    <mergeCell ref="OIJ3:OIL3"/>
    <mergeCell ref="OIM3:OIO3"/>
    <mergeCell ref="OIP3:OIR3"/>
    <mergeCell ref="OHI3:OHK3"/>
    <mergeCell ref="OHL3:OHN3"/>
    <mergeCell ref="OHO3:OHQ3"/>
    <mergeCell ref="OHR3:OHT3"/>
    <mergeCell ref="OHU3:OHW3"/>
    <mergeCell ref="OHX3:OHZ3"/>
    <mergeCell ref="OGQ3:OGS3"/>
    <mergeCell ref="OGT3:OGV3"/>
    <mergeCell ref="OGW3:OGY3"/>
    <mergeCell ref="OGZ3:OHB3"/>
    <mergeCell ref="OHC3:OHE3"/>
    <mergeCell ref="OHF3:OHH3"/>
    <mergeCell ref="OFY3:OGA3"/>
    <mergeCell ref="OGB3:OGD3"/>
    <mergeCell ref="OGE3:OGG3"/>
    <mergeCell ref="OGH3:OGJ3"/>
    <mergeCell ref="OGK3:OGM3"/>
    <mergeCell ref="OGN3:OGP3"/>
    <mergeCell ref="OFG3:OFI3"/>
    <mergeCell ref="OFJ3:OFL3"/>
    <mergeCell ref="OFM3:OFO3"/>
    <mergeCell ref="OFP3:OFR3"/>
    <mergeCell ref="OFS3:OFU3"/>
    <mergeCell ref="OFV3:OFX3"/>
    <mergeCell ref="OEO3:OEQ3"/>
    <mergeCell ref="OER3:OET3"/>
    <mergeCell ref="OEU3:OEW3"/>
    <mergeCell ref="OEX3:OEZ3"/>
    <mergeCell ref="OFA3:OFC3"/>
    <mergeCell ref="OFD3:OFF3"/>
    <mergeCell ref="OME3:OMG3"/>
    <mergeCell ref="OMH3:OMJ3"/>
    <mergeCell ref="OMK3:OMM3"/>
    <mergeCell ref="OMN3:OMP3"/>
    <mergeCell ref="OMQ3:OMS3"/>
    <mergeCell ref="OMT3:OMV3"/>
    <mergeCell ref="OLM3:OLO3"/>
    <mergeCell ref="OLP3:OLR3"/>
    <mergeCell ref="OLS3:OLU3"/>
    <mergeCell ref="OLV3:OLX3"/>
    <mergeCell ref="OLY3:OMA3"/>
    <mergeCell ref="OMB3:OMD3"/>
    <mergeCell ref="OKU3:OKW3"/>
    <mergeCell ref="OKX3:OKZ3"/>
    <mergeCell ref="OLA3:OLC3"/>
    <mergeCell ref="OLD3:OLF3"/>
    <mergeCell ref="OLG3:OLI3"/>
    <mergeCell ref="OLJ3:OLL3"/>
    <mergeCell ref="OKC3:OKE3"/>
    <mergeCell ref="OKF3:OKH3"/>
    <mergeCell ref="OKI3:OKK3"/>
    <mergeCell ref="OKL3:OKN3"/>
    <mergeCell ref="OKO3:OKQ3"/>
    <mergeCell ref="OKR3:OKT3"/>
    <mergeCell ref="OJK3:OJM3"/>
    <mergeCell ref="OJN3:OJP3"/>
    <mergeCell ref="OJQ3:OJS3"/>
    <mergeCell ref="OJT3:OJV3"/>
    <mergeCell ref="OJW3:OJY3"/>
    <mergeCell ref="OJZ3:OKB3"/>
    <mergeCell ref="OIS3:OIU3"/>
    <mergeCell ref="OIV3:OIX3"/>
    <mergeCell ref="OIY3:OJA3"/>
    <mergeCell ref="OJB3:OJD3"/>
    <mergeCell ref="OJE3:OJG3"/>
    <mergeCell ref="OJH3:OJJ3"/>
    <mergeCell ref="OQI3:OQK3"/>
    <mergeCell ref="OQL3:OQN3"/>
    <mergeCell ref="OQO3:OQQ3"/>
    <mergeCell ref="OQR3:OQT3"/>
    <mergeCell ref="OQU3:OQW3"/>
    <mergeCell ref="OQX3:OQZ3"/>
    <mergeCell ref="OPQ3:OPS3"/>
    <mergeCell ref="OPT3:OPV3"/>
    <mergeCell ref="OPW3:OPY3"/>
    <mergeCell ref="OPZ3:OQB3"/>
    <mergeCell ref="OQC3:OQE3"/>
    <mergeCell ref="OQF3:OQH3"/>
    <mergeCell ref="OOY3:OPA3"/>
    <mergeCell ref="OPB3:OPD3"/>
    <mergeCell ref="OPE3:OPG3"/>
    <mergeCell ref="OPH3:OPJ3"/>
    <mergeCell ref="OPK3:OPM3"/>
    <mergeCell ref="OPN3:OPP3"/>
    <mergeCell ref="OOG3:OOI3"/>
    <mergeCell ref="OOJ3:OOL3"/>
    <mergeCell ref="OOM3:OOO3"/>
    <mergeCell ref="OOP3:OOR3"/>
    <mergeCell ref="OOS3:OOU3"/>
    <mergeCell ref="OOV3:OOX3"/>
    <mergeCell ref="ONO3:ONQ3"/>
    <mergeCell ref="ONR3:ONT3"/>
    <mergeCell ref="ONU3:ONW3"/>
    <mergeCell ref="ONX3:ONZ3"/>
    <mergeCell ref="OOA3:OOC3"/>
    <mergeCell ref="OOD3:OOF3"/>
    <mergeCell ref="OMW3:OMY3"/>
    <mergeCell ref="OMZ3:ONB3"/>
    <mergeCell ref="ONC3:ONE3"/>
    <mergeCell ref="ONF3:ONH3"/>
    <mergeCell ref="ONI3:ONK3"/>
    <mergeCell ref="ONL3:ONN3"/>
    <mergeCell ref="OUM3:OUO3"/>
    <mergeCell ref="OUP3:OUR3"/>
    <mergeCell ref="OUS3:OUU3"/>
    <mergeCell ref="OUV3:OUX3"/>
    <mergeCell ref="OUY3:OVA3"/>
    <mergeCell ref="OVB3:OVD3"/>
    <mergeCell ref="OTU3:OTW3"/>
    <mergeCell ref="OTX3:OTZ3"/>
    <mergeCell ref="OUA3:OUC3"/>
    <mergeCell ref="OUD3:OUF3"/>
    <mergeCell ref="OUG3:OUI3"/>
    <mergeCell ref="OUJ3:OUL3"/>
    <mergeCell ref="OTC3:OTE3"/>
    <mergeCell ref="OTF3:OTH3"/>
    <mergeCell ref="OTI3:OTK3"/>
    <mergeCell ref="OTL3:OTN3"/>
    <mergeCell ref="OTO3:OTQ3"/>
    <mergeCell ref="OTR3:OTT3"/>
    <mergeCell ref="OSK3:OSM3"/>
    <mergeCell ref="OSN3:OSP3"/>
    <mergeCell ref="OSQ3:OSS3"/>
    <mergeCell ref="OST3:OSV3"/>
    <mergeCell ref="OSW3:OSY3"/>
    <mergeCell ref="OSZ3:OTB3"/>
    <mergeCell ref="ORS3:ORU3"/>
    <mergeCell ref="ORV3:ORX3"/>
    <mergeCell ref="ORY3:OSA3"/>
    <mergeCell ref="OSB3:OSD3"/>
    <mergeCell ref="OSE3:OSG3"/>
    <mergeCell ref="OSH3:OSJ3"/>
    <mergeCell ref="ORA3:ORC3"/>
    <mergeCell ref="ORD3:ORF3"/>
    <mergeCell ref="ORG3:ORI3"/>
    <mergeCell ref="ORJ3:ORL3"/>
    <mergeCell ref="ORM3:ORO3"/>
    <mergeCell ref="ORP3:ORR3"/>
    <mergeCell ref="OYQ3:OYS3"/>
    <mergeCell ref="OYT3:OYV3"/>
    <mergeCell ref="OYW3:OYY3"/>
    <mergeCell ref="OYZ3:OZB3"/>
    <mergeCell ref="OZC3:OZE3"/>
    <mergeCell ref="OZF3:OZH3"/>
    <mergeCell ref="OXY3:OYA3"/>
    <mergeCell ref="OYB3:OYD3"/>
    <mergeCell ref="OYE3:OYG3"/>
    <mergeCell ref="OYH3:OYJ3"/>
    <mergeCell ref="OYK3:OYM3"/>
    <mergeCell ref="OYN3:OYP3"/>
    <mergeCell ref="OXG3:OXI3"/>
    <mergeCell ref="OXJ3:OXL3"/>
    <mergeCell ref="OXM3:OXO3"/>
    <mergeCell ref="OXP3:OXR3"/>
    <mergeCell ref="OXS3:OXU3"/>
    <mergeCell ref="OXV3:OXX3"/>
    <mergeCell ref="OWO3:OWQ3"/>
    <mergeCell ref="OWR3:OWT3"/>
    <mergeCell ref="OWU3:OWW3"/>
    <mergeCell ref="OWX3:OWZ3"/>
    <mergeCell ref="OXA3:OXC3"/>
    <mergeCell ref="OXD3:OXF3"/>
    <mergeCell ref="OVW3:OVY3"/>
    <mergeCell ref="OVZ3:OWB3"/>
    <mergeCell ref="OWC3:OWE3"/>
    <mergeCell ref="OWF3:OWH3"/>
    <mergeCell ref="OWI3:OWK3"/>
    <mergeCell ref="OWL3:OWN3"/>
    <mergeCell ref="OVE3:OVG3"/>
    <mergeCell ref="OVH3:OVJ3"/>
    <mergeCell ref="OVK3:OVM3"/>
    <mergeCell ref="OVN3:OVP3"/>
    <mergeCell ref="OVQ3:OVS3"/>
    <mergeCell ref="OVT3:OVV3"/>
    <mergeCell ref="PCU3:PCW3"/>
    <mergeCell ref="PCX3:PCZ3"/>
    <mergeCell ref="PDA3:PDC3"/>
    <mergeCell ref="PDD3:PDF3"/>
    <mergeCell ref="PDG3:PDI3"/>
    <mergeCell ref="PDJ3:PDL3"/>
    <mergeCell ref="PCC3:PCE3"/>
    <mergeCell ref="PCF3:PCH3"/>
    <mergeCell ref="PCI3:PCK3"/>
    <mergeCell ref="PCL3:PCN3"/>
    <mergeCell ref="PCO3:PCQ3"/>
    <mergeCell ref="PCR3:PCT3"/>
    <mergeCell ref="PBK3:PBM3"/>
    <mergeCell ref="PBN3:PBP3"/>
    <mergeCell ref="PBQ3:PBS3"/>
    <mergeCell ref="PBT3:PBV3"/>
    <mergeCell ref="PBW3:PBY3"/>
    <mergeCell ref="PBZ3:PCB3"/>
    <mergeCell ref="PAS3:PAU3"/>
    <mergeCell ref="PAV3:PAX3"/>
    <mergeCell ref="PAY3:PBA3"/>
    <mergeCell ref="PBB3:PBD3"/>
    <mergeCell ref="PBE3:PBG3"/>
    <mergeCell ref="PBH3:PBJ3"/>
    <mergeCell ref="PAA3:PAC3"/>
    <mergeCell ref="PAD3:PAF3"/>
    <mergeCell ref="PAG3:PAI3"/>
    <mergeCell ref="PAJ3:PAL3"/>
    <mergeCell ref="PAM3:PAO3"/>
    <mergeCell ref="PAP3:PAR3"/>
    <mergeCell ref="OZI3:OZK3"/>
    <mergeCell ref="OZL3:OZN3"/>
    <mergeCell ref="OZO3:OZQ3"/>
    <mergeCell ref="OZR3:OZT3"/>
    <mergeCell ref="OZU3:OZW3"/>
    <mergeCell ref="OZX3:OZZ3"/>
    <mergeCell ref="PGY3:PHA3"/>
    <mergeCell ref="PHB3:PHD3"/>
    <mergeCell ref="PHE3:PHG3"/>
    <mergeCell ref="PHH3:PHJ3"/>
    <mergeCell ref="PHK3:PHM3"/>
    <mergeCell ref="PHN3:PHP3"/>
    <mergeCell ref="PGG3:PGI3"/>
    <mergeCell ref="PGJ3:PGL3"/>
    <mergeCell ref="PGM3:PGO3"/>
    <mergeCell ref="PGP3:PGR3"/>
    <mergeCell ref="PGS3:PGU3"/>
    <mergeCell ref="PGV3:PGX3"/>
    <mergeCell ref="PFO3:PFQ3"/>
    <mergeCell ref="PFR3:PFT3"/>
    <mergeCell ref="PFU3:PFW3"/>
    <mergeCell ref="PFX3:PFZ3"/>
    <mergeCell ref="PGA3:PGC3"/>
    <mergeCell ref="PGD3:PGF3"/>
    <mergeCell ref="PEW3:PEY3"/>
    <mergeCell ref="PEZ3:PFB3"/>
    <mergeCell ref="PFC3:PFE3"/>
    <mergeCell ref="PFF3:PFH3"/>
    <mergeCell ref="PFI3:PFK3"/>
    <mergeCell ref="PFL3:PFN3"/>
    <mergeCell ref="PEE3:PEG3"/>
    <mergeCell ref="PEH3:PEJ3"/>
    <mergeCell ref="PEK3:PEM3"/>
    <mergeCell ref="PEN3:PEP3"/>
    <mergeCell ref="PEQ3:PES3"/>
    <mergeCell ref="PET3:PEV3"/>
    <mergeCell ref="PDM3:PDO3"/>
    <mergeCell ref="PDP3:PDR3"/>
    <mergeCell ref="PDS3:PDU3"/>
    <mergeCell ref="PDV3:PDX3"/>
    <mergeCell ref="PDY3:PEA3"/>
    <mergeCell ref="PEB3:PED3"/>
    <mergeCell ref="PLC3:PLE3"/>
    <mergeCell ref="PLF3:PLH3"/>
    <mergeCell ref="PLI3:PLK3"/>
    <mergeCell ref="PLL3:PLN3"/>
    <mergeCell ref="PLO3:PLQ3"/>
    <mergeCell ref="PLR3:PLT3"/>
    <mergeCell ref="PKK3:PKM3"/>
    <mergeCell ref="PKN3:PKP3"/>
    <mergeCell ref="PKQ3:PKS3"/>
    <mergeCell ref="PKT3:PKV3"/>
    <mergeCell ref="PKW3:PKY3"/>
    <mergeCell ref="PKZ3:PLB3"/>
    <mergeCell ref="PJS3:PJU3"/>
    <mergeCell ref="PJV3:PJX3"/>
    <mergeCell ref="PJY3:PKA3"/>
    <mergeCell ref="PKB3:PKD3"/>
    <mergeCell ref="PKE3:PKG3"/>
    <mergeCell ref="PKH3:PKJ3"/>
    <mergeCell ref="PJA3:PJC3"/>
    <mergeCell ref="PJD3:PJF3"/>
    <mergeCell ref="PJG3:PJI3"/>
    <mergeCell ref="PJJ3:PJL3"/>
    <mergeCell ref="PJM3:PJO3"/>
    <mergeCell ref="PJP3:PJR3"/>
    <mergeCell ref="PII3:PIK3"/>
    <mergeCell ref="PIL3:PIN3"/>
    <mergeCell ref="PIO3:PIQ3"/>
    <mergeCell ref="PIR3:PIT3"/>
    <mergeCell ref="PIU3:PIW3"/>
    <mergeCell ref="PIX3:PIZ3"/>
    <mergeCell ref="PHQ3:PHS3"/>
    <mergeCell ref="PHT3:PHV3"/>
    <mergeCell ref="PHW3:PHY3"/>
    <mergeCell ref="PHZ3:PIB3"/>
    <mergeCell ref="PIC3:PIE3"/>
    <mergeCell ref="PIF3:PIH3"/>
    <mergeCell ref="PPG3:PPI3"/>
    <mergeCell ref="PPJ3:PPL3"/>
    <mergeCell ref="PPM3:PPO3"/>
    <mergeCell ref="PPP3:PPR3"/>
    <mergeCell ref="PPS3:PPU3"/>
    <mergeCell ref="PPV3:PPX3"/>
    <mergeCell ref="POO3:POQ3"/>
    <mergeCell ref="POR3:POT3"/>
    <mergeCell ref="POU3:POW3"/>
    <mergeCell ref="POX3:POZ3"/>
    <mergeCell ref="PPA3:PPC3"/>
    <mergeCell ref="PPD3:PPF3"/>
    <mergeCell ref="PNW3:PNY3"/>
    <mergeCell ref="PNZ3:POB3"/>
    <mergeCell ref="POC3:POE3"/>
    <mergeCell ref="POF3:POH3"/>
    <mergeCell ref="POI3:POK3"/>
    <mergeCell ref="POL3:PON3"/>
    <mergeCell ref="PNE3:PNG3"/>
    <mergeCell ref="PNH3:PNJ3"/>
    <mergeCell ref="PNK3:PNM3"/>
    <mergeCell ref="PNN3:PNP3"/>
    <mergeCell ref="PNQ3:PNS3"/>
    <mergeCell ref="PNT3:PNV3"/>
    <mergeCell ref="PMM3:PMO3"/>
    <mergeCell ref="PMP3:PMR3"/>
    <mergeCell ref="PMS3:PMU3"/>
    <mergeCell ref="PMV3:PMX3"/>
    <mergeCell ref="PMY3:PNA3"/>
    <mergeCell ref="PNB3:PND3"/>
    <mergeCell ref="PLU3:PLW3"/>
    <mergeCell ref="PLX3:PLZ3"/>
    <mergeCell ref="PMA3:PMC3"/>
    <mergeCell ref="PMD3:PMF3"/>
    <mergeCell ref="PMG3:PMI3"/>
    <mergeCell ref="PMJ3:PML3"/>
    <mergeCell ref="PTK3:PTM3"/>
    <mergeCell ref="PTN3:PTP3"/>
    <mergeCell ref="PTQ3:PTS3"/>
    <mergeCell ref="PTT3:PTV3"/>
    <mergeCell ref="PTW3:PTY3"/>
    <mergeCell ref="PTZ3:PUB3"/>
    <mergeCell ref="PSS3:PSU3"/>
    <mergeCell ref="PSV3:PSX3"/>
    <mergeCell ref="PSY3:PTA3"/>
    <mergeCell ref="PTB3:PTD3"/>
    <mergeCell ref="PTE3:PTG3"/>
    <mergeCell ref="PTH3:PTJ3"/>
    <mergeCell ref="PSA3:PSC3"/>
    <mergeCell ref="PSD3:PSF3"/>
    <mergeCell ref="PSG3:PSI3"/>
    <mergeCell ref="PSJ3:PSL3"/>
    <mergeCell ref="PSM3:PSO3"/>
    <mergeCell ref="PSP3:PSR3"/>
    <mergeCell ref="PRI3:PRK3"/>
    <mergeCell ref="PRL3:PRN3"/>
    <mergeCell ref="PRO3:PRQ3"/>
    <mergeCell ref="PRR3:PRT3"/>
    <mergeCell ref="PRU3:PRW3"/>
    <mergeCell ref="PRX3:PRZ3"/>
    <mergeCell ref="PQQ3:PQS3"/>
    <mergeCell ref="PQT3:PQV3"/>
    <mergeCell ref="PQW3:PQY3"/>
    <mergeCell ref="PQZ3:PRB3"/>
    <mergeCell ref="PRC3:PRE3"/>
    <mergeCell ref="PRF3:PRH3"/>
    <mergeCell ref="PPY3:PQA3"/>
    <mergeCell ref="PQB3:PQD3"/>
    <mergeCell ref="PQE3:PQG3"/>
    <mergeCell ref="PQH3:PQJ3"/>
    <mergeCell ref="PQK3:PQM3"/>
    <mergeCell ref="PQN3:PQP3"/>
    <mergeCell ref="PXO3:PXQ3"/>
    <mergeCell ref="PXR3:PXT3"/>
    <mergeCell ref="PXU3:PXW3"/>
    <mergeCell ref="PXX3:PXZ3"/>
    <mergeCell ref="PYA3:PYC3"/>
    <mergeCell ref="PYD3:PYF3"/>
    <mergeCell ref="PWW3:PWY3"/>
    <mergeCell ref="PWZ3:PXB3"/>
    <mergeCell ref="PXC3:PXE3"/>
    <mergeCell ref="PXF3:PXH3"/>
    <mergeCell ref="PXI3:PXK3"/>
    <mergeCell ref="PXL3:PXN3"/>
    <mergeCell ref="PWE3:PWG3"/>
    <mergeCell ref="PWH3:PWJ3"/>
    <mergeCell ref="PWK3:PWM3"/>
    <mergeCell ref="PWN3:PWP3"/>
    <mergeCell ref="PWQ3:PWS3"/>
    <mergeCell ref="PWT3:PWV3"/>
    <mergeCell ref="PVM3:PVO3"/>
    <mergeCell ref="PVP3:PVR3"/>
    <mergeCell ref="PVS3:PVU3"/>
    <mergeCell ref="PVV3:PVX3"/>
    <mergeCell ref="PVY3:PWA3"/>
    <mergeCell ref="PWB3:PWD3"/>
    <mergeCell ref="PUU3:PUW3"/>
    <mergeCell ref="PUX3:PUZ3"/>
    <mergeCell ref="PVA3:PVC3"/>
    <mergeCell ref="PVD3:PVF3"/>
    <mergeCell ref="PVG3:PVI3"/>
    <mergeCell ref="PVJ3:PVL3"/>
    <mergeCell ref="PUC3:PUE3"/>
    <mergeCell ref="PUF3:PUH3"/>
    <mergeCell ref="PUI3:PUK3"/>
    <mergeCell ref="PUL3:PUN3"/>
    <mergeCell ref="PUO3:PUQ3"/>
    <mergeCell ref="PUR3:PUT3"/>
    <mergeCell ref="QBS3:QBU3"/>
    <mergeCell ref="QBV3:QBX3"/>
    <mergeCell ref="QBY3:QCA3"/>
    <mergeCell ref="QCB3:QCD3"/>
    <mergeCell ref="QCE3:QCG3"/>
    <mergeCell ref="QCH3:QCJ3"/>
    <mergeCell ref="QBA3:QBC3"/>
    <mergeCell ref="QBD3:QBF3"/>
    <mergeCell ref="QBG3:QBI3"/>
    <mergeCell ref="QBJ3:QBL3"/>
    <mergeCell ref="QBM3:QBO3"/>
    <mergeCell ref="QBP3:QBR3"/>
    <mergeCell ref="QAI3:QAK3"/>
    <mergeCell ref="QAL3:QAN3"/>
    <mergeCell ref="QAO3:QAQ3"/>
    <mergeCell ref="QAR3:QAT3"/>
    <mergeCell ref="QAU3:QAW3"/>
    <mergeCell ref="QAX3:QAZ3"/>
    <mergeCell ref="PZQ3:PZS3"/>
    <mergeCell ref="PZT3:PZV3"/>
    <mergeCell ref="PZW3:PZY3"/>
    <mergeCell ref="PZZ3:QAB3"/>
    <mergeCell ref="QAC3:QAE3"/>
    <mergeCell ref="QAF3:QAH3"/>
    <mergeCell ref="PYY3:PZA3"/>
    <mergeCell ref="PZB3:PZD3"/>
    <mergeCell ref="PZE3:PZG3"/>
    <mergeCell ref="PZH3:PZJ3"/>
    <mergeCell ref="PZK3:PZM3"/>
    <mergeCell ref="PZN3:PZP3"/>
    <mergeCell ref="PYG3:PYI3"/>
    <mergeCell ref="PYJ3:PYL3"/>
    <mergeCell ref="PYM3:PYO3"/>
    <mergeCell ref="PYP3:PYR3"/>
    <mergeCell ref="PYS3:PYU3"/>
    <mergeCell ref="PYV3:PYX3"/>
    <mergeCell ref="QFW3:QFY3"/>
    <mergeCell ref="QFZ3:QGB3"/>
    <mergeCell ref="QGC3:QGE3"/>
    <mergeCell ref="QGF3:QGH3"/>
    <mergeCell ref="QGI3:QGK3"/>
    <mergeCell ref="QGL3:QGN3"/>
    <mergeCell ref="QFE3:QFG3"/>
    <mergeCell ref="QFH3:QFJ3"/>
    <mergeCell ref="QFK3:QFM3"/>
    <mergeCell ref="QFN3:QFP3"/>
    <mergeCell ref="QFQ3:QFS3"/>
    <mergeCell ref="QFT3:QFV3"/>
    <mergeCell ref="QEM3:QEO3"/>
    <mergeCell ref="QEP3:QER3"/>
    <mergeCell ref="QES3:QEU3"/>
    <mergeCell ref="QEV3:QEX3"/>
    <mergeCell ref="QEY3:QFA3"/>
    <mergeCell ref="QFB3:QFD3"/>
    <mergeCell ref="QDU3:QDW3"/>
    <mergeCell ref="QDX3:QDZ3"/>
    <mergeCell ref="QEA3:QEC3"/>
    <mergeCell ref="QED3:QEF3"/>
    <mergeCell ref="QEG3:QEI3"/>
    <mergeCell ref="QEJ3:QEL3"/>
    <mergeCell ref="QDC3:QDE3"/>
    <mergeCell ref="QDF3:QDH3"/>
    <mergeCell ref="QDI3:QDK3"/>
    <mergeCell ref="QDL3:QDN3"/>
    <mergeCell ref="QDO3:QDQ3"/>
    <mergeCell ref="QDR3:QDT3"/>
    <mergeCell ref="QCK3:QCM3"/>
    <mergeCell ref="QCN3:QCP3"/>
    <mergeCell ref="QCQ3:QCS3"/>
    <mergeCell ref="QCT3:QCV3"/>
    <mergeCell ref="QCW3:QCY3"/>
    <mergeCell ref="QCZ3:QDB3"/>
    <mergeCell ref="QKA3:QKC3"/>
    <mergeCell ref="QKD3:QKF3"/>
    <mergeCell ref="QKG3:QKI3"/>
    <mergeCell ref="QKJ3:QKL3"/>
    <mergeCell ref="QKM3:QKO3"/>
    <mergeCell ref="QKP3:QKR3"/>
    <mergeCell ref="QJI3:QJK3"/>
    <mergeCell ref="QJL3:QJN3"/>
    <mergeCell ref="QJO3:QJQ3"/>
    <mergeCell ref="QJR3:QJT3"/>
    <mergeCell ref="QJU3:QJW3"/>
    <mergeCell ref="QJX3:QJZ3"/>
    <mergeCell ref="QIQ3:QIS3"/>
    <mergeCell ref="QIT3:QIV3"/>
    <mergeCell ref="QIW3:QIY3"/>
    <mergeCell ref="QIZ3:QJB3"/>
    <mergeCell ref="QJC3:QJE3"/>
    <mergeCell ref="QJF3:QJH3"/>
    <mergeCell ref="QHY3:QIA3"/>
    <mergeCell ref="QIB3:QID3"/>
    <mergeCell ref="QIE3:QIG3"/>
    <mergeCell ref="QIH3:QIJ3"/>
    <mergeCell ref="QIK3:QIM3"/>
    <mergeCell ref="QIN3:QIP3"/>
    <mergeCell ref="QHG3:QHI3"/>
    <mergeCell ref="QHJ3:QHL3"/>
    <mergeCell ref="QHM3:QHO3"/>
    <mergeCell ref="QHP3:QHR3"/>
    <mergeCell ref="QHS3:QHU3"/>
    <mergeCell ref="QHV3:QHX3"/>
    <mergeCell ref="QGO3:QGQ3"/>
    <mergeCell ref="QGR3:QGT3"/>
    <mergeCell ref="QGU3:QGW3"/>
    <mergeCell ref="QGX3:QGZ3"/>
    <mergeCell ref="QHA3:QHC3"/>
    <mergeCell ref="QHD3:QHF3"/>
    <mergeCell ref="QOE3:QOG3"/>
    <mergeCell ref="QOH3:QOJ3"/>
    <mergeCell ref="QOK3:QOM3"/>
    <mergeCell ref="QON3:QOP3"/>
    <mergeCell ref="QOQ3:QOS3"/>
    <mergeCell ref="QOT3:QOV3"/>
    <mergeCell ref="QNM3:QNO3"/>
    <mergeCell ref="QNP3:QNR3"/>
    <mergeCell ref="QNS3:QNU3"/>
    <mergeCell ref="QNV3:QNX3"/>
    <mergeCell ref="QNY3:QOA3"/>
    <mergeCell ref="QOB3:QOD3"/>
    <mergeCell ref="QMU3:QMW3"/>
    <mergeCell ref="QMX3:QMZ3"/>
    <mergeCell ref="QNA3:QNC3"/>
    <mergeCell ref="QND3:QNF3"/>
    <mergeCell ref="QNG3:QNI3"/>
    <mergeCell ref="QNJ3:QNL3"/>
    <mergeCell ref="QMC3:QME3"/>
    <mergeCell ref="QMF3:QMH3"/>
    <mergeCell ref="QMI3:QMK3"/>
    <mergeCell ref="QML3:QMN3"/>
    <mergeCell ref="QMO3:QMQ3"/>
    <mergeCell ref="QMR3:QMT3"/>
    <mergeCell ref="QLK3:QLM3"/>
    <mergeCell ref="QLN3:QLP3"/>
    <mergeCell ref="QLQ3:QLS3"/>
    <mergeCell ref="QLT3:QLV3"/>
    <mergeCell ref="QLW3:QLY3"/>
    <mergeCell ref="QLZ3:QMB3"/>
    <mergeCell ref="QKS3:QKU3"/>
    <mergeCell ref="QKV3:QKX3"/>
    <mergeCell ref="QKY3:QLA3"/>
    <mergeCell ref="QLB3:QLD3"/>
    <mergeCell ref="QLE3:QLG3"/>
    <mergeCell ref="QLH3:QLJ3"/>
    <mergeCell ref="QSI3:QSK3"/>
    <mergeCell ref="QSL3:QSN3"/>
    <mergeCell ref="QSO3:QSQ3"/>
    <mergeCell ref="QSR3:QST3"/>
    <mergeCell ref="QSU3:QSW3"/>
    <mergeCell ref="QSX3:QSZ3"/>
    <mergeCell ref="QRQ3:QRS3"/>
    <mergeCell ref="QRT3:QRV3"/>
    <mergeCell ref="QRW3:QRY3"/>
    <mergeCell ref="QRZ3:QSB3"/>
    <mergeCell ref="QSC3:QSE3"/>
    <mergeCell ref="QSF3:QSH3"/>
    <mergeCell ref="QQY3:QRA3"/>
    <mergeCell ref="QRB3:QRD3"/>
    <mergeCell ref="QRE3:QRG3"/>
    <mergeCell ref="QRH3:QRJ3"/>
    <mergeCell ref="QRK3:QRM3"/>
    <mergeCell ref="QRN3:QRP3"/>
    <mergeCell ref="QQG3:QQI3"/>
    <mergeCell ref="QQJ3:QQL3"/>
    <mergeCell ref="QQM3:QQO3"/>
    <mergeCell ref="QQP3:QQR3"/>
    <mergeCell ref="QQS3:QQU3"/>
    <mergeCell ref="QQV3:QQX3"/>
    <mergeCell ref="QPO3:QPQ3"/>
    <mergeCell ref="QPR3:QPT3"/>
    <mergeCell ref="QPU3:QPW3"/>
    <mergeCell ref="QPX3:QPZ3"/>
    <mergeCell ref="QQA3:QQC3"/>
    <mergeCell ref="QQD3:QQF3"/>
    <mergeCell ref="QOW3:QOY3"/>
    <mergeCell ref="QOZ3:QPB3"/>
    <mergeCell ref="QPC3:QPE3"/>
    <mergeCell ref="QPF3:QPH3"/>
    <mergeCell ref="QPI3:QPK3"/>
    <mergeCell ref="QPL3:QPN3"/>
    <mergeCell ref="QWM3:QWO3"/>
    <mergeCell ref="QWP3:QWR3"/>
    <mergeCell ref="QWS3:QWU3"/>
    <mergeCell ref="QWV3:QWX3"/>
    <mergeCell ref="QWY3:QXA3"/>
    <mergeCell ref="QXB3:QXD3"/>
    <mergeCell ref="QVU3:QVW3"/>
    <mergeCell ref="QVX3:QVZ3"/>
    <mergeCell ref="QWA3:QWC3"/>
    <mergeCell ref="QWD3:QWF3"/>
    <mergeCell ref="QWG3:QWI3"/>
    <mergeCell ref="QWJ3:QWL3"/>
    <mergeCell ref="QVC3:QVE3"/>
    <mergeCell ref="QVF3:QVH3"/>
    <mergeCell ref="QVI3:QVK3"/>
    <mergeCell ref="QVL3:QVN3"/>
    <mergeCell ref="QVO3:QVQ3"/>
    <mergeCell ref="QVR3:QVT3"/>
    <mergeCell ref="QUK3:QUM3"/>
    <mergeCell ref="QUN3:QUP3"/>
    <mergeCell ref="QUQ3:QUS3"/>
    <mergeCell ref="QUT3:QUV3"/>
    <mergeCell ref="QUW3:QUY3"/>
    <mergeCell ref="QUZ3:QVB3"/>
    <mergeCell ref="QTS3:QTU3"/>
    <mergeCell ref="QTV3:QTX3"/>
    <mergeCell ref="QTY3:QUA3"/>
    <mergeCell ref="QUB3:QUD3"/>
    <mergeCell ref="QUE3:QUG3"/>
    <mergeCell ref="QUH3:QUJ3"/>
    <mergeCell ref="QTA3:QTC3"/>
    <mergeCell ref="QTD3:QTF3"/>
    <mergeCell ref="QTG3:QTI3"/>
    <mergeCell ref="QTJ3:QTL3"/>
    <mergeCell ref="QTM3:QTO3"/>
    <mergeCell ref="QTP3:QTR3"/>
    <mergeCell ref="RAQ3:RAS3"/>
    <mergeCell ref="RAT3:RAV3"/>
    <mergeCell ref="RAW3:RAY3"/>
    <mergeCell ref="RAZ3:RBB3"/>
    <mergeCell ref="RBC3:RBE3"/>
    <mergeCell ref="RBF3:RBH3"/>
    <mergeCell ref="QZY3:RAA3"/>
    <mergeCell ref="RAB3:RAD3"/>
    <mergeCell ref="RAE3:RAG3"/>
    <mergeCell ref="RAH3:RAJ3"/>
    <mergeCell ref="RAK3:RAM3"/>
    <mergeCell ref="RAN3:RAP3"/>
    <mergeCell ref="QZG3:QZI3"/>
    <mergeCell ref="QZJ3:QZL3"/>
    <mergeCell ref="QZM3:QZO3"/>
    <mergeCell ref="QZP3:QZR3"/>
    <mergeCell ref="QZS3:QZU3"/>
    <mergeCell ref="QZV3:QZX3"/>
    <mergeCell ref="QYO3:QYQ3"/>
    <mergeCell ref="QYR3:QYT3"/>
    <mergeCell ref="QYU3:QYW3"/>
    <mergeCell ref="QYX3:QYZ3"/>
    <mergeCell ref="QZA3:QZC3"/>
    <mergeCell ref="QZD3:QZF3"/>
    <mergeCell ref="QXW3:QXY3"/>
    <mergeCell ref="QXZ3:QYB3"/>
    <mergeCell ref="QYC3:QYE3"/>
    <mergeCell ref="QYF3:QYH3"/>
    <mergeCell ref="QYI3:QYK3"/>
    <mergeCell ref="QYL3:QYN3"/>
    <mergeCell ref="QXE3:QXG3"/>
    <mergeCell ref="QXH3:QXJ3"/>
    <mergeCell ref="QXK3:QXM3"/>
    <mergeCell ref="QXN3:QXP3"/>
    <mergeCell ref="QXQ3:QXS3"/>
    <mergeCell ref="QXT3:QXV3"/>
    <mergeCell ref="REU3:REW3"/>
    <mergeCell ref="REX3:REZ3"/>
    <mergeCell ref="RFA3:RFC3"/>
    <mergeCell ref="RFD3:RFF3"/>
    <mergeCell ref="RFG3:RFI3"/>
    <mergeCell ref="RFJ3:RFL3"/>
    <mergeCell ref="REC3:REE3"/>
    <mergeCell ref="REF3:REH3"/>
    <mergeCell ref="REI3:REK3"/>
    <mergeCell ref="REL3:REN3"/>
    <mergeCell ref="REO3:REQ3"/>
    <mergeCell ref="RER3:RET3"/>
    <mergeCell ref="RDK3:RDM3"/>
    <mergeCell ref="RDN3:RDP3"/>
    <mergeCell ref="RDQ3:RDS3"/>
    <mergeCell ref="RDT3:RDV3"/>
    <mergeCell ref="RDW3:RDY3"/>
    <mergeCell ref="RDZ3:REB3"/>
    <mergeCell ref="RCS3:RCU3"/>
    <mergeCell ref="RCV3:RCX3"/>
    <mergeCell ref="RCY3:RDA3"/>
    <mergeCell ref="RDB3:RDD3"/>
    <mergeCell ref="RDE3:RDG3"/>
    <mergeCell ref="RDH3:RDJ3"/>
    <mergeCell ref="RCA3:RCC3"/>
    <mergeCell ref="RCD3:RCF3"/>
    <mergeCell ref="RCG3:RCI3"/>
    <mergeCell ref="RCJ3:RCL3"/>
    <mergeCell ref="RCM3:RCO3"/>
    <mergeCell ref="RCP3:RCR3"/>
    <mergeCell ref="RBI3:RBK3"/>
    <mergeCell ref="RBL3:RBN3"/>
    <mergeCell ref="RBO3:RBQ3"/>
    <mergeCell ref="RBR3:RBT3"/>
    <mergeCell ref="RBU3:RBW3"/>
    <mergeCell ref="RBX3:RBZ3"/>
    <mergeCell ref="RIY3:RJA3"/>
    <mergeCell ref="RJB3:RJD3"/>
    <mergeCell ref="RJE3:RJG3"/>
    <mergeCell ref="RJH3:RJJ3"/>
    <mergeCell ref="RJK3:RJM3"/>
    <mergeCell ref="RJN3:RJP3"/>
    <mergeCell ref="RIG3:RII3"/>
    <mergeCell ref="RIJ3:RIL3"/>
    <mergeCell ref="RIM3:RIO3"/>
    <mergeCell ref="RIP3:RIR3"/>
    <mergeCell ref="RIS3:RIU3"/>
    <mergeCell ref="RIV3:RIX3"/>
    <mergeCell ref="RHO3:RHQ3"/>
    <mergeCell ref="RHR3:RHT3"/>
    <mergeCell ref="RHU3:RHW3"/>
    <mergeCell ref="RHX3:RHZ3"/>
    <mergeCell ref="RIA3:RIC3"/>
    <mergeCell ref="RID3:RIF3"/>
    <mergeCell ref="RGW3:RGY3"/>
    <mergeCell ref="RGZ3:RHB3"/>
    <mergeCell ref="RHC3:RHE3"/>
    <mergeCell ref="RHF3:RHH3"/>
    <mergeCell ref="RHI3:RHK3"/>
    <mergeCell ref="RHL3:RHN3"/>
    <mergeCell ref="RGE3:RGG3"/>
    <mergeCell ref="RGH3:RGJ3"/>
    <mergeCell ref="RGK3:RGM3"/>
    <mergeCell ref="RGN3:RGP3"/>
    <mergeCell ref="RGQ3:RGS3"/>
    <mergeCell ref="RGT3:RGV3"/>
    <mergeCell ref="RFM3:RFO3"/>
    <mergeCell ref="RFP3:RFR3"/>
    <mergeCell ref="RFS3:RFU3"/>
    <mergeCell ref="RFV3:RFX3"/>
    <mergeCell ref="RFY3:RGA3"/>
    <mergeCell ref="RGB3:RGD3"/>
    <mergeCell ref="RNC3:RNE3"/>
    <mergeCell ref="RNF3:RNH3"/>
    <mergeCell ref="RNI3:RNK3"/>
    <mergeCell ref="RNL3:RNN3"/>
    <mergeCell ref="RNO3:RNQ3"/>
    <mergeCell ref="RNR3:RNT3"/>
    <mergeCell ref="RMK3:RMM3"/>
    <mergeCell ref="RMN3:RMP3"/>
    <mergeCell ref="RMQ3:RMS3"/>
    <mergeCell ref="RMT3:RMV3"/>
    <mergeCell ref="RMW3:RMY3"/>
    <mergeCell ref="RMZ3:RNB3"/>
    <mergeCell ref="RLS3:RLU3"/>
    <mergeCell ref="RLV3:RLX3"/>
    <mergeCell ref="RLY3:RMA3"/>
    <mergeCell ref="RMB3:RMD3"/>
    <mergeCell ref="RME3:RMG3"/>
    <mergeCell ref="RMH3:RMJ3"/>
    <mergeCell ref="RLA3:RLC3"/>
    <mergeCell ref="RLD3:RLF3"/>
    <mergeCell ref="RLG3:RLI3"/>
    <mergeCell ref="RLJ3:RLL3"/>
    <mergeCell ref="RLM3:RLO3"/>
    <mergeCell ref="RLP3:RLR3"/>
    <mergeCell ref="RKI3:RKK3"/>
    <mergeCell ref="RKL3:RKN3"/>
    <mergeCell ref="RKO3:RKQ3"/>
    <mergeCell ref="RKR3:RKT3"/>
    <mergeCell ref="RKU3:RKW3"/>
    <mergeCell ref="RKX3:RKZ3"/>
    <mergeCell ref="RJQ3:RJS3"/>
    <mergeCell ref="RJT3:RJV3"/>
    <mergeCell ref="RJW3:RJY3"/>
    <mergeCell ref="RJZ3:RKB3"/>
    <mergeCell ref="RKC3:RKE3"/>
    <mergeCell ref="RKF3:RKH3"/>
    <mergeCell ref="RRG3:RRI3"/>
    <mergeCell ref="RRJ3:RRL3"/>
    <mergeCell ref="RRM3:RRO3"/>
    <mergeCell ref="RRP3:RRR3"/>
    <mergeCell ref="RRS3:RRU3"/>
    <mergeCell ref="RRV3:RRX3"/>
    <mergeCell ref="RQO3:RQQ3"/>
    <mergeCell ref="RQR3:RQT3"/>
    <mergeCell ref="RQU3:RQW3"/>
    <mergeCell ref="RQX3:RQZ3"/>
    <mergeCell ref="RRA3:RRC3"/>
    <mergeCell ref="RRD3:RRF3"/>
    <mergeCell ref="RPW3:RPY3"/>
    <mergeCell ref="RPZ3:RQB3"/>
    <mergeCell ref="RQC3:RQE3"/>
    <mergeCell ref="RQF3:RQH3"/>
    <mergeCell ref="RQI3:RQK3"/>
    <mergeCell ref="RQL3:RQN3"/>
    <mergeCell ref="RPE3:RPG3"/>
    <mergeCell ref="RPH3:RPJ3"/>
    <mergeCell ref="RPK3:RPM3"/>
    <mergeCell ref="RPN3:RPP3"/>
    <mergeCell ref="RPQ3:RPS3"/>
    <mergeCell ref="RPT3:RPV3"/>
    <mergeCell ref="ROM3:ROO3"/>
    <mergeCell ref="ROP3:ROR3"/>
    <mergeCell ref="ROS3:ROU3"/>
    <mergeCell ref="ROV3:ROX3"/>
    <mergeCell ref="ROY3:RPA3"/>
    <mergeCell ref="RPB3:RPD3"/>
    <mergeCell ref="RNU3:RNW3"/>
    <mergeCell ref="RNX3:RNZ3"/>
    <mergeCell ref="ROA3:ROC3"/>
    <mergeCell ref="ROD3:ROF3"/>
    <mergeCell ref="ROG3:ROI3"/>
    <mergeCell ref="ROJ3:ROL3"/>
    <mergeCell ref="RVK3:RVM3"/>
    <mergeCell ref="RVN3:RVP3"/>
    <mergeCell ref="RVQ3:RVS3"/>
    <mergeCell ref="RVT3:RVV3"/>
    <mergeCell ref="RVW3:RVY3"/>
    <mergeCell ref="RVZ3:RWB3"/>
    <mergeCell ref="RUS3:RUU3"/>
    <mergeCell ref="RUV3:RUX3"/>
    <mergeCell ref="RUY3:RVA3"/>
    <mergeCell ref="RVB3:RVD3"/>
    <mergeCell ref="RVE3:RVG3"/>
    <mergeCell ref="RVH3:RVJ3"/>
    <mergeCell ref="RUA3:RUC3"/>
    <mergeCell ref="RUD3:RUF3"/>
    <mergeCell ref="RUG3:RUI3"/>
    <mergeCell ref="RUJ3:RUL3"/>
    <mergeCell ref="RUM3:RUO3"/>
    <mergeCell ref="RUP3:RUR3"/>
    <mergeCell ref="RTI3:RTK3"/>
    <mergeCell ref="RTL3:RTN3"/>
    <mergeCell ref="RTO3:RTQ3"/>
    <mergeCell ref="RTR3:RTT3"/>
    <mergeCell ref="RTU3:RTW3"/>
    <mergeCell ref="RTX3:RTZ3"/>
    <mergeCell ref="RSQ3:RSS3"/>
    <mergeCell ref="RST3:RSV3"/>
    <mergeCell ref="RSW3:RSY3"/>
    <mergeCell ref="RSZ3:RTB3"/>
    <mergeCell ref="RTC3:RTE3"/>
    <mergeCell ref="RTF3:RTH3"/>
    <mergeCell ref="RRY3:RSA3"/>
    <mergeCell ref="RSB3:RSD3"/>
    <mergeCell ref="RSE3:RSG3"/>
    <mergeCell ref="RSH3:RSJ3"/>
    <mergeCell ref="RSK3:RSM3"/>
    <mergeCell ref="RSN3:RSP3"/>
    <mergeCell ref="RZO3:RZQ3"/>
    <mergeCell ref="RZR3:RZT3"/>
    <mergeCell ref="RZU3:RZW3"/>
    <mergeCell ref="RZX3:RZZ3"/>
    <mergeCell ref="SAA3:SAC3"/>
    <mergeCell ref="SAD3:SAF3"/>
    <mergeCell ref="RYW3:RYY3"/>
    <mergeCell ref="RYZ3:RZB3"/>
    <mergeCell ref="RZC3:RZE3"/>
    <mergeCell ref="RZF3:RZH3"/>
    <mergeCell ref="RZI3:RZK3"/>
    <mergeCell ref="RZL3:RZN3"/>
    <mergeCell ref="RYE3:RYG3"/>
    <mergeCell ref="RYH3:RYJ3"/>
    <mergeCell ref="RYK3:RYM3"/>
    <mergeCell ref="RYN3:RYP3"/>
    <mergeCell ref="RYQ3:RYS3"/>
    <mergeCell ref="RYT3:RYV3"/>
    <mergeCell ref="RXM3:RXO3"/>
    <mergeCell ref="RXP3:RXR3"/>
    <mergeCell ref="RXS3:RXU3"/>
    <mergeCell ref="RXV3:RXX3"/>
    <mergeCell ref="RXY3:RYA3"/>
    <mergeCell ref="RYB3:RYD3"/>
    <mergeCell ref="RWU3:RWW3"/>
    <mergeCell ref="RWX3:RWZ3"/>
    <mergeCell ref="RXA3:RXC3"/>
    <mergeCell ref="RXD3:RXF3"/>
    <mergeCell ref="RXG3:RXI3"/>
    <mergeCell ref="RXJ3:RXL3"/>
    <mergeCell ref="RWC3:RWE3"/>
    <mergeCell ref="RWF3:RWH3"/>
    <mergeCell ref="RWI3:RWK3"/>
    <mergeCell ref="RWL3:RWN3"/>
    <mergeCell ref="RWO3:RWQ3"/>
    <mergeCell ref="RWR3:RWT3"/>
    <mergeCell ref="SDS3:SDU3"/>
    <mergeCell ref="SDV3:SDX3"/>
    <mergeCell ref="SDY3:SEA3"/>
    <mergeCell ref="SEB3:SED3"/>
    <mergeCell ref="SEE3:SEG3"/>
    <mergeCell ref="SEH3:SEJ3"/>
    <mergeCell ref="SDA3:SDC3"/>
    <mergeCell ref="SDD3:SDF3"/>
    <mergeCell ref="SDG3:SDI3"/>
    <mergeCell ref="SDJ3:SDL3"/>
    <mergeCell ref="SDM3:SDO3"/>
    <mergeCell ref="SDP3:SDR3"/>
    <mergeCell ref="SCI3:SCK3"/>
    <mergeCell ref="SCL3:SCN3"/>
    <mergeCell ref="SCO3:SCQ3"/>
    <mergeCell ref="SCR3:SCT3"/>
    <mergeCell ref="SCU3:SCW3"/>
    <mergeCell ref="SCX3:SCZ3"/>
    <mergeCell ref="SBQ3:SBS3"/>
    <mergeCell ref="SBT3:SBV3"/>
    <mergeCell ref="SBW3:SBY3"/>
    <mergeCell ref="SBZ3:SCB3"/>
    <mergeCell ref="SCC3:SCE3"/>
    <mergeCell ref="SCF3:SCH3"/>
    <mergeCell ref="SAY3:SBA3"/>
    <mergeCell ref="SBB3:SBD3"/>
    <mergeCell ref="SBE3:SBG3"/>
    <mergeCell ref="SBH3:SBJ3"/>
    <mergeCell ref="SBK3:SBM3"/>
    <mergeCell ref="SBN3:SBP3"/>
    <mergeCell ref="SAG3:SAI3"/>
    <mergeCell ref="SAJ3:SAL3"/>
    <mergeCell ref="SAM3:SAO3"/>
    <mergeCell ref="SAP3:SAR3"/>
    <mergeCell ref="SAS3:SAU3"/>
    <mergeCell ref="SAV3:SAX3"/>
    <mergeCell ref="SHW3:SHY3"/>
    <mergeCell ref="SHZ3:SIB3"/>
    <mergeCell ref="SIC3:SIE3"/>
    <mergeCell ref="SIF3:SIH3"/>
    <mergeCell ref="SII3:SIK3"/>
    <mergeCell ref="SIL3:SIN3"/>
    <mergeCell ref="SHE3:SHG3"/>
    <mergeCell ref="SHH3:SHJ3"/>
    <mergeCell ref="SHK3:SHM3"/>
    <mergeCell ref="SHN3:SHP3"/>
    <mergeCell ref="SHQ3:SHS3"/>
    <mergeCell ref="SHT3:SHV3"/>
    <mergeCell ref="SGM3:SGO3"/>
    <mergeCell ref="SGP3:SGR3"/>
    <mergeCell ref="SGS3:SGU3"/>
    <mergeCell ref="SGV3:SGX3"/>
    <mergeCell ref="SGY3:SHA3"/>
    <mergeCell ref="SHB3:SHD3"/>
    <mergeCell ref="SFU3:SFW3"/>
    <mergeCell ref="SFX3:SFZ3"/>
    <mergeCell ref="SGA3:SGC3"/>
    <mergeCell ref="SGD3:SGF3"/>
    <mergeCell ref="SGG3:SGI3"/>
    <mergeCell ref="SGJ3:SGL3"/>
    <mergeCell ref="SFC3:SFE3"/>
    <mergeCell ref="SFF3:SFH3"/>
    <mergeCell ref="SFI3:SFK3"/>
    <mergeCell ref="SFL3:SFN3"/>
    <mergeCell ref="SFO3:SFQ3"/>
    <mergeCell ref="SFR3:SFT3"/>
    <mergeCell ref="SEK3:SEM3"/>
    <mergeCell ref="SEN3:SEP3"/>
    <mergeCell ref="SEQ3:SES3"/>
    <mergeCell ref="SET3:SEV3"/>
    <mergeCell ref="SEW3:SEY3"/>
    <mergeCell ref="SEZ3:SFB3"/>
    <mergeCell ref="SMA3:SMC3"/>
    <mergeCell ref="SMD3:SMF3"/>
    <mergeCell ref="SMG3:SMI3"/>
    <mergeCell ref="SMJ3:SML3"/>
    <mergeCell ref="SMM3:SMO3"/>
    <mergeCell ref="SMP3:SMR3"/>
    <mergeCell ref="SLI3:SLK3"/>
    <mergeCell ref="SLL3:SLN3"/>
    <mergeCell ref="SLO3:SLQ3"/>
    <mergeCell ref="SLR3:SLT3"/>
    <mergeCell ref="SLU3:SLW3"/>
    <mergeCell ref="SLX3:SLZ3"/>
    <mergeCell ref="SKQ3:SKS3"/>
    <mergeCell ref="SKT3:SKV3"/>
    <mergeCell ref="SKW3:SKY3"/>
    <mergeCell ref="SKZ3:SLB3"/>
    <mergeCell ref="SLC3:SLE3"/>
    <mergeCell ref="SLF3:SLH3"/>
    <mergeCell ref="SJY3:SKA3"/>
    <mergeCell ref="SKB3:SKD3"/>
    <mergeCell ref="SKE3:SKG3"/>
    <mergeCell ref="SKH3:SKJ3"/>
    <mergeCell ref="SKK3:SKM3"/>
    <mergeCell ref="SKN3:SKP3"/>
    <mergeCell ref="SJG3:SJI3"/>
    <mergeCell ref="SJJ3:SJL3"/>
    <mergeCell ref="SJM3:SJO3"/>
    <mergeCell ref="SJP3:SJR3"/>
    <mergeCell ref="SJS3:SJU3"/>
    <mergeCell ref="SJV3:SJX3"/>
    <mergeCell ref="SIO3:SIQ3"/>
    <mergeCell ref="SIR3:SIT3"/>
    <mergeCell ref="SIU3:SIW3"/>
    <mergeCell ref="SIX3:SIZ3"/>
    <mergeCell ref="SJA3:SJC3"/>
    <mergeCell ref="SJD3:SJF3"/>
    <mergeCell ref="SQE3:SQG3"/>
    <mergeCell ref="SQH3:SQJ3"/>
    <mergeCell ref="SQK3:SQM3"/>
    <mergeCell ref="SQN3:SQP3"/>
    <mergeCell ref="SQQ3:SQS3"/>
    <mergeCell ref="SQT3:SQV3"/>
    <mergeCell ref="SPM3:SPO3"/>
    <mergeCell ref="SPP3:SPR3"/>
    <mergeCell ref="SPS3:SPU3"/>
    <mergeCell ref="SPV3:SPX3"/>
    <mergeCell ref="SPY3:SQA3"/>
    <mergeCell ref="SQB3:SQD3"/>
    <mergeCell ref="SOU3:SOW3"/>
    <mergeCell ref="SOX3:SOZ3"/>
    <mergeCell ref="SPA3:SPC3"/>
    <mergeCell ref="SPD3:SPF3"/>
    <mergeCell ref="SPG3:SPI3"/>
    <mergeCell ref="SPJ3:SPL3"/>
    <mergeCell ref="SOC3:SOE3"/>
    <mergeCell ref="SOF3:SOH3"/>
    <mergeCell ref="SOI3:SOK3"/>
    <mergeCell ref="SOL3:SON3"/>
    <mergeCell ref="SOO3:SOQ3"/>
    <mergeCell ref="SOR3:SOT3"/>
    <mergeCell ref="SNK3:SNM3"/>
    <mergeCell ref="SNN3:SNP3"/>
    <mergeCell ref="SNQ3:SNS3"/>
    <mergeCell ref="SNT3:SNV3"/>
    <mergeCell ref="SNW3:SNY3"/>
    <mergeCell ref="SNZ3:SOB3"/>
    <mergeCell ref="SMS3:SMU3"/>
    <mergeCell ref="SMV3:SMX3"/>
    <mergeCell ref="SMY3:SNA3"/>
    <mergeCell ref="SNB3:SND3"/>
    <mergeCell ref="SNE3:SNG3"/>
    <mergeCell ref="SNH3:SNJ3"/>
    <mergeCell ref="SUI3:SUK3"/>
    <mergeCell ref="SUL3:SUN3"/>
    <mergeCell ref="SUO3:SUQ3"/>
    <mergeCell ref="SUR3:SUT3"/>
    <mergeCell ref="SUU3:SUW3"/>
    <mergeCell ref="SUX3:SUZ3"/>
    <mergeCell ref="STQ3:STS3"/>
    <mergeCell ref="STT3:STV3"/>
    <mergeCell ref="STW3:STY3"/>
    <mergeCell ref="STZ3:SUB3"/>
    <mergeCell ref="SUC3:SUE3"/>
    <mergeCell ref="SUF3:SUH3"/>
    <mergeCell ref="SSY3:STA3"/>
    <mergeCell ref="STB3:STD3"/>
    <mergeCell ref="STE3:STG3"/>
    <mergeCell ref="STH3:STJ3"/>
    <mergeCell ref="STK3:STM3"/>
    <mergeCell ref="STN3:STP3"/>
    <mergeCell ref="SSG3:SSI3"/>
    <mergeCell ref="SSJ3:SSL3"/>
    <mergeCell ref="SSM3:SSO3"/>
    <mergeCell ref="SSP3:SSR3"/>
    <mergeCell ref="SSS3:SSU3"/>
    <mergeCell ref="SSV3:SSX3"/>
    <mergeCell ref="SRO3:SRQ3"/>
    <mergeCell ref="SRR3:SRT3"/>
    <mergeCell ref="SRU3:SRW3"/>
    <mergeCell ref="SRX3:SRZ3"/>
    <mergeCell ref="SSA3:SSC3"/>
    <mergeCell ref="SSD3:SSF3"/>
    <mergeCell ref="SQW3:SQY3"/>
    <mergeCell ref="SQZ3:SRB3"/>
    <mergeCell ref="SRC3:SRE3"/>
    <mergeCell ref="SRF3:SRH3"/>
    <mergeCell ref="SRI3:SRK3"/>
    <mergeCell ref="SRL3:SRN3"/>
    <mergeCell ref="SYM3:SYO3"/>
    <mergeCell ref="SYP3:SYR3"/>
    <mergeCell ref="SYS3:SYU3"/>
    <mergeCell ref="SYV3:SYX3"/>
    <mergeCell ref="SYY3:SZA3"/>
    <mergeCell ref="SZB3:SZD3"/>
    <mergeCell ref="SXU3:SXW3"/>
    <mergeCell ref="SXX3:SXZ3"/>
    <mergeCell ref="SYA3:SYC3"/>
    <mergeCell ref="SYD3:SYF3"/>
    <mergeCell ref="SYG3:SYI3"/>
    <mergeCell ref="SYJ3:SYL3"/>
    <mergeCell ref="SXC3:SXE3"/>
    <mergeCell ref="SXF3:SXH3"/>
    <mergeCell ref="SXI3:SXK3"/>
    <mergeCell ref="SXL3:SXN3"/>
    <mergeCell ref="SXO3:SXQ3"/>
    <mergeCell ref="SXR3:SXT3"/>
    <mergeCell ref="SWK3:SWM3"/>
    <mergeCell ref="SWN3:SWP3"/>
    <mergeCell ref="SWQ3:SWS3"/>
    <mergeCell ref="SWT3:SWV3"/>
    <mergeCell ref="SWW3:SWY3"/>
    <mergeCell ref="SWZ3:SXB3"/>
    <mergeCell ref="SVS3:SVU3"/>
    <mergeCell ref="SVV3:SVX3"/>
    <mergeCell ref="SVY3:SWA3"/>
    <mergeCell ref="SWB3:SWD3"/>
    <mergeCell ref="SWE3:SWG3"/>
    <mergeCell ref="SWH3:SWJ3"/>
    <mergeCell ref="SVA3:SVC3"/>
    <mergeCell ref="SVD3:SVF3"/>
    <mergeCell ref="SVG3:SVI3"/>
    <mergeCell ref="SVJ3:SVL3"/>
    <mergeCell ref="SVM3:SVO3"/>
    <mergeCell ref="SVP3:SVR3"/>
    <mergeCell ref="TCQ3:TCS3"/>
    <mergeCell ref="TCT3:TCV3"/>
    <mergeCell ref="TCW3:TCY3"/>
    <mergeCell ref="TCZ3:TDB3"/>
    <mergeCell ref="TDC3:TDE3"/>
    <mergeCell ref="TDF3:TDH3"/>
    <mergeCell ref="TBY3:TCA3"/>
    <mergeCell ref="TCB3:TCD3"/>
    <mergeCell ref="TCE3:TCG3"/>
    <mergeCell ref="TCH3:TCJ3"/>
    <mergeCell ref="TCK3:TCM3"/>
    <mergeCell ref="TCN3:TCP3"/>
    <mergeCell ref="TBG3:TBI3"/>
    <mergeCell ref="TBJ3:TBL3"/>
    <mergeCell ref="TBM3:TBO3"/>
    <mergeCell ref="TBP3:TBR3"/>
    <mergeCell ref="TBS3:TBU3"/>
    <mergeCell ref="TBV3:TBX3"/>
    <mergeCell ref="TAO3:TAQ3"/>
    <mergeCell ref="TAR3:TAT3"/>
    <mergeCell ref="TAU3:TAW3"/>
    <mergeCell ref="TAX3:TAZ3"/>
    <mergeCell ref="TBA3:TBC3"/>
    <mergeCell ref="TBD3:TBF3"/>
    <mergeCell ref="SZW3:SZY3"/>
    <mergeCell ref="SZZ3:TAB3"/>
    <mergeCell ref="TAC3:TAE3"/>
    <mergeCell ref="TAF3:TAH3"/>
    <mergeCell ref="TAI3:TAK3"/>
    <mergeCell ref="TAL3:TAN3"/>
    <mergeCell ref="SZE3:SZG3"/>
    <mergeCell ref="SZH3:SZJ3"/>
    <mergeCell ref="SZK3:SZM3"/>
    <mergeCell ref="SZN3:SZP3"/>
    <mergeCell ref="SZQ3:SZS3"/>
    <mergeCell ref="SZT3:SZV3"/>
    <mergeCell ref="TGU3:TGW3"/>
    <mergeCell ref="TGX3:TGZ3"/>
    <mergeCell ref="THA3:THC3"/>
    <mergeCell ref="THD3:THF3"/>
    <mergeCell ref="THG3:THI3"/>
    <mergeCell ref="THJ3:THL3"/>
    <mergeCell ref="TGC3:TGE3"/>
    <mergeCell ref="TGF3:TGH3"/>
    <mergeCell ref="TGI3:TGK3"/>
    <mergeCell ref="TGL3:TGN3"/>
    <mergeCell ref="TGO3:TGQ3"/>
    <mergeCell ref="TGR3:TGT3"/>
    <mergeCell ref="TFK3:TFM3"/>
    <mergeCell ref="TFN3:TFP3"/>
    <mergeCell ref="TFQ3:TFS3"/>
    <mergeCell ref="TFT3:TFV3"/>
    <mergeCell ref="TFW3:TFY3"/>
    <mergeCell ref="TFZ3:TGB3"/>
    <mergeCell ref="TES3:TEU3"/>
    <mergeCell ref="TEV3:TEX3"/>
    <mergeCell ref="TEY3:TFA3"/>
    <mergeCell ref="TFB3:TFD3"/>
    <mergeCell ref="TFE3:TFG3"/>
    <mergeCell ref="TFH3:TFJ3"/>
    <mergeCell ref="TEA3:TEC3"/>
    <mergeCell ref="TED3:TEF3"/>
    <mergeCell ref="TEG3:TEI3"/>
    <mergeCell ref="TEJ3:TEL3"/>
    <mergeCell ref="TEM3:TEO3"/>
    <mergeCell ref="TEP3:TER3"/>
    <mergeCell ref="TDI3:TDK3"/>
    <mergeCell ref="TDL3:TDN3"/>
    <mergeCell ref="TDO3:TDQ3"/>
    <mergeCell ref="TDR3:TDT3"/>
    <mergeCell ref="TDU3:TDW3"/>
    <mergeCell ref="TDX3:TDZ3"/>
    <mergeCell ref="TKY3:TLA3"/>
    <mergeCell ref="TLB3:TLD3"/>
    <mergeCell ref="TLE3:TLG3"/>
    <mergeCell ref="TLH3:TLJ3"/>
    <mergeCell ref="TLK3:TLM3"/>
    <mergeCell ref="TLN3:TLP3"/>
    <mergeCell ref="TKG3:TKI3"/>
    <mergeCell ref="TKJ3:TKL3"/>
    <mergeCell ref="TKM3:TKO3"/>
    <mergeCell ref="TKP3:TKR3"/>
    <mergeCell ref="TKS3:TKU3"/>
    <mergeCell ref="TKV3:TKX3"/>
    <mergeCell ref="TJO3:TJQ3"/>
    <mergeCell ref="TJR3:TJT3"/>
    <mergeCell ref="TJU3:TJW3"/>
    <mergeCell ref="TJX3:TJZ3"/>
    <mergeCell ref="TKA3:TKC3"/>
    <mergeCell ref="TKD3:TKF3"/>
    <mergeCell ref="TIW3:TIY3"/>
    <mergeCell ref="TIZ3:TJB3"/>
    <mergeCell ref="TJC3:TJE3"/>
    <mergeCell ref="TJF3:TJH3"/>
    <mergeCell ref="TJI3:TJK3"/>
    <mergeCell ref="TJL3:TJN3"/>
    <mergeCell ref="TIE3:TIG3"/>
    <mergeCell ref="TIH3:TIJ3"/>
    <mergeCell ref="TIK3:TIM3"/>
    <mergeCell ref="TIN3:TIP3"/>
    <mergeCell ref="TIQ3:TIS3"/>
    <mergeCell ref="TIT3:TIV3"/>
    <mergeCell ref="THM3:THO3"/>
    <mergeCell ref="THP3:THR3"/>
    <mergeCell ref="THS3:THU3"/>
    <mergeCell ref="THV3:THX3"/>
    <mergeCell ref="THY3:TIA3"/>
    <mergeCell ref="TIB3:TID3"/>
    <mergeCell ref="TPC3:TPE3"/>
    <mergeCell ref="TPF3:TPH3"/>
    <mergeCell ref="TPI3:TPK3"/>
    <mergeCell ref="TPL3:TPN3"/>
    <mergeCell ref="TPO3:TPQ3"/>
    <mergeCell ref="TPR3:TPT3"/>
    <mergeCell ref="TOK3:TOM3"/>
    <mergeCell ref="TON3:TOP3"/>
    <mergeCell ref="TOQ3:TOS3"/>
    <mergeCell ref="TOT3:TOV3"/>
    <mergeCell ref="TOW3:TOY3"/>
    <mergeCell ref="TOZ3:TPB3"/>
    <mergeCell ref="TNS3:TNU3"/>
    <mergeCell ref="TNV3:TNX3"/>
    <mergeCell ref="TNY3:TOA3"/>
    <mergeCell ref="TOB3:TOD3"/>
    <mergeCell ref="TOE3:TOG3"/>
    <mergeCell ref="TOH3:TOJ3"/>
    <mergeCell ref="TNA3:TNC3"/>
    <mergeCell ref="TND3:TNF3"/>
    <mergeCell ref="TNG3:TNI3"/>
    <mergeCell ref="TNJ3:TNL3"/>
    <mergeCell ref="TNM3:TNO3"/>
    <mergeCell ref="TNP3:TNR3"/>
    <mergeCell ref="TMI3:TMK3"/>
    <mergeCell ref="TML3:TMN3"/>
    <mergeCell ref="TMO3:TMQ3"/>
    <mergeCell ref="TMR3:TMT3"/>
    <mergeCell ref="TMU3:TMW3"/>
    <mergeCell ref="TMX3:TMZ3"/>
    <mergeCell ref="TLQ3:TLS3"/>
    <mergeCell ref="TLT3:TLV3"/>
    <mergeCell ref="TLW3:TLY3"/>
    <mergeCell ref="TLZ3:TMB3"/>
    <mergeCell ref="TMC3:TME3"/>
    <mergeCell ref="TMF3:TMH3"/>
    <mergeCell ref="TTG3:TTI3"/>
    <mergeCell ref="TTJ3:TTL3"/>
    <mergeCell ref="TTM3:TTO3"/>
    <mergeCell ref="TTP3:TTR3"/>
    <mergeCell ref="TTS3:TTU3"/>
    <mergeCell ref="TTV3:TTX3"/>
    <mergeCell ref="TSO3:TSQ3"/>
    <mergeCell ref="TSR3:TST3"/>
    <mergeCell ref="TSU3:TSW3"/>
    <mergeCell ref="TSX3:TSZ3"/>
    <mergeCell ref="TTA3:TTC3"/>
    <mergeCell ref="TTD3:TTF3"/>
    <mergeCell ref="TRW3:TRY3"/>
    <mergeCell ref="TRZ3:TSB3"/>
    <mergeCell ref="TSC3:TSE3"/>
    <mergeCell ref="TSF3:TSH3"/>
    <mergeCell ref="TSI3:TSK3"/>
    <mergeCell ref="TSL3:TSN3"/>
    <mergeCell ref="TRE3:TRG3"/>
    <mergeCell ref="TRH3:TRJ3"/>
    <mergeCell ref="TRK3:TRM3"/>
    <mergeCell ref="TRN3:TRP3"/>
    <mergeCell ref="TRQ3:TRS3"/>
    <mergeCell ref="TRT3:TRV3"/>
    <mergeCell ref="TQM3:TQO3"/>
    <mergeCell ref="TQP3:TQR3"/>
    <mergeCell ref="TQS3:TQU3"/>
    <mergeCell ref="TQV3:TQX3"/>
    <mergeCell ref="TQY3:TRA3"/>
    <mergeCell ref="TRB3:TRD3"/>
    <mergeCell ref="TPU3:TPW3"/>
    <mergeCell ref="TPX3:TPZ3"/>
    <mergeCell ref="TQA3:TQC3"/>
    <mergeCell ref="TQD3:TQF3"/>
    <mergeCell ref="TQG3:TQI3"/>
    <mergeCell ref="TQJ3:TQL3"/>
    <mergeCell ref="TXK3:TXM3"/>
    <mergeCell ref="TXN3:TXP3"/>
    <mergeCell ref="TXQ3:TXS3"/>
    <mergeCell ref="TXT3:TXV3"/>
    <mergeCell ref="TXW3:TXY3"/>
    <mergeCell ref="TXZ3:TYB3"/>
    <mergeCell ref="TWS3:TWU3"/>
    <mergeCell ref="TWV3:TWX3"/>
    <mergeCell ref="TWY3:TXA3"/>
    <mergeCell ref="TXB3:TXD3"/>
    <mergeCell ref="TXE3:TXG3"/>
    <mergeCell ref="TXH3:TXJ3"/>
    <mergeCell ref="TWA3:TWC3"/>
    <mergeCell ref="TWD3:TWF3"/>
    <mergeCell ref="TWG3:TWI3"/>
    <mergeCell ref="TWJ3:TWL3"/>
    <mergeCell ref="TWM3:TWO3"/>
    <mergeCell ref="TWP3:TWR3"/>
    <mergeCell ref="TVI3:TVK3"/>
    <mergeCell ref="TVL3:TVN3"/>
    <mergeCell ref="TVO3:TVQ3"/>
    <mergeCell ref="TVR3:TVT3"/>
    <mergeCell ref="TVU3:TVW3"/>
    <mergeCell ref="TVX3:TVZ3"/>
    <mergeCell ref="TUQ3:TUS3"/>
    <mergeCell ref="TUT3:TUV3"/>
    <mergeCell ref="TUW3:TUY3"/>
    <mergeCell ref="TUZ3:TVB3"/>
    <mergeCell ref="TVC3:TVE3"/>
    <mergeCell ref="TVF3:TVH3"/>
    <mergeCell ref="TTY3:TUA3"/>
    <mergeCell ref="TUB3:TUD3"/>
    <mergeCell ref="TUE3:TUG3"/>
    <mergeCell ref="TUH3:TUJ3"/>
    <mergeCell ref="TUK3:TUM3"/>
    <mergeCell ref="TUN3:TUP3"/>
    <mergeCell ref="UBO3:UBQ3"/>
    <mergeCell ref="UBR3:UBT3"/>
    <mergeCell ref="UBU3:UBW3"/>
    <mergeCell ref="UBX3:UBZ3"/>
    <mergeCell ref="UCA3:UCC3"/>
    <mergeCell ref="UCD3:UCF3"/>
    <mergeCell ref="UAW3:UAY3"/>
    <mergeCell ref="UAZ3:UBB3"/>
    <mergeCell ref="UBC3:UBE3"/>
    <mergeCell ref="UBF3:UBH3"/>
    <mergeCell ref="UBI3:UBK3"/>
    <mergeCell ref="UBL3:UBN3"/>
    <mergeCell ref="UAE3:UAG3"/>
    <mergeCell ref="UAH3:UAJ3"/>
    <mergeCell ref="UAK3:UAM3"/>
    <mergeCell ref="UAN3:UAP3"/>
    <mergeCell ref="UAQ3:UAS3"/>
    <mergeCell ref="UAT3:UAV3"/>
    <mergeCell ref="TZM3:TZO3"/>
    <mergeCell ref="TZP3:TZR3"/>
    <mergeCell ref="TZS3:TZU3"/>
    <mergeCell ref="TZV3:TZX3"/>
    <mergeCell ref="TZY3:UAA3"/>
    <mergeCell ref="UAB3:UAD3"/>
    <mergeCell ref="TYU3:TYW3"/>
    <mergeCell ref="TYX3:TYZ3"/>
    <mergeCell ref="TZA3:TZC3"/>
    <mergeCell ref="TZD3:TZF3"/>
    <mergeCell ref="TZG3:TZI3"/>
    <mergeCell ref="TZJ3:TZL3"/>
    <mergeCell ref="TYC3:TYE3"/>
    <mergeCell ref="TYF3:TYH3"/>
    <mergeCell ref="TYI3:TYK3"/>
    <mergeCell ref="TYL3:TYN3"/>
    <mergeCell ref="TYO3:TYQ3"/>
    <mergeCell ref="TYR3:TYT3"/>
    <mergeCell ref="UFS3:UFU3"/>
    <mergeCell ref="UFV3:UFX3"/>
    <mergeCell ref="UFY3:UGA3"/>
    <mergeCell ref="UGB3:UGD3"/>
    <mergeCell ref="UGE3:UGG3"/>
    <mergeCell ref="UGH3:UGJ3"/>
    <mergeCell ref="UFA3:UFC3"/>
    <mergeCell ref="UFD3:UFF3"/>
    <mergeCell ref="UFG3:UFI3"/>
    <mergeCell ref="UFJ3:UFL3"/>
    <mergeCell ref="UFM3:UFO3"/>
    <mergeCell ref="UFP3:UFR3"/>
    <mergeCell ref="UEI3:UEK3"/>
    <mergeCell ref="UEL3:UEN3"/>
    <mergeCell ref="UEO3:UEQ3"/>
    <mergeCell ref="UER3:UET3"/>
    <mergeCell ref="UEU3:UEW3"/>
    <mergeCell ref="UEX3:UEZ3"/>
    <mergeCell ref="UDQ3:UDS3"/>
    <mergeCell ref="UDT3:UDV3"/>
    <mergeCell ref="UDW3:UDY3"/>
    <mergeCell ref="UDZ3:UEB3"/>
    <mergeCell ref="UEC3:UEE3"/>
    <mergeCell ref="UEF3:UEH3"/>
    <mergeCell ref="UCY3:UDA3"/>
    <mergeCell ref="UDB3:UDD3"/>
    <mergeCell ref="UDE3:UDG3"/>
    <mergeCell ref="UDH3:UDJ3"/>
    <mergeCell ref="UDK3:UDM3"/>
    <mergeCell ref="UDN3:UDP3"/>
    <mergeCell ref="UCG3:UCI3"/>
    <mergeCell ref="UCJ3:UCL3"/>
    <mergeCell ref="UCM3:UCO3"/>
    <mergeCell ref="UCP3:UCR3"/>
    <mergeCell ref="UCS3:UCU3"/>
    <mergeCell ref="UCV3:UCX3"/>
    <mergeCell ref="UJW3:UJY3"/>
    <mergeCell ref="UJZ3:UKB3"/>
    <mergeCell ref="UKC3:UKE3"/>
    <mergeCell ref="UKF3:UKH3"/>
    <mergeCell ref="UKI3:UKK3"/>
    <mergeCell ref="UKL3:UKN3"/>
    <mergeCell ref="UJE3:UJG3"/>
    <mergeCell ref="UJH3:UJJ3"/>
    <mergeCell ref="UJK3:UJM3"/>
    <mergeCell ref="UJN3:UJP3"/>
    <mergeCell ref="UJQ3:UJS3"/>
    <mergeCell ref="UJT3:UJV3"/>
    <mergeCell ref="UIM3:UIO3"/>
    <mergeCell ref="UIP3:UIR3"/>
    <mergeCell ref="UIS3:UIU3"/>
    <mergeCell ref="UIV3:UIX3"/>
    <mergeCell ref="UIY3:UJA3"/>
    <mergeCell ref="UJB3:UJD3"/>
    <mergeCell ref="UHU3:UHW3"/>
    <mergeCell ref="UHX3:UHZ3"/>
    <mergeCell ref="UIA3:UIC3"/>
    <mergeCell ref="UID3:UIF3"/>
    <mergeCell ref="UIG3:UII3"/>
    <mergeCell ref="UIJ3:UIL3"/>
    <mergeCell ref="UHC3:UHE3"/>
    <mergeCell ref="UHF3:UHH3"/>
    <mergeCell ref="UHI3:UHK3"/>
    <mergeCell ref="UHL3:UHN3"/>
    <mergeCell ref="UHO3:UHQ3"/>
    <mergeCell ref="UHR3:UHT3"/>
    <mergeCell ref="UGK3:UGM3"/>
    <mergeCell ref="UGN3:UGP3"/>
    <mergeCell ref="UGQ3:UGS3"/>
    <mergeCell ref="UGT3:UGV3"/>
    <mergeCell ref="UGW3:UGY3"/>
    <mergeCell ref="UGZ3:UHB3"/>
    <mergeCell ref="UOA3:UOC3"/>
    <mergeCell ref="UOD3:UOF3"/>
    <mergeCell ref="UOG3:UOI3"/>
    <mergeCell ref="UOJ3:UOL3"/>
    <mergeCell ref="UOM3:UOO3"/>
    <mergeCell ref="UOP3:UOR3"/>
    <mergeCell ref="UNI3:UNK3"/>
    <mergeCell ref="UNL3:UNN3"/>
    <mergeCell ref="UNO3:UNQ3"/>
    <mergeCell ref="UNR3:UNT3"/>
    <mergeCell ref="UNU3:UNW3"/>
    <mergeCell ref="UNX3:UNZ3"/>
    <mergeCell ref="UMQ3:UMS3"/>
    <mergeCell ref="UMT3:UMV3"/>
    <mergeCell ref="UMW3:UMY3"/>
    <mergeCell ref="UMZ3:UNB3"/>
    <mergeCell ref="UNC3:UNE3"/>
    <mergeCell ref="UNF3:UNH3"/>
    <mergeCell ref="ULY3:UMA3"/>
    <mergeCell ref="UMB3:UMD3"/>
    <mergeCell ref="UME3:UMG3"/>
    <mergeCell ref="UMH3:UMJ3"/>
    <mergeCell ref="UMK3:UMM3"/>
    <mergeCell ref="UMN3:UMP3"/>
    <mergeCell ref="ULG3:ULI3"/>
    <mergeCell ref="ULJ3:ULL3"/>
    <mergeCell ref="ULM3:ULO3"/>
    <mergeCell ref="ULP3:ULR3"/>
    <mergeCell ref="ULS3:ULU3"/>
    <mergeCell ref="ULV3:ULX3"/>
    <mergeCell ref="UKO3:UKQ3"/>
    <mergeCell ref="UKR3:UKT3"/>
    <mergeCell ref="UKU3:UKW3"/>
    <mergeCell ref="UKX3:UKZ3"/>
    <mergeCell ref="ULA3:ULC3"/>
    <mergeCell ref="ULD3:ULF3"/>
    <mergeCell ref="USE3:USG3"/>
    <mergeCell ref="USH3:USJ3"/>
    <mergeCell ref="USK3:USM3"/>
    <mergeCell ref="USN3:USP3"/>
    <mergeCell ref="USQ3:USS3"/>
    <mergeCell ref="UST3:USV3"/>
    <mergeCell ref="URM3:URO3"/>
    <mergeCell ref="URP3:URR3"/>
    <mergeCell ref="URS3:URU3"/>
    <mergeCell ref="URV3:URX3"/>
    <mergeCell ref="URY3:USA3"/>
    <mergeCell ref="USB3:USD3"/>
    <mergeCell ref="UQU3:UQW3"/>
    <mergeCell ref="UQX3:UQZ3"/>
    <mergeCell ref="URA3:URC3"/>
    <mergeCell ref="URD3:URF3"/>
    <mergeCell ref="URG3:URI3"/>
    <mergeCell ref="URJ3:URL3"/>
    <mergeCell ref="UQC3:UQE3"/>
    <mergeCell ref="UQF3:UQH3"/>
    <mergeCell ref="UQI3:UQK3"/>
    <mergeCell ref="UQL3:UQN3"/>
    <mergeCell ref="UQO3:UQQ3"/>
    <mergeCell ref="UQR3:UQT3"/>
    <mergeCell ref="UPK3:UPM3"/>
    <mergeCell ref="UPN3:UPP3"/>
    <mergeCell ref="UPQ3:UPS3"/>
    <mergeCell ref="UPT3:UPV3"/>
    <mergeCell ref="UPW3:UPY3"/>
    <mergeCell ref="UPZ3:UQB3"/>
    <mergeCell ref="UOS3:UOU3"/>
    <mergeCell ref="UOV3:UOX3"/>
    <mergeCell ref="UOY3:UPA3"/>
    <mergeCell ref="UPB3:UPD3"/>
    <mergeCell ref="UPE3:UPG3"/>
    <mergeCell ref="UPH3:UPJ3"/>
    <mergeCell ref="UWI3:UWK3"/>
    <mergeCell ref="UWL3:UWN3"/>
    <mergeCell ref="UWO3:UWQ3"/>
    <mergeCell ref="UWR3:UWT3"/>
    <mergeCell ref="UWU3:UWW3"/>
    <mergeCell ref="UWX3:UWZ3"/>
    <mergeCell ref="UVQ3:UVS3"/>
    <mergeCell ref="UVT3:UVV3"/>
    <mergeCell ref="UVW3:UVY3"/>
    <mergeCell ref="UVZ3:UWB3"/>
    <mergeCell ref="UWC3:UWE3"/>
    <mergeCell ref="UWF3:UWH3"/>
    <mergeCell ref="UUY3:UVA3"/>
    <mergeCell ref="UVB3:UVD3"/>
    <mergeCell ref="UVE3:UVG3"/>
    <mergeCell ref="UVH3:UVJ3"/>
    <mergeCell ref="UVK3:UVM3"/>
    <mergeCell ref="UVN3:UVP3"/>
    <mergeCell ref="UUG3:UUI3"/>
    <mergeCell ref="UUJ3:UUL3"/>
    <mergeCell ref="UUM3:UUO3"/>
    <mergeCell ref="UUP3:UUR3"/>
    <mergeCell ref="UUS3:UUU3"/>
    <mergeCell ref="UUV3:UUX3"/>
    <mergeCell ref="UTO3:UTQ3"/>
    <mergeCell ref="UTR3:UTT3"/>
    <mergeCell ref="UTU3:UTW3"/>
    <mergeCell ref="UTX3:UTZ3"/>
    <mergeCell ref="UUA3:UUC3"/>
    <mergeCell ref="UUD3:UUF3"/>
    <mergeCell ref="USW3:USY3"/>
    <mergeCell ref="USZ3:UTB3"/>
    <mergeCell ref="UTC3:UTE3"/>
    <mergeCell ref="UTF3:UTH3"/>
    <mergeCell ref="UTI3:UTK3"/>
    <mergeCell ref="UTL3:UTN3"/>
    <mergeCell ref="VAM3:VAO3"/>
    <mergeCell ref="VAP3:VAR3"/>
    <mergeCell ref="VAS3:VAU3"/>
    <mergeCell ref="VAV3:VAX3"/>
    <mergeCell ref="VAY3:VBA3"/>
    <mergeCell ref="VBB3:VBD3"/>
    <mergeCell ref="UZU3:UZW3"/>
    <mergeCell ref="UZX3:UZZ3"/>
    <mergeCell ref="VAA3:VAC3"/>
    <mergeCell ref="VAD3:VAF3"/>
    <mergeCell ref="VAG3:VAI3"/>
    <mergeCell ref="VAJ3:VAL3"/>
    <mergeCell ref="UZC3:UZE3"/>
    <mergeCell ref="UZF3:UZH3"/>
    <mergeCell ref="UZI3:UZK3"/>
    <mergeCell ref="UZL3:UZN3"/>
    <mergeCell ref="UZO3:UZQ3"/>
    <mergeCell ref="UZR3:UZT3"/>
    <mergeCell ref="UYK3:UYM3"/>
    <mergeCell ref="UYN3:UYP3"/>
    <mergeCell ref="UYQ3:UYS3"/>
    <mergeCell ref="UYT3:UYV3"/>
    <mergeCell ref="UYW3:UYY3"/>
    <mergeCell ref="UYZ3:UZB3"/>
    <mergeCell ref="UXS3:UXU3"/>
    <mergeCell ref="UXV3:UXX3"/>
    <mergeCell ref="UXY3:UYA3"/>
    <mergeCell ref="UYB3:UYD3"/>
    <mergeCell ref="UYE3:UYG3"/>
    <mergeCell ref="UYH3:UYJ3"/>
    <mergeCell ref="UXA3:UXC3"/>
    <mergeCell ref="UXD3:UXF3"/>
    <mergeCell ref="UXG3:UXI3"/>
    <mergeCell ref="UXJ3:UXL3"/>
    <mergeCell ref="UXM3:UXO3"/>
    <mergeCell ref="UXP3:UXR3"/>
    <mergeCell ref="VEQ3:VES3"/>
    <mergeCell ref="VET3:VEV3"/>
    <mergeCell ref="VEW3:VEY3"/>
    <mergeCell ref="VEZ3:VFB3"/>
    <mergeCell ref="VFC3:VFE3"/>
    <mergeCell ref="VFF3:VFH3"/>
    <mergeCell ref="VDY3:VEA3"/>
    <mergeCell ref="VEB3:VED3"/>
    <mergeCell ref="VEE3:VEG3"/>
    <mergeCell ref="VEH3:VEJ3"/>
    <mergeCell ref="VEK3:VEM3"/>
    <mergeCell ref="VEN3:VEP3"/>
    <mergeCell ref="VDG3:VDI3"/>
    <mergeCell ref="VDJ3:VDL3"/>
    <mergeCell ref="VDM3:VDO3"/>
    <mergeCell ref="VDP3:VDR3"/>
    <mergeCell ref="VDS3:VDU3"/>
    <mergeCell ref="VDV3:VDX3"/>
    <mergeCell ref="VCO3:VCQ3"/>
    <mergeCell ref="VCR3:VCT3"/>
    <mergeCell ref="VCU3:VCW3"/>
    <mergeCell ref="VCX3:VCZ3"/>
    <mergeCell ref="VDA3:VDC3"/>
    <mergeCell ref="VDD3:VDF3"/>
    <mergeCell ref="VBW3:VBY3"/>
    <mergeCell ref="VBZ3:VCB3"/>
    <mergeCell ref="VCC3:VCE3"/>
    <mergeCell ref="VCF3:VCH3"/>
    <mergeCell ref="VCI3:VCK3"/>
    <mergeCell ref="VCL3:VCN3"/>
    <mergeCell ref="VBE3:VBG3"/>
    <mergeCell ref="VBH3:VBJ3"/>
    <mergeCell ref="VBK3:VBM3"/>
    <mergeCell ref="VBN3:VBP3"/>
    <mergeCell ref="VBQ3:VBS3"/>
    <mergeCell ref="VBT3:VBV3"/>
    <mergeCell ref="VIU3:VIW3"/>
    <mergeCell ref="VIX3:VIZ3"/>
    <mergeCell ref="VJA3:VJC3"/>
    <mergeCell ref="VJD3:VJF3"/>
    <mergeCell ref="VJG3:VJI3"/>
    <mergeCell ref="VJJ3:VJL3"/>
    <mergeCell ref="VIC3:VIE3"/>
    <mergeCell ref="VIF3:VIH3"/>
    <mergeCell ref="VII3:VIK3"/>
    <mergeCell ref="VIL3:VIN3"/>
    <mergeCell ref="VIO3:VIQ3"/>
    <mergeCell ref="VIR3:VIT3"/>
    <mergeCell ref="VHK3:VHM3"/>
    <mergeCell ref="VHN3:VHP3"/>
    <mergeCell ref="VHQ3:VHS3"/>
    <mergeCell ref="VHT3:VHV3"/>
    <mergeCell ref="VHW3:VHY3"/>
    <mergeCell ref="VHZ3:VIB3"/>
    <mergeCell ref="VGS3:VGU3"/>
    <mergeCell ref="VGV3:VGX3"/>
    <mergeCell ref="VGY3:VHA3"/>
    <mergeCell ref="VHB3:VHD3"/>
    <mergeCell ref="VHE3:VHG3"/>
    <mergeCell ref="VHH3:VHJ3"/>
    <mergeCell ref="VGA3:VGC3"/>
    <mergeCell ref="VGD3:VGF3"/>
    <mergeCell ref="VGG3:VGI3"/>
    <mergeCell ref="VGJ3:VGL3"/>
    <mergeCell ref="VGM3:VGO3"/>
    <mergeCell ref="VGP3:VGR3"/>
    <mergeCell ref="VFI3:VFK3"/>
    <mergeCell ref="VFL3:VFN3"/>
    <mergeCell ref="VFO3:VFQ3"/>
    <mergeCell ref="VFR3:VFT3"/>
    <mergeCell ref="VFU3:VFW3"/>
    <mergeCell ref="VFX3:VFZ3"/>
    <mergeCell ref="VMY3:VNA3"/>
    <mergeCell ref="VNB3:VND3"/>
    <mergeCell ref="VNE3:VNG3"/>
    <mergeCell ref="VNH3:VNJ3"/>
    <mergeCell ref="VNK3:VNM3"/>
    <mergeCell ref="VNN3:VNP3"/>
    <mergeCell ref="VMG3:VMI3"/>
    <mergeCell ref="VMJ3:VML3"/>
    <mergeCell ref="VMM3:VMO3"/>
    <mergeCell ref="VMP3:VMR3"/>
    <mergeCell ref="VMS3:VMU3"/>
    <mergeCell ref="VMV3:VMX3"/>
    <mergeCell ref="VLO3:VLQ3"/>
    <mergeCell ref="VLR3:VLT3"/>
    <mergeCell ref="VLU3:VLW3"/>
    <mergeCell ref="VLX3:VLZ3"/>
    <mergeCell ref="VMA3:VMC3"/>
    <mergeCell ref="VMD3:VMF3"/>
    <mergeCell ref="VKW3:VKY3"/>
    <mergeCell ref="VKZ3:VLB3"/>
    <mergeCell ref="VLC3:VLE3"/>
    <mergeCell ref="VLF3:VLH3"/>
    <mergeCell ref="VLI3:VLK3"/>
    <mergeCell ref="VLL3:VLN3"/>
    <mergeCell ref="VKE3:VKG3"/>
    <mergeCell ref="VKH3:VKJ3"/>
    <mergeCell ref="VKK3:VKM3"/>
    <mergeCell ref="VKN3:VKP3"/>
    <mergeCell ref="VKQ3:VKS3"/>
    <mergeCell ref="VKT3:VKV3"/>
    <mergeCell ref="VJM3:VJO3"/>
    <mergeCell ref="VJP3:VJR3"/>
    <mergeCell ref="VJS3:VJU3"/>
    <mergeCell ref="VJV3:VJX3"/>
    <mergeCell ref="VJY3:VKA3"/>
    <mergeCell ref="VKB3:VKD3"/>
    <mergeCell ref="VRC3:VRE3"/>
    <mergeCell ref="VRF3:VRH3"/>
    <mergeCell ref="VRI3:VRK3"/>
    <mergeCell ref="VRL3:VRN3"/>
    <mergeCell ref="VRO3:VRQ3"/>
    <mergeCell ref="VRR3:VRT3"/>
    <mergeCell ref="VQK3:VQM3"/>
    <mergeCell ref="VQN3:VQP3"/>
    <mergeCell ref="VQQ3:VQS3"/>
    <mergeCell ref="VQT3:VQV3"/>
    <mergeCell ref="VQW3:VQY3"/>
    <mergeCell ref="VQZ3:VRB3"/>
    <mergeCell ref="VPS3:VPU3"/>
    <mergeCell ref="VPV3:VPX3"/>
    <mergeCell ref="VPY3:VQA3"/>
    <mergeCell ref="VQB3:VQD3"/>
    <mergeCell ref="VQE3:VQG3"/>
    <mergeCell ref="VQH3:VQJ3"/>
    <mergeCell ref="VPA3:VPC3"/>
    <mergeCell ref="VPD3:VPF3"/>
    <mergeCell ref="VPG3:VPI3"/>
    <mergeCell ref="VPJ3:VPL3"/>
    <mergeCell ref="VPM3:VPO3"/>
    <mergeCell ref="VPP3:VPR3"/>
    <mergeCell ref="VOI3:VOK3"/>
    <mergeCell ref="VOL3:VON3"/>
    <mergeCell ref="VOO3:VOQ3"/>
    <mergeCell ref="VOR3:VOT3"/>
    <mergeCell ref="VOU3:VOW3"/>
    <mergeCell ref="VOX3:VOZ3"/>
    <mergeCell ref="VNQ3:VNS3"/>
    <mergeCell ref="VNT3:VNV3"/>
    <mergeCell ref="VNW3:VNY3"/>
    <mergeCell ref="VNZ3:VOB3"/>
    <mergeCell ref="VOC3:VOE3"/>
    <mergeCell ref="VOF3:VOH3"/>
    <mergeCell ref="VVG3:VVI3"/>
    <mergeCell ref="VVJ3:VVL3"/>
    <mergeCell ref="VVM3:VVO3"/>
    <mergeCell ref="VVP3:VVR3"/>
    <mergeCell ref="VVS3:VVU3"/>
    <mergeCell ref="VVV3:VVX3"/>
    <mergeCell ref="VUO3:VUQ3"/>
    <mergeCell ref="VUR3:VUT3"/>
    <mergeCell ref="VUU3:VUW3"/>
    <mergeCell ref="VUX3:VUZ3"/>
    <mergeCell ref="VVA3:VVC3"/>
    <mergeCell ref="VVD3:VVF3"/>
    <mergeCell ref="VTW3:VTY3"/>
    <mergeCell ref="VTZ3:VUB3"/>
    <mergeCell ref="VUC3:VUE3"/>
    <mergeCell ref="VUF3:VUH3"/>
    <mergeCell ref="VUI3:VUK3"/>
    <mergeCell ref="VUL3:VUN3"/>
    <mergeCell ref="VTE3:VTG3"/>
    <mergeCell ref="VTH3:VTJ3"/>
    <mergeCell ref="VTK3:VTM3"/>
    <mergeCell ref="VTN3:VTP3"/>
    <mergeCell ref="VTQ3:VTS3"/>
    <mergeCell ref="VTT3:VTV3"/>
    <mergeCell ref="VSM3:VSO3"/>
    <mergeCell ref="VSP3:VSR3"/>
    <mergeCell ref="VSS3:VSU3"/>
    <mergeCell ref="VSV3:VSX3"/>
    <mergeCell ref="VSY3:VTA3"/>
    <mergeCell ref="VTB3:VTD3"/>
    <mergeCell ref="VRU3:VRW3"/>
    <mergeCell ref="VRX3:VRZ3"/>
    <mergeCell ref="VSA3:VSC3"/>
    <mergeCell ref="VSD3:VSF3"/>
    <mergeCell ref="VSG3:VSI3"/>
    <mergeCell ref="VSJ3:VSL3"/>
    <mergeCell ref="VZK3:VZM3"/>
    <mergeCell ref="VZN3:VZP3"/>
    <mergeCell ref="VZQ3:VZS3"/>
    <mergeCell ref="VZT3:VZV3"/>
    <mergeCell ref="VZW3:VZY3"/>
    <mergeCell ref="VZZ3:WAB3"/>
    <mergeCell ref="VYS3:VYU3"/>
    <mergeCell ref="VYV3:VYX3"/>
    <mergeCell ref="VYY3:VZA3"/>
    <mergeCell ref="VZB3:VZD3"/>
    <mergeCell ref="VZE3:VZG3"/>
    <mergeCell ref="VZH3:VZJ3"/>
    <mergeCell ref="VYA3:VYC3"/>
    <mergeCell ref="VYD3:VYF3"/>
    <mergeCell ref="VYG3:VYI3"/>
    <mergeCell ref="VYJ3:VYL3"/>
    <mergeCell ref="VYM3:VYO3"/>
    <mergeCell ref="VYP3:VYR3"/>
    <mergeCell ref="VXI3:VXK3"/>
    <mergeCell ref="VXL3:VXN3"/>
    <mergeCell ref="VXO3:VXQ3"/>
    <mergeCell ref="VXR3:VXT3"/>
    <mergeCell ref="VXU3:VXW3"/>
    <mergeCell ref="VXX3:VXZ3"/>
    <mergeCell ref="VWQ3:VWS3"/>
    <mergeCell ref="VWT3:VWV3"/>
    <mergeCell ref="VWW3:VWY3"/>
    <mergeCell ref="VWZ3:VXB3"/>
    <mergeCell ref="VXC3:VXE3"/>
    <mergeCell ref="VXF3:VXH3"/>
    <mergeCell ref="VVY3:VWA3"/>
    <mergeCell ref="VWB3:VWD3"/>
    <mergeCell ref="VWE3:VWG3"/>
    <mergeCell ref="VWH3:VWJ3"/>
    <mergeCell ref="VWK3:VWM3"/>
    <mergeCell ref="VWN3:VWP3"/>
    <mergeCell ref="WDO3:WDQ3"/>
    <mergeCell ref="WDR3:WDT3"/>
    <mergeCell ref="WDU3:WDW3"/>
    <mergeCell ref="WDX3:WDZ3"/>
    <mergeCell ref="WEA3:WEC3"/>
    <mergeCell ref="WED3:WEF3"/>
    <mergeCell ref="WCW3:WCY3"/>
    <mergeCell ref="WCZ3:WDB3"/>
    <mergeCell ref="WDC3:WDE3"/>
    <mergeCell ref="WDF3:WDH3"/>
    <mergeCell ref="WDI3:WDK3"/>
    <mergeCell ref="WDL3:WDN3"/>
    <mergeCell ref="WCE3:WCG3"/>
    <mergeCell ref="WCH3:WCJ3"/>
    <mergeCell ref="WCK3:WCM3"/>
    <mergeCell ref="WCN3:WCP3"/>
    <mergeCell ref="WCQ3:WCS3"/>
    <mergeCell ref="WCT3:WCV3"/>
    <mergeCell ref="WBM3:WBO3"/>
    <mergeCell ref="WBP3:WBR3"/>
    <mergeCell ref="WBS3:WBU3"/>
    <mergeCell ref="WBV3:WBX3"/>
    <mergeCell ref="WBY3:WCA3"/>
    <mergeCell ref="WCB3:WCD3"/>
    <mergeCell ref="WAU3:WAW3"/>
    <mergeCell ref="WAX3:WAZ3"/>
    <mergeCell ref="WBA3:WBC3"/>
    <mergeCell ref="WBD3:WBF3"/>
    <mergeCell ref="WBG3:WBI3"/>
    <mergeCell ref="WBJ3:WBL3"/>
    <mergeCell ref="WAC3:WAE3"/>
    <mergeCell ref="WAF3:WAH3"/>
    <mergeCell ref="WAI3:WAK3"/>
    <mergeCell ref="WAL3:WAN3"/>
    <mergeCell ref="WAO3:WAQ3"/>
    <mergeCell ref="WAR3:WAT3"/>
    <mergeCell ref="WHS3:WHU3"/>
    <mergeCell ref="WHV3:WHX3"/>
    <mergeCell ref="WHY3:WIA3"/>
    <mergeCell ref="WIB3:WID3"/>
    <mergeCell ref="WIE3:WIG3"/>
    <mergeCell ref="WIH3:WIJ3"/>
    <mergeCell ref="WHA3:WHC3"/>
    <mergeCell ref="WHD3:WHF3"/>
    <mergeCell ref="WHG3:WHI3"/>
    <mergeCell ref="WHJ3:WHL3"/>
    <mergeCell ref="WHM3:WHO3"/>
    <mergeCell ref="WHP3:WHR3"/>
    <mergeCell ref="WGI3:WGK3"/>
    <mergeCell ref="WGL3:WGN3"/>
    <mergeCell ref="WGO3:WGQ3"/>
    <mergeCell ref="WGR3:WGT3"/>
    <mergeCell ref="WGU3:WGW3"/>
    <mergeCell ref="WGX3:WGZ3"/>
    <mergeCell ref="WFQ3:WFS3"/>
    <mergeCell ref="WFT3:WFV3"/>
    <mergeCell ref="WFW3:WFY3"/>
    <mergeCell ref="WFZ3:WGB3"/>
    <mergeCell ref="WGC3:WGE3"/>
    <mergeCell ref="WGF3:WGH3"/>
    <mergeCell ref="WEY3:WFA3"/>
    <mergeCell ref="WFB3:WFD3"/>
    <mergeCell ref="WFE3:WFG3"/>
    <mergeCell ref="WFH3:WFJ3"/>
    <mergeCell ref="WFK3:WFM3"/>
    <mergeCell ref="WFN3:WFP3"/>
    <mergeCell ref="WEG3:WEI3"/>
    <mergeCell ref="WEJ3:WEL3"/>
    <mergeCell ref="WEM3:WEO3"/>
    <mergeCell ref="WEP3:WER3"/>
    <mergeCell ref="WES3:WEU3"/>
    <mergeCell ref="WEV3:WEX3"/>
    <mergeCell ref="WLW3:WLY3"/>
    <mergeCell ref="WLZ3:WMB3"/>
    <mergeCell ref="WMC3:WME3"/>
    <mergeCell ref="WMF3:WMH3"/>
    <mergeCell ref="WMI3:WMK3"/>
    <mergeCell ref="WML3:WMN3"/>
    <mergeCell ref="WLE3:WLG3"/>
    <mergeCell ref="WLH3:WLJ3"/>
    <mergeCell ref="WLK3:WLM3"/>
    <mergeCell ref="WLN3:WLP3"/>
    <mergeCell ref="WLQ3:WLS3"/>
    <mergeCell ref="WLT3:WLV3"/>
    <mergeCell ref="WKM3:WKO3"/>
    <mergeCell ref="WKP3:WKR3"/>
    <mergeCell ref="WKS3:WKU3"/>
    <mergeCell ref="WKV3:WKX3"/>
    <mergeCell ref="WKY3:WLA3"/>
    <mergeCell ref="WLB3:WLD3"/>
    <mergeCell ref="WJU3:WJW3"/>
    <mergeCell ref="WJX3:WJZ3"/>
    <mergeCell ref="WKA3:WKC3"/>
    <mergeCell ref="WKD3:WKF3"/>
    <mergeCell ref="WKG3:WKI3"/>
    <mergeCell ref="WKJ3:WKL3"/>
    <mergeCell ref="WJC3:WJE3"/>
    <mergeCell ref="WJF3:WJH3"/>
    <mergeCell ref="WJI3:WJK3"/>
    <mergeCell ref="WJL3:WJN3"/>
    <mergeCell ref="WJO3:WJQ3"/>
    <mergeCell ref="WJR3:WJT3"/>
    <mergeCell ref="WIK3:WIM3"/>
    <mergeCell ref="WIN3:WIP3"/>
    <mergeCell ref="WIQ3:WIS3"/>
    <mergeCell ref="WIT3:WIV3"/>
    <mergeCell ref="WIW3:WIY3"/>
    <mergeCell ref="WIZ3:WJB3"/>
    <mergeCell ref="WQA3:WQC3"/>
    <mergeCell ref="WQD3:WQF3"/>
    <mergeCell ref="WQG3:WQI3"/>
    <mergeCell ref="WQJ3:WQL3"/>
    <mergeCell ref="WQM3:WQO3"/>
    <mergeCell ref="WQP3:WQR3"/>
    <mergeCell ref="WPI3:WPK3"/>
    <mergeCell ref="WPL3:WPN3"/>
    <mergeCell ref="WPO3:WPQ3"/>
    <mergeCell ref="WPR3:WPT3"/>
    <mergeCell ref="WPU3:WPW3"/>
    <mergeCell ref="WPX3:WPZ3"/>
    <mergeCell ref="WOQ3:WOS3"/>
    <mergeCell ref="WOT3:WOV3"/>
    <mergeCell ref="WOW3:WOY3"/>
    <mergeCell ref="WOZ3:WPB3"/>
    <mergeCell ref="WPC3:WPE3"/>
    <mergeCell ref="WPF3:WPH3"/>
    <mergeCell ref="WNY3:WOA3"/>
    <mergeCell ref="WOB3:WOD3"/>
    <mergeCell ref="WOE3:WOG3"/>
    <mergeCell ref="WOH3:WOJ3"/>
    <mergeCell ref="WOK3:WOM3"/>
    <mergeCell ref="WON3:WOP3"/>
    <mergeCell ref="WNG3:WNI3"/>
    <mergeCell ref="WNJ3:WNL3"/>
    <mergeCell ref="WNM3:WNO3"/>
    <mergeCell ref="WNP3:WNR3"/>
    <mergeCell ref="WNS3:WNU3"/>
    <mergeCell ref="WNV3:WNX3"/>
    <mergeCell ref="WMO3:WMQ3"/>
    <mergeCell ref="WMR3:WMT3"/>
    <mergeCell ref="WMU3:WMW3"/>
    <mergeCell ref="WMX3:WMZ3"/>
    <mergeCell ref="WNA3:WNC3"/>
    <mergeCell ref="WND3:WNF3"/>
    <mergeCell ref="WUE3:WUG3"/>
    <mergeCell ref="WUH3:WUJ3"/>
    <mergeCell ref="WUK3:WUM3"/>
    <mergeCell ref="WUN3:WUP3"/>
    <mergeCell ref="WUQ3:WUS3"/>
    <mergeCell ref="WUT3:WUV3"/>
    <mergeCell ref="WTM3:WTO3"/>
    <mergeCell ref="WTP3:WTR3"/>
    <mergeCell ref="WTS3:WTU3"/>
    <mergeCell ref="WTV3:WTX3"/>
    <mergeCell ref="WTY3:WUA3"/>
    <mergeCell ref="WUB3:WUD3"/>
    <mergeCell ref="WSU3:WSW3"/>
    <mergeCell ref="WSX3:WSZ3"/>
    <mergeCell ref="WTA3:WTC3"/>
    <mergeCell ref="WTD3:WTF3"/>
    <mergeCell ref="WTG3:WTI3"/>
    <mergeCell ref="WTJ3:WTL3"/>
    <mergeCell ref="WSC3:WSE3"/>
    <mergeCell ref="WSF3:WSH3"/>
    <mergeCell ref="WSI3:WSK3"/>
    <mergeCell ref="WSL3:WSN3"/>
    <mergeCell ref="WSO3:WSQ3"/>
    <mergeCell ref="WSR3:WST3"/>
    <mergeCell ref="WRK3:WRM3"/>
    <mergeCell ref="WRN3:WRP3"/>
    <mergeCell ref="WRQ3:WRS3"/>
    <mergeCell ref="WRT3:WRV3"/>
    <mergeCell ref="WRW3:WRY3"/>
    <mergeCell ref="WRZ3:WSB3"/>
    <mergeCell ref="WQS3:WQU3"/>
    <mergeCell ref="WQV3:WQX3"/>
    <mergeCell ref="WQY3:WRA3"/>
    <mergeCell ref="WRB3:WRD3"/>
    <mergeCell ref="WRE3:WRG3"/>
    <mergeCell ref="WRH3:WRJ3"/>
    <mergeCell ref="WYI3:WYK3"/>
    <mergeCell ref="WYL3:WYN3"/>
    <mergeCell ref="WYO3:WYQ3"/>
    <mergeCell ref="WYR3:WYT3"/>
    <mergeCell ref="WYU3:WYW3"/>
    <mergeCell ref="WYX3:WYZ3"/>
    <mergeCell ref="WXQ3:WXS3"/>
    <mergeCell ref="WXT3:WXV3"/>
    <mergeCell ref="WXW3:WXY3"/>
    <mergeCell ref="WXZ3:WYB3"/>
    <mergeCell ref="WYC3:WYE3"/>
    <mergeCell ref="WYF3:WYH3"/>
    <mergeCell ref="WWY3:WXA3"/>
    <mergeCell ref="WXB3:WXD3"/>
    <mergeCell ref="WXE3:WXG3"/>
    <mergeCell ref="WXH3:WXJ3"/>
    <mergeCell ref="WXK3:WXM3"/>
    <mergeCell ref="WXN3:WXP3"/>
    <mergeCell ref="WWG3:WWI3"/>
    <mergeCell ref="WWJ3:WWL3"/>
    <mergeCell ref="WWM3:WWO3"/>
    <mergeCell ref="WWP3:WWR3"/>
    <mergeCell ref="WWS3:WWU3"/>
    <mergeCell ref="WWV3:WWX3"/>
    <mergeCell ref="WVO3:WVQ3"/>
    <mergeCell ref="WVR3:WVT3"/>
    <mergeCell ref="WVU3:WVW3"/>
    <mergeCell ref="WVX3:WVZ3"/>
    <mergeCell ref="WWA3:WWC3"/>
    <mergeCell ref="WWD3:WWF3"/>
    <mergeCell ref="WUW3:WUY3"/>
    <mergeCell ref="WUZ3:WVB3"/>
    <mergeCell ref="WVC3:WVE3"/>
    <mergeCell ref="WVF3:WVH3"/>
    <mergeCell ref="WVI3:WVK3"/>
    <mergeCell ref="WVL3:WVN3"/>
    <mergeCell ref="XEO3:XEQ3"/>
    <mergeCell ref="XER3:XET3"/>
    <mergeCell ref="XEU3:XEW3"/>
    <mergeCell ref="XEX3:XEZ3"/>
    <mergeCell ref="XFA3:XFC3"/>
    <mergeCell ref="A4:C4"/>
    <mergeCell ref="D4:F4"/>
    <mergeCell ref="G4:I4"/>
    <mergeCell ref="J4:L4"/>
    <mergeCell ref="M4:O4"/>
    <mergeCell ref="XDW3:XDY3"/>
    <mergeCell ref="XDZ3:XEB3"/>
    <mergeCell ref="XEC3:XEE3"/>
    <mergeCell ref="XEF3:XEH3"/>
    <mergeCell ref="XEI3:XEK3"/>
    <mergeCell ref="XEL3:XEN3"/>
    <mergeCell ref="XDE3:XDG3"/>
    <mergeCell ref="XDH3:XDJ3"/>
    <mergeCell ref="XDK3:XDM3"/>
    <mergeCell ref="XDN3:XDP3"/>
    <mergeCell ref="XDQ3:XDS3"/>
    <mergeCell ref="XDT3:XDV3"/>
    <mergeCell ref="XCM3:XCO3"/>
    <mergeCell ref="XCP3:XCR3"/>
    <mergeCell ref="XCS3:XCU3"/>
    <mergeCell ref="XCV3:XCX3"/>
    <mergeCell ref="XCY3:XDA3"/>
    <mergeCell ref="XDB3:XDD3"/>
    <mergeCell ref="XBU3:XBW3"/>
    <mergeCell ref="XBX3:XBZ3"/>
    <mergeCell ref="XCA3:XCC3"/>
    <mergeCell ref="XCD3:XCF3"/>
    <mergeCell ref="XCG3:XCI3"/>
    <mergeCell ref="XCJ3:XCL3"/>
    <mergeCell ref="XBC3:XBE3"/>
    <mergeCell ref="XBF3:XBH3"/>
    <mergeCell ref="XBI3:XBK3"/>
    <mergeCell ref="XBL3:XBN3"/>
    <mergeCell ref="XBO3:XBQ3"/>
    <mergeCell ref="XBR3:XBT3"/>
    <mergeCell ref="XAK3:XAM3"/>
    <mergeCell ref="XAN3:XAP3"/>
    <mergeCell ref="XAQ3:XAS3"/>
    <mergeCell ref="XAT3:XAV3"/>
    <mergeCell ref="XAW3:XAY3"/>
    <mergeCell ref="XAZ3:XBB3"/>
    <mergeCell ref="WZS3:WZU3"/>
    <mergeCell ref="WZV3:WZX3"/>
    <mergeCell ref="WZY3:XAA3"/>
    <mergeCell ref="XAB3:XAD3"/>
    <mergeCell ref="XAE3:XAG3"/>
    <mergeCell ref="XAH3:XAJ3"/>
    <mergeCell ref="WZA3:WZC3"/>
    <mergeCell ref="WZD3:WZF3"/>
    <mergeCell ref="WZG3:WZI3"/>
    <mergeCell ref="WZJ3:WZL3"/>
    <mergeCell ref="WZM3:WZO3"/>
    <mergeCell ref="WZP3:WZR3"/>
    <mergeCell ref="DT4:DV4"/>
    <mergeCell ref="DW4:DY4"/>
    <mergeCell ref="DZ4:EB4"/>
    <mergeCell ref="EC4:EE4"/>
    <mergeCell ref="EF4:EH4"/>
    <mergeCell ref="EI4:EK4"/>
    <mergeCell ref="CV4:CX4"/>
    <mergeCell ref="CY4:DA4"/>
    <mergeCell ref="BR4:BT4"/>
    <mergeCell ref="BU4:BW4"/>
    <mergeCell ref="BX4:BZ4"/>
    <mergeCell ref="CA4:CC4"/>
    <mergeCell ref="CD4:CF4"/>
    <mergeCell ref="CG4:CI4"/>
    <mergeCell ref="AZ4:BB4"/>
    <mergeCell ref="BC4:BE4"/>
    <mergeCell ref="BF4:BH4"/>
    <mergeCell ref="BI4:BK4"/>
    <mergeCell ref="BL4:BN4"/>
    <mergeCell ref="BO4:BQ4"/>
    <mergeCell ref="AH4:AJ4"/>
    <mergeCell ref="AK4:AM4"/>
    <mergeCell ref="AN4:AP4"/>
    <mergeCell ref="AQ4:AS4"/>
    <mergeCell ref="AT4:AV4"/>
    <mergeCell ref="AW4:AY4"/>
    <mergeCell ref="HX4:HZ4"/>
    <mergeCell ref="IA4:IC4"/>
    <mergeCell ref="ID4:IF4"/>
    <mergeCell ref="IG4:II4"/>
    <mergeCell ref="IJ4:IL4"/>
    <mergeCell ref="IM4:IO4"/>
    <mergeCell ref="HF4:HH4"/>
    <mergeCell ref="HI4:HK4"/>
    <mergeCell ref="HL4:HN4"/>
    <mergeCell ref="HO4:HQ4"/>
    <mergeCell ref="HR4:HT4"/>
    <mergeCell ref="HU4:HW4"/>
    <mergeCell ref="GN4:GP4"/>
    <mergeCell ref="GQ4:GS4"/>
    <mergeCell ref="GT4:GV4"/>
    <mergeCell ref="GW4:GY4"/>
    <mergeCell ref="GZ4:HB4"/>
    <mergeCell ref="HC4:HE4"/>
    <mergeCell ref="FV4:FX4"/>
    <mergeCell ref="FY4:GA4"/>
    <mergeCell ref="GB4:GD4"/>
    <mergeCell ref="GE4:GG4"/>
    <mergeCell ref="GH4:GJ4"/>
    <mergeCell ref="GK4:GM4"/>
    <mergeCell ref="FD4:FF4"/>
    <mergeCell ref="FG4:FI4"/>
    <mergeCell ref="FJ4:FL4"/>
    <mergeCell ref="FM4:FO4"/>
    <mergeCell ref="FP4:FR4"/>
    <mergeCell ref="FS4:FU4"/>
    <mergeCell ref="EL4:EN4"/>
    <mergeCell ref="EO4:EQ4"/>
    <mergeCell ref="ER4:ET4"/>
    <mergeCell ref="EU4:EW4"/>
    <mergeCell ref="EX4:EZ4"/>
    <mergeCell ref="FA4:FC4"/>
    <mergeCell ref="MB4:MD4"/>
    <mergeCell ref="ME4:MG4"/>
    <mergeCell ref="MH4:MJ4"/>
    <mergeCell ref="MK4:MM4"/>
    <mergeCell ref="MN4:MP4"/>
    <mergeCell ref="MQ4:MS4"/>
    <mergeCell ref="LJ4:LL4"/>
    <mergeCell ref="LM4:LO4"/>
    <mergeCell ref="LP4:LR4"/>
    <mergeCell ref="LS4:LU4"/>
    <mergeCell ref="LV4:LX4"/>
    <mergeCell ref="LY4:MA4"/>
    <mergeCell ref="KR4:KT4"/>
    <mergeCell ref="KU4:KW4"/>
    <mergeCell ref="KX4:KZ4"/>
    <mergeCell ref="LA4:LC4"/>
    <mergeCell ref="LD4:LF4"/>
    <mergeCell ref="LG4:LI4"/>
    <mergeCell ref="JZ4:KB4"/>
    <mergeCell ref="KC4:KE4"/>
    <mergeCell ref="KF4:KH4"/>
    <mergeCell ref="KI4:KK4"/>
    <mergeCell ref="KL4:KN4"/>
    <mergeCell ref="KO4:KQ4"/>
    <mergeCell ref="JH4:JJ4"/>
    <mergeCell ref="JK4:JM4"/>
    <mergeCell ref="JN4:JP4"/>
    <mergeCell ref="JQ4:JS4"/>
    <mergeCell ref="JT4:JV4"/>
    <mergeCell ref="JW4:JY4"/>
    <mergeCell ref="IP4:IR4"/>
    <mergeCell ref="IS4:IU4"/>
    <mergeCell ref="IV4:IX4"/>
    <mergeCell ref="IY4:JA4"/>
    <mergeCell ref="JB4:JD4"/>
    <mergeCell ref="JE4:JG4"/>
    <mergeCell ref="QF4:QH4"/>
    <mergeCell ref="QI4:QK4"/>
    <mergeCell ref="QL4:QN4"/>
    <mergeCell ref="QO4:QQ4"/>
    <mergeCell ref="QR4:QT4"/>
    <mergeCell ref="QU4:QW4"/>
    <mergeCell ref="PN4:PP4"/>
    <mergeCell ref="PQ4:PS4"/>
    <mergeCell ref="PT4:PV4"/>
    <mergeCell ref="PW4:PY4"/>
    <mergeCell ref="PZ4:QB4"/>
    <mergeCell ref="QC4:QE4"/>
    <mergeCell ref="OV4:OX4"/>
    <mergeCell ref="OY4:PA4"/>
    <mergeCell ref="PB4:PD4"/>
    <mergeCell ref="PE4:PG4"/>
    <mergeCell ref="PH4:PJ4"/>
    <mergeCell ref="PK4:PM4"/>
    <mergeCell ref="OD4:OF4"/>
    <mergeCell ref="OG4:OI4"/>
    <mergeCell ref="OJ4:OL4"/>
    <mergeCell ref="OM4:OO4"/>
    <mergeCell ref="OP4:OR4"/>
    <mergeCell ref="OS4:OU4"/>
    <mergeCell ref="NL4:NN4"/>
    <mergeCell ref="NO4:NQ4"/>
    <mergeCell ref="NR4:NT4"/>
    <mergeCell ref="NU4:NW4"/>
    <mergeCell ref="NX4:NZ4"/>
    <mergeCell ref="OA4:OC4"/>
    <mergeCell ref="MT4:MV4"/>
    <mergeCell ref="MW4:MY4"/>
    <mergeCell ref="MZ4:NB4"/>
    <mergeCell ref="NC4:NE4"/>
    <mergeCell ref="NF4:NH4"/>
    <mergeCell ref="NI4:NK4"/>
    <mergeCell ref="UJ4:UL4"/>
    <mergeCell ref="UM4:UO4"/>
    <mergeCell ref="UP4:UR4"/>
    <mergeCell ref="US4:UU4"/>
    <mergeCell ref="UV4:UX4"/>
    <mergeCell ref="UY4:VA4"/>
    <mergeCell ref="TR4:TT4"/>
    <mergeCell ref="TU4:TW4"/>
    <mergeCell ref="TX4:TZ4"/>
    <mergeCell ref="UA4:UC4"/>
    <mergeCell ref="UD4:UF4"/>
    <mergeCell ref="UG4:UI4"/>
    <mergeCell ref="SZ4:TB4"/>
    <mergeCell ref="TC4:TE4"/>
    <mergeCell ref="TF4:TH4"/>
    <mergeCell ref="TI4:TK4"/>
    <mergeCell ref="TL4:TN4"/>
    <mergeCell ref="TO4:TQ4"/>
    <mergeCell ref="SH4:SJ4"/>
    <mergeCell ref="SK4:SM4"/>
    <mergeCell ref="SN4:SP4"/>
    <mergeCell ref="SQ4:SS4"/>
    <mergeCell ref="ST4:SV4"/>
    <mergeCell ref="SW4:SY4"/>
    <mergeCell ref="RP4:RR4"/>
    <mergeCell ref="RS4:RU4"/>
    <mergeCell ref="RV4:RX4"/>
    <mergeCell ref="RY4:SA4"/>
    <mergeCell ref="SB4:SD4"/>
    <mergeCell ref="SE4:SG4"/>
    <mergeCell ref="QX4:QZ4"/>
    <mergeCell ref="RA4:RC4"/>
    <mergeCell ref="RD4:RF4"/>
    <mergeCell ref="RG4:RI4"/>
    <mergeCell ref="RJ4:RL4"/>
    <mergeCell ref="RM4:RO4"/>
    <mergeCell ref="YN4:YP4"/>
    <mergeCell ref="YQ4:YS4"/>
    <mergeCell ref="YT4:YV4"/>
    <mergeCell ref="YW4:YY4"/>
    <mergeCell ref="YZ4:ZB4"/>
    <mergeCell ref="ZC4:ZE4"/>
    <mergeCell ref="XV4:XX4"/>
    <mergeCell ref="XY4:YA4"/>
    <mergeCell ref="YB4:YD4"/>
    <mergeCell ref="YE4:YG4"/>
    <mergeCell ref="YH4:YJ4"/>
    <mergeCell ref="YK4:YM4"/>
    <mergeCell ref="XD4:XF4"/>
    <mergeCell ref="XG4:XI4"/>
    <mergeCell ref="XJ4:XL4"/>
    <mergeCell ref="XM4:XO4"/>
    <mergeCell ref="XP4:XR4"/>
    <mergeCell ref="XS4:XU4"/>
    <mergeCell ref="WL4:WN4"/>
    <mergeCell ref="WO4:WQ4"/>
    <mergeCell ref="WR4:WT4"/>
    <mergeCell ref="WU4:WW4"/>
    <mergeCell ref="WX4:WZ4"/>
    <mergeCell ref="XA4:XC4"/>
    <mergeCell ref="VT4:VV4"/>
    <mergeCell ref="VW4:VY4"/>
    <mergeCell ref="VZ4:WB4"/>
    <mergeCell ref="WC4:WE4"/>
    <mergeCell ref="WF4:WH4"/>
    <mergeCell ref="WI4:WK4"/>
    <mergeCell ref="VB4:VD4"/>
    <mergeCell ref="VE4:VG4"/>
    <mergeCell ref="VH4:VJ4"/>
    <mergeCell ref="VK4:VM4"/>
    <mergeCell ref="VN4:VP4"/>
    <mergeCell ref="VQ4:VS4"/>
    <mergeCell ref="ACR4:ACT4"/>
    <mergeCell ref="ACU4:ACW4"/>
    <mergeCell ref="ACX4:ACZ4"/>
    <mergeCell ref="ADA4:ADC4"/>
    <mergeCell ref="ADD4:ADF4"/>
    <mergeCell ref="ADG4:ADI4"/>
    <mergeCell ref="ABZ4:ACB4"/>
    <mergeCell ref="ACC4:ACE4"/>
    <mergeCell ref="ACF4:ACH4"/>
    <mergeCell ref="ACI4:ACK4"/>
    <mergeCell ref="ACL4:ACN4"/>
    <mergeCell ref="ACO4:ACQ4"/>
    <mergeCell ref="ABH4:ABJ4"/>
    <mergeCell ref="ABK4:ABM4"/>
    <mergeCell ref="ABN4:ABP4"/>
    <mergeCell ref="ABQ4:ABS4"/>
    <mergeCell ref="ABT4:ABV4"/>
    <mergeCell ref="ABW4:ABY4"/>
    <mergeCell ref="AAP4:AAR4"/>
    <mergeCell ref="AAS4:AAU4"/>
    <mergeCell ref="AAV4:AAX4"/>
    <mergeCell ref="AAY4:ABA4"/>
    <mergeCell ref="ABB4:ABD4"/>
    <mergeCell ref="ABE4:ABG4"/>
    <mergeCell ref="ZX4:ZZ4"/>
    <mergeCell ref="AAA4:AAC4"/>
    <mergeCell ref="AAD4:AAF4"/>
    <mergeCell ref="AAG4:AAI4"/>
    <mergeCell ref="AAJ4:AAL4"/>
    <mergeCell ref="AAM4:AAO4"/>
    <mergeCell ref="ZF4:ZH4"/>
    <mergeCell ref="ZI4:ZK4"/>
    <mergeCell ref="ZL4:ZN4"/>
    <mergeCell ref="ZO4:ZQ4"/>
    <mergeCell ref="ZR4:ZT4"/>
    <mergeCell ref="ZU4:ZW4"/>
    <mergeCell ref="AGV4:AGX4"/>
    <mergeCell ref="AGY4:AHA4"/>
    <mergeCell ref="AHB4:AHD4"/>
    <mergeCell ref="AHE4:AHG4"/>
    <mergeCell ref="AHH4:AHJ4"/>
    <mergeCell ref="AHK4:AHM4"/>
    <mergeCell ref="AGD4:AGF4"/>
    <mergeCell ref="AGG4:AGI4"/>
    <mergeCell ref="AGJ4:AGL4"/>
    <mergeCell ref="AGM4:AGO4"/>
    <mergeCell ref="AGP4:AGR4"/>
    <mergeCell ref="AGS4:AGU4"/>
    <mergeCell ref="AFL4:AFN4"/>
    <mergeCell ref="AFO4:AFQ4"/>
    <mergeCell ref="AFR4:AFT4"/>
    <mergeCell ref="AFU4:AFW4"/>
    <mergeCell ref="AFX4:AFZ4"/>
    <mergeCell ref="AGA4:AGC4"/>
    <mergeCell ref="AET4:AEV4"/>
    <mergeCell ref="AEW4:AEY4"/>
    <mergeCell ref="AEZ4:AFB4"/>
    <mergeCell ref="AFC4:AFE4"/>
    <mergeCell ref="AFF4:AFH4"/>
    <mergeCell ref="AFI4:AFK4"/>
    <mergeCell ref="AEB4:AED4"/>
    <mergeCell ref="AEE4:AEG4"/>
    <mergeCell ref="AEH4:AEJ4"/>
    <mergeCell ref="AEK4:AEM4"/>
    <mergeCell ref="AEN4:AEP4"/>
    <mergeCell ref="AEQ4:AES4"/>
    <mergeCell ref="ADJ4:ADL4"/>
    <mergeCell ref="ADM4:ADO4"/>
    <mergeCell ref="ADP4:ADR4"/>
    <mergeCell ref="ADS4:ADU4"/>
    <mergeCell ref="ADV4:ADX4"/>
    <mergeCell ref="ADY4:AEA4"/>
    <mergeCell ref="AKZ4:ALB4"/>
    <mergeCell ref="ALC4:ALE4"/>
    <mergeCell ref="ALF4:ALH4"/>
    <mergeCell ref="ALI4:ALK4"/>
    <mergeCell ref="ALL4:ALN4"/>
    <mergeCell ref="ALO4:ALQ4"/>
    <mergeCell ref="AKH4:AKJ4"/>
    <mergeCell ref="AKK4:AKM4"/>
    <mergeCell ref="AKN4:AKP4"/>
    <mergeCell ref="AKQ4:AKS4"/>
    <mergeCell ref="AKT4:AKV4"/>
    <mergeCell ref="AKW4:AKY4"/>
    <mergeCell ref="AJP4:AJR4"/>
    <mergeCell ref="AJS4:AJU4"/>
    <mergeCell ref="AJV4:AJX4"/>
    <mergeCell ref="AJY4:AKA4"/>
    <mergeCell ref="AKB4:AKD4"/>
    <mergeCell ref="AKE4:AKG4"/>
    <mergeCell ref="AIX4:AIZ4"/>
    <mergeCell ref="AJA4:AJC4"/>
    <mergeCell ref="AJD4:AJF4"/>
    <mergeCell ref="AJG4:AJI4"/>
    <mergeCell ref="AJJ4:AJL4"/>
    <mergeCell ref="AJM4:AJO4"/>
    <mergeCell ref="AIF4:AIH4"/>
    <mergeCell ref="AII4:AIK4"/>
    <mergeCell ref="AIL4:AIN4"/>
    <mergeCell ref="AIO4:AIQ4"/>
    <mergeCell ref="AIR4:AIT4"/>
    <mergeCell ref="AIU4:AIW4"/>
    <mergeCell ref="AHN4:AHP4"/>
    <mergeCell ref="AHQ4:AHS4"/>
    <mergeCell ref="AHT4:AHV4"/>
    <mergeCell ref="AHW4:AHY4"/>
    <mergeCell ref="AHZ4:AIB4"/>
    <mergeCell ref="AIC4:AIE4"/>
    <mergeCell ref="APD4:APF4"/>
    <mergeCell ref="APG4:API4"/>
    <mergeCell ref="APJ4:APL4"/>
    <mergeCell ref="APM4:APO4"/>
    <mergeCell ref="APP4:APR4"/>
    <mergeCell ref="APS4:APU4"/>
    <mergeCell ref="AOL4:AON4"/>
    <mergeCell ref="AOO4:AOQ4"/>
    <mergeCell ref="AOR4:AOT4"/>
    <mergeCell ref="AOU4:AOW4"/>
    <mergeCell ref="AOX4:AOZ4"/>
    <mergeCell ref="APA4:APC4"/>
    <mergeCell ref="ANT4:ANV4"/>
    <mergeCell ref="ANW4:ANY4"/>
    <mergeCell ref="ANZ4:AOB4"/>
    <mergeCell ref="AOC4:AOE4"/>
    <mergeCell ref="AOF4:AOH4"/>
    <mergeCell ref="AOI4:AOK4"/>
    <mergeCell ref="ANB4:AND4"/>
    <mergeCell ref="ANE4:ANG4"/>
    <mergeCell ref="ANH4:ANJ4"/>
    <mergeCell ref="ANK4:ANM4"/>
    <mergeCell ref="ANN4:ANP4"/>
    <mergeCell ref="ANQ4:ANS4"/>
    <mergeCell ref="AMJ4:AML4"/>
    <mergeCell ref="AMM4:AMO4"/>
    <mergeCell ref="AMP4:AMR4"/>
    <mergeCell ref="AMS4:AMU4"/>
    <mergeCell ref="AMV4:AMX4"/>
    <mergeCell ref="AMY4:ANA4"/>
    <mergeCell ref="ALR4:ALT4"/>
    <mergeCell ref="ALU4:ALW4"/>
    <mergeCell ref="ALX4:ALZ4"/>
    <mergeCell ref="AMA4:AMC4"/>
    <mergeCell ref="AMD4:AMF4"/>
    <mergeCell ref="AMG4:AMI4"/>
    <mergeCell ref="ATH4:ATJ4"/>
    <mergeCell ref="ATK4:ATM4"/>
    <mergeCell ref="ATN4:ATP4"/>
    <mergeCell ref="ATQ4:ATS4"/>
    <mergeCell ref="ATT4:ATV4"/>
    <mergeCell ref="ATW4:ATY4"/>
    <mergeCell ref="ASP4:ASR4"/>
    <mergeCell ref="ASS4:ASU4"/>
    <mergeCell ref="ASV4:ASX4"/>
    <mergeCell ref="ASY4:ATA4"/>
    <mergeCell ref="ATB4:ATD4"/>
    <mergeCell ref="ATE4:ATG4"/>
    <mergeCell ref="ARX4:ARZ4"/>
    <mergeCell ref="ASA4:ASC4"/>
    <mergeCell ref="ASD4:ASF4"/>
    <mergeCell ref="ASG4:ASI4"/>
    <mergeCell ref="ASJ4:ASL4"/>
    <mergeCell ref="ASM4:ASO4"/>
    <mergeCell ref="ARF4:ARH4"/>
    <mergeCell ref="ARI4:ARK4"/>
    <mergeCell ref="ARL4:ARN4"/>
    <mergeCell ref="ARO4:ARQ4"/>
    <mergeCell ref="ARR4:ART4"/>
    <mergeCell ref="ARU4:ARW4"/>
    <mergeCell ref="AQN4:AQP4"/>
    <mergeCell ref="AQQ4:AQS4"/>
    <mergeCell ref="AQT4:AQV4"/>
    <mergeCell ref="AQW4:AQY4"/>
    <mergeCell ref="AQZ4:ARB4"/>
    <mergeCell ref="ARC4:ARE4"/>
    <mergeCell ref="APV4:APX4"/>
    <mergeCell ref="APY4:AQA4"/>
    <mergeCell ref="AQB4:AQD4"/>
    <mergeCell ref="AQE4:AQG4"/>
    <mergeCell ref="AQH4:AQJ4"/>
    <mergeCell ref="AQK4:AQM4"/>
    <mergeCell ref="AXL4:AXN4"/>
    <mergeCell ref="AXO4:AXQ4"/>
    <mergeCell ref="AXR4:AXT4"/>
    <mergeCell ref="AXU4:AXW4"/>
    <mergeCell ref="AXX4:AXZ4"/>
    <mergeCell ref="AYA4:AYC4"/>
    <mergeCell ref="AWT4:AWV4"/>
    <mergeCell ref="AWW4:AWY4"/>
    <mergeCell ref="AWZ4:AXB4"/>
    <mergeCell ref="AXC4:AXE4"/>
    <mergeCell ref="AXF4:AXH4"/>
    <mergeCell ref="AXI4:AXK4"/>
    <mergeCell ref="AWB4:AWD4"/>
    <mergeCell ref="AWE4:AWG4"/>
    <mergeCell ref="AWH4:AWJ4"/>
    <mergeCell ref="AWK4:AWM4"/>
    <mergeCell ref="AWN4:AWP4"/>
    <mergeCell ref="AWQ4:AWS4"/>
    <mergeCell ref="AVJ4:AVL4"/>
    <mergeCell ref="AVM4:AVO4"/>
    <mergeCell ref="AVP4:AVR4"/>
    <mergeCell ref="AVS4:AVU4"/>
    <mergeCell ref="AVV4:AVX4"/>
    <mergeCell ref="AVY4:AWA4"/>
    <mergeCell ref="AUR4:AUT4"/>
    <mergeCell ref="AUU4:AUW4"/>
    <mergeCell ref="AUX4:AUZ4"/>
    <mergeCell ref="AVA4:AVC4"/>
    <mergeCell ref="AVD4:AVF4"/>
    <mergeCell ref="AVG4:AVI4"/>
    <mergeCell ref="ATZ4:AUB4"/>
    <mergeCell ref="AUC4:AUE4"/>
    <mergeCell ref="AUF4:AUH4"/>
    <mergeCell ref="AUI4:AUK4"/>
    <mergeCell ref="AUL4:AUN4"/>
    <mergeCell ref="AUO4:AUQ4"/>
    <mergeCell ref="BBP4:BBR4"/>
    <mergeCell ref="BBS4:BBU4"/>
    <mergeCell ref="BBV4:BBX4"/>
    <mergeCell ref="BBY4:BCA4"/>
    <mergeCell ref="BCB4:BCD4"/>
    <mergeCell ref="BCE4:BCG4"/>
    <mergeCell ref="BAX4:BAZ4"/>
    <mergeCell ref="BBA4:BBC4"/>
    <mergeCell ref="BBD4:BBF4"/>
    <mergeCell ref="BBG4:BBI4"/>
    <mergeCell ref="BBJ4:BBL4"/>
    <mergeCell ref="BBM4:BBO4"/>
    <mergeCell ref="BAF4:BAH4"/>
    <mergeCell ref="BAI4:BAK4"/>
    <mergeCell ref="BAL4:BAN4"/>
    <mergeCell ref="BAO4:BAQ4"/>
    <mergeCell ref="BAR4:BAT4"/>
    <mergeCell ref="BAU4:BAW4"/>
    <mergeCell ref="AZN4:AZP4"/>
    <mergeCell ref="AZQ4:AZS4"/>
    <mergeCell ref="AZT4:AZV4"/>
    <mergeCell ref="AZW4:AZY4"/>
    <mergeCell ref="AZZ4:BAB4"/>
    <mergeCell ref="BAC4:BAE4"/>
    <mergeCell ref="AYV4:AYX4"/>
    <mergeCell ref="AYY4:AZA4"/>
    <mergeCell ref="AZB4:AZD4"/>
    <mergeCell ref="AZE4:AZG4"/>
    <mergeCell ref="AZH4:AZJ4"/>
    <mergeCell ref="AZK4:AZM4"/>
    <mergeCell ref="AYD4:AYF4"/>
    <mergeCell ref="AYG4:AYI4"/>
    <mergeCell ref="AYJ4:AYL4"/>
    <mergeCell ref="AYM4:AYO4"/>
    <mergeCell ref="AYP4:AYR4"/>
    <mergeCell ref="AYS4:AYU4"/>
    <mergeCell ref="BFT4:BFV4"/>
    <mergeCell ref="BFW4:BFY4"/>
    <mergeCell ref="BFZ4:BGB4"/>
    <mergeCell ref="BGC4:BGE4"/>
    <mergeCell ref="BGF4:BGH4"/>
    <mergeCell ref="BGI4:BGK4"/>
    <mergeCell ref="BFB4:BFD4"/>
    <mergeCell ref="BFE4:BFG4"/>
    <mergeCell ref="BFH4:BFJ4"/>
    <mergeCell ref="BFK4:BFM4"/>
    <mergeCell ref="BFN4:BFP4"/>
    <mergeCell ref="BFQ4:BFS4"/>
    <mergeCell ref="BEJ4:BEL4"/>
    <mergeCell ref="BEM4:BEO4"/>
    <mergeCell ref="BEP4:BER4"/>
    <mergeCell ref="BES4:BEU4"/>
    <mergeCell ref="BEV4:BEX4"/>
    <mergeCell ref="BEY4:BFA4"/>
    <mergeCell ref="BDR4:BDT4"/>
    <mergeCell ref="BDU4:BDW4"/>
    <mergeCell ref="BDX4:BDZ4"/>
    <mergeCell ref="BEA4:BEC4"/>
    <mergeCell ref="BED4:BEF4"/>
    <mergeCell ref="BEG4:BEI4"/>
    <mergeCell ref="BCZ4:BDB4"/>
    <mergeCell ref="BDC4:BDE4"/>
    <mergeCell ref="BDF4:BDH4"/>
    <mergeCell ref="BDI4:BDK4"/>
    <mergeCell ref="BDL4:BDN4"/>
    <mergeCell ref="BDO4:BDQ4"/>
    <mergeCell ref="BCH4:BCJ4"/>
    <mergeCell ref="BCK4:BCM4"/>
    <mergeCell ref="BCN4:BCP4"/>
    <mergeCell ref="BCQ4:BCS4"/>
    <mergeCell ref="BCT4:BCV4"/>
    <mergeCell ref="BCW4:BCY4"/>
    <mergeCell ref="BJX4:BJZ4"/>
    <mergeCell ref="BKA4:BKC4"/>
    <mergeCell ref="BKD4:BKF4"/>
    <mergeCell ref="BKG4:BKI4"/>
    <mergeCell ref="BKJ4:BKL4"/>
    <mergeCell ref="BKM4:BKO4"/>
    <mergeCell ref="BJF4:BJH4"/>
    <mergeCell ref="BJI4:BJK4"/>
    <mergeCell ref="BJL4:BJN4"/>
    <mergeCell ref="BJO4:BJQ4"/>
    <mergeCell ref="BJR4:BJT4"/>
    <mergeCell ref="BJU4:BJW4"/>
    <mergeCell ref="BIN4:BIP4"/>
    <mergeCell ref="BIQ4:BIS4"/>
    <mergeCell ref="BIT4:BIV4"/>
    <mergeCell ref="BIW4:BIY4"/>
    <mergeCell ref="BIZ4:BJB4"/>
    <mergeCell ref="BJC4:BJE4"/>
    <mergeCell ref="BHV4:BHX4"/>
    <mergeCell ref="BHY4:BIA4"/>
    <mergeCell ref="BIB4:BID4"/>
    <mergeCell ref="BIE4:BIG4"/>
    <mergeCell ref="BIH4:BIJ4"/>
    <mergeCell ref="BIK4:BIM4"/>
    <mergeCell ref="BHD4:BHF4"/>
    <mergeCell ref="BHG4:BHI4"/>
    <mergeCell ref="BHJ4:BHL4"/>
    <mergeCell ref="BHM4:BHO4"/>
    <mergeCell ref="BHP4:BHR4"/>
    <mergeCell ref="BHS4:BHU4"/>
    <mergeCell ref="BGL4:BGN4"/>
    <mergeCell ref="BGO4:BGQ4"/>
    <mergeCell ref="BGR4:BGT4"/>
    <mergeCell ref="BGU4:BGW4"/>
    <mergeCell ref="BGX4:BGZ4"/>
    <mergeCell ref="BHA4:BHC4"/>
    <mergeCell ref="BOB4:BOD4"/>
    <mergeCell ref="BOE4:BOG4"/>
    <mergeCell ref="BOH4:BOJ4"/>
    <mergeCell ref="BOK4:BOM4"/>
    <mergeCell ref="BON4:BOP4"/>
    <mergeCell ref="BOQ4:BOS4"/>
    <mergeCell ref="BNJ4:BNL4"/>
    <mergeCell ref="BNM4:BNO4"/>
    <mergeCell ref="BNP4:BNR4"/>
    <mergeCell ref="BNS4:BNU4"/>
    <mergeCell ref="BNV4:BNX4"/>
    <mergeCell ref="BNY4:BOA4"/>
    <mergeCell ref="BMR4:BMT4"/>
    <mergeCell ref="BMU4:BMW4"/>
    <mergeCell ref="BMX4:BMZ4"/>
    <mergeCell ref="BNA4:BNC4"/>
    <mergeCell ref="BND4:BNF4"/>
    <mergeCell ref="BNG4:BNI4"/>
    <mergeCell ref="BLZ4:BMB4"/>
    <mergeCell ref="BMC4:BME4"/>
    <mergeCell ref="BMF4:BMH4"/>
    <mergeCell ref="BMI4:BMK4"/>
    <mergeCell ref="BML4:BMN4"/>
    <mergeCell ref="BMO4:BMQ4"/>
    <mergeCell ref="BLH4:BLJ4"/>
    <mergeCell ref="BLK4:BLM4"/>
    <mergeCell ref="BLN4:BLP4"/>
    <mergeCell ref="BLQ4:BLS4"/>
    <mergeCell ref="BLT4:BLV4"/>
    <mergeCell ref="BLW4:BLY4"/>
    <mergeCell ref="BKP4:BKR4"/>
    <mergeCell ref="BKS4:BKU4"/>
    <mergeCell ref="BKV4:BKX4"/>
    <mergeCell ref="BKY4:BLA4"/>
    <mergeCell ref="BLB4:BLD4"/>
    <mergeCell ref="BLE4:BLG4"/>
    <mergeCell ref="BSF4:BSH4"/>
    <mergeCell ref="BSI4:BSK4"/>
    <mergeCell ref="BSL4:BSN4"/>
    <mergeCell ref="BSO4:BSQ4"/>
    <mergeCell ref="BSR4:BST4"/>
    <mergeCell ref="BSU4:BSW4"/>
    <mergeCell ref="BRN4:BRP4"/>
    <mergeCell ref="BRQ4:BRS4"/>
    <mergeCell ref="BRT4:BRV4"/>
    <mergeCell ref="BRW4:BRY4"/>
    <mergeCell ref="BRZ4:BSB4"/>
    <mergeCell ref="BSC4:BSE4"/>
    <mergeCell ref="BQV4:BQX4"/>
    <mergeCell ref="BQY4:BRA4"/>
    <mergeCell ref="BRB4:BRD4"/>
    <mergeCell ref="BRE4:BRG4"/>
    <mergeCell ref="BRH4:BRJ4"/>
    <mergeCell ref="BRK4:BRM4"/>
    <mergeCell ref="BQD4:BQF4"/>
    <mergeCell ref="BQG4:BQI4"/>
    <mergeCell ref="BQJ4:BQL4"/>
    <mergeCell ref="BQM4:BQO4"/>
    <mergeCell ref="BQP4:BQR4"/>
    <mergeCell ref="BQS4:BQU4"/>
    <mergeCell ref="BPL4:BPN4"/>
    <mergeCell ref="BPO4:BPQ4"/>
    <mergeCell ref="BPR4:BPT4"/>
    <mergeCell ref="BPU4:BPW4"/>
    <mergeCell ref="BPX4:BPZ4"/>
    <mergeCell ref="BQA4:BQC4"/>
    <mergeCell ref="BOT4:BOV4"/>
    <mergeCell ref="BOW4:BOY4"/>
    <mergeCell ref="BOZ4:BPB4"/>
    <mergeCell ref="BPC4:BPE4"/>
    <mergeCell ref="BPF4:BPH4"/>
    <mergeCell ref="BPI4:BPK4"/>
    <mergeCell ref="BWJ4:BWL4"/>
    <mergeCell ref="BWM4:BWO4"/>
    <mergeCell ref="BWP4:BWR4"/>
    <mergeCell ref="BWS4:BWU4"/>
    <mergeCell ref="BWV4:BWX4"/>
    <mergeCell ref="BWY4:BXA4"/>
    <mergeCell ref="BVR4:BVT4"/>
    <mergeCell ref="BVU4:BVW4"/>
    <mergeCell ref="BVX4:BVZ4"/>
    <mergeCell ref="BWA4:BWC4"/>
    <mergeCell ref="BWD4:BWF4"/>
    <mergeCell ref="BWG4:BWI4"/>
    <mergeCell ref="BUZ4:BVB4"/>
    <mergeCell ref="BVC4:BVE4"/>
    <mergeCell ref="BVF4:BVH4"/>
    <mergeCell ref="BVI4:BVK4"/>
    <mergeCell ref="BVL4:BVN4"/>
    <mergeCell ref="BVO4:BVQ4"/>
    <mergeCell ref="BUH4:BUJ4"/>
    <mergeCell ref="BUK4:BUM4"/>
    <mergeCell ref="BUN4:BUP4"/>
    <mergeCell ref="BUQ4:BUS4"/>
    <mergeCell ref="BUT4:BUV4"/>
    <mergeCell ref="BUW4:BUY4"/>
    <mergeCell ref="BTP4:BTR4"/>
    <mergeCell ref="BTS4:BTU4"/>
    <mergeCell ref="BTV4:BTX4"/>
    <mergeCell ref="BTY4:BUA4"/>
    <mergeCell ref="BUB4:BUD4"/>
    <mergeCell ref="BUE4:BUG4"/>
    <mergeCell ref="BSX4:BSZ4"/>
    <mergeCell ref="BTA4:BTC4"/>
    <mergeCell ref="BTD4:BTF4"/>
    <mergeCell ref="BTG4:BTI4"/>
    <mergeCell ref="BTJ4:BTL4"/>
    <mergeCell ref="BTM4:BTO4"/>
    <mergeCell ref="CAN4:CAP4"/>
    <mergeCell ref="CAQ4:CAS4"/>
    <mergeCell ref="CAT4:CAV4"/>
    <mergeCell ref="CAW4:CAY4"/>
    <mergeCell ref="CAZ4:CBB4"/>
    <mergeCell ref="CBC4:CBE4"/>
    <mergeCell ref="BZV4:BZX4"/>
    <mergeCell ref="BZY4:CAA4"/>
    <mergeCell ref="CAB4:CAD4"/>
    <mergeCell ref="CAE4:CAG4"/>
    <mergeCell ref="CAH4:CAJ4"/>
    <mergeCell ref="CAK4:CAM4"/>
    <mergeCell ref="BZD4:BZF4"/>
    <mergeCell ref="BZG4:BZI4"/>
    <mergeCell ref="BZJ4:BZL4"/>
    <mergeCell ref="BZM4:BZO4"/>
    <mergeCell ref="BZP4:BZR4"/>
    <mergeCell ref="BZS4:BZU4"/>
    <mergeCell ref="BYL4:BYN4"/>
    <mergeCell ref="BYO4:BYQ4"/>
    <mergeCell ref="BYR4:BYT4"/>
    <mergeCell ref="BYU4:BYW4"/>
    <mergeCell ref="BYX4:BYZ4"/>
    <mergeCell ref="BZA4:BZC4"/>
    <mergeCell ref="BXT4:BXV4"/>
    <mergeCell ref="BXW4:BXY4"/>
    <mergeCell ref="BXZ4:BYB4"/>
    <mergeCell ref="BYC4:BYE4"/>
    <mergeCell ref="BYF4:BYH4"/>
    <mergeCell ref="BYI4:BYK4"/>
    <mergeCell ref="BXB4:BXD4"/>
    <mergeCell ref="BXE4:BXG4"/>
    <mergeCell ref="BXH4:BXJ4"/>
    <mergeCell ref="BXK4:BXM4"/>
    <mergeCell ref="BXN4:BXP4"/>
    <mergeCell ref="BXQ4:BXS4"/>
    <mergeCell ref="CER4:CET4"/>
    <mergeCell ref="CEU4:CEW4"/>
    <mergeCell ref="CEX4:CEZ4"/>
    <mergeCell ref="CFA4:CFC4"/>
    <mergeCell ref="CFD4:CFF4"/>
    <mergeCell ref="CFG4:CFI4"/>
    <mergeCell ref="CDZ4:CEB4"/>
    <mergeCell ref="CEC4:CEE4"/>
    <mergeCell ref="CEF4:CEH4"/>
    <mergeCell ref="CEI4:CEK4"/>
    <mergeCell ref="CEL4:CEN4"/>
    <mergeCell ref="CEO4:CEQ4"/>
    <mergeCell ref="CDH4:CDJ4"/>
    <mergeCell ref="CDK4:CDM4"/>
    <mergeCell ref="CDN4:CDP4"/>
    <mergeCell ref="CDQ4:CDS4"/>
    <mergeCell ref="CDT4:CDV4"/>
    <mergeCell ref="CDW4:CDY4"/>
    <mergeCell ref="CCP4:CCR4"/>
    <mergeCell ref="CCS4:CCU4"/>
    <mergeCell ref="CCV4:CCX4"/>
    <mergeCell ref="CCY4:CDA4"/>
    <mergeCell ref="CDB4:CDD4"/>
    <mergeCell ref="CDE4:CDG4"/>
    <mergeCell ref="CBX4:CBZ4"/>
    <mergeCell ref="CCA4:CCC4"/>
    <mergeCell ref="CCD4:CCF4"/>
    <mergeCell ref="CCG4:CCI4"/>
    <mergeCell ref="CCJ4:CCL4"/>
    <mergeCell ref="CCM4:CCO4"/>
    <mergeCell ref="CBF4:CBH4"/>
    <mergeCell ref="CBI4:CBK4"/>
    <mergeCell ref="CBL4:CBN4"/>
    <mergeCell ref="CBO4:CBQ4"/>
    <mergeCell ref="CBR4:CBT4"/>
    <mergeCell ref="CBU4:CBW4"/>
    <mergeCell ref="CIV4:CIX4"/>
    <mergeCell ref="CIY4:CJA4"/>
    <mergeCell ref="CJB4:CJD4"/>
    <mergeCell ref="CJE4:CJG4"/>
    <mergeCell ref="CJH4:CJJ4"/>
    <mergeCell ref="CJK4:CJM4"/>
    <mergeCell ref="CID4:CIF4"/>
    <mergeCell ref="CIG4:CII4"/>
    <mergeCell ref="CIJ4:CIL4"/>
    <mergeCell ref="CIM4:CIO4"/>
    <mergeCell ref="CIP4:CIR4"/>
    <mergeCell ref="CIS4:CIU4"/>
    <mergeCell ref="CHL4:CHN4"/>
    <mergeCell ref="CHO4:CHQ4"/>
    <mergeCell ref="CHR4:CHT4"/>
    <mergeCell ref="CHU4:CHW4"/>
    <mergeCell ref="CHX4:CHZ4"/>
    <mergeCell ref="CIA4:CIC4"/>
    <mergeCell ref="CGT4:CGV4"/>
    <mergeCell ref="CGW4:CGY4"/>
    <mergeCell ref="CGZ4:CHB4"/>
    <mergeCell ref="CHC4:CHE4"/>
    <mergeCell ref="CHF4:CHH4"/>
    <mergeCell ref="CHI4:CHK4"/>
    <mergeCell ref="CGB4:CGD4"/>
    <mergeCell ref="CGE4:CGG4"/>
    <mergeCell ref="CGH4:CGJ4"/>
    <mergeCell ref="CGK4:CGM4"/>
    <mergeCell ref="CGN4:CGP4"/>
    <mergeCell ref="CGQ4:CGS4"/>
    <mergeCell ref="CFJ4:CFL4"/>
    <mergeCell ref="CFM4:CFO4"/>
    <mergeCell ref="CFP4:CFR4"/>
    <mergeCell ref="CFS4:CFU4"/>
    <mergeCell ref="CFV4:CFX4"/>
    <mergeCell ref="CFY4:CGA4"/>
    <mergeCell ref="CMZ4:CNB4"/>
    <mergeCell ref="CNC4:CNE4"/>
    <mergeCell ref="CNF4:CNH4"/>
    <mergeCell ref="CNI4:CNK4"/>
    <mergeCell ref="CNL4:CNN4"/>
    <mergeCell ref="CNO4:CNQ4"/>
    <mergeCell ref="CMH4:CMJ4"/>
    <mergeCell ref="CMK4:CMM4"/>
    <mergeCell ref="CMN4:CMP4"/>
    <mergeCell ref="CMQ4:CMS4"/>
    <mergeCell ref="CMT4:CMV4"/>
    <mergeCell ref="CMW4:CMY4"/>
    <mergeCell ref="CLP4:CLR4"/>
    <mergeCell ref="CLS4:CLU4"/>
    <mergeCell ref="CLV4:CLX4"/>
    <mergeCell ref="CLY4:CMA4"/>
    <mergeCell ref="CMB4:CMD4"/>
    <mergeCell ref="CME4:CMG4"/>
    <mergeCell ref="CKX4:CKZ4"/>
    <mergeCell ref="CLA4:CLC4"/>
    <mergeCell ref="CLD4:CLF4"/>
    <mergeCell ref="CLG4:CLI4"/>
    <mergeCell ref="CLJ4:CLL4"/>
    <mergeCell ref="CLM4:CLO4"/>
    <mergeCell ref="CKF4:CKH4"/>
    <mergeCell ref="CKI4:CKK4"/>
    <mergeCell ref="CKL4:CKN4"/>
    <mergeCell ref="CKO4:CKQ4"/>
    <mergeCell ref="CKR4:CKT4"/>
    <mergeCell ref="CKU4:CKW4"/>
    <mergeCell ref="CJN4:CJP4"/>
    <mergeCell ref="CJQ4:CJS4"/>
    <mergeCell ref="CJT4:CJV4"/>
    <mergeCell ref="CJW4:CJY4"/>
    <mergeCell ref="CJZ4:CKB4"/>
    <mergeCell ref="CKC4:CKE4"/>
    <mergeCell ref="CRD4:CRF4"/>
    <mergeCell ref="CRG4:CRI4"/>
    <mergeCell ref="CRJ4:CRL4"/>
    <mergeCell ref="CRM4:CRO4"/>
    <mergeCell ref="CRP4:CRR4"/>
    <mergeCell ref="CRS4:CRU4"/>
    <mergeCell ref="CQL4:CQN4"/>
    <mergeCell ref="CQO4:CQQ4"/>
    <mergeCell ref="CQR4:CQT4"/>
    <mergeCell ref="CQU4:CQW4"/>
    <mergeCell ref="CQX4:CQZ4"/>
    <mergeCell ref="CRA4:CRC4"/>
    <mergeCell ref="CPT4:CPV4"/>
    <mergeCell ref="CPW4:CPY4"/>
    <mergeCell ref="CPZ4:CQB4"/>
    <mergeCell ref="CQC4:CQE4"/>
    <mergeCell ref="CQF4:CQH4"/>
    <mergeCell ref="CQI4:CQK4"/>
    <mergeCell ref="CPB4:CPD4"/>
    <mergeCell ref="CPE4:CPG4"/>
    <mergeCell ref="CPH4:CPJ4"/>
    <mergeCell ref="CPK4:CPM4"/>
    <mergeCell ref="CPN4:CPP4"/>
    <mergeCell ref="CPQ4:CPS4"/>
    <mergeCell ref="COJ4:COL4"/>
    <mergeCell ref="COM4:COO4"/>
    <mergeCell ref="COP4:COR4"/>
    <mergeCell ref="COS4:COU4"/>
    <mergeCell ref="COV4:COX4"/>
    <mergeCell ref="COY4:CPA4"/>
    <mergeCell ref="CNR4:CNT4"/>
    <mergeCell ref="CNU4:CNW4"/>
    <mergeCell ref="CNX4:CNZ4"/>
    <mergeCell ref="COA4:COC4"/>
    <mergeCell ref="COD4:COF4"/>
    <mergeCell ref="COG4:COI4"/>
    <mergeCell ref="CVH4:CVJ4"/>
    <mergeCell ref="CVK4:CVM4"/>
    <mergeCell ref="CVN4:CVP4"/>
    <mergeCell ref="CVQ4:CVS4"/>
    <mergeCell ref="CVT4:CVV4"/>
    <mergeCell ref="CVW4:CVY4"/>
    <mergeCell ref="CUP4:CUR4"/>
    <mergeCell ref="CUS4:CUU4"/>
    <mergeCell ref="CUV4:CUX4"/>
    <mergeCell ref="CUY4:CVA4"/>
    <mergeCell ref="CVB4:CVD4"/>
    <mergeCell ref="CVE4:CVG4"/>
    <mergeCell ref="CTX4:CTZ4"/>
    <mergeCell ref="CUA4:CUC4"/>
    <mergeCell ref="CUD4:CUF4"/>
    <mergeCell ref="CUG4:CUI4"/>
    <mergeCell ref="CUJ4:CUL4"/>
    <mergeCell ref="CUM4:CUO4"/>
    <mergeCell ref="CTF4:CTH4"/>
    <mergeCell ref="CTI4:CTK4"/>
    <mergeCell ref="CTL4:CTN4"/>
    <mergeCell ref="CTO4:CTQ4"/>
    <mergeCell ref="CTR4:CTT4"/>
    <mergeCell ref="CTU4:CTW4"/>
    <mergeCell ref="CSN4:CSP4"/>
    <mergeCell ref="CSQ4:CSS4"/>
    <mergeCell ref="CST4:CSV4"/>
    <mergeCell ref="CSW4:CSY4"/>
    <mergeCell ref="CSZ4:CTB4"/>
    <mergeCell ref="CTC4:CTE4"/>
    <mergeCell ref="CRV4:CRX4"/>
    <mergeCell ref="CRY4:CSA4"/>
    <mergeCell ref="CSB4:CSD4"/>
    <mergeCell ref="CSE4:CSG4"/>
    <mergeCell ref="CSH4:CSJ4"/>
    <mergeCell ref="CSK4:CSM4"/>
    <mergeCell ref="CZL4:CZN4"/>
    <mergeCell ref="CZO4:CZQ4"/>
    <mergeCell ref="CZR4:CZT4"/>
    <mergeCell ref="CZU4:CZW4"/>
    <mergeCell ref="CZX4:CZZ4"/>
    <mergeCell ref="DAA4:DAC4"/>
    <mergeCell ref="CYT4:CYV4"/>
    <mergeCell ref="CYW4:CYY4"/>
    <mergeCell ref="CYZ4:CZB4"/>
    <mergeCell ref="CZC4:CZE4"/>
    <mergeCell ref="CZF4:CZH4"/>
    <mergeCell ref="CZI4:CZK4"/>
    <mergeCell ref="CYB4:CYD4"/>
    <mergeCell ref="CYE4:CYG4"/>
    <mergeCell ref="CYH4:CYJ4"/>
    <mergeCell ref="CYK4:CYM4"/>
    <mergeCell ref="CYN4:CYP4"/>
    <mergeCell ref="CYQ4:CYS4"/>
    <mergeCell ref="CXJ4:CXL4"/>
    <mergeCell ref="CXM4:CXO4"/>
    <mergeCell ref="CXP4:CXR4"/>
    <mergeCell ref="CXS4:CXU4"/>
    <mergeCell ref="CXV4:CXX4"/>
    <mergeCell ref="CXY4:CYA4"/>
    <mergeCell ref="CWR4:CWT4"/>
    <mergeCell ref="CWU4:CWW4"/>
    <mergeCell ref="CWX4:CWZ4"/>
    <mergeCell ref="CXA4:CXC4"/>
    <mergeCell ref="CXD4:CXF4"/>
    <mergeCell ref="CXG4:CXI4"/>
    <mergeCell ref="CVZ4:CWB4"/>
    <mergeCell ref="CWC4:CWE4"/>
    <mergeCell ref="CWF4:CWH4"/>
    <mergeCell ref="CWI4:CWK4"/>
    <mergeCell ref="CWL4:CWN4"/>
    <mergeCell ref="CWO4:CWQ4"/>
    <mergeCell ref="DDP4:DDR4"/>
    <mergeCell ref="DDS4:DDU4"/>
    <mergeCell ref="DDV4:DDX4"/>
    <mergeCell ref="DDY4:DEA4"/>
    <mergeCell ref="DEB4:DED4"/>
    <mergeCell ref="DEE4:DEG4"/>
    <mergeCell ref="DCX4:DCZ4"/>
    <mergeCell ref="DDA4:DDC4"/>
    <mergeCell ref="DDD4:DDF4"/>
    <mergeCell ref="DDG4:DDI4"/>
    <mergeCell ref="DDJ4:DDL4"/>
    <mergeCell ref="DDM4:DDO4"/>
    <mergeCell ref="DCF4:DCH4"/>
    <mergeCell ref="DCI4:DCK4"/>
    <mergeCell ref="DCL4:DCN4"/>
    <mergeCell ref="DCO4:DCQ4"/>
    <mergeCell ref="DCR4:DCT4"/>
    <mergeCell ref="DCU4:DCW4"/>
    <mergeCell ref="DBN4:DBP4"/>
    <mergeCell ref="DBQ4:DBS4"/>
    <mergeCell ref="DBT4:DBV4"/>
    <mergeCell ref="DBW4:DBY4"/>
    <mergeCell ref="DBZ4:DCB4"/>
    <mergeCell ref="DCC4:DCE4"/>
    <mergeCell ref="DAV4:DAX4"/>
    <mergeCell ref="DAY4:DBA4"/>
    <mergeCell ref="DBB4:DBD4"/>
    <mergeCell ref="DBE4:DBG4"/>
    <mergeCell ref="DBH4:DBJ4"/>
    <mergeCell ref="DBK4:DBM4"/>
    <mergeCell ref="DAD4:DAF4"/>
    <mergeCell ref="DAG4:DAI4"/>
    <mergeCell ref="DAJ4:DAL4"/>
    <mergeCell ref="DAM4:DAO4"/>
    <mergeCell ref="DAP4:DAR4"/>
    <mergeCell ref="DAS4:DAU4"/>
    <mergeCell ref="DHT4:DHV4"/>
    <mergeCell ref="DHW4:DHY4"/>
    <mergeCell ref="DHZ4:DIB4"/>
    <mergeCell ref="DIC4:DIE4"/>
    <mergeCell ref="DIF4:DIH4"/>
    <mergeCell ref="DII4:DIK4"/>
    <mergeCell ref="DHB4:DHD4"/>
    <mergeCell ref="DHE4:DHG4"/>
    <mergeCell ref="DHH4:DHJ4"/>
    <mergeCell ref="DHK4:DHM4"/>
    <mergeCell ref="DHN4:DHP4"/>
    <mergeCell ref="DHQ4:DHS4"/>
    <mergeCell ref="DGJ4:DGL4"/>
    <mergeCell ref="DGM4:DGO4"/>
    <mergeCell ref="DGP4:DGR4"/>
    <mergeCell ref="DGS4:DGU4"/>
    <mergeCell ref="DGV4:DGX4"/>
    <mergeCell ref="DGY4:DHA4"/>
    <mergeCell ref="DFR4:DFT4"/>
    <mergeCell ref="DFU4:DFW4"/>
    <mergeCell ref="DFX4:DFZ4"/>
    <mergeCell ref="DGA4:DGC4"/>
    <mergeCell ref="DGD4:DGF4"/>
    <mergeCell ref="DGG4:DGI4"/>
    <mergeCell ref="DEZ4:DFB4"/>
    <mergeCell ref="DFC4:DFE4"/>
    <mergeCell ref="DFF4:DFH4"/>
    <mergeCell ref="DFI4:DFK4"/>
    <mergeCell ref="DFL4:DFN4"/>
    <mergeCell ref="DFO4:DFQ4"/>
    <mergeCell ref="DEH4:DEJ4"/>
    <mergeCell ref="DEK4:DEM4"/>
    <mergeCell ref="DEN4:DEP4"/>
    <mergeCell ref="DEQ4:DES4"/>
    <mergeCell ref="DET4:DEV4"/>
    <mergeCell ref="DEW4:DEY4"/>
    <mergeCell ref="DLX4:DLZ4"/>
    <mergeCell ref="DMA4:DMC4"/>
    <mergeCell ref="DMD4:DMF4"/>
    <mergeCell ref="DMG4:DMI4"/>
    <mergeCell ref="DMJ4:DML4"/>
    <mergeCell ref="DMM4:DMO4"/>
    <mergeCell ref="DLF4:DLH4"/>
    <mergeCell ref="DLI4:DLK4"/>
    <mergeCell ref="DLL4:DLN4"/>
    <mergeCell ref="DLO4:DLQ4"/>
    <mergeCell ref="DLR4:DLT4"/>
    <mergeCell ref="DLU4:DLW4"/>
    <mergeCell ref="DKN4:DKP4"/>
    <mergeCell ref="DKQ4:DKS4"/>
    <mergeCell ref="DKT4:DKV4"/>
    <mergeCell ref="DKW4:DKY4"/>
    <mergeCell ref="DKZ4:DLB4"/>
    <mergeCell ref="DLC4:DLE4"/>
    <mergeCell ref="DJV4:DJX4"/>
    <mergeCell ref="DJY4:DKA4"/>
    <mergeCell ref="DKB4:DKD4"/>
    <mergeCell ref="DKE4:DKG4"/>
    <mergeCell ref="DKH4:DKJ4"/>
    <mergeCell ref="DKK4:DKM4"/>
    <mergeCell ref="DJD4:DJF4"/>
    <mergeCell ref="DJG4:DJI4"/>
    <mergeCell ref="DJJ4:DJL4"/>
    <mergeCell ref="DJM4:DJO4"/>
    <mergeCell ref="DJP4:DJR4"/>
    <mergeCell ref="DJS4:DJU4"/>
    <mergeCell ref="DIL4:DIN4"/>
    <mergeCell ref="DIO4:DIQ4"/>
    <mergeCell ref="DIR4:DIT4"/>
    <mergeCell ref="DIU4:DIW4"/>
    <mergeCell ref="DIX4:DIZ4"/>
    <mergeCell ref="DJA4:DJC4"/>
    <mergeCell ref="DQB4:DQD4"/>
    <mergeCell ref="DQE4:DQG4"/>
    <mergeCell ref="DQH4:DQJ4"/>
    <mergeCell ref="DQK4:DQM4"/>
    <mergeCell ref="DQN4:DQP4"/>
    <mergeCell ref="DQQ4:DQS4"/>
    <mergeCell ref="DPJ4:DPL4"/>
    <mergeCell ref="DPM4:DPO4"/>
    <mergeCell ref="DPP4:DPR4"/>
    <mergeCell ref="DPS4:DPU4"/>
    <mergeCell ref="DPV4:DPX4"/>
    <mergeCell ref="DPY4:DQA4"/>
    <mergeCell ref="DOR4:DOT4"/>
    <mergeCell ref="DOU4:DOW4"/>
    <mergeCell ref="DOX4:DOZ4"/>
    <mergeCell ref="DPA4:DPC4"/>
    <mergeCell ref="DPD4:DPF4"/>
    <mergeCell ref="DPG4:DPI4"/>
    <mergeCell ref="DNZ4:DOB4"/>
    <mergeCell ref="DOC4:DOE4"/>
    <mergeCell ref="DOF4:DOH4"/>
    <mergeCell ref="DOI4:DOK4"/>
    <mergeCell ref="DOL4:DON4"/>
    <mergeCell ref="DOO4:DOQ4"/>
    <mergeCell ref="DNH4:DNJ4"/>
    <mergeCell ref="DNK4:DNM4"/>
    <mergeCell ref="DNN4:DNP4"/>
    <mergeCell ref="DNQ4:DNS4"/>
    <mergeCell ref="DNT4:DNV4"/>
    <mergeCell ref="DNW4:DNY4"/>
    <mergeCell ref="DMP4:DMR4"/>
    <mergeCell ref="DMS4:DMU4"/>
    <mergeCell ref="DMV4:DMX4"/>
    <mergeCell ref="DMY4:DNA4"/>
    <mergeCell ref="DNB4:DND4"/>
    <mergeCell ref="DNE4:DNG4"/>
    <mergeCell ref="DUF4:DUH4"/>
    <mergeCell ref="DUI4:DUK4"/>
    <mergeCell ref="DUL4:DUN4"/>
    <mergeCell ref="DUO4:DUQ4"/>
    <mergeCell ref="DUR4:DUT4"/>
    <mergeCell ref="DUU4:DUW4"/>
    <mergeCell ref="DTN4:DTP4"/>
    <mergeCell ref="DTQ4:DTS4"/>
    <mergeCell ref="DTT4:DTV4"/>
    <mergeCell ref="DTW4:DTY4"/>
    <mergeCell ref="DTZ4:DUB4"/>
    <mergeCell ref="DUC4:DUE4"/>
    <mergeCell ref="DSV4:DSX4"/>
    <mergeCell ref="DSY4:DTA4"/>
    <mergeCell ref="DTB4:DTD4"/>
    <mergeCell ref="DTE4:DTG4"/>
    <mergeCell ref="DTH4:DTJ4"/>
    <mergeCell ref="DTK4:DTM4"/>
    <mergeCell ref="DSD4:DSF4"/>
    <mergeCell ref="DSG4:DSI4"/>
    <mergeCell ref="DSJ4:DSL4"/>
    <mergeCell ref="DSM4:DSO4"/>
    <mergeCell ref="DSP4:DSR4"/>
    <mergeCell ref="DSS4:DSU4"/>
    <mergeCell ref="DRL4:DRN4"/>
    <mergeCell ref="DRO4:DRQ4"/>
    <mergeCell ref="DRR4:DRT4"/>
    <mergeCell ref="DRU4:DRW4"/>
    <mergeCell ref="DRX4:DRZ4"/>
    <mergeCell ref="DSA4:DSC4"/>
    <mergeCell ref="DQT4:DQV4"/>
    <mergeCell ref="DQW4:DQY4"/>
    <mergeCell ref="DQZ4:DRB4"/>
    <mergeCell ref="DRC4:DRE4"/>
    <mergeCell ref="DRF4:DRH4"/>
    <mergeCell ref="DRI4:DRK4"/>
    <mergeCell ref="DYJ4:DYL4"/>
    <mergeCell ref="DYM4:DYO4"/>
    <mergeCell ref="DYP4:DYR4"/>
    <mergeCell ref="DYS4:DYU4"/>
    <mergeCell ref="DYV4:DYX4"/>
    <mergeCell ref="DYY4:DZA4"/>
    <mergeCell ref="DXR4:DXT4"/>
    <mergeCell ref="DXU4:DXW4"/>
    <mergeCell ref="DXX4:DXZ4"/>
    <mergeCell ref="DYA4:DYC4"/>
    <mergeCell ref="DYD4:DYF4"/>
    <mergeCell ref="DYG4:DYI4"/>
    <mergeCell ref="DWZ4:DXB4"/>
    <mergeCell ref="DXC4:DXE4"/>
    <mergeCell ref="DXF4:DXH4"/>
    <mergeCell ref="DXI4:DXK4"/>
    <mergeCell ref="DXL4:DXN4"/>
    <mergeCell ref="DXO4:DXQ4"/>
    <mergeCell ref="DWH4:DWJ4"/>
    <mergeCell ref="DWK4:DWM4"/>
    <mergeCell ref="DWN4:DWP4"/>
    <mergeCell ref="DWQ4:DWS4"/>
    <mergeCell ref="DWT4:DWV4"/>
    <mergeCell ref="DWW4:DWY4"/>
    <mergeCell ref="DVP4:DVR4"/>
    <mergeCell ref="DVS4:DVU4"/>
    <mergeCell ref="DVV4:DVX4"/>
    <mergeCell ref="DVY4:DWA4"/>
    <mergeCell ref="DWB4:DWD4"/>
    <mergeCell ref="DWE4:DWG4"/>
    <mergeCell ref="DUX4:DUZ4"/>
    <mergeCell ref="DVA4:DVC4"/>
    <mergeCell ref="DVD4:DVF4"/>
    <mergeCell ref="DVG4:DVI4"/>
    <mergeCell ref="DVJ4:DVL4"/>
    <mergeCell ref="DVM4:DVO4"/>
    <mergeCell ref="ECN4:ECP4"/>
    <mergeCell ref="ECQ4:ECS4"/>
    <mergeCell ref="ECT4:ECV4"/>
    <mergeCell ref="ECW4:ECY4"/>
    <mergeCell ref="ECZ4:EDB4"/>
    <mergeCell ref="EDC4:EDE4"/>
    <mergeCell ref="EBV4:EBX4"/>
    <mergeCell ref="EBY4:ECA4"/>
    <mergeCell ref="ECB4:ECD4"/>
    <mergeCell ref="ECE4:ECG4"/>
    <mergeCell ref="ECH4:ECJ4"/>
    <mergeCell ref="ECK4:ECM4"/>
    <mergeCell ref="EBD4:EBF4"/>
    <mergeCell ref="EBG4:EBI4"/>
    <mergeCell ref="EBJ4:EBL4"/>
    <mergeCell ref="EBM4:EBO4"/>
    <mergeCell ref="EBP4:EBR4"/>
    <mergeCell ref="EBS4:EBU4"/>
    <mergeCell ref="EAL4:EAN4"/>
    <mergeCell ref="EAO4:EAQ4"/>
    <mergeCell ref="EAR4:EAT4"/>
    <mergeCell ref="EAU4:EAW4"/>
    <mergeCell ref="EAX4:EAZ4"/>
    <mergeCell ref="EBA4:EBC4"/>
    <mergeCell ref="DZT4:DZV4"/>
    <mergeCell ref="DZW4:DZY4"/>
    <mergeCell ref="DZZ4:EAB4"/>
    <mergeCell ref="EAC4:EAE4"/>
    <mergeCell ref="EAF4:EAH4"/>
    <mergeCell ref="EAI4:EAK4"/>
    <mergeCell ref="DZB4:DZD4"/>
    <mergeCell ref="DZE4:DZG4"/>
    <mergeCell ref="DZH4:DZJ4"/>
    <mergeCell ref="DZK4:DZM4"/>
    <mergeCell ref="DZN4:DZP4"/>
    <mergeCell ref="DZQ4:DZS4"/>
    <mergeCell ref="EGR4:EGT4"/>
    <mergeCell ref="EGU4:EGW4"/>
    <mergeCell ref="EGX4:EGZ4"/>
    <mergeCell ref="EHA4:EHC4"/>
    <mergeCell ref="EHD4:EHF4"/>
    <mergeCell ref="EHG4:EHI4"/>
    <mergeCell ref="EFZ4:EGB4"/>
    <mergeCell ref="EGC4:EGE4"/>
    <mergeCell ref="EGF4:EGH4"/>
    <mergeCell ref="EGI4:EGK4"/>
    <mergeCell ref="EGL4:EGN4"/>
    <mergeCell ref="EGO4:EGQ4"/>
    <mergeCell ref="EFH4:EFJ4"/>
    <mergeCell ref="EFK4:EFM4"/>
    <mergeCell ref="EFN4:EFP4"/>
    <mergeCell ref="EFQ4:EFS4"/>
    <mergeCell ref="EFT4:EFV4"/>
    <mergeCell ref="EFW4:EFY4"/>
    <mergeCell ref="EEP4:EER4"/>
    <mergeCell ref="EES4:EEU4"/>
    <mergeCell ref="EEV4:EEX4"/>
    <mergeCell ref="EEY4:EFA4"/>
    <mergeCell ref="EFB4:EFD4"/>
    <mergeCell ref="EFE4:EFG4"/>
    <mergeCell ref="EDX4:EDZ4"/>
    <mergeCell ref="EEA4:EEC4"/>
    <mergeCell ref="EED4:EEF4"/>
    <mergeCell ref="EEG4:EEI4"/>
    <mergeCell ref="EEJ4:EEL4"/>
    <mergeCell ref="EEM4:EEO4"/>
    <mergeCell ref="EDF4:EDH4"/>
    <mergeCell ref="EDI4:EDK4"/>
    <mergeCell ref="EDL4:EDN4"/>
    <mergeCell ref="EDO4:EDQ4"/>
    <mergeCell ref="EDR4:EDT4"/>
    <mergeCell ref="EDU4:EDW4"/>
    <mergeCell ref="EKV4:EKX4"/>
    <mergeCell ref="EKY4:ELA4"/>
    <mergeCell ref="ELB4:ELD4"/>
    <mergeCell ref="ELE4:ELG4"/>
    <mergeCell ref="ELH4:ELJ4"/>
    <mergeCell ref="ELK4:ELM4"/>
    <mergeCell ref="EKD4:EKF4"/>
    <mergeCell ref="EKG4:EKI4"/>
    <mergeCell ref="EKJ4:EKL4"/>
    <mergeCell ref="EKM4:EKO4"/>
    <mergeCell ref="EKP4:EKR4"/>
    <mergeCell ref="EKS4:EKU4"/>
    <mergeCell ref="EJL4:EJN4"/>
    <mergeCell ref="EJO4:EJQ4"/>
    <mergeCell ref="EJR4:EJT4"/>
    <mergeCell ref="EJU4:EJW4"/>
    <mergeCell ref="EJX4:EJZ4"/>
    <mergeCell ref="EKA4:EKC4"/>
    <mergeCell ref="EIT4:EIV4"/>
    <mergeCell ref="EIW4:EIY4"/>
    <mergeCell ref="EIZ4:EJB4"/>
    <mergeCell ref="EJC4:EJE4"/>
    <mergeCell ref="EJF4:EJH4"/>
    <mergeCell ref="EJI4:EJK4"/>
    <mergeCell ref="EIB4:EID4"/>
    <mergeCell ref="EIE4:EIG4"/>
    <mergeCell ref="EIH4:EIJ4"/>
    <mergeCell ref="EIK4:EIM4"/>
    <mergeCell ref="EIN4:EIP4"/>
    <mergeCell ref="EIQ4:EIS4"/>
    <mergeCell ref="EHJ4:EHL4"/>
    <mergeCell ref="EHM4:EHO4"/>
    <mergeCell ref="EHP4:EHR4"/>
    <mergeCell ref="EHS4:EHU4"/>
    <mergeCell ref="EHV4:EHX4"/>
    <mergeCell ref="EHY4:EIA4"/>
    <mergeCell ref="EOZ4:EPB4"/>
    <mergeCell ref="EPC4:EPE4"/>
    <mergeCell ref="EPF4:EPH4"/>
    <mergeCell ref="EPI4:EPK4"/>
    <mergeCell ref="EPL4:EPN4"/>
    <mergeCell ref="EPO4:EPQ4"/>
    <mergeCell ref="EOH4:EOJ4"/>
    <mergeCell ref="EOK4:EOM4"/>
    <mergeCell ref="EON4:EOP4"/>
    <mergeCell ref="EOQ4:EOS4"/>
    <mergeCell ref="EOT4:EOV4"/>
    <mergeCell ref="EOW4:EOY4"/>
    <mergeCell ref="ENP4:ENR4"/>
    <mergeCell ref="ENS4:ENU4"/>
    <mergeCell ref="ENV4:ENX4"/>
    <mergeCell ref="ENY4:EOA4"/>
    <mergeCell ref="EOB4:EOD4"/>
    <mergeCell ref="EOE4:EOG4"/>
    <mergeCell ref="EMX4:EMZ4"/>
    <mergeCell ref="ENA4:ENC4"/>
    <mergeCell ref="END4:ENF4"/>
    <mergeCell ref="ENG4:ENI4"/>
    <mergeCell ref="ENJ4:ENL4"/>
    <mergeCell ref="ENM4:ENO4"/>
    <mergeCell ref="EMF4:EMH4"/>
    <mergeCell ref="EMI4:EMK4"/>
    <mergeCell ref="EML4:EMN4"/>
    <mergeCell ref="EMO4:EMQ4"/>
    <mergeCell ref="EMR4:EMT4"/>
    <mergeCell ref="EMU4:EMW4"/>
    <mergeCell ref="ELN4:ELP4"/>
    <mergeCell ref="ELQ4:ELS4"/>
    <mergeCell ref="ELT4:ELV4"/>
    <mergeCell ref="ELW4:ELY4"/>
    <mergeCell ref="ELZ4:EMB4"/>
    <mergeCell ref="EMC4:EME4"/>
    <mergeCell ref="ETD4:ETF4"/>
    <mergeCell ref="ETG4:ETI4"/>
    <mergeCell ref="ETJ4:ETL4"/>
    <mergeCell ref="ETM4:ETO4"/>
    <mergeCell ref="ETP4:ETR4"/>
    <mergeCell ref="ETS4:ETU4"/>
    <mergeCell ref="ESL4:ESN4"/>
    <mergeCell ref="ESO4:ESQ4"/>
    <mergeCell ref="ESR4:EST4"/>
    <mergeCell ref="ESU4:ESW4"/>
    <mergeCell ref="ESX4:ESZ4"/>
    <mergeCell ref="ETA4:ETC4"/>
    <mergeCell ref="ERT4:ERV4"/>
    <mergeCell ref="ERW4:ERY4"/>
    <mergeCell ref="ERZ4:ESB4"/>
    <mergeCell ref="ESC4:ESE4"/>
    <mergeCell ref="ESF4:ESH4"/>
    <mergeCell ref="ESI4:ESK4"/>
    <mergeCell ref="ERB4:ERD4"/>
    <mergeCell ref="ERE4:ERG4"/>
    <mergeCell ref="ERH4:ERJ4"/>
    <mergeCell ref="ERK4:ERM4"/>
    <mergeCell ref="ERN4:ERP4"/>
    <mergeCell ref="ERQ4:ERS4"/>
    <mergeCell ref="EQJ4:EQL4"/>
    <mergeCell ref="EQM4:EQO4"/>
    <mergeCell ref="EQP4:EQR4"/>
    <mergeCell ref="EQS4:EQU4"/>
    <mergeCell ref="EQV4:EQX4"/>
    <mergeCell ref="EQY4:ERA4"/>
    <mergeCell ref="EPR4:EPT4"/>
    <mergeCell ref="EPU4:EPW4"/>
    <mergeCell ref="EPX4:EPZ4"/>
    <mergeCell ref="EQA4:EQC4"/>
    <mergeCell ref="EQD4:EQF4"/>
    <mergeCell ref="EQG4:EQI4"/>
    <mergeCell ref="EXH4:EXJ4"/>
    <mergeCell ref="EXK4:EXM4"/>
    <mergeCell ref="EXN4:EXP4"/>
    <mergeCell ref="EXQ4:EXS4"/>
    <mergeCell ref="EXT4:EXV4"/>
    <mergeCell ref="EXW4:EXY4"/>
    <mergeCell ref="EWP4:EWR4"/>
    <mergeCell ref="EWS4:EWU4"/>
    <mergeCell ref="EWV4:EWX4"/>
    <mergeCell ref="EWY4:EXA4"/>
    <mergeCell ref="EXB4:EXD4"/>
    <mergeCell ref="EXE4:EXG4"/>
    <mergeCell ref="EVX4:EVZ4"/>
    <mergeCell ref="EWA4:EWC4"/>
    <mergeCell ref="EWD4:EWF4"/>
    <mergeCell ref="EWG4:EWI4"/>
    <mergeCell ref="EWJ4:EWL4"/>
    <mergeCell ref="EWM4:EWO4"/>
    <mergeCell ref="EVF4:EVH4"/>
    <mergeCell ref="EVI4:EVK4"/>
    <mergeCell ref="EVL4:EVN4"/>
    <mergeCell ref="EVO4:EVQ4"/>
    <mergeCell ref="EVR4:EVT4"/>
    <mergeCell ref="EVU4:EVW4"/>
    <mergeCell ref="EUN4:EUP4"/>
    <mergeCell ref="EUQ4:EUS4"/>
    <mergeCell ref="EUT4:EUV4"/>
    <mergeCell ref="EUW4:EUY4"/>
    <mergeCell ref="EUZ4:EVB4"/>
    <mergeCell ref="EVC4:EVE4"/>
    <mergeCell ref="ETV4:ETX4"/>
    <mergeCell ref="ETY4:EUA4"/>
    <mergeCell ref="EUB4:EUD4"/>
    <mergeCell ref="EUE4:EUG4"/>
    <mergeCell ref="EUH4:EUJ4"/>
    <mergeCell ref="EUK4:EUM4"/>
    <mergeCell ref="FBL4:FBN4"/>
    <mergeCell ref="FBO4:FBQ4"/>
    <mergeCell ref="FBR4:FBT4"/>
    <mergeCell ref="FBU4:FBW4"/>
    <mergeCell ref="FBX4:FBZ4"/>
    <mergeCell ref="FCA4:FCC4"/>
    <mergeCell ref="FAT4:FAV4"/>
    <mergeCell ref="FAW4:FAY4"/>
    <mergeCell ref="FAZ4:FBB4"/>
    <mergeCell ref="FBC4:FBE4"/>
    <mergeCell ref="FBF4:FBH4"/>
    <mergeCell ref="FBI4:FBK4"/>
    <mergeCell ref="FAB4:FAD4"/>
    <mergeCell ref="FAE4:FAG4"/>
    <mergeCell ref="FAH4:FAJ4"/>
    <mergeCell ref="FAK4:FAM4"/>
    <mergeCell ref="FAN4:FAP4"/>
    <mergeCell ref="FAQ4:FAS4"/>
    <mergeCell ref="EZJ4:EZL4"/>
    <mergeCell ref="EZM4:EZO4"/>
    <mergeCell ref="EZP4:EZR4"/>
    <mergeCell ref="EZS4:EZU4"/>
    <mergeCell ref="EZV4:EZX4"/>
    <mergeCell ref="EZY4:FAA4"/>
    <mergeCell ref="EYR4:EYT4"/>
    <mergeCell ref="EYU4:EYW4"/>
    <mergeCell ref="EYX4:EYZ4"/>
    <mergeCell ref="EZA4:EZC4"/>
    <mergeCell ref="EZD4:EZF4"/>
    <mergeCell ref="EZG4:EZI4"/>
    <mergeCell ref="EXZ4:EYB4"/>
    <mergeCell ref="EYC4:EYE4"/>
    <mergeCell ref="EYF4:EYH4"/>
    <mergeCell ref="EYI4:EYK4"/>
    <mergeCell ref="EYL4:EYN4"/>
    <mergeCell ref="EYO4:EYQ4"/>
    <mergeCell ref="FFP4:FFR4"/>
    <mergeCell ref="FFS4:FFU4"/>
    <mergeCell ref="FFV4:FFX4"/>
    <mergeCell ref="FFY4:FGA4"/>
    <mergeCell ref="FGB4:FGD4"/>
    <mergeCell ref="FGE4:FGG4"/>
    <mergeCell ref="FEX4:FEZ4"/>
    <mergeCell ref="FFA4:FFC4"/>
    <mergeCell ref="FFD4:FFF4"/>
    <mergeCell ref="FFG4:FFI4"/>
    <mergeCell ref="FFJ4:FFL4"/>
    <mergeCell ref="FFM4:FFO4"/>
    <mergeCell ref="FEF4:FEH4"/>
    <mergeCell ref="FEI4:FEK4"/>
    <mergeCell ref="FEL4:FEN4"/>
    <mergeCell ref="FEO4:FEQ4"/>
    <mergeCell ref="FER4:FET4"/>
    <mergeCell ref="FEU4:FEW4"/>
    <mergeCell ref="FDN4:FDP4"/>
    <mergeCell ref="FDQ4:FDS4"/>
    <mergeCell ref="FDT4:FDV4"/>
    <mergeCell ref="FDW4:FDY4"/>
    <mergeCell ref="FDZ4:FEB4"/>
    <mergeCell ref="FEC4:FEE4"/>
    <mergeCell ref="FCV4:FCX4"/>
    <mergeCell ref="FCY4:FDA4"/>
    <mergeCell ref="FDB4:FDD4"/>
    <mergeCell ref="FDE4:FDG4"/>
    <mergeCell ref="FDH4:FDJ4"/>
    <mergeCell ref="FDK4:FDM4"/>
    <mergeCell ref="FCD4:FCF4"/>
    <mergeCell ref="FCG4:FCI4"/>
    <mergeCell ref="FCJ4:FCL4"/>
    <mergeCell ref="FCM4:FCO4"/>
    <mergeCell ref="FCP4:FCR4"/>
    <mergeCell ref="FCS4:FCU4"/>
    <mergeCell ref="FJT4:FJV4"/>
    <mergeCell ref="FJW4:FJY4"/>
    <mergeCell ref="FJZ4:FKB4"/>
    <mergeCell ref="FKC4:FKE4"/>
    <mergeCell ref="FKF4:FKH4"/>
    <mergeCell ref="FKI4:FKK4"/>
    <mergeCell ref="FJB4:FJD4"/>
    <mergeCell ref="FJE4:FJG4"/>
    <mergeCell ref="FJH4:FJJ4"/>
    <mergeCell ref="FJK4:FJM4"/>
    <mergeCell ref="FJN4:FJP4"/>
    <mergeCell ref="FJQ4:FJS4"/>
    <mergeCell ref="FIJ4:FIL4"/>
    <mergeCell ref="FIM4:FIO4"/>
    <mergeCell ref="FIP4:FIR4"/>
    <mergeCell ref="FIS4:FIU4"/>
    <mergeCell ref="FIV4:FIX4"/>
    <mergeCell ref="FIY4:FJA4"/>
    <mergeCell ref="FHR4:FHT4"/>
    <mergeCell ref="FHU4:FHW4"/>
    <mergeCell ref="FHX4:FHZ4"/>
    <mergeCell ref="FIA4:FIC4"/>
    <mergeCell ref="FID4:FIF4"/>
    <mergeCell ref="FIG4:FII4"/>
    <mergeCell ref="FGZ4:FHB4"/>
    <mergeCell ref="FHC4:FHE4"/>
    <mergeCell ref="FHF4:FHH4"/>
    <mergeCell ref="FHI4:FHK4"/>
    <mergeCell ref="FHL4:FHN4"/>
    <mergeCell ref="FHO4:FHQ4"/>
    <mergeCell ref="FGH4:FGJ4"/>
    <mergeCell ref="FGK4:FGM4"/>
    <mergeCell ref="FGN4:FGP4"/>
    <mergeCell ref="FGQ4:FGS4"/>
    <mergeCell ref="FGT4:FGV4"/>
    <mergeCell ref="FGW4:FGY4"/>
    <mergeCell ref="FNX4:FNZ4"/>
    <mergeCell ref="FOA4:FOC4"/>
    <mergeCell ref="FOD4:FOF4"/>
    <mergeCell ref="FOG4:FOI4"/>
    <mergeCell ref="FOJ4:FOL4"/>
    <mergeCell ref="FOM4:FOO4"/>
    <mergeCell ref="FNF4:FNH4"/>
    <mergeCell ref="FNI4:FNK4"/>
    <mergeCell ref="FNL4:FNN4"/>
    <mergeCell ref="FNO4:FNQ4"/>
    <mergeCell ref="FNR4:FNT4"/>
    <mergeCell ref="FNU4:FNW4"/>
    <mergeCell ref="FMN4:FMP4"/>
    <mergeCell ref="FMQ4:FMS4"/>
    <mergeCell ref="FMT4:FMV4"/>
    <mergeCell ref="FMW4:FMY4"/>
    <mergeCell ref="FMZ4:FNB4"/>
    <mergeCell ref="FNC4:FNE4"/>
    <mergeCell ref="FLV4:FLX4"/>
    <mergeCell ref="FLY4:FMA4"/>
    <mergeCell ref="FMB4:FMD4"/>
    <mergeCell ref="FME4:FMG4"/>
    <mergeCell ref="FMH4:FMJ4"/>
    <mergeCell ref="FMK4:FMM4"/>
    <mergeCell ref="FLD4:FLF4"/>
    <mergeCell ref="FLG4:FLI4"/>
    <mergeCell ref="FLJ4:FLL4"/>
    <mergeCell ref="FLM4:FLO4"/>
    <mergeCell ref="FLP4:FLR4"/>
    <mergeCell ref="FLS4:FLU4"/>
    <mergeCell ref="FKL4:FKN4"/>
    <mergeCell ref="FKO4:FKQ4"/>
    <mergeCell ref="FKR4:FKT4"/>
    <mergeCell ref="FKU4:FKW4"/>
    <mergeCell ref="FKX4:FKZ4"/>
    <mergeCell ref="FLA4:FLC4"/>
    <mergeCell ref="FSB4:FSD4"/>
    <mergeCell ref="FSE4:FSG4"/>
    <mergeCell ref="FSH4:FSJ4"/>
    <mergeCell ref="FSK4:FSM4"/>
    <mergeCell ref="FSN4:FSP4"/>
    <mergeCell ref="FSQ4:FSS4"/>
    <mergeCell ref="FRJ4:FRL4"/>
    <mergeCell ref="FRM4:FRO4"/>
    <mergeCell ref="FRP4:FRR4"/>
    <mergeCell ref="FRS4:FRU4"/>
    <mergeCell ref="FRV4:FRX4"/>
    <mergeCell ref="FRY4:FSA4"/>
    <mergeCell ref="FQR4:FQT4"/>
    <mergeCell ref="FQU4:FQW4"/>
    <mergeCell ref="FQX4:FQZ4"/>
    <mergeCell ref="FRA4:FRC4"/>
    <mergeCell ref="FRD4:FRF4"/>
    <mergeCell ref="FRG4:FRI4"/>
    <mergeCell ref="FPZ4:FQB4"/>
    <mergeCell ref="FQC4:FQE4"/>
    <mergeCell ref="FQF4:FQH4"/>
    <mergeCell ref="FQI4:FQK4"/>
    <mergeCell ref="FQL4:FQN4"/>
    <mergeCell ref="FQO4:FQQ4"/>
    <mergeCell ref="FPH4:FPJ4"/>
    <mergeCell ref="FPK4:FPM4"/>
    <mergeCell ref="FPN4:FPP4"/>
    <mergeCell ref="FPQ4:FPS4"/>
    <mergeCell ref="FPT4:FPV4"/>
    <mergeCell ref="FPW4:FPY4"/>
    <mergeCell ref="FOP4:FOR4"/>
    <mergeCell ref="FOS4:FOU4"/>
    <mergeCell ref="FOV4:FOX4"/>
    <mergeCell ref="FOY4:FPA4"/>
    <mergeCell ref="FPB4:FPD4"/>
    <mergeCell ref="FPE4:FPG4"/>
    <mergeCell ref="FWF4:FWH4"/>
    <mergeCell ref="FWI4:FWK4"/>
    <mergeCell ref="FWL4:FWN4"/>
    <mergeCell ref="FWO4:FWQ4"/>
    <mergeCell ref="FWR4:FWT4"/>
    <mergeCell ref="FWU4:FWW4"/>
    <mergeCell ref="FVN4:FVP4"/>
    <mergeCell ref="FVQ4:FVS4"/>
    <mergeCell ref="FVT4:FVV4"/>
    <mergeCell ref="FVW4:FVY4"/>
    <mergeCell ref="FVZ4:FWB4"/>
    <mergeCell ref="FWC4:FWE4"/>
    <mergeCell ref="FUV4:FUX4"/>
    <mergeCell ref="FUY4:FVA4"/>
    <mergeCell ref="FVB4:FVD4"/>
    <mergeCell ref="FVE4:FVG4"/>
    <mergeCell ref="FVH4:FVJ4"/>
    <mergeCell ref="FVK4:FVM4"/>
    <mergeCell ref="FUD4:FUF4"/>
    <mergeCell ref="FUG4:FUI4"/>
    <mergeCell ref="FUJ4:FUL4"/>
    <mergeCell ref="FUM4:FUO4"/>
    <mergeCell ref="FUP4:FUR4"/>
    <mergeCell ref="FUS4:FUU4"/>
    <mergeCell ref="FTL4:FTN4"/>
    <mergeCell ref="FTO4:FTQ4"/>
    <mergeCell ref="FTR4:FTT4"/>
    <mergeCell ref="FTU4:FTW4"/>
    <mergeCell ref="FTX4:FTZ4"/>
    <mergeCell ref="FUA4:FUC4"/>
    <mergeCell ref="FST4:FSV4"/>
    <mergeCell ref="FSW4:FSY4"/>
    <mergeCell ref="FSZ4:FTB4"/>
    <mergeCell ref="FTC4:FTE4"/>
    <mergeCell ref="FTF4:FTH4"/>
    <mergeCell ref="FTI4:FTK4"/>
    <mergeCell ref="GAJ4:GAL4"/>
    <mergeCell ref="GAM4:GAO4"/>
    <mergeCell ref="GAP4:GAR4"/>
    <mergeCell ref="GAS4:GAU4"/>
    <mergeCell ref="GAV4:GAX4"/>
    <mergeCell ref="GAY4:GBA4"/>
    <mergeCell ref="FZR4:FZT4"/>
    <mergeCell ref="FZU4:FZW4"/>
    <mergeCell ref="FZX4:FZZ4"/>
    <mergeCell ref="GAA4:GAC4"/>
    <mergeCell ref="GAD4:GAF4"/>
    <mergeCell ref="GAG4:GAI4"/>
    <mergeCell ref="FYZ4:FZB4"/>
    <mergeCell ref="FZC4:FZE4"/>
    <mergeCell ref="FZF4:FZH4"/>
    <mergeCell ref="FZI4:FZK4"/>
    <mergeCell ref="FZL4:FZN4"/>
    <mergeCell ref="FZO4:FZQ4"/>
    <mergeCell ref="FYH4:FYJ4"/>
    <mergeCell ref="FYK4:FYM4"/>
    <mergeCell ref="FYN4:FYP4"/>
    <mergeCell ref="FYQ4:FYS4"/>
    <mergeCell ref="FYT4:FYV4"/>
    <mergeCell ref="FYW4:FYY4"/>
    <mergeCell ref="FXP4:FXR4"/>
    <mergeCell ref="FXS4:FXU4"/>
    <mergeCell ref="FXV4:FXX4"/>
    <mergeCell ref="FXY4:FYA4"/>
    <mergeCell ref="FYB4:FYD4"/>
    <mergeCell ref="FYE4:FYG4"/>
    <mergeCell ref="FWX4:FWZ4"/>
    <mergeCell ref="FXA4:FXC4"/>
    <mergeCell ref="FXD4:FXF4"/>
    <mergeCell ref="FXG4:FXI4"/>
    <mergeCell ref="FXJ4:FXL4"/>
    <mergeCell ref="FXM4:FXO4"/>
    <mergeCell ref="GEN4:GEP4"/>
    <mergeCell ref="GEQ4:GES4"/>
    <mergeCell ref="GET4:GEV4"/>
    <mergeCell ref="GEW4:GEY4"/>
    <mergeCell ref="GEZ4:GFB4"/>
    <mergeCell ref="GFC4:GFE4"/>
    <mergeCell ref="GDV4:GDX4"/>
    <mergeCell ref="GDY4:GEA4"/>
    <mergeCell ref="GEB4:GED4"/>
    <mergeCell ref="GEE4:GEG4"/>
    <mergeCell ref="GEH4:GEJ4"/>
    <mergeCell ref="GEK4:GEM4"/>
    <mergeCell ref="GDD4:GDF4"/>
    <mergeCell ref="GDG4:GDI4"/>
    <mergeCell ref="GDJ4:GDL4"/>
    <mergeCell ref="GDM4:GDO4"/>
    <mergeCell ref="GDP4:GDR4"/>
    <mergeCell ref="GDS4:GDU4"/>
    <mergeCell ref="GCL4:GCN4"/>
    <mergeCell ref="GCO4:GCQ4"/>
    <mergeCell ref="GCR4:GCT4"/>
    <mergeCell ref="GCU4:GCW4"/>
    <mergeCell ref="GCX4:GCZ4"/>
    <mergeCell ref="GDA4:GDC4"/>
    <mergeCell ref="GBT4:GBV4"/>
    <mergeCell ref="GBW4:GBY4"/>
    <mergeCell ref="GBZ4:GCB4"/>
    <mergeCell ref="GCC4:GCE4"/>
    <mergeCell ref="GCF4:GCH4"/>
    <mergeCell ref="GCI4:GCK4"/>
    <mergeCell ref="GBB4:GBD4"/>
    <mergeCell ref="GBE4:GBG4"/>
    <mergeCell ref="GBH4:GBJ4"/>
    <mergeCell ref="GBK4:GBM4"/>
    <mergeCell ref="GBN4:GBP4"/>
    <mergeCell ref="GBQ4:GBS4"/>
    <mergeCell ref="GIR4:GIT4"/>
    <mergeCell ref="GIU4:GIW4"/>
    <mergeCell ref="GIX4:GIZ4"/>
    <mergeCell ref="GJA4:GJC4"/>
    <mergeCell ref="GJD4:GJF4"/>
    <mergeCell ref="GJG4:GJI4"/>
    <mergeCell ref="GHZ4:GIB4"/>
    <mergeCell ref="GIC4:GIE4"/>
    <mergeCell ref="GIF4:GIH4"/>
    <mergeCell ref="GII4:GIK4"/>
    <mergeCell ref="GIL4:GIN4"/>
    <mergeCell ref="GIO4:GIQ4"/>
    <mergeCell ref="GHH4:GHJ4"/>
    <mergeCell ref="GHK4:GHM4"/>
    <mergeCell ref="GHN4:GHP4"/>
    <mergeCell ref="GHQ4:GHS4"/>
    <mergeCell ref="GHT4:GHV4"/>
    <mergeCell ref="GHW4:GHY4"/>
    <mergeCell ref="GGP4:GGR4"/>
    <mergeCell ref="GGS4:GGU4"/>
    <mergeCell ref="GGV4:GGX4"/>
    <mergeCell ref="GGY4:GHA4"/>
    <mergeCell ref="GHB4:GHD4"/>
    <mergeCell ref="GHE4:GHG4"/>
    <mergeCell ref="GFX4:GFZ4"/>
    <mergeCell ref="GGA4:GGC4"/>
    <mergeCell ref="GGD4:GGF4"/>
    <mergeCell ref="GGG4:GGI4"/>
    <mergeCell ref="GGJ4:GGL4"/>
    <mergeCell ref="GGM4:GGO4"/>
    <mergeCell ref="GFF4:GFH4"/>
    <mergeCell ref="GFI4:GFK4"/>
    <mergeCell ref="GFL4:GFN4"/>
    <mergeCell ref="GFO4:GFQ4"/>
    <mergeCell ref="GFR4:GFT4"/>
    <mergeCell ref="GFU4:GFW4"/>
    <mergeCell ref="GMV4:GMX4"/>
    <mergeCell ref="GMY4:GNA4"/>
    <mergeCell ref="GNB4:GND4"/>
    <mergeCell ref="GNE4:GNG4"/>
    <mergeCell ref="GNH4:GNJ4"/>
    <mergeCell ref="GNK4:GNM4"/>
    <mergeCell ref="GMD4:GMF4"/>
    <mergeCell ref="GMG4:GMI4"/>
    <mergeCell ref="GMJ4:GML4"/>
    <mergeCell ref="GMM4:GMO4"/>
    <mergeCell ref="GMP4:GMR4"/>
    <mergeCell ref="GMS4:GMU4"/>
    <mergeCell ref="GLL4:GLN4"/>
    <mergeCell ref="GLO4:GLQ4"/>
    <mergeCell ref="GLR4:GLT4"/>
    <mergeCell ref="GLU4:GLW4"/>
    <mergeCell ref="GLX4:GLZ4"/>
    <mergeCell ref="GMA4:GMC4"/>
    <mergeCell ref="GKT4:GKV4"/>
    <mergeCell ref="GKW4:GKY4"/>
    <mergeCell ref="GKZ4:GLB4"/>
    <mergeCell ref="GLC4:GLE4"/>
    <mergeCell ref="GLF4:GLH4"/>
    <mergeCell ref="GLI4:GLK4"/>
    <mergeCell ref="GKB4:GKD4"/>
    <mergeCell ref="GKE4:GKG4"/>
    <mergeCell ref="GKH4:GKJ4"/>
    <mergeCell ref="GKK4:GKM4"/>
    <mergeCell ref="GKN4:GKP4"/>
    <mergeCell ref="GKQ4:GKS4"/>
    <mergeCell ref="GJJ4:GJL4"/>
    <mergeCell ref="GJM4:GJO4"/>
    <mergeCell ref="GJP4:GJR4"/>
    <mergeCell ref="GJS4:GJU4"/>
    <mergeCell ref="GJV4:GJX4"/>
    <mergeCell ref="GJY4:GKA4"/>
    <mergeCell ref="GQZ4:GRB4"/>
    <mergeCell ref="GRC4:GRE4"/>
    <mergeCell ref="GRF4:GRH4"/>
    <mergeCell ref="GRI4:GRK4"/>
    <mergeCell ref="GRL4:GRN4"/>
    <mergeCell ref="GRO4:GRQ4"/>
    <mergeCell ref="GQH4:GQJ4"/>
    <mergeCell ref="GQK4:GQM4"/>
    <mergeCell ref="GQN4:GQP4"/>
    <mergeCell ref="GQQ4:GQS4"/>
    <mergeCell ref="GQT4:GQV4"/>
    <mergeCell ref="GQW4:GQY4"/>
    <mergeCell ref="GPP4:GPR4"/>
    <mergeCell ref="GPS4:GPU4"/>
    <mergeCell ref="GPV4:GPX4"/>
    <mergeCell ref="GPY4:GQA4"/>
    <mergeCell ref="GQB4:GQD4"/>
    <mergeCell ref="GQE4:GQG4"/>
    <mergeCell ref="GOX4:GOZ4"/>
    <mergeCell ref="GPA4:GPC4"/>
    <mergeCell ref="GPD4:GPF4"/>
    <mergeCell ref="GPG4:GPI4"/>
    <mergeCell ref="GPJ4:GPL4"/>
    <mergeCell ref="GPM4:GPO4"/>
    <mergeCell ref="GOF4:GOH4"/>
    <mergeCell ref="GOI4:GOK4"/>
    <mergeCell ref="GOL4:GON4"/>
    <mergeCell ref="GOO4:GOQ4"/>
    <mergeCell ref="GOR4:GOT4"/>
    <mergeCell ref="GOU4:GOW4"/>
    <mergeCell ref="GNN4:GNP4"/>
    <mergeCell ref="GNQ4:GNS4"/>
    <mergeCell ref="GNT4:GNV4"/>
    <mergeCell ref="GNW4:GNY4"/>
    <mergeCell ref="GNZ4:GOB4"/>
    <mergeCell ref="GOC4:GOE4"/>
    <mergeCell ref="GVD4:GVF4"/>
    <mergeCell ref="GVG4:GVI4"/>
    <mergeCell ref="GVJ4:GVL4"/>
    <mergeCell ref="GVM4:GVO4"/>
    <mergeCell ref="GVP4:GVR4"/>
    <mergeCell ref="GVS4:GVU4"/>
    <mergeCell ref="GUL4:GUN4"/>
    <mergeCell ref="GUO4:GUQ4"/>
    <mergeCell ref="GUR4:GUT4"/>
    <mergeCell ref="GUU4:GUW4"/>
    <mergeCell ref="GUX4:GUZ4"/>
    <mergeCell ref="GVA4:GVC4"/>
    <mergeCell ref="GTT4:GTV4"/>
    <mergeCell ref="GTW4:GTY4"/>
    <mergeCell ref="GTZ4:GUB4"/>
    <mergeCell ref="GUC4:GUE4"/>
    <mergeCell ref="GUF4:GUH4"/>
    <mergeCell ref="GUI4:GUK4"/>
    <mergeCell ref="GTB4:GTD4"/>
    <mergeCell ref="GTE4:GTG4"/>
    <mergeCell ref="GTH4:GTJ4"/>
    <mergeCell ref="GTK4:GTM4"/>
    <mergeCell ref="GTN4:GTP4"/>
    <mergeCell ref="GTQ4:GTS4"/>
    <mergeCell ref="GSJ4:GSL4"/>
    <mergeCell ref="GSM4:GSO4"/>
    <mergeCell ref="GSP4:GSR4"/>
    <mergeCell ref="GSS4:GSU4"/>
    <mergeCell ref="GSV4:GSX4"/>
    <mergeCell ref="GSY4:GTA4"/>
    <mergeCell ref="GRR4:GRT4"/>
    <mergeCell ref="GRU4:GRW4"/>
    <mergeCell ref="GRX4:GRZ4"/>
    <mergeCell ref="GSA4:GSC4"/>
    <mergeCell ref="GSD4:GSF4"/>
    <mergeCell ref="GSG4:GSI4"/>
    <mergeCell ref="GZH4:GZJ4"/>
    <mergeCell ref="GZK4:GZM4"/>
    <mergeCell ref="GZN4:GZP4"/>
    <mergeCell ref="GZQ4:GZS4"/>
    <mergeCell ref="GZT4:GZV4"/>
    <mergeCell ref="GZW4:GZY4"/>
    <mergeCell ref="GYP4:GYR4"/>
    <mergeCell ref="GYS4:GYU4"/>
    <mergeCell ref="GYV4:GYX4"/>
    <mergeCell ref="GYY4:GZA4"/>
    <mergeCell ref="GZB4:GZD4"/>
    <mergeCell ref="GZE4:GZG4"/>
    <mergeCell ref="GXX4:GXZ4"/>
    <mergeCell ref="GYA4:GYC4"/>
    <mergeCell ref="GYD4:GYF4"/>
    <mergeCell ref="GYG4:GYI4"/>
    <mergeCell ref="GYJ4:GYL4"/>
    <mergeCell ref="GYM4:GYO4"/>
    <mergeCell ref="GXF4:GXH4"/>
    <mergeCell ref="GXI4:GXK4"/>
    <mergeCell ref="GXL4:GXN4"/>
    <mergeCell ref="GXO4:GXQ4"/>
    <mergeCell ref="GXR4:GXT4"/>
    <mergeCell ref="GXU4:GXW4"/>
    <mergeCell ref="GWN4:GWP4"/>
    <mergeCell ref="GWQ4:GWS4"/>
    <mergeCell ref="GWT4:GWV4"/>
    <mergeCell ref="GWW4:GWY4"/>
    <mergeCell ref="GWZ4:GXB4"/>
    <mergeCell ref="GXC4:GXE4"/>
    <mergeCell ref="GVV4:GVX4"/>
    <mergeCell ref="GVY4:GWA4"/>
    <mergeCell ref="GWB4:GWD4"/>
    <mergeCell ref="GWE4:GWG4"/>
    <mergeCell ref="GWH4:GWJ4"/>
    <mergeCell ref="GWK4:GWM4"/>
    <mergeCell ref="HDL4:HDN4"/>
    <mergeCell ref="HDO4:HDQ4"/>
    <mergeCell ref="HDR4:HDT4"/>
    <mergeCell ref="HDU4:HDW4"/>
    <mergeCell ref="HDX4:HDZ4"/>
    <mergeCell ref="HEA4:HEC4"/>
    <mergeCell ref="HCT4:HCV4"/>
    <mergeCell ref="HCW4:HCY4"/>
    <mergeCell ref="HCZ4:HDB4"/>
    <mergeCell ref="HDC4:HDE4"/>
    <mergeCell ref="HDF4:HDH4"/>
    <mergeCell ref="HDI4:HDK4"/>
    <mergeCell ref="HCB4:HCD4"/>
    <mergeCell ref="HCE4:HCG4"/>
    <mergeCell ref="HCH4:HCJ4"/>
    <mergeCell ref="HCK4:HCM4"/>
    <mergeCell ref="HCN4:HCP4"/>
    <mergeCell ref="HCQ4:HCS4"/>
    <mergeCell ref="HBJ4:HBL4"/>
    <mergeCell ref="HBM4:HBO4"/>
    <mergeCell ref="HBP4:HBR4"/>
    <mergeCell ref="HBS4:HBU4"/>
    <mergeCell ref="HBV4:HBX4"/>
    <mergeCell ref="HBY4:HCA4"/>
    <mergeCell ref="HAR4:HAT4"/>
    <mergeCell ref="HAU4:HAW4"/>
    <mergeCell ref="HAX4:HAZ4"/>
    <mergeCell ref="HBA4:HBC4"/>
    <mergeCell ref="HBD4:HBF4"/>
    <mergeCell ref="HBG4:HBI4"/>
    <mergeCell ref="GZZ4:HAB4"/>
    <mergeCell ref="HAC4:HAE4"/>
    <mergeCell ref="HAF4:HAH4"/>
    <mergeCell ref="HAI4:HAK4"/>
    <mergeCell ref="HAL4:HAN4"/>
    <mergeCell ref="HAO4:HAQ4"/>
    <mergeCell ref="HHP4:HHR4"/>
    <mergeCell ref="HHS4:HHU4"/>
    <mergeCell ref="HHV4:HHX4"/>
    <mergeCell ref="HHY4:HIA4"/>
    <mergeCell ref="HIB4:HID4"/>
    <mergeCell ref="HIE4:HIG4"/>
    <mergeCell ref="HGX4:HGZ4"/>
    <mergeCell ref="HHA4:HHC4"/>
    <mergeCell ref="HHD4:HHF4"/>
    <mergeCell ref="HHG4:HHI4"/>
    <mergeCell ref="HHJ4:HHL4"/>
    <mergeCell ref="HHM4:HHO4"/>
    <mergeCell ref="HGF4:HGH4"/>
    <mergeCell ref="HGI4:HGK4"/>
    <mergeCell ref="HGL4:HGN4"/>
    <mergeCell ref="HGO4:HGQ4"/>
    <mergeCell ref="HGR4:HGT4"/>
    <mergeCell ref="HGU4:HGW4"/>
    <mergeCell ref="HFN4:HFP4"/>
    <mergeCell ref="HFQ4:HFS4"/>
    <mergeCell ref="HFT4:HFV4"/>
    <mergeCell ref="HFW4:HFY4"/>
    <mergeCell ref="HFZ4:HGB4"/>
    <mergeCell ref="HGC4:HGE4"/>
    <mergeCell ref="HEV4:HEX4"/>
    <mergeCell ref="HEY4:HFA4"/>
    <mergeCell ref="HFB4:HFD4"/>
    <mergeCell ref="HFE4:HFG4"/>
    <mergeCell ref="HFH4:HFJ4"/>
    <mergeCell ref="HFK4:HFM4"/>
    <mergeCell ref="HED4:HEF4"/>
    <mergeCell ref="HEG4:HEI4"/>
    <mergeCell ref="HEJ4:HEL4"/>
    <mergeCell ref="HEM4:HEO4"/>
    <mergeCell ref="HEP4:HER4"/>
    <mergeCell ref="HES4:HEU4"/>
    <mergeCell ref="HLT4:HLV4"/>
    <mergeCell ref="HLW4:HLY4"/>
    <mergeCell ref="HLZ4:HMB4"/>
    <mergeCell ref="HMC4:HME4"/>
    <mergeCell ref="HMF4:HMH4"/>
    <mergeCell ref="HMI4:HMK4"/>
    <mergeCell ref="HLB4:HLD4"/>
    <mergeCell ref="HLE4:HLG4"/>
    <mergeCell ref="HLH4:HLJ4"/>
    <mergeCell ref="HLK4:HLM4"/>
    <mergeCell ref="HLN4:HLP4"/>
    <mergeCell ref="HLQ4:HLS4"/>
    <mergeCell ref="HKJ4:HKL4"/>
    <mergeCell ref="HKM4:HKO4"/>
    <mergeCell ref="HKP4:HKR4"/>
    <mergeCell ref="HKS4:HKU4"/>
    <mergeCell ref="HKV4:HKX4"/>
    <mergeCell ref="HKY4:HLA4"/>
    <mergeCell ref="HJR4:HJT4"/>
    <mergeCell ref="HJU4:HJW4"/>
    <mergeCell ref="HJX4:HJZ4"/>
    <mergeCell ref="HKA4:HKC4"/>
    <mergeCell ref="HKD4:HKF4"/>
    <mergeCell ref="HKG4:HKI4"/>
    <mergeCell ref="HIZ4:HJB4"/>
    <mergeCell ref="HJC4:HJE4"/>
    <mergeCell ref="HJF4:HJH4"/>
    <mergeCell ref="HJI4:HJK4"/>
    <mergeCell ref="HJL4:HJN4"/>
    <mergeCell ref="HJO4:HJQ4"/>
    <mergeCell ref="HIH4:HIJ4"/>
    <mergeCell ref="HIK4:HIM4"/>
    <mergeCell ref="HIN4:HIP4"/>
    <mergeCell ref="HIQ4:HIS4"/>
    <mergeCell ref="HIT4:HIV4"/>
    <mergeCell ref="HIW4:HIY4"/>
    <mergeCell ref="HPX4:HPZ4"/>
    <mergeCell ref="HQA4:HQC4"/>
    <mergeCell ref="HQD4:HQF4"/>
    <mergeCell ref="HQG4:HQI4"/>
    <mergeCell ref="HQJ4:HQL4"/>
    <mergeCell ref="HQM4:HQO4"/>
    <mergeCell ref="HPF4:HPH4"/>
    <mergeCell ref="HPI4:HPK4"/>
    <mergeCell ref="HPL4:HPN4"/>
    <mergeCell ref="HPO4:HPQ4"/>
    <mergeCell ref="HPR4:HPT4"/>
    <mergeCell ref="HPU4:HPW4"/>
    <mergeCell ref="HON4:HOP4"/>
    <mergeCell ref="HOQ4:HOS4"/>
    <mergeCell ref="HOT4:HOV4"/>
    <mergeCell ref="HOW4:HOY4"/>
    <mergeCell ref="HOZ4:HPB4"/>
    <mergeCell ref="HPC4:HPE4"/>
    <mergeCell ref="HNV4:HNX4"/>
    <mergeCell ref="HNY4:HOA4"/>
    <mergeCell ref="HOB4:HOD4"/>
    <mergeCell ref="HOE4:HOG4"/>
    <mergeCell ref="HOH4:HOJ4"/>
    <mergeCell ref="HOK4:HOM4"/>
    <mergeCell ref="HND4:HNF4"/>
    <mergeCell ref="HNG4:HNI4"/>
    <mergeCell ref="HNJ4:HNL4"/>
    <mergeCell ref="HNM4:HNO4"/>
    <mergeCell ref="HNP4:HNR4"/>
    <mergeCell ref="HNS4:HNU4"/>
    <mergeCell ref="HML4:HMN4"/>
    <mergeCell ref="HMO4:HMQ4"/>
    <mergeCell ref="HMR4:HMT4"/>
    <mergeCell ref="HMU4:HMW4"/>
    <mergeCell ref="HMX4:HMZ4"/>
    <mergeCell ref="HNA4:HNC4"/>
    <mergeCell ref="HUB4:HUD4"/>
    <mergeCell ref="HUE4:HUG4"/>
    <mergeCell ref="HUH4:HUJ4"/>
    <mergeCell ref="HUK4:HUM4"/>
    <mergeCell ref="HUN4:HUP4"/>
    <mergeCell ref="HUQ4:HUS4"/>
    <mergeCell ref="HTJ4:HTL4"/>
    <mergeCell ref="HTM4:HTO4"/>
    <mergeCell ref="HTP4:HTR4"/>
    <mergeCell ref="HTS4:HTU4"/>
    <mergeCell ref="HTV4:HTX4"/>
    <mergeCell ref="HTY4:HUA4"/>
    <mergeCell ref="HSR4:HST4"/>
    <mergeCell ref="HSU4:HSW4"/>
    <mergeCell ref="HSX4:HSZ4"/>
    <mergeCell ref="HTA4:HTC4"/>
    <mergeCell ref="HTD4:HTF4"/>
    <mergeCell ref="HTG4:HTI4"/>
    <mergeCell ref="HRZ4:HSB4"/>
    <mergeCell ref="HSC4:HSE4"/>
    <mergeCell ref="HSF4:HSH4"/>
    <mergeCell ref="HSI4:HSK4"/>
    <mergeCell ref="HSL4:HSN4"/>
    <mergeCell ref="HSO4:HSQ4"/>
    <mergeCell ref="HRH4:HRJ4"/>
    <mergeCell ref="HRK4:HRM4"/>
    <mergeCell ref="HRN4:HRP4"/>
    <mergeCell ref="HRQ4:HRS4"/>
    <mergeCell ref="HRT4:HRV4"/>
    <mergeCell ref="HRW4:HRY4"/>
    <mergeCell ref="HQP4:HQR4"/>
    <mergeCell ref="HQS4:HQU4"/>
    <mergeCell ref="HQV4:HQX4"/>
    <mergeCell ref="HQY4:HRA4"/>
    <mergeCell ref="HRB4:HRD4"/>
    <mergeCell ref="HRE4:HRG4"/>
    <mergeCell ref="HYF4:HYH4"/>
    <mergeCell ref="HYI4:HYK4"/>
    <mergeCell ref="HYL4:HYN4"/>
    <mergeCell ref="HYO4:HYQ4"/>
    <mergeCell ref="HYR4:HYT4"/>
    <mergeCell ref="HYU4:HYW4"/>
    <mergeCell ref="HXN4:HXP4"/>
    <mergeCell ref="HXQ4:HXS4"/>
    <mergeCell ref="HXT4:HXV4"/>
    <mergeCell ref="HXW4:HXY4"/>
    <mergeCell ref="HXZ4:HYB4"/>
    <mergeCell ref="HYC4:HYE4"/>
    <mergeCell ref="HWV4:HWX4"/>
    <mergeCell ref="HWY4:HXA4"/>
    <mergeCell ref="HXB4:HXD4"/>
    <mergeCell ref="HXE4:HXG4"/>
    <mergeCell ref="HXH4:HXJ4"/>
    <mergeCell ref="HXK4:HXM4"/>
    <mergeCell ref="HWD4:HWF4"/>
    <mergeCell ref="HWG4:HWI4"/>
    <mergeCell ref="HWJ4:HWL4"/>
    <mergeCell ref="HWM4:HWO4"/>
    <mergeCell ref="HWP4:HWR4"/>
    <mergeCell ref="HWS4:HWU4"/>
    <mergeCell ref="HVL4:HVN4"/>
    <mergeCell ref="HVO4:HVQ4"/>
    <mergeCell ref="HVR4:HVT4"/>
    <mergeCell ref="HVU4:HVW4"/>
    <mergeCell ref="HVX4:HVZ4"/>
    <mergeCell ref="HWA4:HWC4"/>
    <mergeCell ref="HUT4:HUV4"/>
    <mergeCell ref="HUW4:HUY4"/>
    <mergeCell ref="HUZ4:HVB4"/>
    <mergeCell ref="HVC4:HVE4"/>
    <mergeCell ref="HVF4:HVH4"/>
    <mergeCell ref="HVI4:HVK4"/>
    <mergeCell ref="ICJ4:ICL4"/>
    <mergeCell ref="ICM4:ICO4"/>
    <mergeCell ref="ICP4:ICR4"/>
    <mergeCell ref="ICS4:ICU4"/>
    <mergeCell ref="ICV4:ICX4"/>
    <mergeCell ref="ICY4:IDA4"/>
    <mergeCell ref="IBR4:IBT4"/>
    <mergeCell ref="IBU4:IBW4"/>
    <mergeCell ref="IBX4:IBZ4"/>
    <mergeCell ref="ICA4:ICC4"/>
    <mergeCell ref="ICD4:ICF4"/>
    <mergeCell ref="ICG4:ICI4"/>
    <mergeCell ref="IAZ4:IBB4"/>
    <mergeCell ref="IBC4:IBE4"/>
    <mergeCell ref="IBF4:IBH4"/>
    <mergeCell ref="IBI4:IBK4"/>
    <mergeCell ref="IBL4:IBN4"/>
    <mergeCell ref="IBO4:IBQ4"/>
    <mergeCell ref="IAH4:IAJ4"/>
    <mergeCell ref="IAK4:IAM4"/>
    <mergeCell ref="IAN4:IAP4"/>
    <mergeCell ref="IAQ4:IAS4"/>
    <mergeCell ref="IAT4:IAV4"/>
    <mergeCell ref="IAW4:IAY4"/>
    <mergeCell ref="HZP4:HZR4"/>
    <mergeCell ref="HZS4:HZU4"/>
    <mergeCell ref="HZV4:HZX4"/>
    <mergeCell ref="HZY4:IAA4"/>
    <mergeCell ref="IAB4:IAD4"/>
    <mergeCell ref="IAE4:IAG4"/>
    <mergeCell ref="HYX4:HYZ4"/>
    <mergeCell ref="HZA4:HZC4"/>
    <mergeCell ref="HZD4:HZF4"/>
    <mergeCell ref="HZG4:HZI4"/>
    <mergeCell ref="HZJ4:HZL4"/>
    <mergeCell ref="HZM4:HZO4"/>
    <mergeCell ref="IGN4:IGP4"/>
    <mergeCell ref="IGQ4:IGS4"/>
    <mergeCell ref="IGT4:IGV4"/>
    <mergeCell ref="IGW4:IGY4"/>
    <mergeCell ref="IGZ4:IHB4"/>
    <mergeCell ref="IHC4:IHE4"/>
    <mergeCell ref="IFV4:IFX4"/>
    <mergeCell ref="IFY4:IGA4"/>
    <mergeCell ref="IGB4:IGD4"/>
    <mergeCell ref="IGE4:IGG4"/>
    <mergeCell ref="IGH4:IGJ4"/>
    <mergeCell ref="IGK4:IGM4"/>
    <mergeCell ref="IFD4:IFF4"/>
    <mergeCell ref="IFG4:IFI4"/>
    <mergeCell ref="IFJ4:IFL4"/>
    <mergeCell ref="IFM4:IFO4"/>
    <mergeCell ref="IFP4:IFR4"/>
    <mergeCell ref="IFS4:IFU4"/>
    <mergeCell ref="IEL4:IEN4"/>
    <mergeCell ref="IEO4:IEQ4"/>
    <mergeCell ref="IER4:IET4"/>
    <mergeCell ref="IEU4:IEW4"/>
    <mergeCell ref="IEX4:IEZ4"/>
    <mergeCell ref="IFA4:IFC4"/>
    <mergeCell ref="IDT4:IDV4"/>
    <mergeCell ref="IDW4:IDY4"/>
    <mergeCell ref="IDZ4:IEB4"/>
    <mergeCell ref="IEC4:IEE4"/>
    <mergeCell ref="IEF4:IEH4"/>
    <mergeCell ref="IEI4:IEK4"/>
    <mergeCell ref="IDB4:IDD4"/>
    <mergeCell ref="IDE4:IDG4"/>
    <mergeCell ref="IDH4:IDJ4"/>
    <mergeCell ref="IDK4:IDM4"/>
    <mergeCell ref="IDN4:IDP4"/>
    <mergeCell ref="IDQ4:IDS4"/>
    <mergeCell ref="IKR4:IKT4"/>
    <mergeCell ref="IKU4:IKW4"/>
    <mergeCell ref="IKX4:IKZ4"/>
    <mergeCell ref="ILA4:ILC4"/>
    <mergeCell ref="ILD4:ILF4"/>
    <mergeCell ref="ILG4:ILI4"/>
    <mergeCell ref="IJZ4:IKB4"/>
    <mergeCell ref="IKC4:IKE4"/>
    <mergeCell ref="IKF4:IKH4"/>
    <mergeCell ref="IKI4:IKK4"/>
    <mergeCell ref="IKL4:IKN4"/>
    <mergeCell ref="IKO4:IKQ4"/>
    <mergeCell ref="IJH4:IJJ4"/>
    <mergeCell ref="IJK4:IJM4"/>
    <mergeCell ref="IJN4:IJP4"/>
    <mergeCell ref="IJQ4:IJS4"/>
    <mergeCell ref="IJT4:IJV4"/>
    <mergeCell ref="IJW4:IJY4"/>
    <mergeCell ref="IIP4:IIR4"/>
    <mergeCell ref="IIS4:IIU4"/>
    <mergeCell ref="IIV4:IIX4"/>
    <mergeCell ref="IIY4:IJA4"/>
    <mergeCell ref="IJB4:IJD4"/>
    <mergeCell ref="IJE4:IJG4"/>
    <mergeCell ref="IHX4:IHZ4"/>
    <mergeCell ref="IIA4:IIC4"/>
    <mergeCell ref="IID4:IIF4"/>
    <mergeCell ref="IIG4:III4"/>
    <mergeCell ref="IIJ4:IIL4"/>
    <mergeCell ref="IIM4:IIO4"/>
    <mergeCell ref="IHF4:IHH4"/>
    <mergeCell ref="IHI4:IHK4"/>
    <mergeCell ref="IHL4:IHN4"/>
    <mergeCell ref="IHO4:IHQ4"/>
    <mergeCell ref="IHR4:IHT4"/>
    <mergeCell ref="IHU4:IHW4"/>
    <mergeCell ref="IOV4:IOX4"/>
    <mergeCell ref="IOY4:IPA4"/>
    <mergeCell ref="IPB4:IPD4"/>
    <mergeCell ref="IPE4:IPG4"/>
    <mergeCell ref="IPH4:IPJ4"/>
    <mergeCell ref="IPK4:IPM4"/>
    <mergeCell ref="IOD4:IOF4"/>
    <mergeCell ref="IOG4:IOI4"/>
    <mergeCell ref="IOJ4:IOL4"/>
    <mergeCell ref="IOM4:IOO4"/>
    <mergeCell ref="IOP4:IOR4"/>
    <mergeCell ref="IOS4:IOU4"/>
    <mergeCell ref="INL4:INN4"/>
    <mergeCell ref="INO4:INQ4"/>
    <mergeCell ref="INR4:INT4"/>
    <mergeCell ref="INU4:INW4"/>
    <mergeCell ref="INX4:INZ4"/>
    <mergeCell ref="IOA4:IOC4"/>
    <mergeCell ref="IMT4:IMV4"/>
    <mergeCell ref="IMW4:IMY4"/>
    <mergeCell ref="IMZ4:INB4"/>
    <mergeCell ref="INC4:INE4"/>
    <mergeCell ref="INF4:INH4"/>
    <mergeCell ref="INI4:INK4"/>
    <mergeCell ref="IMB4:IMD4"/>
    <mergeCell ref="IME4:IMG4"/>
    <mergeCell ref="IMH4:IMJ4"/>
    <mergeCell ref="IMK4:IMM4"/>
    <mergeCell ref="IMN4:IMP4"/>
    <mergeCell ref="IMQ4:IMS4"/>
    <mergeCell ref="ILJ4:ILL4"/>
    <mergeCell ref="ILM4:ILO4"/>
    <mergeCell ref="ILP4:ILR4"/>
    <mergeCell ref="ILS4:ILU4"/>
    <mergeCell ref="ILV4:ILX4"/>
    <mergeCell ref="ILY4:IMA4"/>
    <mergeCell ref="ISZ4:ITB4"/>
    <mergeCell ref="ITC4:ITE4"/>
    <mergeCell ref="ITF4:ITH4"/>
    <mergeCell ref="ITI4:ITK4"/>
    <mergeCell ref="ITL4:ITN4"/>
    <mergeCell ref="ITO4:ITQ4"/>
    <mergeCell ref="ISH4:ISJ4"/>
    <mergeCell ref="ISK4:ISM4"/>
    <mergeCell ref="ISN4:ISP4"/>
    <mergeCell ref="ISQ4:ISS4"/>
    <mergeCell ref="IST4:ISV4"/>
    <mergeCell ref="ISW4:ISY4"/>
    <mergeCell ref="IRP4:IRR4"/>
    <mergeCell ref="IRS4:IRU4"/>
    <mergeCell ref="IRV4:IRX4"/>
    <mergeCell ref="IRY4:ISA4"/>
    <mergeCell ref="ISB4:ISD4"/>
    <mergeCell ref="ISE4:ISG4"/>
    <mergeCell ref="IQX4:IQZ4"/>
    <mergeCell ref="IRA4:IRC4"/>
    <mergeCell ref="IRD4:IRF4"/>
    <mergeCell ref="IRG4:IRI4"/>
    <mergeCell ref="IRJ4:IRL4"/>
    <mergeCell ref="IRM4:IRO4"/>
    <mergeCell ref="IQF4:IQH4"/>
    <mergeCell ref="IQI4:IQK4"/>
    <mergeCell ref="IQL4:IQN4"/>
    <mergeCell ref="IQO4:IQQ4"/>
    <mergeCell ref="IQR4:IQT4"/>
    <mergeCell ref="IQU4:IQW4"/>
    <mergeCell ref="IPN4:IPP4"/>
    <mergeCell ref="IPQ4:IPS4"/>
    <mergeCell ref="IPT4:IPV4"/>
    <mergeCell ref="IPW4:IPY4"/>
    <mergeCell ref="IPZ4:IQB4"/>
    <mergeCell ref="IQC4:IQE4"/>
    <mergeCell ref="IXD4:IXF4"/>
    <mergeCell ref="IXG4:IXI4"/>
    <mergeCell ref="IXJ4:IXL4"/>
    <mergeCell ref="IXM4:IXO4"/>
    <mergeCell ref="IXP4:IXR4"/>
    <mergeCell ref="IXS4:IXU4"/>
    <mergeCell ref="IWL4:IWN4"/>
    <mergeCell ref="IWO4:IWQ4"/>
    <mergeCell ref="IWR4:IWT4"/>
    <mergeCell ref="IWU4:IWW4"/>
    <mergeCell ref="IWX4:IWZ4"/>
    <mergeCell ref="IXA4:IXC4"/>
    <mergeCell ref="IVT4:IVV4"/>
    <mergeCell ref="IVW4:IVY4"/>
    <mergeCell ref="IVZ4:IWB4"/>
    <mergeCell ref="IWC4:IWE4"/>
    <mergeCell ref="IWF4:IWH4"/>
    <mergeCell ref="IWI4:IWK4"/>
    <mergeCell ref="IVB4:IVD4"/>
    <mergeCell ref="IVE4:IVG4"/>
    <mergeCell ref="IVH4:IVJ4"/>
    <mergeCell ref="IVK4:IVM4"/>
    <mergeCell ref="IVN4:IVP4"/>
    <mergeCell ref="IVQ4:IVS4"/>
    <mergeCell ref="IUJ4:IUL4"/>
    <mergeCell ref="IUM4:IUO4"/>
    <mergeCell ref="IUP4:IUR4"/>
    <mergeCell ref="IUS4:IUU4"/>
    <mergeCell ref="IUV4:IUX4"/>
    <mergeCell ref="IUY4:IVA4"/>
    <mergeCell ref="ITR4:ITT4"/>
    <mergeCell ref="ITU4:ITW4"/>
    <mergeCell ref="ITX4:ITZ4"/>
    <mergeCell ref="IUA4:IUC4"/>
    <mergeCell ref="IUD4:IUF4"/>
    <mergeCell ref="IUG4:IUI4"/>
    <mergeCell ref="JBH4:JBJ4"/>
    <mergeCell ref="JBK4:JBM4"/>
    <mergeCell ref="JBN4:JBP4"/>
    <mergeCell ref="JBQ4:JBS4"/>
    <mergeCell ref="JBT4:JBV4"/>
    <mergeCell ref="JBW4:JBY4"/>
    <mergeCell ref="JAP4:JAR4"/>
    <mergeCell ref="JAS4:JAU4"/>
    <mergeCell ref="JAV4:JAX4"/>
    <mergeCell ref="JAY4:JBA4"/>
    <mergeCell ref="JBB4:JBD4"/>
    <mergeCell ref="JBE4:JBG4"/>
    <mergeCell ref="IZX4:IZZ4"/>
    <mergeCell ref="JAA4:JAC4"/>
    <mergeCell ref="JAD4:JAF4"/>
    <mergeCell ref="JAG4:JAI4"/>
    <mergeCell ref="JAJ4:JAL4"/>
    <mergeCell ref="JAM4:JAO4"/>
    <mergeCell ref="IZF4:IZH4"/>
    <mergeCell ref="IZI4:IZK4"/>
    <mergeCell ref="IZL4:IZN4"/>
    <mergeCell ref="IZO4:IZQ4"/>
    <mergeCell ref="IZR4:IZT4"/>
    <mergeCell ref="IZU4:IZW4"/>
    <mergeCell ref="IYN4:IYP4"/>
    <mergeCell ref="IYQ4:IYS4"/>
    <mergeCell ref="IYT4:IYV4"/>
    <mergeCell ref="IYW4:IYY4"/>
    <mergeCell ref="IYZ4:IZB4"/>
    <mergeCell ref="IZC4:IZE4"/>
    <mergeCell ref="IXV4:IXX4"/>
    <mergeCell ref="IXY4:IYA4"/>
    <mergeCell ref="IYB4:IYD4"/>
    <mergeCell ref="IYE4:IYG4"/>
    <mergeCell ref="IYH4:IYJ4"/>
    <mergeCell ref="IYK4:IYM4"/>
    <mergeCell ref="JFL4:JFN4"/>
    <mergeCell ref="JFO4:JFQ4"/>
    <mergeCell ref="JFR4:JFT4"/>
    <mergeCell ref="JFU4:JFW4"/>
    <mergeCell ref="JFX4:JFZ4"/>
    <mergeCell ref="JGA4:JGC4"/>
    <mergeCell ref="JET4:JEV4"/>
    <mergeCell ref="JEW4:JEY4"/>
    <mergeCell ref="JEZ4:JFB4"/>
    <mergeCell ref="JFC4:JFE4"/>
    <mergeCell ref="JFF4:JFH4"/>
    <mergeCell ref="JFI4:JFK4"/>
    <mergeCell ref="JEB4:JED4"/>
    <mergeCell ref="JEE4:JEG4"/>
    <mergeCell ref="JEH4:JEJ4"/>
    <mergeCell ref="JEK4:JEM4"/>
    <mergeCell ref="JEN4:JEP4"/>
    <mergeCell ref="JEQ4:JES4"/>
    <mergeCell ref="JDJ4:JDL4"/>
    <mergeCell ref="JDM4:JDO4"/>
    <mergeCell ref="JDP4:JDR4"/>
    <mergeCell ref="JDS4:JDU4"/>
    <mergeCell ref="JDV4:JDX4"/>
    <mergeCell ref="JDY4:JEA4"/>
    <mergeCell ref="JCR4:JCT4"/>
    <mergeCell ref="JCU4:JCW4"/>
    <mergeCell ref="JCX4:JCZ4"/>
    <mergeCell ref="JDA4:JDC4"/>
    <mergeCell ref="JDD4:JDF4"/>
    <mergeCell ref="JDG4:JDI4"/>
    <mergeCell ref="JBZ4:JCB4"/>
    <mergeCell ref="JCC4:JCE4"/>
    <mergeCell ref="JCF4:JCH4"/>
    <mergeCell ref="JCI4:JCK4"/>
    <mergeCell ref="JCL4:JCN4"/>
    <mergeCell ref="JCO4:JCQ4"/>
    <mergeCell ref="JJP4:JJR4"/>
    <mergeCell ref="JJS4:JJU4"/>
    <mergeCell ref="JJV4:JJX4"/>
    <mergeCell ref="JJY4:JKA4"/>
    <mergeCell ref="JKB4:JKD4"/>
    <mergeCell ref="JKE4:JKG4"/>
    <mergeCell ref="JIX4:JIZ4"/>
    <mergeCell ref="JJA4:JJC4"/>
    <mergeCell ref="JJD4:JJF4"/>
    <mergeCell ref="JJG4:JJI4"/>
    <mergeCell ref="JJJ4:JJL4"/>
    <mergeCell ref="JJM4:JJO4"/>
    <mergeCell ref="JIF4:JIH4"/>
    <mergeCell ref="JII4:JIK4"/>
    <mergeCell ref="JIL4:JIN4"/>
    <mergeCell ref="JIO4:JIQ4"/>
    <mergeCell ref="JIR4:JIT4"/>
    <mergeCell ref="JIU4:JIW4"/>
    <mergeCell ref="JHN4:JHP4"/>
    <mergeCell ref="JHQ4:JHS4"/>
    <mergeCell ref="JHT4:JHV4"/>
    <mergeCell ref="JHW4:JHY4"/>
    <mergeCell ref="JHZ4:JIB4"/>
    <mergeCell ref="JIC4:JIE4"/>
    <mergeCell ref="JGV4:JGX4"/>
    <mergeCell ref="JGY4:JHA4"/>
    <mergeCell ref="JHB4:JHD4"/>
    <mergeCell ref="JHE4:JHG4"/>
    <mergeCell ref="JHH4:JHJ4"/>
    <mergeCell ref="JHK4:JHM4"/>
    <mergeCell ref="JGD4:JGF4"/>
    <mergeCell ref="JGG4:JGI4"/>
    <mergeCell ref="JGJ4:JGL4"/>
    <mergeCell ref="JGM4:JGO4"/>
    <mergeCell ref="JGP4:JGR4"/>
    <mergeCell ref="JGS4:JGU4"/>
    <mergeCell ref="JNT4:JNV4"/>
    <mergeCell ref="JNW4:JNY4"/>
    <mergeCell ref="JNZ4:JOB4"/>
    <mergeCell ref="JOC4:JOE4"/>
    <mergeCell ref="JOF4:JOH4"/>
    <mergeCell ref="JOI4:JOK4"/>
    <mergeCell ref="JNB4:JND4"/>
    <mergeCell ref="JNE4:JNG4"/>
    <mergeCell ref="JNH4:JNJ4"/>
    <mergeCell ref="JNK4:JNM4"/>
    <mergeCell ref="JNN4:JNP4"/>
    <mergeCell ref="JNQ4:JNS4"/>
    <mergeCell ref="JMJ4:JML4"/>
    <mergeCell ref="JMM4:JMO4"/>
    <mergeCell ref="JMP4:JMR4"/>
    <mergeCell ref="JMS4:JMU4"/>
    <mergeCell ref="JMV4:JMX4"/>
    <mergeCell ref="JMY4:JNA4"/>
    <mergeCell ref="JLR4:JLT4"/>
    <mergeCell ref="JLU4:JLW4"/>
    <mergeCell ref="JLX4:JLZ4"/>
    <mergeCell ref="JMA4:JMC4"/>
    <mergeCell ref="JMD4:JMF4"/>
    <mergeCell ref="JMG4:JMI4"/>
    <mergeCell ref="JKZ4:JLB4"/>
    <mergeCell ref="JLC4:JLE4"/>
    <mergeCell ref="JLF4:JLH4"/>
    <mergeCell ref="JLI4:JLK4"/>
    <mergeCell ref="JLL4:JLN4"/>
    <mergeCell ref="JLO4:JLQ4"/>
    <mergeCell ref="JKH4:JKJ4"/>
    <mergeCell ref="JKK4:JKM4"/>
    <mergeCell ref="JKN4:JKP4"/>
    <mergeCell ref="JKQ4:JKS4"/>
    <mergeCell ref="JKT4:JKV4"/>
    <mergeCell ref="JKW4:JKY4"/>
    <mergeCell ref="JRX4:JRZ4"/>
    <mergeCell ref="JSA4:JSC4"/>
    <mergeCell ref="JSD4:JSF4"/>
    <mergeCell ref="JSG4:JSI4"/>
    <mergeCell ref="JSJ4:JSL4"/>
    <mergeCell ref="JSM4:JSO4"/>
    <mergeCell ref="JRF4:JRH4"/>
    <mergeCell ref="JRI4:JRK4"/>
    <mergeCell ref="JRL4:JRN4"/>
    <mergeCell ref="JRO4:JRQ4"/>
    <mergeCell ref="JRR4:JRT4"/>
    <mergeCell ref="JRU4:JRW4"/>
    <mergeCell ref="JQN4:JQP4"/>
    <mergeCell ref="JQQ4:JQS4"/>
    <mergeCell ref="JQT4:JQV4"/>
    <mergeCell ref="JQW4:JQY4"/>
    <mergeCell ref="JQZ4:JRB4"/>
    <mergeCell ref="JRC4:JRE4"/>
    <mergeCell ref="JPV4:JPX4"/>
    <mergeCell ref="JPY4:JQA4"/>
    <mergeCell ref="JQB4:JQD4"/>
    <mergeCell ref="JQE4:JQG4"/>
    <mergeCell ref="JQH4:JQJ4"/>
    <mergeCell ref="JQK4:JQM4"/>
    <mergeCell ref="JPD4:JPF4"/>
    <mergeCell ref="JPG4:JPI4"/>
    <mergeCell ref="JPJ4:JPL4"/>
    <mergeCell ref="JPM4:JPO4"/>
    <mergeCell ref="JPP4:JPR4"/>
    <mergeCell ref="JPS4:JPU4"/>
    <mergeCell ref="JOL4:JON4"/>
    <mergeCell ref="JOO4:JOQ4"/>
    <mergeCell ref="JOR4:JOT4"/>
    <mergeCell ref="JOU4:JOW4"/>
    <mergeCell ref="JOX4:JOZ4"/>
    <mergeCell ref="JPA4:JPC4"/>
    <mergeCell ref="JWB4:JWD4"/>
    <mergeCell ref="JWE4:JWG4"/>
    <mergeCell ref="JWH4:JWJ4"/>
    <mergeCell ref="JWK4:JWM4"/>
    <mergeCell ref="JWN4:JWP4"/>
    <mergeCell ref="JWQ4:JWS4"/>
    <mergeCell ref="JVJ4:JVL4"/>
    <mergeCell ref="JVM4:JVO4"/>
    <mergeCell ref="JVP4:JVR4"/>
    <mergeCell ref="JVS4:JVU4"/>
    <mergeCell ref="JVV4:JVX4"/>
    <mergeCell ref="JVY4:JWA4"/>
    <mergeCell ref="JUR4:JUT4"/>
    <mergeCell ref="JUU4:JUW4"/>
    <mergeCell ref="JUX4:JUZ4"/>
    <mergeCell ref="JVA4:JVC4"/>
    <mergeCell ref="JVD4:JVF4"/>
    <mergeCell ref="JVG4:JVI4"/>
    <mergeCell ref="JTZ4:JUB4"/>
    <mergeCell ref="JUC4:JUE4"/>
    <mergeCell ref="JUF4:JUH4"/>
    <mergeCell ref="JUI4:JUK4"/>
    <mergeCell ref="JUL4:JUN4"/>
    <mergeCell ref="JUO4:JUQ4"/>
    <mergeCell ref="JTH4:JTJ4"/>
    <mergeCell ref="JTK4:JTM4"/>
    <mergeCell ref="JTN4:JTP4"/>
    <mergeCell ref="JTQ4:JTS4"/>
    <mergeCell ref="JTT4:JTV4"/>
    <mergeCell ref="JTW4:JTY4"/>
    <mergeCell ref="JSP4:JSR4"/>
    <mergeCell ref="JSS4:JSU4"/>
    <mergeCell ref="JSV4:JSX4"/>
    <mergeCell ref="JSY4:JTA4"/>
    <mergeCell ref="JTB4:JTD4"/>
    <mergeCell ref="JTE4:JTG4"/>
    <mergeCell ref="KAF4:KAH4"/>
    <mergeCell ref="KAI4:KAK4"/>
    <mergeCell ref="KAL4:KAN4"/>
    <mergeCell ref="KAO4:KAQ4"/>
    <mergeCell ref="KAR4:KAT4"/>
    <mergeCell ref="KAU4:KAW4"/>
    <mergeCell ref="JZN4:JZP4"/>
    <mergeCell ref="JZQ4:JZS4"/>
    <mergeCell ref="JZT4:JZV4"/>
    <mergeCell ref="JZW4:JZY4"/>
    <mergeCell ref="JZZ4:KAB4"/>
    <mergeCell ref="KAC4:KAE4"/>
    <mergeCell ref="JYV4:JYX4"/>
    <mergeCell ref="JYY4:JZA4"/>
    <mergeCell ref="JZB4:JZD4"/>
    <mergeCell ref="JZE4:JZG4"/>
    <mergeCell ref="JZH4:JZJ4"/>
    <mergeCell ref="JZK4:JZM4"/>
    <mergeCell ref="JYD4:JYF4"/>
    <mergeCell ref="JYG4:JYI4"/>
    <mergeCell ref="JYJ4:JYL4"/>
    <mergeCell ref="JYM4:JYO4"/>
    <mergeCell ref="JYP4:JYR4"/>
    <mergeCell ref="JYS4:JYU4"/>
    <mergeCell ref="JXL4:JXN4"/>
    <mergeCell ref="JXO4:JXQ4"/>
    <mergeCell ref="JXR4:JXT4"/>
    <mergeCell ref="JXU4:JXW4"/>
    <mergeCell ref="JXX4:JXZ4"/>
    <mergeCell ref="JYA4:JYC4"/>
    <mergeCell ref="JWT4:JWV4"/>
    <mergeCell ref="JWW4:JWY4"/>
    <mergeCell ref="JWZ4:JXB4"/>
    <mergeCell ref="JXC4:JXE4"/>
    <mergeCell ref="JXF4:JXH4"/>
    <mergeCell ref="JXI4:JXK4"/>
    <mergeCell ref="KEJ4:KEL4"/>
    <mergeCell ref="KEM4:KEO4"/>
    <mergeCell ref="KEP4:KER4"/>
    <mergeCell ref="KES4:KEU4"/>
    <mergeCell ref="KEV4:KEX4"/>
    <mergeCell ref="KEY4:KFA4"/>
    <mergeCell ref="KDR4:KDT4"/>
    <mergeCell ref="KDU4:KDW4"/>
    <mergeCell ref="KDX4:KDZ4"/>
    <mergeCell ref="KEA4:KEC4"/>
    <mergeCell ref="KED4:KEF4"/>
    <mergeCell ref="KEG4:KEI4"/>
    <mergeCell ref="KCZ4:KDB4"/>
    <mergeCell ref="KDC4:KDE4"/>
    <mergeCell ref="KDF4:KDH4"/>
    <mergeCell ref="KDI4:KDK4"/>
    <mergeCell ref="KDL4:KDN4"/>
    <mergeCell ref="KDO4:KDQ4"/>
    <mergeCell ref="KCH4:KCJ4"/>
    <mergeCell ref="KCK4:KCM4"/>
    <mergeCell ref="KCN4:KCP4"/>
    <mergeCell ref="KCQ4:KCS4"/>
    <mergeCell ref="KCT4:KCV4"/>
    <mergeCell ref="KCW4:KCY4"/>
    <mergeCell ref="KBP4:KBR4"/>
    <mergeCell ref="KBS4:KBU4"/>
    <mergeCell ref="KBV4:KBX4"/>
    <mergeCell ref="KBY4:KCA4"/>
    <mergeCell ref="KCB4:KCD4"/>
    <mergeCell ref="KCE4:KCG4"/>
    <mergeCell ref="KAX4:KAZ4"/>
    <mergeCell ref="KBA4:KBC4"/>
    <mergeCell ref="KBD4:KBF4"/>
    <mergeCell ref="KBG4:KBI4"/>
    <mergeCell ref="KBJ4:KBL4"/>
    <mergeCell ref="KBM4:KBO4"/>
    <mergeCell ref="KIN4:KIP4"/>
    <mergeCell ref="KIQ4:KIS4"/>
    <mergeCell ref="KIT4:KIV4"/>
    <mergeCell ref="KIW4:KIY4"/>
    <mergeCell ref="KIZ4:KJB4"/>
    <mergeCell ref="KJC4:KJE4"/>
    <mergeCell ref="KHV4:KHX4"/>
    <mergeCell ref="KHY4:KIA4"/>
    <mergeCell ref="KIB4:KID4"/>
    <mergeCell ref="KIE4:KIG4"/>
    <mergeCell ref="KIH4:KIJ4"/>
    <mergeCell ref="KIK4:KIM4"/>
    <mergeCell ref="KHD4:KHF4"/>
    <mergeCell ref="KHG4:KHI4"/>
    <mergeCell ref="KHJ4:KHL4"/>
    <mergeCell ref="KHM4:KHO4"/>
    <mergeCell ref="KHP4:KHR4"/>
    <mergeCell ref="KHS4:KHU4"/>
    <mergeCell ref="KGL4:KGN4"/>
    <mergeCell ref="KGO4:KGQ4"/>
    <mergeCell ref="KGR4:KGT4"/>
    <mergeCell ref="KGU4:KGW4"/>
    <mergeCell ref="KGX4:KGZ4"/>
    <mergeCell ref="KHA4:KHC4"/>
    <mergeCell ref="KFT4:KFV4"/>
    <mergeCell ref="KFW4:KFY4"/>
    <mergeCell ref="KFZ4:KGB4"/>
    <mergeCell ref="KGC4:KGE4"/>
    <mergeCell ref="KGF4:KGH4"/>
    <mergeCell ref="KGI4:KGK4"/>
    <mergeCell ref="KFB4:KFD4"/>
    <mergeCell ref="KFE4:KFG4"/>
    <mergeCell ref="KFH4:KFJ4"/>
    <mergeCell ref="KFK4:KFM4"/>
    <mergeCell ref="KFN4:KFP4"/>
    <mergeCell ref="KFQ4:KFS4"/>
    <mergeCell ref="KMR4:KMT4"/>
    <mergeCell ref="KMU4:KMW4"/>
    <mergeCell ref="KMX4:KMZ4"/>
    <mergeCell ref="KNA4:KNC4"/>
    <mergeCell ref="KND4:KNF4"/>
    <mergeCell ref="KNG4:KNI4"/>
    <mergeCell ref="KLZ4:KMB4"/>
    <mergeCell ref="KMC4:KME4"/>
    <mergeCell ref="KMF4:KMH4"/>
    <mergeCell ref="KMI4:KMK4"/>
    <mergeCell ref="KML4:KMN4"/>
    <mergeCell ref="KMO4:KMQ4"/>
    <mergeCell ref="KLH4:KLJ4"/>
    <mergeCell ref="KLK4:KLM4"/>
    <mergeCell ref="KLN4:KLP4"/>
    <mergeCell ref="KLQ4:KLS4"/>
    <mergeCell ref="KLT4:KLV4"/>
    <mergeCell ref="KLW4:KLY4"/>
    <mergeCell ref="KKP4:KKR4"/>
    <mergeCell ref="KKS4:KKU4"/>
    <mergeCell ref="KKV4:KKX4"/>
    <mergeCell ref="KKY4:KLA4"/>
    <mergeCell ref="KLB4:KLD4"/>
    <mergeCell ref="KLE4:KLG4"/>
    <mergeCell ref="KJX4:KJZ4"/>
    <mergeCell ref="KKA4:KKC4"/>
    <mergeCell ref="KKD4:KKF4"/>
    <mergeCell ref="KKG4:KKI4"/>
    <mergeCell ref="KKJ4:KKL4"/>
    <mergeCell ref="KKM4:KKO4"/>
    <mergeCell ref="KJF4:KJH4"/>
    <mergeCell ref="KJI4:KJK4"/>
    <mergeCell ref="KJL4:KJN4"/>
    <mergeCell ref="KJO4:KJQ4"/>
    <mergeCell ref="KJR4:KJT4"/>
    <mergeCell ref="KJU4:KJW4"/>
    <mergeCell ref="KQV4:KQX4"/>
    <mergeCell ref="KQY4:KRA4"/>
    <mergeCell ref="KRB4:KRD4"/>
    <mergeCell ref="KRE4:KRG4"/>
    <mergeCell ref="KRH4:KRJ4"/>
    <mergeCell ref="KRK4:KRM4"/>
    <mergeCell ref="KQD4:KQF4"/>
    <mergeCell ref="KQG4:KQI4"/>
    <mergeCell ref="KQJ4:KQL4"/>
    <mergeCell ref="KQM4:KQO4"/>
    <mergeCell ref="KQP4:KQR4"/>
    <mergeCell ref="KQS4:KQU4"/>
    <mergeCell ref="KPL4:KPN4"/>
    <mergeCell ref="KPO4:KPQ4"/>
    <mergeCell ref="KPR4:KPT4"/>
    <mergeCell ref="KPU4:KPW4"/>
    <mergeCell ref="KPX4:KPZ4"/>
    <mergeCell ref="KQA4:KQC4"/>
    <mergeCell ref="KOT4:KOV4"/>
    <mergeCell ref="KOW4:KOY4"/>
    <mergeCell ref="KOZ4:KPB4"/>
    <mergeCell ref="KPC4:KPE4"/>
    <mergeCell ref="KPF4:KPH4"/>
    <mergeCell ref="KPI4:KPK4"/>
    <mergeCell ref="KOB4:KOD4"/>
    <mergeCell ref="KOE4:KOG4"/>
    <mergeCell ref="KOH4:KOJ4"/>
    <mergeCell ref="KOK4:KOM4"/>
    <mergeCell ref="KON4:KOP4"/>
    <mergeCell ref="KOQ4:KOS4"/>
    <mergeCell ref="KNJ4:KNL4"/>
    <mergeCell ref="KNM4:KNO4"/>
    <mergeCell ref="KNP4:KNR4"/>
    <mergeCell ref="KNS4:KNU4"/>
    <mergeCell ref="KNV4:KNX4"/>
    <mergeCell ref="KNY4:KOA4"/>
    <mergeCell ref="KUZ4:KVB4"/>
    <mergeCell ref="KVC4:KVE4"/>
    <mergeCell ref="KVF4:KVH4"/>
    <mergeCell ref="KVI4:KVK4"/>
    <mergeCell ref="KVL4:KVN4"/>
    <mergeCell ref="KVO4:KVQ4"/>
    <mergeCell ref="KUH4:KUJ4"/>
    <mergeCell ref="KUK4:KUM4"/>
    <mergeCell ref="KUN4:KUP4"/>
    <mergeCell ref="KUQ4:KUS4"/>
    <mergeCell ref="KUT4:KUV4"/>
    <mergeCell ref="KUW4:KUY4"/>
    <mergeCell ref="KTP4:KTR4"/>
    <mergeCell ref="KTS4:KTU4"/>
    <mergeCell ref="KTV4:KTX4"/>
    <mergeCell ref="KTY4:KUA4"/>
    <mergeCell ref="KUB4:KUD4"/>
    <mergeCell ref="KUE4:KUG4"/>
    <mergeCell ref="KSX4:KSZ4"/>
    <mergeCell ref="KTA4:KTC4"/>
    <mergeCell ref="KTD4:KTF4"/>
    <mergeCell ref="KTG4:KTI4"/>
    <mergeCell ref="KTJ4:KTL4"/>
    <mergeCell ref="KTM4:KTO4"/>
    <mergeCell ref="KSF4:KSH4"/>
    <mergeCell ref="KSI4:KSK4"/>
    <mergeCell ref="KSL4:KSN4"/>
    <mergeCell ref="KSO4:KSQ4"/>
    <mergeCell ref="KSR4:KST4"/>
    <mergeCell ref="KSU4:KSW4"/>
    <mergeCell ref="KRN4:KRP4"/>
    <mergeCell ref="KRQ4:KRS4"/>
    <mergeCell ref="KRT4:KRV4"/>
    <mergeCell ref="KRW4:KRY4"/>
    <mergeCell ref="KRZ4:KSB4"/>
    <mergeCell ref="KSC4:KSE4"/>
    <mergeCell ref="KZD4:KZF4"/>
    <mergeCell ref="KZG4:KZI4"/>
    <mergeCell ref="KZJ4:KZL4"/>
    <mergeCell ref="KZM4:KZO4"/>
    <mergeCell ref="KZP4:KZR4"/>
    <mergeCell ref="KZS4:KZU4"/>
    <mergeCell ref="KYL4:KYN4"/>
    <mergeCell ref="KYO4:KYQ4"/>
    <mergeCell ref="KYR4:KYT4"/>
    <mergeCell ref="KYU4:KYW4"/>
    <mergeCell ref="KYX4:KYZ4"/>
    <mergeCell ref="KZA4:KZC4"/>
    <mergeCell ref="KXT4:KXV4"/>
    <mergeCell ref="KXW4:KXY4"/>
    <mergeCell ref="KXZ4:KYB4"/>
    <mergeCell ref="KYC4:KYE4"/>
    <mergeCell ref="KYF4:KYH4"/>
    <mergeCell ref="KYI4:KYK4"/>
    <mergeCell ref="KXB4:KXD4"/>
    <mergeCell ref="KXE4:KXG4"/>
    <mergeCell ref="KXH4:KXJ4"/>
    <mergeCell ref="KXK4:KXM4"/>
    <mergeCell ref="KXN4:KXP4"/>
    <mergeCell ref="KXQ4:KXS4"/>
    <mergeCell ref="KWJ4:KWL4"/>
    <mergeCell ref="KWM4:KWO4"/>
    <mergeCell ref="KWP4:KWR4"/>
    <mergeCell ref="KWS4:KWU4"/>
    <mergeCell ref="KWV4:KWX4"/>
    <mergeCell ref="KWY4:KXA4"/>
    <mergeCell ref="KVR4:KVT4"/>
    <mergeCell ref="KVU4:KVW4"/>
    <mergeCell ref="KVX4:KVZ4"/>
    <mergeCell ref="KWA4:KWC4"/>
    <mergeCell ref="KWD4:KWF4"/>
    <mergeCell ref="KWG4:KWI4"/>
    <mergeCell ref="LDH4:LDJ4"/>
    <mergeCell ref="LDK4:LDM4"/>
    <mergeCell ref="LDN4:LDP4"/>
    <mergeCell ref="LDQ4:LDS4"/>
    <mergeCell ref="LDT4:LDV4"/>
    <mergeCell ref="LDW4:LDY4"/>
    <mergeCell ref="LCP4:LCR4"/>
    <mergeCell ref="LCS4:LCU4"/>
    <mergeCell ref="LCV4:LCX4"/>
    <mergeCell ref="LCY4:LDA4"/>
    <mergeCell ref="LDB4:LDD4"/>
    <mergeCell ref="LDE4:LDG4"/>
    <mergeCell ref="LBX4:LBZ4"/>
    <mergeCell ref="LCA4:LCC4"/>
    <mergeCell ref="LCD4:LCF4"/>
    <mergeCell ref="LCG4:LCI4"/>
    <mergeCell ref="LCJ4:LCL4"/>
    <mergeCell ref="LCM4:LCO4"/>
    <mergeCell ref="LBF4:LBH4"/>
    <mergeCell ref="LBI4:LBK4"/>
    <mergeCell ref="LBL4:LBN4"/>
    <mergeCell ref="LBO4:LBQ4"/>
    <mergeCell ref="LBR4:LBT4"/>
    <mergeCell ref="LBU4:LBW4"/>
    <mergeCell ref="LAN4:LAP4"/>
    <mergeCell ref="LAQ4:LAS4"/>
    <mergeCell ref="LAT4:LAV4"/>
    <mergeCell ref="LAW4:LAY4"/>
    <mergeCell ref="LAZ4:LBB4"/>
    <mergeCell ref="LBC4:LBE4"/>
    <mergeCell ref="KZV4:KZX4"/>
    <mergeCell ref="KZY4:LAA4"/>
    <mergeCell ref="LAB4:LAD4"/>
    <mergeCell ref="LAE4:LAG4"/>
    <mergeCell ref="LAH4:LAJ4"/>
    <mergeCell ref="LAK4:LAM4"/>
    <mergeCell ref="LHL4:LHN4"/>
    <mergeCell ref="LHO4:LHQ4"/>
    <mergeCell ref="LHR4:LHT4"/>
    <mergeCell ref="LHU4:LHW4"/>
    <mergeCell ref="LHX4:LHZ4"/>
    <mergeCell ref="LIA4:LIC4"/>
    <mergeCell ref="LGT4:LGV4"/>
    <mergeCell ref="LGW4:LGY4"/>
    <mergeCell ref="LGZ4:LHB4"/>
    <mergeCell ref="LHC4:LHE4"/>
    <mergeCell ref="LHF4:LHH4"/>
    <mergeCell ref="LHI4:LHK4"/>
    <mergeCell ref="LGB4:LGD4"/>
    <mergeCell ref="LGE4:LGG4"/>
    <mergeCell ref="LGH4:LGJ4"/>
    <mergeCell ref="LGK4:LGM4"/>
    <mergeCell ref="LGN4:LGP4"/>
    <mergeCell ref="LGQ4:LGS4"/>
    <mergeCell ref="LFJ4:LFL4"/>
    <mergeCell ref="LFM4:LFO4"/>
    <mergeCell ref="LFP4:LFR4"/>
    <mergeCell ref="LFS4:LFU4"/>
    <mergeCell ref="LFV4:LFX4"/>
    <mergeCell ref="LFY4:LGA4"/>
    <mergeCell ref="LER4:LET4"/>
    <mergeCell ref="LEU4:LEW4"/>
    <mergeCell ref="LEX4:LEZ4"/>
    <mergeCell ref="LFA4:LFC4"/>
    <mergeCell ref="LFD4:LFF4"/>
    <mergeCell ref="LFG4:LFI4"/>
    <mergeCell ref="LDZ4:LEB4"/>
    <mergeCell ref="LEC4:LEE4"/>
    <mergeCell ref="LEF4:LEH4"/>
    <mergeCell ref="LEI4:LEK4"/>
    <mergeCell ref="LEL4:LEN4"/>
    <mergeCell ref="LEO4:LEQ4"/>
    <mergeCell ref="LLP4:LLR4"/>
    <mergeCell ref="LLS4:LLU4"/>
    <mergeCell ref="LLV4:LLX4"/>
    <mergeCell ref="LLY4:LMA4"/>
    <mergeCell ref="LMB4:LMD4"/>
    <mergeCell ref="LME4:LMG4"/>
    <mergeCell ref="LKX4:LKZ4"/>
    <mergeCell ref="LLA4:LLC4"/>
    <mergeCell ref="LLD4:LLF4"/>
    <mergeCell ref="LLG4:LLI4"/>
    <mergeCell ref="LLJ4:LLL4"/>
    <mergeCell ref="LLM4:LLO4"/>
    <mergeCell ref="LKF4:LKH4"/>
    <mergeCell ref="LKI4:LKK4"/>
    <mergeCell ref="LKL4:LKN4"/>
    <mergeCell ref="LKO4:LKQ4"/>
    <mergeCell ref="LKR4:LKT4"/>
    <mergeCell ref="LKU4:LKW4"/>
    <mergeCell ref="LJN4:LJP4"/>
    <mergeCell ref="LJQ4:LJS4"/>
    <mergeCell ref="LJT4:LJV4"/>
    <mergeCell ref="LJW4:LJY4"/>
    <mergeCell ref="LJZ4:LKB4"/>
    <mergeCell ref="LKC4:LKE4"/>
    <mergeCell ref="LIV4:LIX4"/>
    <mergeCell ref="LIY4:LJA4"/>
    <mergeCell ref="LJB4:LJD4"/>
    <mergeCell ref="LJE4:LJG4"/>
    <mergeCell ref="LJH4:LJJ4"/>
    <mergeCell ref="LJK4:LJM4"/>
    <mergeCell ref="LID4:LIF4"/>
    <mergeCell ref="LIG4:LII4"/>
    <mergeCell ref="LIJ4:LIL4"/>
    <mergeCell ref="LIM4:LIO4"/>
    <mergeCell ref="LIP4:LIR4"/>
    <mergeCell ref="LIS4:LIU4"/>
    <mergeCell ref="LPT4:LPV4"/>
    <mergeCell ref="LPW4:LPY4"/>
    <mergeCell ref="LPZ4:LQB4"/>
    <mergeCell ref="LQC4:LQE4"/>
    <mergeCell ref="LQF4:LQH4"/>
    <mergeCell ref="LQI4:LQK4"/>
    <mergeCell ref="LPB4:LPD4"/>
    <mergeCell ref="LPE4:LPG4"/>
    <mergeCell ref="LPH4:LPJ4"/>
    <mergeCell ref="LPK4:LPM4"/>
    <mergeCell ref="LPN4:LPP4"/>
    <mergeCell ref="LPQ4:LPS4"/>
    <mergeCell ref="LOJ4:LOL4"/>
    <mergeCell ref="LOM4:LOO4"/>
    <mergeCell ref="LOP4:LOR4"/>
    <mergeCell ref="LOS4:LOU4"/>
    <mergeCell ref="LOV4:LOX4"/>
    <mergeCell ref="LOY4:LPA4"/>
    <mergeCell ref="LNR4:LNT4"/>
    <mergeCell ref="LNU4:LNW4"/>
    <mergeCell ref="LNX4:LNZ4"/>
    <mergeCell ref="LOA4:LOC4"/>
    <mergeCell ref="LOD4:LOF4"/>
    <mergeCell ref="LOG4:LOI4"/>
    <mergeCell ref="LMZ4:LNB4"/>
    <mergeCell ref="LNC4:LNE4"/>
    <mergeCell ref="LNF4:LNH4"/>
    <mergeCell ref="LNI4:LNK4"/>
    <mergeCell ref="LNL4:LNN4"/>
    <mergeCell ref="LNO4:LNQ4"/>
    <mergeCell ref="LMH4:LMJ4"/>
    <mergeCell ref="LMK4:LMM4"/>
    <mergeCell ref="LMN4:LMP4"/>
    <mergeCell ref="LMQ4:LMS4"/>
    <mergeCell ref="LMT4:LMV4"/>
    <mergeCell ref="LMW4:LMY4"/>
    <mergeCell ref="LTX4:LTZ4"/>
    <mergeCell ref="LUA4:LUC4"/>
    <mergeCell ref="LUD4:LUF4"/>
    <mergeCell ref="LUG4:LUI4"/>
    <mergeCell ref="LUJ4:LUL4"/>
    <mergeCell ref="LUM4:LUO4"/>
    <mergeCell ref="LTF4:LTH4"/>
    <mergeCell ref="LTI4:LTK4"/>
    <mergeCell ref="LTL4:LTN4"/>
    <mergeCell ref="LTO4:LTQ4"/>
    <mergeCell ref="LTR4:LTT4"/>
    <mergeCell ref="LTU4:LTW4"/>
    <mergeCell ref="LSN4:LSP4"/>
    <mergeCell ref="LSQ4:LSS4"/>
    <mergeCell ref="LST4:LSV4"/>
    <mergeCell ref="LSW4:LSY4"/>
    <mergeCell ref="LSZ4:LTB4"/>
    <mergeCell ref="LTC4:LTE4"/>
    <mergeCell ref="LRV4:LRX4"/>
    <mergeCell ref="LRY4:LSA4"/>
    <mergeCell ref="LSB4:LSD4"/>
    <mergeCell ref="LSE4:LSG4"/>
    <mergeCell ref="LSH4:LSJ4"/>
    <mergeCell ref="LSK4:LSM4"/>
    <mergeCell ref="LRD4:LRF4"/>
    <mergeCell ref="LRG4:LRI4"/>
    <mergeCell ref="LRJ4:LRL4"/>
    <mergeCell ref="LRM4:LRO4"/>
    <mergeCell ref="LRP4:LRR4"/>
    <mergeCell ref="LRS4:LRU4"/>
    <mergeCell ref="LQL4:LQN4"/>
    <mergeCell ref="LQO4:LQQ4"/>
    <mergeCell ref="LQR4:LQT4"/>
    <mergeCell ref="LQU4:LQW4"/>
    <mergeCell ref="LQX4:LQZ4"/>
    <mergeCell ref="LRA4:LRC4"/>
    <mergeCell ref="LYB4:LYD4"/>
    <mergeCell ref="LYE4:LYG4"/>
    <mergeCell ref="LYH4:LYJ4"/>
    <mergeCell ref="LYK4:LYM4"/>
    <mergeCell ref="LYN4:LYP4"/>
    <mergeCell ref="LYQ4:LYS4"/>
    <mergeCell ref="LXJ4:LXL4"/>
    <mergeCell ref="LXM4:LXO4"/>
    <mergeCell ref="LXP4:LXR4"/>
    <mergeCell ref="LXS4:LXU4"/>
    <mergeCell ref="LXV4:LXX4"/>
    <mergeCell ref="LXY4:LYA4"/>
    <mergeCell ref="LWR4:LWT4"/>
    <mergeCell ref="LWU4:LWW4"/>
    <mergeCell ref="LWX4:LWZ4"/>
    <mergeCell ref="LXA4:LXC4"/>
    <mergeCell ref="LXD4:LXF4"/>
    <mergeCell ref="LXG4:LXI4"/>
    <mergeCell ref="LVZ4:LWB4"/>
    <mergeCell ref="LWC4:LWE4"/>
    <mergeCell ref="LWF4:LWH4"/>
    <mergeCell ref="LWI4:LWK4"/>
    <mergeCell ref="LWL4:LWN4"/>
    <mergeCell ref="LWO4:LWQ4"/>
    <mergeCell ref="LVH4:LVJ4"/>
    <mergeCell ref="LVK4:LVM4"/>
    <mergeCell ref="LVN4:LVP4"/>
    <mergeCell ref="LVQ4:LVS4"/>
    <mergeCell ref="LVT4:LVV4"/>
    <mergeCell ref="LVW4:LVY4"/>
    <mergeCell ref="LUP4:LUR4"/>
    <mergeCell ref="LUS4:LUU4"/>
    <mergeCell ref="LUV4:LUX4"/>
    <mergeCell ref="LUY4:LVA4"/>
    <mergeCell ref="LVB4:LVD4"/>
    <mergeCell ref="LVE4:LVG4"/>
    <mergeCell ref="MCF4:MCH4"/>
    <mergeCell ref="MCI4:MCK4"/>
    <mergeCell ref="MCL4:MCN4"/>
    <mergeCell ref="MCO4:MCQ4"/>
    <mergeCell ref="MCR4:MCT4"/>
    <mergeCell ref="MCU4:MCW4"/>
    <mergeCell ref="MBN4:MBP4"/>
    <mergeCell ref="MBQ4:MBS4"/>
    <mergeCell ref="MBT4:MBV4"/>
    <mergeCell ref="MBW4:MBY4"/>
    <mergeCell ref="MBZ4:MCB4"/>
    <mergeCell ref="MCC4:MCE4"/>
    <mergeCell ref="MAV4:MAX4"/>
    <mergeCell ref="MAY4:MBA4"/>
    <mergeCell ref="MBB4:MBD4"/>
    <mergeCell ref="MBE4:MBG4"/>
    <mergeCell ref="MBH4:MBJ4"/>
    <mergeCell ref="MBK4:MBM4"/>
    <mergeCell ref="MAD4:MAF4"/>
    <mergeCell ref="MAG4:MAI4"/>
    <mergeCell ref="MAJ4:MAL4"/>
    <mergeCell ref="MAM4:MAO4"/>
    <mergeCell ref="MAP4:MAR4"/>
    <mergeCell ref="MAS4:MAU4"/>
    <mergeCell ref="LZL4:LZN4"/>
    <mergeCell ref="LZO4:LZQ4"/>
    <mergeCell ref="LZR4:LZT4"/>
    <mergeCell ref="LZU4:LZW4"/>
    <mergeCell ref="LZX4:LZZ4"/>
    <mergeCell ref="MAA4:MAC4"/>
    <mergeCell ref="LYT4:LYV4"/>
    <mergeCell ref="LYW4:LYY4"/>
    <mergeCell ref="LYZ4:LZB4"/>
    <mergeCell ref="LZC4:LZE4"/>
    <mergeCell ref="LZF4:LZH4"/>
    <mergeCell ref="LZI4:LZK4"/>
    <mergeCell ref="MGJ4:MGL4"/>
    <mergeCell ref="MGM4:MGO4"/>
    <mergeCell ref="MGP4:MGR4"/>
    <mergeCell ref="MGS4:MGU4"/>
    <mergeCell ref="MGV4:MGX4"/>
    <mergeCell ref="MGY4:MHA4"/>
    <mergeCell ref="MFR4:MFT4"/>
    <mergeCell ref="MFU4:MFW4"/>
    <mergeCell ref="MFX4:MFZ4"/>
    <mergeCell ref="MGA4:MGC4"/>
    <mergeCell ref="MGD4:MGF4"/>
    <mergeCell ref="MGG4:MGI4"/>
    <mergeCell ref="MEZ4:MFB4"/>
    <mergeCell ref="MFC4:MFE4"/>
    <mergeCell ref="MFF4:MFH4"/>
    <mergeCell ref="MFI4:MFK4"/>
    <mergeCell ref="MFL4:MFN4"/>
    <mergeCell ref="MFO4:MFQ4"/>
    <mergeCell ref="MEH4:MEJ4"/>
    <mergeCell ref="MEK4:MEM4"/>
    <mergeCell ref="MEN4:MEP4"/>
    <mergeCell ref="MEQ4:MES4"/>
    <mergeCell ref="MET4:MEV4"/>
    <mergeCell ref="MEW4:MEY4"/>
    <mergeCell ref="MDP4:MDR4"/>
    <mergeCell ref="MDS4:MDU4"/>
    <mergeCell ref="MDV4:MDX4"/>
    <mergeCell ref="MDY4:MEA4"/>
    <mergeCell ref="MEB4:MED4"/>
    <mergeCell ref="MEE4:MEG4"/>
    <mergeCell ref="MCX4:MCZ4"/>
    <mergeCell ref="MDA4:MDC4"/>
    <mergeCell ref="MDD4:MDF4"/>
    <mergeCell ref="MDG4:MDI4"/>
    <mergeCell ref="MDJ4:MDL4"/>
    <mergeCell ref="MDM4:MDO4"/>
    <mergeCell ref="MKN4:MKP4"/>
    <mergeCell ref="MKQ4:MKS4"/>
    <mergeCell ref="MKT4:MKV4"/>
    <mergeCell ref="MKW4:MKY4"/>
    <mergeCell ref="MKZ4:MLB4"/>
    <mergeCell ref="MLC4:MLE4"/>
    <mergeCell ref="MJV4:MJX4"/>
    <mergeCell ref="MJY4:MKA4"/>
    <mergeCell ref="MKB4:MKD4"/>
    <mergeCell ref="MKE4:MKG4"/>
    <mergeCell ref="MKH4:MKJ4"/>
    <mergeCell ref="MKK4:MKM4"/>
    <mergeCell ref="MJD4:MJF4"/>
    <mergeCell ref="MJG4:MJI4"/>
    <mergeCell ref="MJJ4:MJL4"/>
    <mergeCell ref="MJM4:MJO4"/>
    <mergeCell ref="MJP4:MJR4"/>
    <mergeCell ref="MJS4:MJU4"/>
    <mergeCell ref="MIL4:MIN4"/>
    <mergeCell ref="MIO4:MIQ4"/>
    <mergeCell ref="MIR4:MIT4"/>
    <mergeCell ref="MIU4:MIW4"/>
    <mergeCell ref="MIX4:MIZ4"/>
    <mergeCell ref="MJA4:MJC4"/>
    <mergeCell ref="MHT4:MHV4"/>
    <mergeCell ref="MHW4:MHY4"/>
    <mergeCell ref="MHZ4:MIB4"/>
    <mergeCell ref="MIC4:MIE4"/>
    <mergeCell ref="MIF4:MIH4"/>
    <mergeCell ref="MII4:MIK4"/>
    <mergeCell ref="MHB4:MHD4"/>
    <mergeCell ref="MHE4:MHG4"/>
    <mergeCell ref="MHH4:MHJ4"/>
    <mergeCell ref="MHK4:MHM4"/>
    <mergeCell ref="MHN4:MHP4"/>
    <mergeCell ref="MHQ4:MHS4"/>
    <mergeCell ref="MOR4:MOT4"/>
    <mergeCell ref="MOU4:MOW4"/>
    <mergeCell ref="MOX4:MOZ4"/>
    <mergeCell ref="MPA4:MPC4"/>
    <mergeCell ref="MPD4:MPF4"/>
    <mergeCell ref="MPG4:MPI4"/>
    <mergeCell ref="MNZ4:MOB4"/>
    <mergeCell ref="MOC4:MOE4"/>
    <mergeCell ref="MOF4:MOH4"/>
    <mergeCell ref="MOI4:MOK4"/>
    <mergeCell ref="MOL4:MON4"/>
    <mergeCell ref="MOO4:MOQ4"/>
    <mergeCell ref="MNH4:MNJ4"/>
    <mergeCell ref="MNK4:MNM4"/>
    <mergeCell ref="MNN4:MNP4"/>
    <mergeCell ref="MNQ4:MNS4"/>
    <mergeCell ref="MNT4:MNV4"/>
    <mergeCell ref="MNW4:MNY4"/>
    <mergeCell ref="MMP4:MMR4"/>
    <mergeCell ref="MMS4:MMU4"/>
    <mergeCell ref="MMV4:MMX4"/>
    <mergeCell ref="MMY4:MNA4"/>
    <mergeCell ref="MNB4:MND4"/>
    <mergeCell ref="MNE4:MNG4"/>
    <mergeCell ref="MLX4:MLZ4"/>
    <mergeCell ref="MMA4:MMC4"/>
    <mergeCell ref="MMD4:MMF4"/>
    <mergeCell ref="MMG4:MMI4"/>
    <mergeCell ref="MMJ4:MML4"/>
    <mergeCell ref="MMM4:MMO4"/>
    <mergeCell ref="MLF4:MLH4"/>
    <mergeCell ref="MLI4:MLK4"/>
    <mergeCell ref="MLL4:MLN4"/>
    <mergeCell ref="MLO4:MLQ4"/>
    <mergeCell ref="MLR4:MLT4"/>
    <mergeCell ref="MLU4:MLW4"/>
    <mergeCell ref="MSV4:MSX4"/>
    <mergeCell ref="MSY4:MTA4"/>
    <mergeCell ref="MTB4:MTD4"/>
    <mergeCell ref="MTE4:MTG4"/>
    <mergeCell ref="MTH4:MTJ4"/>
    <mergeCell ref="MTK4:MTM4"/>
    <mergeCell ref="MSD4:MSF4"/>
    <mergeCell ref="MSG4:MSI4"/>
    <mergeCell ref="MSJ4:MSL4"/>
    <mergeCell ref="MSM4:MSO4"/>
    <mergeCell ref="MSP4:MSR4"/>
    <mergeCell ref="MSS4:MSU4"/>
    <mergeCell ref="MRL4:MRN4"/>
    <mergeCell ref="MRO4:MRQ4"/>
    <mergeCell ref="MRR4:MRT4"/>
    <mergeCell ref="MRU4:MRW4"/>
    <mergeCell ref="MRX4:MRZ4"/>
    <mergeCell ref="MSA4:MSC4"/>
    <mergeCell ref="MQT4:MQV4"/>
    <mergeCell ref="MQW4:MQY4"/>
    <mergeCell ref="MQZ4:MRB4"/>
    <mergeCell ref="MRC4:MRE4"/>
    <mergeCell ref="MRF4:MRH4"/>
    <mergeCell ref="MRI4:MRK4"/>
    <mergeCell ref="MQB4:MQD4"/>
    <mergeCell ref="MQE4:MQG4"/>
    <mergeCell ref="MQH4:MQJ4"/>
    <mergeCell ref="MQK4:MQM4"/>
    <mergeCell ref="MQN4:MQP4"/>
    <mergeCell ref="MQQ4:MQS4"/>
    <mergeCell ref="MPJ4:MPL4"/>
    <mergeCell ref="MPM4:MPO4"/>
    <mergeCell ref="MPP4:MPR4"/>
    <mergeCell ref="MPS4:MPU4"/>
    <mergeCell ref="MPV4:MPX4"/>
    <mergeCell ref="MPY4:MQA4"/>
    <mergeCell ref="MWZ4:MXB4"/>
    <mergeCell ref="MXC4:MXE4"/>
    <mergeCell ref="MXF4:MXH4"/>
    <mergeCell ref="MXI4:MXK4"/>
    <mergeCell ref="MXL4:MXN4"/>
    <mergeCell ref="MXO4:MXQ4"/>
    <mergeCell ref="MWH4:MWJ4"/>
    <mergeCell ref="MWK4:MWM4"/>
    <mergeCell ref="MWN4:MWP4"/>
    <mergeCell ref="MWQ4:MWS4"/>
    <mergeCell ref="MWT4:MWV4"/>
    <mergeCell ref="MWW4:MWY4"/>
    <mergeCell ref="MVP4:MVR4"/>
    <mergeCell ref="MVS4:MVU4"/>
    <mergeCell ref="MVV4:MVX4"/>
    <mergeCell ref="MVY4:MWA4"/>
    <mergeCell ref="MWB4:MWD4"/>
    <mergeCell ref="MWE4:MWG4"/>
    <mergeCell ref="MUX4:MUZ4"/>
    <mergeCell ref="MVA4:MVC4"/>
    <mergeCell ref="MVD4:MVF4"/>
    <mergeCell ref="MVG4:MVI4"/>
    <mergeCell ref="MVJ4:MVL4"/>
    <mergeCell ref="MVM4:MVO4"/>
    <mergeCell ref="MUF4:MUH4"/>
    <mergeCell ref="MUI4:MUK4"/>
    <mergeCell ref="MUL4:MUN4"/>
    <mergeCell ref="MUO4:MUQ4"/>
    <mergeCell ref="MUR4:MUT4"/>
    <mergeCell ref="MUU4:MUW4"/>
    <mergeCell ref="MTN4:MTP4"/>
    <mergeCell ref="MTQ4:MTS4"/>
    <mergeCell ref="MTT4:MTV4"/>
    <mergeCell ref="MTW4:MTY4"/>
    <mergeCell ref="MTZ4:MUB4"/>
    <mergeCell ref="MUC4:MUE4"/>
    <mergeCell ref="NBD4:NBF4"/>
    <mergeCell ref="NBG4:NBI4"/>
    <mergeCell ref="NBJ4:NBL4"/>
    <mergeCell ref="NBM4:NBO4"/>
    <mergeCell ref="NBP4:NBR4"/>
    <mergeCell ref="NBS4:NBU4"/>
    <mergeCell ref="NAL4:NAN4"/>
    <mergeCell ref="NAO4:NAQ4"/>
    <mergeCell ref="NAR4:NAT4"/>
    <mergeCell ref="NAU4:NAW4"/>
    <mergeCell ref="NAX4:NAZ4"/>
    <mergeCell ref="NBA4:NBC4"/>
    <mergeCell ref="MZT4:MZV4"/>
    <mergeCell ref="MZW4:MZY4"/>
    <mergeCell ref="MZZ4:NAB4"/>
    <mergeCell ref="NAC4:NAE4"/>
    <mergeCell ref="NAF4:NAH4"/>
    <mergeCell ref="NAI4:NAK4"/>
    <mergeCell ref="MZB4:MZD4"/>
    <mergeCell ref="MZE4:MZG4"/>
    <mergeCell ref="MZH4:MZJ4"/>
    <mergeCell ref="MZK4:MZM4"/>
    <mergeCell ref="MZN4:MZP4"/>
    <mergeCell ref="MZQ4:MZS4"/>
    <mergeCell ref="MYJ4:MYL4"/>
    <mergeCell ref="MYM4:MYO4"/>
    <mergeCell ref="MYP4:MYR4"/>
    <mergeCell ref="MYS4:MYU4"/>
    <mergeCell ref="MYV4:MYX4"/>
    <mergeCell ref="MYY4:MZA4"/>
    <mergeCell ref="MXR4:MXT4"/>
    <mergeCell ref="MXU4:MXW4"/>
    <mergeCell ref="MXX4:MXZ4"/>
    <mergeCell ref="MYA4:MYC4"/>
    <mergeCell ref="MYD4:MYF4"/>
    <mergeCell ref="MYG4:MYI4"/>
    <mergeCell ref="NFH4:NFJ4"/>
    <mergeCell ref="NFK4:NFM4"/>
    <mergeCell ref="NFN4:NFP4"/>
    <mergeCell ref="NFQ4:NFS4"/>
    <mergeCell ref="NFT4:NFV4"/>
    <mergeCell ref="NFW4:NFY4"/>
    <mergeCell ref="NEP4:NER4"/>
    <mergeCell ref="NES4:NEU4"/>
    <mergeCell ref="NEV4:NEX4"/>
    <mergeCell ref="NEY4:NFA4"/>
    <mergeCell ref="NFB4:NFD4"/>
    <mergeCell ref="NFE4:NFG4"/>
    <mergeCell ref="NDX4:NDZ4"/>
    <mergeCell ref="NEA4:NEC4"/>
    <mergeCell ref="NED4:NEF4"/>
    <mergeCell ref="NEG4:NEI4"/>
    <mergeCell ref="NEJ4:NEL4"/>
    <mergeCell ref="NEM4:NEO4"/>
    <mergeCell ref="NDF4:NDH4"/>
    <mergeCell ref="NDI4:NDK4"/>
    <mergeCell ref="NDL4:NDN4"/>
    <mergeCell ref="NDO4:NDQ4"/>
    <mergeCell ref="NDR4:NDT4"/>
    <mergeCell ref="NDU4:NDW4"/>
    <mergeCell ref="NCN4:NCP4"/>
    <mergeCell ref="NCQ4:NCS4"/>
    <mergeCell ref="NCT4:NCV4"/>
    <mergeCell ref="NCW4:NCY4"/>
    <mergeCell ref="NCZ4:NDB4"/>
    <mergeCell ref="NDC4:NDE4"/>
    <mergeCell ref="NBV4:NBX4"/>
    <mergeCell ref="NBY4:NCA4"/>
    <mergeCell ref="NCB4:NCD4"/>
    <mergeCell ref="NCE4:NCG4"/>
    <mergeCell ref="NCH4:NCJ4"/>
    <mergeCell ref="NCK4:NCM4"/>
    <mergeCell ref="NJL4:NJN4"/>
    <mergeCell ref="NJO4:NJQ4"/>
    <mergeCell ref="NJR4:NJT4"/>
    <mergeCell ref="NJU4:NJW4"/>
    <mergeCell ref="NJX4:NJZ4"/>
    <mergeCell ref="NKA4:NKC4"/>
    <mergeCell ref="NIT4:NIV4"/>
    <mergeCell ref="NIW4:NIY4"/>
    <mergeCell ref="NIZ4:NJB4"/>
    <mergeCell ref="NJC4:NJE4"/>
    <mergeCell ref="NJF4:NJH4"/>
    <mergeCell ref="NJI4:NJK4"/>
    <mergeCell ref="NIB4:NID4"/>
    <mergeCell ref="NIE4:NIG4"/>
    <mergeCell ref="NIH4:NIJ4"/>
    <mergeCell ref="NIK4:NIM4"/>
    <mergeCell ref="NIN4:NIP4"/>
    <mergeCell ref="NIQ4:NIS4"/>
    <mergeCell ref="NHJ4:NHL4"/>
    <mergeCell ref="NHM4:NHO4"/>
    <mergeCell ref="NHP4:NHR4"/>
    <mergeCell ref="NHS4:NHU4"/>
    <mergeCell ref="NHV4:NHX4"/>
    <mergeCell ref="NHY4:NIA4"/>
    <mergeCell ref="NGR4:NGT4"/>
    <mergeCell ref="NGU4:NGW4"/>
    <mergeCell ref="NGX4:NGZ4"/>
    <mergeCell ref="NHA4:NHC4"/>
    <mergeCell ref="NHD4:NHF4"/>
    <mergeCell ref="NHG4:NHI4"/>
    <mergeCell ref="NFZ4:NGB4"/>
    <mergeCell ref="NGC4:NGE4"/>
    <mergeCell ref="NGF4:NGH4"/>
    <mergeCell ref="NGI4:NGK4"/>
    <mergeCell ref="NGL4:NGN4"/>
    <mergeCell ref="NGO4:NGQ4"/>
    <mergeCell ref="NNP4:NNR4"/>
    <mergeCell ref="NNS4:NNU4"/>
    <mergeCell ref="NNV4:NNX4"/>
    <mergeCell ref="NNY4:NOA4"/>
    <mergeCell ref="NOB4:NOD4"/>
    <mergeCell ref="NOE4:NOG4"/>
    <mergeCell ref="NMX4:NMZ4"/>
    <mergeCell ref="NNA4:NNC4"/>
    <mergeCell ref="NND4:NNF4"/>
    <mergeCell ref="NNG4:NNI4"/>
    <mergeCell ref="NNJ4:NNL4"/>
    <mergeCell ref="NNM4:NNO4"/>
    <mergeCell ref="NMF4:NMH4"/>
    <mergeCell ref="NMI4:NMK4"/>
    <mergeCell ref="NML4:NMN4"/>
    <mergeCell ref="NMO4:NMQ4"/>
    <mergeCell ref="NMR4:NMT4"/>
    <mergeCell ref="NMU4:NMW4"/>
    <mergeCell ref="NLN4:NLP4"/>
    <mergeCell ref="NLQ4:NLS4"/>
    <mergeCell ref="NLT4:NLV4"/>
    <mergeCell ref="NLW4:NLY4"/>
    <mergeCell ref="NLZ4:NMB4"/>
    <mergeCell ref="NMC4:NME4"/>
    <mergeCell ref="NKV4:NKX4"/>
    <mergeCell ref="NKY4:NLA4"/>
    <mergeCell ref="NLB4:NLD4"/>
    <mergeCell ref="NLE4:NLG4"/>
    <mergeCell ref="NLH4:NLJ4"/>
    <mergeCell ref="NLK4:NLM4"/>
    <mergeCell ref="NKD4:NKF4"/>
    <mergeCell ref="NKG4:NKI4"/>
    <mergeCell ref="NKJ4:NKL4"/>
    <mergeCell ref="NKM4:NKO4"/>
    <mergeCell ref="NKP4:NKR4"/>
    <mergeCell ref="NKS4:NKU4"/>
    <mergeCell ref="NRT4:NRV4"/>
    <mergeCell ref="NRW4:NRY4"/>
    <mergeCell ref="NRZ4:NSB4"/>
    <mergeCell ref="NSC4:NSE4"/>
    <mergeCell ref="NSF4:NSH4"/>
    <mergeCell ref="NSI4:NSK4"/>
    <mergeCell ref="NRB4:NRD4"/>
    <mergeCell ref="NRE4:NRG4"/>
    <mergeCell ref="NRH4:NRJ4"/>
    <mergeCell ref="NRK4:NRM4"/>
    <mergeCell ref="NRN4:NRP4"/>
    <mergeCell ref="NRQ4:NRS4"/>
    <mergeCell ref="NQJ4:NQL4"/>
    <mergeCell ref="NQM4:NQO4"/>
    <mergeCell ref="NQP4:NQR4"/>
    <mergeCell ref="NQS4:NQU4"/>
    <mergeCell ref="NQV4:NQX4"/>
    <mergeCell ref="NQY4:NRA4"/>
    <mergeCell ref="NPR4:NPT4"/>
    <mergeCell ref="NPU4:NPW4"/>
    <mergeCell ref="NPX4:NPZ4"/>
    <mergeCell ref="NQA4:NQC4"/>
    <mergeCell ref="NQD4:NQF4"/>
    <mergeCell ref="NQG4:NQI4"/>
    <mergeCell ref="NOZ4:NPB4"/>
    <mergeCell ref="NPC4:NPE4"/>
    <mergeCell ref="NPF4:NPH4"/>
    <mergeCell ref="NPI4:NPK4"/>
    <mergeCell ref="NPL4:NPN4"/>
    <mergeCell ref="NPO4:NPQ4"/>
    <mergeCell ref="NOH4:NOJ4"/>
    <mergeCell ref="NOK4:NOM4"/>
    <mergeCell ref="NON4:NOP4"/>
    <mergeCell ref="NOQ4:NOS4"/>
    <mergeCell ref="NOT4:NOV4"/>
    <mergeCell ref="NOW4:NOY4"/>
    <mergeCell ref="NVX4:NVZ4"/>
    <mergeCell ref="NWA4:NWC4"/>
    <mergeCell ref="NWD4:NWF4"/>
    <mergeCell ref="NWG4:NWI4"/>
    <mergeCell ref="NWJ4:NWL4"/>
    <mergeCell ref="NWM4:NWO4"/>
    <mergeCell ref="NVF4:NVH4"/>
    <mergeCell ref="NVI4:NVK4"/>
    <mergeCell ref="NVL4:NVN4"/>
    <mergeCell ref="NVO4:NVQ4"/>
    <mergeCell ref="NVR4:NVT4"/>
    <mergeCell ref="NVU4:NVW4"/>
    <mergeCell ref="NUN4:NUP4"/>
    <mergeCell ref="NUQ4:NUS4"/>
    <mergeCell ref="NUT4:NUV4"/>
    <mergeCell ref="NUW4:NUY4"/>
    <mergeCell ref="NUZ4:NVB4"/>
    <mergeCell ref="NVC4:NVE4"/>
    <mergeCell ref="NTV4:NTX4"/>
    <mergeCell ref="NTY4:NUA4"/>
    <mergeCell ref="NUB4:NUD4"/>
    <mergeCell ref="NUE4:NUG4"/>
    <mergeCell ref="NUH4:NUJ4"/>
    <mergeCell ref="NUK4:NUM4"/>
    <mergeCell ref="NTD4:NTF4"/>
    <mergeCell ref="NTG4:NTI4"/>
    <mergeCell ref="NTJ4:NTL4"/>
    <mergeCell ref="NTM4:NTO4"/>
    <mergeCell ref="NTP4:NTR4"/>
    <mergeCell ref="NTS4:NTU4"/>
    <mergeCell ref="NSL4:NSN4"/>
    <mergeCell ref="NSO4:NSQ4"/>
    <mergeCell ref="NSR4:NST4"/>
    <mergeCell ref="NSU4:NSW4"/>
    <mergeCell ref="NSX4:NSZ4"/>
    <mergeCell ref="NTA4:NTC4"/>
    <mergeCell ref="OAB4:OAD4"/>
    <mergeCell ref="OAE4:OAG4"/>
    <mergeCell ref="OAH4:OAJ4"/>
    <mergeCell ref="OAK4:OAM4"/>
    <mergeCell ref="OAN4:OAP4"/>
    <mergeCell ref="OAQ4:OAS4"/>
    <mergeCell ref="NZJ4:NZL4"/>
    <mergeCell ref="NZM4:NZO4"/>
    <mergeCell ref="NZP4:NZR4"/>
    <mergeCell ref="NZS4:NZU4"/>
    <mergeCell ref="NZV4:NZX4"/>
    <mergeCell ref="NZY4:OAA4"/>
    <mergeCell ref="NYR4:NYT4"/>
    <mergeCell ref="NYU4:NYW4"/>
    <mergeCell ref="NYX4:NYZ4"/>
    <mergeCell ref="NZA4:NZC4"/>
    <mergeCell ref="NZD4:NZF4"/>
    <mergeCell ref="NZG4:NZI4"/>
    <mergeCell ref="NXZ4:NYB4"/>
    <mergeCell ref="NYC4:NYE4"/>
    <mergeCell ref="NYF4:NYH4"/>
    <mergeCell ref="NYI4:NYK4"/>
    <mergeCell ref="NYL4:NYN4"/>
    <mergeCell ref="NYO4:NYQ4"/>
    <mergeCell ref="NXH4:NXJ4"/>
    <mergeCell ref="NXK4:NXM4"/>
    <mergeCell ref="NXN4:NXP4"/>
    <mergeCell ref="NXQ4:NXS4"/>
    <mergeCell ref="NXT4:NXV4"/>
    <mergeCell ref="NXW4:NXY4"/>
    <mergeCell ref="NWP4:NWR4"/>
    <mergeCell ref="NWS4:NWU4"/>
    <mergeCell ref="NWV4:NWX4"/>
    <mergeCell ref="NWY4:NXA4"/>
    <mergeCell ref="NXB4:NXD4"/>
    <mergeCell ref="NXE4:NXG4"/>
    <mergeCell ref="OEF4:OEH4"/>
    <mergeCell ref="OEI4:OEK4"/>
    <mergeCell ref="OEL4:OEN4"/>
    <mergeCell ref="OEO4:OEQ4"/>
    <mergeCell ref="OER4:OET4"/>
    <mergeCell ref="OEU4:OEW4"/>
    <mergeCell ref="ODN4:ODP4"/>
    <mergeCell ref="ODQ4:ODS4"/>
    <mergeCell ref="ODT4:ODV4"/>
    <mergeCell ref="ODW4:ODY4"/>
    <mergeCell ref="ODZ4:OEB4"/>
    <mergeCell ref="OEC4:OEE4"/>
    <mergeCell ref="OCV4:OCX4"/>
    <mergeCell ref="OCY4:ODA4"/>
    <mergeCell ref="ODB4:ODD4"/>
    <mergeCell ref="ODE4:ODG4"/>
    <mergeCell ref="ODH4:ODJ4"/>
    <mergeCell ref="ODK4:ODM4"/>
    <mergeCell ref="OCD4:OCF4"/>
    <mergeCell ref="OCG4:OCI4"/>
    <mergeCell ref="OCJ4:OCL4"/>
    <mergeCell ref="OCM4:OCO4"/>
    <mergeCell ref="OCP4:OCR4"/>
    <mergeCell ref="OCS4:OCU4"/>
    <mergeCell ref="OBL4:OBN4"/>
    <mergeCell ref="OBO4:OBQ4"/>
    <mergeCell ref="OBR4:OBT4"/>
    <mergeCell ref="OBU4:OBW4"/>
    <mergeCell ref="OBX4:OBZ4"/>
    <mergeCell ref="OCA4:OCC4"/>
    <mergeCell ref="OAT4:OAV4"/>
    <mergeCell ref="OAW4:OAY4"/>
    <mergeCell ref="OAZ4:OBB4"/>
    <mergeCell ref="OBC4:OBE4"/>
    <mergeCell ref="OBF4:OBH4"/>
    <mergeCell ref="OBI4:OBK4"/>
    <mergeCell ref="OIJ4:OIL4"/>
    <mergeCell ref="OIM4:OIO4"/>
    <mergeCell ref="OIP4:OIR4"/>
    <mergeCell ref="OIS4:OIU4"/>
    <mergeCell ref="OIV4:OIX4"/>
    <mergeCell ref="OIY4:OJA4"/>
    <mergeCell ref="OHR4:OHT4"/>
    <mergeCell ref="OHU4:OHW4"/>
    <mergeCell ref="OHX4:OHZ4"/>
    <mergeCell ref="OIA4:OIC4"/>
    <mergeCell ref="OID4:OIF4"/>
    <mergeCell ref="OIG4:OII4"/>
    <mergeCell ref="OGZ4:OHB4"/>
    <mergeCell ref="OHC4:OHE4"/>
    <mergeCell ref="OHF4:OHH4"/>
    <mergeCell ref="OHI4:OHK4"/>
    <mergeCell ref="OHL4:OHN4"/>
    <mergeCell ref="OHO4:OHQ4"/>
    <mergeCell ref="OGH4:OGJ4"/>
    <mergeCell ref="OGK4:OGM4"/>
    <mergeCell ref="OGN4:OGP4"/>
    <mergeCell ref="OGQ4:OGS4"/>
    <mergeCell ref="OGT4:OGV4"/>
    <mergeCell ref="OGW4:OGY4"/>
    <mergeCell ref="OFP4:OFR4"/>
    <mergeCell ref="OFS4:OFU4"/>
    <mergeCell ref="OFV4:OFX4"/>
    <mergeCell ref="OFY4:OGA4"/>
    <mergeCell ref="OGB4:OGD4"/>
    <mergeCell ref="OGE4:OGG4"/>
    <mergeCell ref="OEX4:OEZ4"/>
    <mergeCell ref="OFA4:OFC4"/>
    <mergeCell ref="OFD4:OFF4"/>
    <mergeCell ref="OFG4:OFI4"/>
    <mergeCell ref="OFJ4:OFL4"/>
    <mergeCell ref="OFM4:OFO4"/>
    <mergeCell ref="OMN4:OMP4"/>
    <mergeCell ref="OMQ4:OMS4"/>
    <mergeCell ref="OMT4:OMV4"/>
    <mergeCell ref="OMW4:OMY4"/>
    <mergeCell ref="OMZ4:ONB4"/>
    <mergeCell ref="ONC4:ONE4"/>
    <mergeCell ref="OLV4:OLX4"/>
    <mergeCell ref="OLY4:OMA4"/>
    <mergeCell ref="OMB4:OMD4"/>
    <mergeCell ref="OME4:OMG4"/>
    <mergeCell ref="OMH4:OMJ4"/>
    <mergeCell ref="OMK4:OMM4"/>
    <mergeCell ref="OLD4:OLF4"/>
    <mergeCell ref="OLG4:OLI4"/>
    <mergeCell ref="OLJ4:OLL4"/>
    <mergeCell ref="OLM4:OLO4"/>
    <mergeCell ref="OLP4:OLR4"/>
    <mergeCell ref="OLS4:OLU4"/>
    <mergeCell ref="OKL4:OKN4"/>
    <mergeCell ref="OKO4:OKQ4"/>
    <mergeCell ref="OKR4:OKT4"/>
    <mergeCell ref="OKU4:OKW4"/>
    <mergeCell ref="OKX4:OKZ4"/>
    <mergeCell ref="OLA4:OLC4"/>
    <mergeCell ref="OJT4:OJV4"/>
    <mergeCell ref="OJW4:OJY4"/>
    <mergeCell ref="OJZ4:OKB4"/>
    <mergeCell ref="OKC4:OKE4"/>
    <mergeCell ref="OKF4:OKH4"/>
    <mergeCell ref="OKI4:OKK4"/>
    <mergeCell ref="OJB4:OJD4"/>
    <mergeCell ref="OJE4:OJG4"/>
    <mergeCell ref="OJH4:OJJ4"/>
    <mergeCell ref="OJK4:OJM4"/>
    <mergeCell ref="OJN4:OJP4"/>
    <mergeCell ref="OJQ4:OJS4"/>
    <mergeCell ref="OQR4:OQT4"/>
    <mergeCell ref="OQU4:OQW4"/>
    <mergeCell ref="OQX4:OQZ4"/>
    <mergeCell ref="ORA4:ORC4"/>
    <mergeCell ref="ORD4:ORF4"/>
    <mergeCell ref="ORG4:ORI4"/>
    <mergeCell ref="OPZ4:OQB4"/>
    <mergeCell ref="OQC4:OQE4"/>
    <mergeCell ref="OQF4:OQH4"/>
    <mergeCell ref="OQI4:OQK4"/>
    <mergeCell ref="OQL4:OQN4"/>
    <mergeCell ref="OQO4:OQQ4"/>
    <mergeCell ref="OPH4:OPJ4"/>
    <mergeCell ref="OPK4:OPM4"/>
    <mergeCell ref="OPN4:OPP4"/>
    <mergeCell ref="OPQ4:OPS4"/>
    <mergeCell ref="OPT4:OPV4"/>
    <mergeCell ref="OPW4:OPY4"/>
    <mergeCell ref="OOP4:OOR4"/>
    <mergeCell ref="OOS4:OOU4"/>
    <mergeCell ref="OOV4:OOX4"/>
    <mergeCell ref="OOY4:OPA4"/>
    <mergeCell ref="OPB4:OPD4"/>
    <mergeCell ref="OPE4:OPG4"/>
    <mergeCell ref="ONX4:ONZ4"/>
    <mergeCell ref="OOA4:OOC4"/>
    <mergeCell ref="OOD4:OOF4"/>
    <mergeCell ref="OOG4:OOI4"/>
    <mergeCell ref="OOJ4:OOL4"/>
    <mergeCell ref="OOM4:OOO4"/>
    <mergeCell ref="ONF4:ONH4"/>
    <mergeCell ref="ONI4:ONK4"/>
    <mergeCell ref="ONL4:ONN4"/>
    <mergeCell ref="ONO4:ONQ4"/>
    <mergeCell ref="ONR4:ONT4"/>
    <mergeCell ref="ONU4:ONW4"/>
    <mergeCell ref="OUV4:OUX4"/>
    <mergeCell ref="OUY4:OVA4"/>
    <mergeCell ref="OVB4:OVD4"/>
    <mergeCell ref="OVE4:OVG4"/>
    <mergeCell ref="OVH4:OVJ4"/>
    <mergeCell ref="OVK4:OVM4"/>
    <mergeCell ref="OUD4:OUF4"/>
    <mergeCell ref="OUG4:OUI4"/>
    <mergeCell ref="OUJ4:OUL4"/>
    <mergeCell ref="OUM4:OUO4"/>
    <mergeCell ref="OUP4:OUR4"/>
    <mergeCell ref="OUS4:OUU4"/>
    <mergeCell ref="OTL4:OTN4"/>
    <mergeCell ref="OTO4:OTQ4"/>
    <mergeCell ref="OTR4:OTT4"/>
    <mergeCell ref="OTU4:OTW4"/>
    <mergeCell ref="OTX4:OTZ4"/>
    <mergeCell ref="OUA4:OUC4"/>
    <mergeCell ref="OST4:OSV4"/>
    <mergeCell ref="OSW4:OSY4"/>
    <mergeCell ref="OSZ4:OTB4"/>
    <mergeCell ref="OTC4:OTE4"/>
    <mergeCell ref="OTF4:OTH4"/>
    <mergeCell ref="OTI4:OTK4"/>
    <mergeCell ref="OSB4:OSD4"/>
    <mergeCell ref="OSE4:OSG4"/>
    <mergeCell ref="OSH4:OSJ4"/>
    <mergeCell ref="OSK4:OSM4"/>
    <mergeCell ref="OSN4:OSP4"/>
    <mergeCell ref="OSQ4:OSS4"/>
    <mergeCell ref="ORJ4:ORL4"/>
    <mergeCell ref="ORM4:ORO4"/>
    <mergeCell ref="ORP4:ORR4"/>
    <mergeCell ref="ORS4:ORU4"/>
    <mergeCell ref="ORV4:ORX4"/>
    <mergeCell ref="ORY4:OSA4"/>
    <mergeCell ref="OYZ4:OZB4"/>
    <mergeCell ref="OZC4:OZE4"/>
    <mergeCell ref="OZF4:OZH4"/>
    <mergeCell ref="OZI4:OZK4"/>
    <mergeCell ref="OZL4:OZN4"/>
    <mergeCell ref="OZO4:OZQ4"/>
    <mergeCell ref="OYH4:OYJ4"/>
    <mergeCell ref="OYK4:OYM4"/>
    <mergeCell ref="OYN4:OYP4"/>
    <mergeCell ref="OYQ4:OYS4"/>
    <mergeCell ref="OYT4:OYV4"/>
    <mergeCell ref="OYW4:OYY4"/>
    <mergeCell ref="OXP4:OXR4"/>
    <mergeCell ref="OXS4:OXU4"/>
    <mergeCell ref="OXV4:OXX4"/>
    <mergeCell ref="OXY4:OYA4"/>
    <mergeCell ref="OYB4:OYD4"/>
    <mergeCell ref="OYE4:OYG4"/>
    <mergeCell ref="OWX4:OWZ4"/>
    <mergeCell ref="OXA4:OXC4"/>
    <mergeCell ref="OXD4:OXF4"/>
    <mergeCell ref="OXG4:OXI4"/>
    <mergeCell ref="OXJ4:OXL4"/>
    <mergeCell ref="OXM4:OXO4"/>
    <mergeCell ref="OWF4:OWH4"/>
    <mergeCell ref="OWI4:OWK4"/>
    <mergeCell ref="OWL4:OWN4"/>
    <mergeCell ref="OWO4:OWQ4"/>
    <mergeCell ref="OWR4:OWT4"/>
    <mergeCell ref="OWU4:OWW4"/>
    <mergeCell ref="OVN4:OVP4"/>
    <mergeCell ref="OVQ4:OVS4"/>
    <mergeCell ref="OVT4:OVV4"/>
    <mergeCell ref="OVW4:OVY4"/>
    <mergeCell ref="OVZ4:OWB4"/>
    <mergeCell ref="OWC4:OWE4"/>
    <mergeCell ref="PDD4:PDF4"/>
    <mergeCell ref="PDG4:PDI4"/>
    <mergeCell ref="PDJ4:PDL4"/>
    <mergeCell ref="PDM4:PDO4"/>
    <mergeCell ref="PDP4:PDR4"/>
    <mergeCell ref="PDS4:PDU4"/>
    <mergeCell ref="PCL4:PCN4"/>
    <mergeCell ref="PCO4:PCQ4"/>
    <mergeCell ref="PCR4:PCT4"/>
    <mergeCell ref="PCU4:PCW4"/>
    <mergeCell ref="PCX4:PCZ4"/>
    <mergeCell ref="PDA4:PDC4"/>
    <mergeCell ref="PBT4:PBV4"/>
    <mergeCell ref="PBW4:PBY4"/>
    <mergeCell ref="PBZ4:PCB4"/>
    <mergeCell ref="PCC4:PCE4"/>
    <mergeCell ref="PCF4:PCH4"/>
    <mergeCell ref="PCI4:PCK4"/>
    <mergeCell ref="PBB4:PBD4"/>
    <mergeCell ref="PBE4:PBG4"/>
    <mergeCell ref="PBH4:PBJ4"/>
    <mergeCell ref="PBK4:PBM4"/>
    <mergeCell ref="PBN4:PBP4"/>
    <mergeCell ref="PBQ4:PBS4"/>
    <mergeCell ref="PAJ4:PAL4"/>
    <mergeCell ref="PAM4:PAO4"/>
    <mergeCell ref="PAP4:PAR4"/>
    <mergeCell ref="PAS4:PAU4"/>
    <mergeCell ref="PAV4:PAX4"/>
    <mergeCell ref="PAY4:PBA4"/>
    <mergeCell ref="OZR4:OZT4"/>
    <mergeCell ref="OZU4:OZW4"/>
    <mergeCell ref="OZX4:OZZ4"/>
    <mergeCell ref="PAA4:PAC4"/>
    <mergeCell ref="PAD4:PAF4"/>
    <mergeCell ref="PAG4:PAI4"/>
    <mergeCell ref="PHH4:PHJ4"/>
    <mergeCell ref="PHK4:PHM4"/>
    <mergeCell ref="PHN4:PHP4"/>
    <mergeCell ref="PHQ4:PHS4"/>
    <mergeCell ref="PHT4:PHV4"/>
    <mergeCell ref="PHW4:PHY4"/>
    <mergeCell ref="PGP4:PGR4"/>
    <mergeCell ref="PGS4:PGU4"/>
    <mergeCell ref="PGV4:PGX4"/>
    <mergeCell ref="PGY4:PHA4"/>
    <mergeCell ref="PHB4:PHD4"/>
    <mergeCell ref="PHE4:PHG4"/>
    <mergeCell ref="PFX4:PFZ4"/>
    <mergeCell ref="PGA4:PGC4"/>
    <mergeCell ref="PGD4:PGF4"/>
    <mergeCell ref="PGG4:PGI4"/>
    <mergeCell ref="PGJ4:PGL4"/>
    <mergeCell ref="PGM4:PGO4"/>
    <mergeCell ref="PFF4:PFH4"/>
    <mergeCell ref="PFI4:PFK4"/>
    <mergeCell ref="PFL4:PFN4"/>
    <mergeCell ref="PFO4:PFQ4"/>
    <mergeCell ref="PFR4:PFT4"/>
    <mergeCell ref="PFU4:PFW4"/>
    <mergeCell ref="PEN4:PEP4"/>
    <mergeCell ref="PEQ4:PES4"/>
    <mergeCell ref="PET4:PEV4"/>
    <mergeCell ref="PEW4:PEY4"/>
    <mergeCell ref="PEZ4:PFB4"/>
    <mergeCell ref="PFC4:PFE4"/>
    <mergeCell ref="PDV4:PDX4"/>
    <mergeCell ref="PDY4:PEA4"/>
    <mergeCell ref="PEB4:PED4"/>
    <mergeCell ref="PEE4:PEG4"/>
    <mergeCell ref="PEH4:PEJ4"/>
    <mergeCell ref="PEK4:PEM4"/>
    <mergeCell ref="PLL4:PLN4"/>
    <mergeCell ref="PLO4:PLQ4"/>
    <mergeCell ref="PLR4:PLT4"/>
    <mergeCell ref="PLU4:PLW4"/>
    <mergeCell ref="PLX4:PLZ4"/>
    <mergeCell ref="PMA4:PMC4"/>
    <mergeCell ref="PKT4:PKV4"/>
    <mergeCell ref="PKW4:PKY4"/>
    <mergeCell ref="PKZ4:PLB4"/>
    <mergeCell ref="PLC4:PLE4"/>
    <mergeCell ref="PLF4:PLH4"/>
    <mergeCell ref="PLI4:PLK4"/>
    <mergeCell ref="PKB4:PKD4"/>
    <mergeCell ref="PKE4:PKG4"/>
    <mergeCell ref="PKH4:PKJ4"/>
    <mergeCell ref="PKK4:PKM4"/>
    <mergeCell ref="PKN4:PKP4"/>
    <mergeCell ref="PKQ4:PKS4"/>
    <mergeCell ref="PJJ4:PJL4"/>
    <mergeCell ref="PJM4:PJO4"/>
    <mergeCell ref="PJP4:PJR4"/>
    <mergeCell ref="PJS4:PJU4"/>
    <mergeCell ref="PJV4:PJX4"/>
    <mergeCell ref="PJY4:PKA4"/>
    <mergeCell ref="PIR4:PIT4"/>
    <mergeCell ref="PIU4:PIW4"/>
    <mergeCell ref="PIX4:PIZ4"/>
    <mergeCell ref="PJA4:PJC4"/>
    <mergeCell ref="PJD4:PJF4"/>
    <mergeCell ref="PJG4:PJI4"/>
    <mergeCell ref="PHZ4:PIB4"/>
    <mergeCell ref="PIC4:PIE4"/>
    <mergeCell ref="PIF4:PIH4"/>
    <mergeCell ref="PII4:PIK4"/>
    <mergeCell ref="PIL4:PIN4"/>
    <mergeCell ref="PIO4:PIQ4"/>
    <mergeCell ref="PPP4:PPR4"/>
    <mergeCell ref="PPS4:PPU4"/>
    <mergeCell ref="PPV4:PPX4"/>
    <mergeCell ref="PPY4:PQA4"/>
    <mergeCell ref="PQB4:PQD4"/>
    <mergeCell ref="PQE4:PQG4"/>
    <mergeCell ref="POX4:POZ4"/>
    <mergeCell ref="PPA4:PPC4"/>
    <mergeCell ref="PPD4:PPF4"/>
    <mergeCell ref="PPG4:PPI4"/>
    <mergeCell ref="PPJ4:PPL4"/>
    <mergeCell ref="PPM4:PPO4"/>
    <mergeCell ref="POF4:POH4"/>
    <mergeCell ref="POI4:POK4"/>
    <mergeCell ref="POL4:PON4"/>
    <mergeCell ref="POO4:POQ4"/>
    <mergeCell ref="POR4:POT4"/>
    <mergeCell ref="POU4:POW4"/>
    <mergeCell ref="PNN4:PNP4"/>
    <mergeCell ref="PNQ4:PNS4"/>
    <mergeCell ref="PNT4:PNV4"/>
    <mergeCell ref="PNW4:PNY4"/>
    <mergeCell ref="PNZ4:POB4"/>
    <mergeCell ref="POC4:POE4"/>
    <mergeCell ref="PMV4:PMX4"/>
    <mergeCell ref="PMY4:PNA4"/>
    <mergeCell ref="PNB4:PND4"/>
    <mergeCell ref="PNE4:PNG4"/>
    <mergeCell ref="PNH4:PNJ4"/>
    <mergeCell ref="PNK4:PNM4"/>
    <mergeCell ref="PMD4:PMF4"/>
    <mergeCell ref="PMG4:PMI4"/>
    <mergeCell ref="PMJ4:PML4"/>
    <mergeCell ref="PMM4:PMO4"/>
    <mergeCell ref="PMP4:PMR4"/>
    <mergeCell ref="PMS4:PMU4"/>
    <mergeCell ref="PTT4:PTV4"/>
    <mergeCell ref="PTW4:PTY4"/>
    <mergeCell ref="PTZ4:PUB4"/>
    <mergeCell ref="PUC4:PUE4"/>
    <mergeCell ref="PUF4:PUH4"/>
    <mergeCell ref="PUI4:PUK4"/>
    <mergeCell ref="PTB4:PTD4"/>
    <mergeCell ref="PTE4:PTG4"/>
    <mergeCell ref="PTH4:PTJ4"/>
    <mergeCell ref="PTK4:PTM4"/>
    <mergeCell ref="PTN4:PTP4"/>
    <mergeCell ref="PTQ4:PTS4"/>
    <mergeCell ref="PSJ4:PSL4"/>
    <mergeCell ref="PSM4:PSO4"/>
    <mergeCell ref="PSP4:PSR4"/>
    <mergeCell ref="PSS4:PSU4"/>
    <mergeCell ref="PSV4:PSX4"/>
    <mergeCell ref="PSY4:PTA4"/>
    <mergeCell ref="PRR4:PRT4"/>
    <mergeCell ref="PRU4:PRW4"/>
    <mergeCell ref="PRX4:PRZ4"/>
    <mergeCell ref="PSA4:PSC4"/>
    <mergeCell ref="PSD4:PSF4"/>
    <mergeCell ref="PSG4:PSI4"/>
    <mergeCell ref="PQZ4:PRB4"/>
    <mergeCell ref="PRC4:PRE4"/>
    <mergeCell ref="PRF4:PRH4"/>
    <mergeCell ref="PRI4:PRK4"/>
    <mergeCell ref="PRL4:PRN4"/>
    <mergeCell ref="PRO4:PRQ4"/>
    <mergeCell ref="PQH4:PQJ4"/>
    <mergeCell ref="PQK4:PQM4"/>
    <mergeCell ref="PQN4:PQP4"/>
    <mergeCell ref="PQQ4:PQS4"/>
    <mergeCell ref="PQT4:PQV4"/>
    <mergeCell ref="PQW4:PQY4"/>
    <mergeCell ref="PXX4:PXZ4"/>
    <mergeCell ref="PYA4:PYC4"/>
    <mergeCell ref="PYD4:PYF4"/>
    <mergeCell ref="PYG4:PYI4"/>
    <mergeCell ref="PYJ4:PYL4"/>
    <mergeCell ref="PYM4:PYO4"/>
    <mergeCell ref="PXF4:PXH4"/>
    <mergeCell ref="PXI4:PXK4"/>
    <mergeCell ref="PXL4:PXN4"/>
    <mergeCell ref="PXO4:PXQ4"/>
    <mergeCell ref="PXR4:PXT4"/>
    <mergeCell ref="PXU4:PXW4"/>
    <mergeCell ref="PWN4:PWP4"/>
    <mergeCell ref="PWQ4:PWS4"/>
    <mergeCell ref="PWT4:PWV4"/>
    <mergeCell ref="PWW4:PWY4"/>
    <mergeCell ref="PWZ4:PXB4"/>
    <mergeCell ref="PXC4:PXE4"/>
    <mergeCell ref="PVV4:PVX4"/>
    <mergeCell ref="PVY4:PWA4"/>
    <mergeCell ref="PWB4:PWD4"/>
    <mergeCell ref="PWE4:PWG4"/>
    <mergeCell ref="PWH4:PWJ4"/>
    <mergeCell ref="PWK4:PWM4"/>
    <mergeCell ref="PVD4:PVF4"/>
    <mergeCell ref="PVG4:PVI4"/>
    <mergeCell ref="PVJ4:PVL4"/>
    <mergeCell ref="PVM4:PVO4"/>
    <mergeCell ref="PVP4:PVR4"/>
    <mergeCell ref="PVS4:PVU4"/>
    <mergeCell ref="PUL4:PUN4"/>
    <mergeCell ref="PUO4:PUQ4"/>
    <mergeCell ref="PUR4:PUT4"/>
    <mergeCell ref="PUU4:PUW4"/>
    <mergeCell ref="PUX4:PUZ4"/>
    <mergeCell ref="PVA4:PVC4"/>
    <mergeCell ref="QCB4:QCD4"/>
    <mergeCell ref="QCE4:QCG4"/>
    <mergeCell ref="QCH4:QCJ4"/>
    <mergeCell ref="QCK4:QCM4"/>
    <mergeCell ref="QCN4:QCP4"/>
    <mergeCell ref="QCQ4:QCS4"/>
    <mergeCell ref="QBJ4:QBL4"/>
    <mergeCell ref="QBM4:QBO4"/>
    <mergeCell ref="QBP4:QBR4"/>
    <mergeCell ref="QBS4:QBU4"/>
    <mergeCell ref="QBV4:QBX4"/>
    <mergeCell ref="QBY4:QCA4"/>
    <mergeCell ref="QAR4:QAT4"/>
    <mergeCell ref="QAU4:QAW4"/>
    <mergeCell ref="QAX4:QAZ4"/>
    <mergeCell ref="QBA4:QBC4"/>
    <mergeCell ref="QBD4:QBF4"/>
    <mergeCell ref="QBG4:QBI4"/>
    <mergeCell ref="PZZ4:QAB4"/>
    <mergeCell ref="QAC4:QAE4"/>
    <mergeCell ref="QAF4:QAH4"/>
    <mergeCell ref="QAI4:QAK4"/>
    <mergeCell ref="QAL4:QAN4"/>
    <mergeCell ref="QAO4:QAQ4"/>
    <mergeCell ref="PZH4:PZJ4"/>
    <mergeCell ref="PZK4:PZM4"/>
    <mergeCell ref="PZN4:PZP4"/>
    <mergeCell ref="PZQ4:PZS4"/>
    <mergeCell ref="PZT4:PZV4"/>
    <mergeCell ref="PZW4:PZY4"/>
    <mergeCell ref="PYP4:PYR4"/>
    <mergeCell ref="PYS4:PYU4"/>
    <mergeCell ref="PYV4:PYX4"/>
    <mergeCell ref="PYY4:PZA4"/>
    <mergeCell ref="PZB4:PZD4"/>
    <mergeCell ref="PZE4:PZG4"/>
    <mergeCell ref="QGF4:QGH4"/>
    <mergeCell ref="QGI4:QGK4"/>
    <mergeCell ref="QGL4:QGN4"/>
    <mergeCell ref="QGO4:QGQ4"/>
    <mergeCell ref="QGR4:QGT4"/>
    <mergeCell ref="QGU4:QGW4"/>
    <mergeCell ref="QFN4:QFP4"/>
    <mergeCell ref="QFQ4:QFS4"/>
    <mergeCell ref="QFT4:QFV4"/>
    <mergeCell ref="QFW4:QFY4"/>
    <mergeCell ref="QFZ4:QGB4"/>
    <mergeCell ref="QGC4:QGE4"/>
    <mergeCell ref="QEV4:QEX4"/>
    <mergeCell ref="QEY4:QFA4"/>
    <mergeCell ref="QFB4:QFD4"/>
    <mergeCell ref="QFE4:QFG4"/>
    <mergeCell ref="QFH4:QFJ4"/>
    <mergeCell ref="QFK4:QFM4"/>
    <mergeCell ref="QED4:QEF4"/>
    <mergeCell ref="QEG4:QEI4"/>
    <mergeCell ref="QEJ4:QEL4"/>
    <mergeCell ref="QEM4:QEO4"/>
    <mergeCell ref="QEP4:QER4"/>
    <mergeCell ref="QES4:QEU4"/>
    <mergeCell ref="QDL4:QDN4"/>
    <mergeCell ref="QDO4:QDQ4"/>
    <mergeCell ref="QDR4:QDT4"/>
    <mergeCell ref="QDU4:QDW4"/>
    <mergeCell ref="QDX4:QDZ4"/>
    <mergeCell ref="QEA4:QEC4"/>
    <mergeCell ref="QCT4:QCV4"/>
    <mergeCell ref="QCW4:QCY4"/>
    <mergeCell ref="QCZ4:QDB4"/>
    <mergeCell ref="QDC4:QDE4"/>
    <mergeCell ref="QDF4:QDH4"/>
    <mergeCell ref="QDI4:QDK4"/>
    <mergeCell ref="QKJ4:QKL4"/>
    <mergeCell ref="QKM4:QKO4"/>
    <mergeCell ref="QKP4:QKR4"/>
    <mergeCell ref="QKS4:QKU4"/>
    <mergeCell ref="QKV4:QKX4"/>
    <mergeCell ref="QKY4:QLA4"/>
    <mergeCell ref="QJR4:QJT4"/>
    <mergeCell ref="QJU4:QJW4"/>
    <mergeCell ref="QJX4:QJZ4"/>
    <mergeCell ref="QKA4:QKC4"/>
    <mergeCell ref="QKD4:QKF4"/>
    <mergeCell ref="QKG4:QKI4"/>
    <mergeCell ref="QIZ4:QJB4"/>
    <mergeCell ref="QJC4:QJE4"/>
    <mergeCell ref="QJF4:QJH4"/>
    <mergeCell ref="QJI4:QJK4"/>
    <mergeCell ref="QJL4:QJN4"/>
    <mergeCell ref="QJO4:QJQ4"/>
    <mergeCell ref="QIH4:QIJ4"/>
    <mergeCell ref="QIK4:QIM4"/>
    <mergeCell ref="QIN4:QIP4"/>
    <mergeCell ref="QIQ4:QIS4"/>
    <mergeCell ref="QIT4:QIV4"/>
    <mergeCell ref="QIW4:QIY4"/>
    <mergeCell ref="QHP4:QHR4"/>
    <mergeCell ref="QHS4:QHU4"/>
    <mergeCell ref="QHV4:QHX4"/>
    <mergeCell ref="QHY4:QIA4"/>
    <mergeCell ref="QIB4:QID4"/>
    <mergeCell ref="QIE4:QIG4"/>
    <mergeCell ref="QGX4:QGZ4"/>
    <mergeCell ref="QHA4:QHC4"/>
    <mergeCell ref="QHD4:QHF4"/>
    <mergeCell ref="QHG4:QHI4"/>
    <mergeCell ref="QHJ4:QHL4"/>
    <mergeCell ref="QHM4:QHO4"/>
    <mergeCell ref="QON4:QOP4"/>
    <mergeCell ref="QOQ4:QOS4"/>
    <mergeCell ref="QOT4:QOV4"/>
    <mergeCell ref="QOW4:QOY4"/>
    <mergeCell ref="QOZ4:QPB4"/>
    <mergeCell ref="QPC4:QPE4"/>
    <mergeCell ref="QNV4:QNX4"/>
    <mergeCell ref="QNY4:QOA4"/>
    <mergeCell ref="QOB4:QOD4"/>
    <mergeCell ref="QOE4:QOG4"/>
    <mergeCell ref="QOH4:QOJ4"/>
    <mergeCell ref="QOK4:QOM4"/>
    <mergeCell ref="QND4:QNF4"/>
    <mergeCell ref="QNG4:QNI4"/>
    <mergeCell ref="QNJ4:QNL4"/>
    <mergeCell ref="QNM4:QNO4"/>
    <mergeCell ref="QNP4:QNR4"/>
    <mergeCell ref="QNS4:QNU4"/>
    <mergeCell ref="QML4:QMN4"/>
    <mergeCell ref="QMO4:QMQ4"/>
    <mergeCell ref="QMR4:QMT4"/>
    <mergeCell ref="QMU4:QMW4"/>
    <mergeCell ref="QMX4:QMZ4"/>
    <mergeCell ref="QNA4:QNC4"/>
    <mergeCell ref="QLT4:QLV4"/>
    <mergeCell ref="QLW4:QLY4"/>
    <mergeCell ref="QLZ4:QMB4"/>
    <mergeCell ref="QMC4:QME4"/>
    <mergeCell ref="QMF4:QMH4"/>
    <mergeCell ref="QMI4:QMK4"/>
    <mergeCell ref="QLB4:QLD4"/>
    <mergeCell ref="QLE4:QLG4"/>
    <mergeCell ref="QLH4:QLJ4"/>
    <mergeCell ref="QLK4:QLM4"/>
    <mergeCell ref="QLN4:QLP4"/>
    <mergeCell ref="QLQ4:QLS4"/>
    <mergeCell ref="QSR4:QST4"/>
    <mergeCell ref="QSU4:QSW4"/>
    <mergeCell ref="QSX4:QSZ4"/>
    <mergeCell ref="QTA4:QTC4"/>
    <mergeCell ref="QTD4:QTF4"/>
    <mergeCell ref="QTG4:QTI4"/>
    <mergeCell ref="QRZ4:QSB4"/>
    <mergeCell ref="QSC4:QSE4"/>
    <mergeCell ref="QSF4:QSH4"/>
    <mergeCell ref="QSI4:QSK4"/>
    <mergeCell ref="QSL4:QSN4"/>
    <mergeCell ref="QSO4:QSQ4"/>
    <mergeCell ref="QRH4:QRJ4"/>
    <mergeCell ref="QRK4:QRM4"/>
    <mergeCell ref="QRN4:QRP4"/>
    <mergeCell ref="QRQ4:QRS4"/>
    <mergeCell ref="QRT4:QRV4"/>
    <mergeCell ref="QRW4:QRY4"/>
    <mergeCell ref="QQP4:QQR4"/>
    <mergeCell ref="QQS4:QQU4"/>
    <mergeCell ref="QQV4:QQX4"/>
    <mergeCell ref="QQY4:QRA4"/>
    <mergeCell ref="QRB4:QRD4"/>
    <mergeCell ref="QRE4:QRG4"/>
    <mergeCell ref="QPX4:QPZ4"/>
    <mergeCell ref="QQA4:QQC4"/>
    <mergeCell ref="QQD4:QQF4"/>
    <mergeCell ref="QQG4:QQI4"/>
    <mergeCell ref="QQJ4:QQL4"/>
    <mergeCell ref="QQM4:QQO4"/>
    <mergeCell ref="QPF4:QPH4"/>
    <mergeCell ref="QPI4:QPK4"/>
    <mergeCell ref="QPL4:QPN4"/>
    <mergeCell ref="QPO4:QPQ4"/>
    <mergeCell ref="QPR4:QPT4"/>
    <mergeCell ref="QPU4:QPW4"/>
    <mergeCell ref="QWV4:QWX4"/>
    <mergeCell ref="QWY4:QXA4"/>
    <mergeCell ref="QXB4:QXD4"/>
    <mergeCell ref="QXE4:QXG4"/>
    <mergeCell ref="QXH4:QXJ4"/>
    <mergeCell ref="QXK4:QXM4"/>
    <mergeCell ref="QWD4:QWF4"/>
    <mergeCell ref="QWG4:QWI4"/>
    <mergeCell ref="QWJ4:QWL4"/>
    <mergeCell ref="QWM4:QWO4"/>
    <mergeCell ref="QWP4:QWR4"/>
    <mergeCell ref="QWS4:QWU4"/>
    <mergeCell ref="QVL4:QVN4"/>
    <mergeCell ref="QVO4:QVQ4"/>
    <mergeCell ref="QVR4:QVT4"/>
    <mergeCell ref="QVU4:QVW4"/>
    <mergeCell ref="QVX4:QVZ4"/>
    <mergeCell ref="QWA4:QWC4"/>
    <mergeCell ref="QUT4:QUV4"/>
    <mergeCell ref="QUW4:QUY4"/>
    <mergeCell ref="QUZ4:QVB4"/>
    <mergeCell ref="QVC4:QVE4"/>
    <mergeCell ref="QVF4:QVH4"/>
    <mergeCell ref="QVI4:QVK4"/>
    <mergeCell ref="QUB4:QUD4"/>
    <mergeCell ref="QUE4:QUG4"/>
    <mergeCell ref="QUH4:QUJ4"/>
    <mergeCell ref="QUK4:QUM4"/>
    <mergeCell ref="QUN4:QUP4"/>
    <mergeCell ref="QUQ4:QUS4"/>
    <mergeCell ref="QTJ4:QTL4"/>
    <mergeCell ref="QTM4:QTO4"/>
    <mergeCell ref="QTP4:QTR4"/>
    <mergeCell ref="QTS4:QTU4"/>
    <mergeCell ref="QTV4:QTX4"/>
    <mergeCell ref="QTY4:QUA4"/>
    <mergeCell ref="RAZ4:RBB4"/>
    <mergeCell ref="RBC4:RBE4"/>
    <mergeCell ref="RBF4:RBH4"/>
    <mergeCell ref="RBI4:RBK4"/>
    <mergeCell ref="RBL4:RBN4"/>
    <mergeCell ref="RBO4:RBQ4"/>
    <mergeCell ref="RAH4:RAJ4"/>
    <mergeCell ref="RAK4:RAM4"/>
    <mergeCell ref="RAN4:RAP4"/>
    <mergeCell ref="RAQ4:RAS4"/>
    <mergeCell ref="RAT4:RAV4"/>
    <mergeCell ref="RAW4:RAY4"/>
    <mergeCell ref="QZP4:QZR4"/>
    <mergeCell ref="QZS4:QZU4"/>
    <mergeCell ref="QZV4:QZX4"/>
    <mergeCell ref="QZY4:RAA4"/>
    <mergeCell ref="RAB4:RAD4"/>
    <mergeCell ref="RAE4:RAG4"/>
    <mergeCell ref="QYX4:QYZ4"/>
    <mergeCell ref="QZA4:QZC4"/>
    <mergeCell ref="QZD4:QZF4"/>
    <mergeCell ref="QZG4:QZI4"/>
    <mergeCell ref="QZJ4:QZL4"/>
    <mergeCell ref="QZM4:QZO4"/>
    <mergeCell ref="QYF4:QYH4"/>
    <mergeCell ref="QYI4:QYK4"/>
    <mergeCell ref="QYL4:QYN4"/>
    <mergeCell ref="QYO4:QYQ4"/>
    <mergeCell ref="QYR4:QYT4"/>
    <mergeCell ref="QYU4:QYW4"/>
    <mergeCell ref="QXN4:QXP4"/>
    <mergeCell ref="QXQ4:QXS4"/>
    <mergeCell ref="QXT4:QXV4"/>
    <mergeCell ref="QXW4:QXY4"/>
    <mergeCell ref="QXZ4:QYB4"/>
    <mergeCell ref="QYC4:QYE4"/>
    <mergeCell ref="RFD4:RFF4"/>
    <mergeCell ref="RFG4:RFI4"/>
    <mergeCell ref="RFJ4:RFL4"/>
    <mergeCell ref="RFM4:RFO4"/>
    <mergeCell ref="RFP4:RFR4"/>
    <mergeCell ref="RFS4:RFU4"/>
    <mergeCell ref="REL4:REN4"/>
    <mergeCell ref="REO4:REQ4"/>
    <mergeCell ref="RER4:RET4"/>
    <mergeCell ref="REU4:REW4"/>
    <mergeCell ref="REX4:REZ4"/>
    <mergeCell ref="RFA4:RFC4"/>
    <mergeCell ref="RDT4:RDV4"/>
    <mergeCell ref="RDW4:RDY4"/>
    <mergeCell ref="RDZ4:REB4"/>
    <mergeCell ref="REC4:REE4"/>
    <mergeCell ref="REF4:REH4"/>
    <mergeCell ref="REI4:REK4"/>
    <mergeCell ref="RDB4:RDD4"/>
    <mergeCell ref="RDE4:RDG4"/>
    <mergeCell ref="RDH4:RDJ4"/>
    <mergeCell ref="RDK4:RDM4"/>
    <mergeCell ref="RDN4:RDP4"/>
    <mergeCell ref="RDQ4:RDS4"/>
    <mergeCell ref="RCJ4:RCL4"/>
    <mergeCell ref="RCM4:RCO4"/>
    <mergeCell ref="RCP4:RCR4"/>
    <mergeCell ref="RCS4:RCU4"/>
    <mergeCell ref="RCV4:RCX4"/>
    <mergeCell ref="RCY4:RDA4"/>
    <mergeCell ref="RBR4:RBT4"/>
    <mergeCell ref="RBU4:RBW4"/>
    <mergeCell ref="RBX4:RBZ4"/>
    <mergeCell ref="RCA4:RCC4"/>
    <mergeCell ref="RCD4:RCF4"/>
    <mergeCell ref="RCG4:RCI4"/>
    <mergeCell ref="RJH4:RJJ4"/>
    <mergeCell ref="RJK4:RJM4"/>
    <mergeCell ref="RJN4:RJP4"/>
    <mergeCell ref="RJQ4:RJS4"/>
    <mergeCell ref="RJT4:RJV4"/>
    <mergeCell ref="RJW4:RJY4"/>
    <mergeCell ref="RIP4:RIR4"/>
    <mergeCell ref="RIS4:RIU4"/>
    <mergeCell ref="RIV4:RIX4"/>
    <mergeCell ref="RIY4:RJA4"/>
    <mergeCell ref="RJB4:RJD4"/>
    <mergeCell ref="RJE4:RJG4"/>
    <mergeCell ref="RHX4:RHZ4"/>
    <mergeCell ref="RIA4:RIC4"/>
    <mergeCell ref="RID4:RIF4"/>
    <mergeCell ref="RIG4:RII4"/>
    <mergeCell ref="RIJ4:RIL4"/>
    <mergeCell ref="RIM4:RIO4"/>
    <mergeCell ref="RHF4:RHH4"/>
    <mergeCell ref="RHI4:RHK4"/>
    <mergeCell ref="RHL4:RHN4"/>
    <mergeCell ref="RHO4:RHQ4"/>
    <mergeCell ref="RHR4:RHT4"/>
    <mergeCell ref="RHU4:RHW4"/>
    <mergeCell ref="RGN4:RGP4"/>
    <mergeCell ref="RGQ4:RGS4"/>
    <mergeCell ref="RGT4:RGV4"/>
    <mergeCell ref="RGW4:RGY4"/>
    <mergeCell ref="RGZ4:RHB4"/>
    <mergeCell ref="RHC4:RHE4"/>
    <mergeCell ref="RFV4:RFX4"/>
    <mergeCell ref="RFY4:RGA4"/>
    <mergeCell ref="RGB4:RGD4"/>
    <mergeCell ref="RGE4:RGG4"/>
    <mergeCell ref="RGH4:RGJ4"/>
    <mergeCell ref="RGK4:RGM4"/>
    <mergeCell ref="RNL4:RNN4"/>
    <mergeCell ref="RNO4:RNQ4"/>
    <mergeCell ref="RNR4:RNT4"/>
    <mergeCell ref="RNU4:RNW4"/>
    <mergeCell ref="RNX4:RNZ4"/>
    <mergeCell ref="ROA4:ROC4"/>
    <mergeCell ref="RMT4:RMV4"/>
    <mergeCell ref="RMW4:RMY4"/>
    <mergeCell ref="RMZ4:RNB4"/>
    <mergeCell ref="RNC4:RNE4"/>
    <mergeCell ref="RNF4:RNH4"/>
    <mergeCell ref="RNI4:RNK4"/>
    <mergeCell ref="RMB4:RMD4"/>
    <mergeCell ref="RME4:RMG4"/>
    <mergeCell ref="RMH4:RMJ4"/>
    <mergeCell ref="RMK4:RMM4"/>
    <mergeCell ref="RMN4:RMP4"/>
    <mergeCell ref="RMQ4:RMS4"/>
    <mergeCell ref="RLJ4:RLL4"/>
    <mergeCell ref="RLM4:RLO4"/>
    <mergeCell ref="RLP4:RLR4"/>
    <mergeCell ref="RLS4:RLU4"/>
    <mergeCell ref="RLV4:RLX4"/>
    <mergeCell ref="RLY4:RMA4"/>
    <mergeCell ref="RKR4:RKT4"/>
    <mergeCell ref="RKU4:RKW4"/>
    <mergeCell ref="RKX4:RKZ4"/>
    <mergeCell ref="RLA4:RLC4"/>
    <mergeCell ref="RLD4:RLF4"/>
    <mergeCell ref="RLG4:RLI4"/>
    <mergeCell ref="RJZ4:RKB4"/>
    <mergeCell ref="RKC4:RKE4"/>
    <mergeCell ref="RKF4:RKH4"/>
    <mergeCell ref="RKI4:RKK4"/>
    <mergeCell ref="RKL4:RKN4"/>
    <mergeCell ref="RKO4:RKQ4"/>
    <mergeCell ref="RRP4:RRR4"/>
    <mergeCell ref="RRS4:RRU4"/>
    <mergeCell ref="RRV4:RRX4"/>
    <mergeCell ref="RRY4:RSA4"/>
    <mergeCell ref="RSB4:RSD4"/>
    <mergeCell ref="RSE4:RSG4"/>
    <mergeCell ref="RQX4:RQZ4"/>
    <mergeCell ref="RRA4:RRC4"/>
    <mergeCell ref="RRD4:RRF4"/>
    <mergeCell ref="RRG4:RRI4"/>
    <mergeCell ref="RRJ4:RRL4"/>
    <mergeCell ref="RRM4:RRO4"/>
    <mergeCell ref="RQF4:RQH4"/>
    <mergeCell ref="RQI4:RQK4"/>
    <mergeCell ref="RQL4:RQN4"/>
    <mergeCell ref="RQO4:RQQ4"/>
    <mergeCell ref="RQR4:RQT4"/>
    <mergeCell ref="RQU4:RQW4"/>
    <mergeCell ref="RPN4:RPP4"/>
    <mergeCell ref="RPQ4:RPS4"/>
    <mergeCell ref="RPT4:RPV4"/>
    <mergeCell ref="RPW4:RPY4"/>
    <mergeCell ref="RPZ4:RQB4"/>
    <mergeCell ref="RQC4:RQE4"/>
    <mergeCell ref="ROV4:ROX4"/>
    <mergeCell ref="ROY4:RPA4"/>
    <mergeCell ref="RPB4:RPD4"/>
    <mergeCell ref="RPE4:RPG4"/>
    <mergeCell ref="RPH4:RPJ4"/>
    <mergeCell ref="RPK4:RPM4"/>
    <mergeCell ref="ROD4:ROF4"/>
    <mergeCell ref="ROG4:ROI4"/>
    <mergeCell ref="ROJ4:ROL4"/>
    <mergeCell ref="ROM4:ROO4"/>
    <mergeCell ref="ROP4:ROR4"/>
    <mergeCell ref="ROS4:ROU4"/>
    <mergeCell ref="RVT4:RVV4"/>
    <mergeCell ref="RVW4:RVY4"/>
    <mergeCell ref="RVZ4:RWB4"/>
    <mergeCell ref="RWC4:RWE4"/>
    <mergeCell ref="RWF4:RWH4"/>
    <mergeCell ref="RWI4:RWK4"/>
    <mergeCell ref="RVB4:RVD4"/>
    <mergeCell ref="RVE4:RVG4"/>
    <mergeCell ref="RVH4:RVJ4"/>
    <mergeCell ref="RVK4:RVM4"/>
    <mergeCell ref="RVN4:RVP4"/>
    <mergeCell ref="RVQ4:RVS4"/>
    <mergeCell ref="RUJ4:RUL4"/>
    <mergeCell ref="RUM4:RUO4"/>
    <mergeCell ref="RUP4:RUR4"/>
    <mergeCell ref="RUS4:RUU4"/>
    <mergeCell ref="RUV4:RUX4"/>
    <mergeCell ref="RUY4:RVA4"/>
    <mergeCell ref="RTR4:RTT4"/>
    <mergeCell ref="RTU4:RTW4"/>
    <mergeCell ref="RTX4:RTZ4"/>
    <mergeCell ref="RUA4:RUC4"/>
    <mergeCell ref="RUD4:RUF4"/>
    <mergeCell ref="RUG4:RUI4"/>
    <mergeCell ref="RSZ4:RTB4"/>
    <mergeCell ref="RTC4:RTE4"/>
    <mergeCell ref="RTF4:RTH4"/>
    <mergeCell ref="RTI4:RTK4"/>
    <mergeCell ref="RTL4:RTN4"/>
    <mergeCell ref="RTO4:RTQ4"/>
    <mergeCell ref="RSH4:RSJ4"/>
    <mergeCell ref="RSK4:RSM4"/>
    <mergeCell ref="RSN4:RSP4"/>
    <mergeCell ref="RSQ4:RSS4"/>
    <mergeCell ref="RST4:RSV4"/>
    <mergeCell ref="RSW4:RSY4"/>
    <mergeCell ref="RZX4:RZZ4"/>
    <mergeCell ref="SAA4:SAC4"/>
    <mergeCell ref="SAD4:SAF4"/>
    <mergeCell ref="SAG4:SAI4"/>
    <mergeCell ref="SAJ4:SAL4"/>
    <mergeCell ref="SAM4:SAO4"/>
    <mergeCell ref="RZF4:RZH4"/>
    <mergeCell ref="RZI4:RZK4"/>
    <mergeCell ref="RZL4:RZN4"/>
    <mergeCell ref="RZO4:RZQ4"/>
    <mergeCell ref="RZR4:RZT4"/>
    <mergeCell ref="RZU4:RZW4"/>
    <mergeCell ref="RYN4:RYP4"/>
    <mergeCell ref="RYQ4:RYS4"/>
    <mergeCell ref="RYT4:RYV4"/>
    <mergeCell ref="RYW4:RYY4"/>
    <mergeCell ref="RYZ4:RZB4"/>
    <mergeCell ref="RZC4:RZE4"/>
    <mergeCell ref="RXV4:RXX4"/>
    <mergeCell ref="RXY4:RYA4"/>
    <mergeCell ref="RYB4:RYD4"/>
    <mergeCell ref="RYE4:RYG4"/>
    <mergeCell ref="RYH4:RYJ4"/>
    <mergeCell ref="RYK4:RYM4"/>
    <mergeCell ref="RXD4:RXF4"/>
    <mergeCell ref="RXG4:RXI4"/>
    <mergeCell ref="RXJ4:RXL4"/>
    <mergeCell ref="RXM4:RXO4"/>
    <mergeCell ref="RXP4:RXR4"/>
    <mergeCell ref="RXS4:RXU4"/>
    <mergeCell ref="RWL4:RWN4"/>
    <mergeCell ref="RWO4:RWQ4"/>
    <mergeCell ref="RWR4:RWT4"/>
    <mergeCell ref="RWU4:RWW4"/>
    <mergeCell ref="RWX4:RWZ4"/>
    <mergeCell ref="RXA4:RXC4"/>
    <mergeCell ref="SEB4:SED4"/>
    <mergeCell ref="SEE4:SEG4"/>
    <mergeCell ref="SEH4:SEJ4"/>
    <mergeCell ref="SEK4:SEM4"/>
    <mergeCell ref="SEN4:SEP4"/>
    <mergeCell ref="SEQ4:SES4"/>
    <mergeCell ref="SDJ4:SDL4"/>
    <mergeCell ref="SDM4:SDO4"/>
    <mergeCell ref="SDP4:SDR4"/>
    <mergeCell ref="SDS4:SDU4"/>
    <mergeCell ref="SDV4:SDX4"/>
    <mergeCell ref="SDY4:SEA4"/>
    <mergeCell ref="SCR4:SCT4"/>
    <mergeCell ref="SCU4:SCW4"/>
    <mergeCell ref="SCX4:SCZ4"/>
    <mergeCell ref="SDA4:SDC4"/>
    <mergeCell ref="SDD4:SDF4"/>
    <mergeCell ref="SDG4:SDI4"/>
    <mergeCell ref="SBZ4:SCB4"/>
    <mergeCell ref="SCC4:SCE4"/>
    <mergeCell ref="SCF4:SCH4"/>
    <mergeCell ref="SCI4:SCK4"/>
    <mergeCell ref="SCL4:SCN4"/>
    <mergeCell ref="SCO4:SCQ4"/>
    <mergeCell ref="SBH4:SBJ4"/>
    <mergeCell ref="SBK4:SBM4"/>
    <mergeCell ref="SBN4:SBP4"/>
    <mergeCell ref="SBQ4:SBS4"/>
    <mergeCell ref="SBT4:SBV4"/>
    <mergeCell ref="SBW4:SBY4"/>
    <mergeCell ref="SAP4:SAR4"/>
    <mergeCell ref="SAS4:SAU4"/>
    <mergeCell ref="SAV4:SAX4"/>
    <mergeCell ref="SAY4:SBA4"/>
    <mergeCell ref="SBB4:SBD4"/>
    <mergeCell ref="SBE4:SBG4"/>
    <mergeCell ref="SIF4:SIH4"/>
    <mergeCell ref="SII4:SIK4"/>
    <mergeCell ref="SIL4:SIN4"/>
    <mergeCell ref="SIO4:SIQ4"/>
    <mergeCell ref="SIR4:SIT4"/>
    <mergeCell ref="SIU4:SIW4"/>
    <mergeCell ref="SHN4:SHP4"/>
    <mergeCell ref="SHQ4:SHS4"/>
    <mergeCell ref="SHT4:SHV4"/>
    <mergeCell ref="SHW4:SHY4"/>
    <mergeCell ref="SHZ4:SIB4"/>
    <mergeCell ref="SIC4:SIE4"/>
    <mergeCell ref="SGV4:SGX4"/>
    <mergeCell ref="SGY4:SHA4"/>
    <mergeCell ref="SHB4:SHD4"/>
    <mergeCell ref="SHE4:SHG4"/>
    <mergeCell ref="SHH4:SHJ4"/>
    <mergeCell ref="SHK4:SHM4"/>
    <mergeCell ref="SGD4:SGF4"/>
    <mergeCell ref="SGG4:SGI4"/>
    <mergeCell ref="SGJ4:SGL4"/>
    <mergeCell ref="SGM4:SGO4"/>
    <mergeCell ref="SGP4:SGR4"/>
    <mergeCell ref="SGS4:SGU4"/>
    <mergeCell ref="SFL4:SFN4"/>
    <mergeCell ref="SFO4:SFQ4"/>
    <mergeCell ref="SFR4:SFT4"/>
    <mergeCell ref="SFU4:SFW4"/>
    <mergeCell ref="SFX4:SFZ4"/>
    <mergeCell ref="SGA4:SGC4"/>
    <mergeCell ref="SET4:SEV4"/>
    <mergeCell ref="SEW4:SEY4"/>
    <mergeCell ref="SEZ4:SFB4"/>
    <mergeCell ref="SFC4:SFE4"/>
    <mergeCell ref="SFF4:SFH4"/>
    <mergeCell ref="SFI4:SFK4"/>
    <mergeCell ref="SMJ4:SML4"/>
    <mergeCell ref="SMM4:SMO4"/>
    <mergeCell ref="SMP4:SMR4"/>
    <mergeCell ref="SMS4:SMU4"/>
    <mergeCell ref="SMV4:SMX4"/>
    <mergeCell ref="SMY4:SNA4"/>
    <mergeCell ref="SLR4:SLT4"/>
    <mergeCell ref="SLU4:SLW4"/>
    <mergeCell ref="SLX4:SLZ4"/>
    <mergeCell ref="SMA4:SMC4"/>
    <mergeCell ref="SMD4:SMF4"/>
    <mergeCell ref="SMG4:SMI4"/>
    <mergeCell ref="SKZ4:SLB4"/>
    <mergeCell ref="SLC4:SLE4"/>
    <mergeCell ref="SLF4:SLH4"/>
    <mergeCell ref="SLI4:SLK4"/>
    <mergeCell ref="SLL4:SLN4"/>
    <mergeCell ref="SLO4:SLQ4"/>
    <mergeCell ref="SKH4:SKJ4"/>
    <mergeCell ref="SKK4:SKM4"/>
    <mergeCell ref="SKN4:SKP4"/>
    <mergeCell ref="SKQ4:SKS4"/>
    <mergeCell ref="SKT4:SKV4"/>
    <mergeCell ref="SKW4:SKY4"/>
    <mergeCell ref="SJP4:SJR4"/>
    <mergeCell ref="SJS4:SJU4"/>
    <mergeCell ref="SJV4:SJX4"/>
    <mergeCell ref="SJY4:SKA4"/>
    <mergeCell ref="SKB4:SKD4"/>
    <mergeCell ref="SKE4:SKG4"/>
    <mergeCell ref="SIX4:SIZ4"/>
    <mergeCell ref="SJA4:SJC4"/>
    <mergeCell ref="SJD4:SJF4"/>
    <mergeCell ref="SJG4:SJI4"/>
    <mergeCell ref="SJJ4:SJL4"/>
    <mergeCell ref="SJM4:SJO4"/>
    <mergeCell ref="SQN4:SQP4"/>
    <mergeCell ref="SQQ4:SQS4"/>
    <mergeCell ref="SQT4:SQV4"/>
    <mergeCell ref="SQW4:SQY4"/>
    <mergeCell ref="SQZ4:SRB4"/>
    <mergeCell ref="SRC4:SRE4"/>
    <mergeCell ref="SPV4:SPX4"/>
    <mergeCell ref="SPY4:SQA4"/>
    <mergeCell ref="SQB4:SQD4"/>
    <mergeCell ref="SQE4:SQG4"/>
    <mergeCell ref="SQH4:SQJ4"/>
    <mergeCell ref="SQK4:SQM4"/>
    <mergeCell ref="SPD4:SPF4"/>
    <mergeCell ref="SPG4:SPI4"/>
    <mergeCell ref="SPJ4:SPL4"/>
    <mergeCell ref="SPM4:SPO4"/>
    <mergeCell ref="SPP4:SPR4"/>
    <mergeCell ref="SPS4:SPU4"/>
    <mergeCell ref="SOL4:SON4"/>
    <mergeCell ref="SOO4:SOQ4"/>
    <mergeCell ref="SOR4:SOT4"/>
    <mergeCell ref="SOU4:SOW4"/>
    <mergeCell ref="SOX4:SOZ4"/>
    <mergeCell ref="SPA4:SPC4"/>
    <mergeCell ref="SNT4:SNV4"/>
    <mergeCell ref="SNW4:SNY4"/>
    <mergeCell ref="SNZ4:SOB4"/>
    <mergeCell ref="SOC4:SOE4"/>
    <mergeCell ref="SOF4:SOH4"/>
    <mergeCell ref="SOI4:SOK4"/>
    <mergeCell ref="SNB4:SND4"/>
    <mergeCell ref="SNE4:SNG4"/>
    <mergeCell ref="SNH4:SNJ4"/>
    <mergeCell ref="SNK4:SNM4"/>
    <mergeCell ref="SNN4:SNP4"/>
    <mergeCell ref="SNQ4:SNS4"/>
    <mergeCell ref="SUR4:SUT4"/>
    <mergeCell ref="SUU4:SUW4"/>
    <mergeCell ref="SUX4:SUZ4"/>
    <mergeCell ref="SVA4:SVC4"/>
    <mergeCell ref="SVD4:SVF4"/>
    <mergeCell ref="SVG4:SVI4"/>
    <mergeCell ref="STZ4:SUB4"/>
    <mergeCell ref="SUC4:SUE4"/>
    <mergeCell ref="SUF4:SUH4"/>
    <mergeCell ref="SUI4:SUK4"/>
    <mergeCell ref="SUL4:SUN4"/>
    <mergeCell ref="SUO4:SUQ4"/>
    <mergeCell ref="STH4:STJ4"/>
    <mergeCell ref="STK4:STM4"/>
    <mergeCell ref="STN4:STP4"/>
    <mergeCell ref="STQ4:STS4"/>
    <mergeCell ref="STT4:STV4"/>
    <mergeCell ref="STW4:STY4"/>
    <mergeCell ref="SSP4:SSR4"/>
    <mergeCell ref="SSS4:SSU4"/>
    <mergeCell ref="SSV4:SSX4"/>
    <mergeCell ref="SSY4:STA4"/>
    <mergeCell ref="STB4:STD4"/>
    <mergeCell ref="STE4:STG4"/>
    <mergeCell ref="SRX4:SRZ4"/>
    <mergeCell ref="SSA4:SSC4"/>
    <mergeCell ref="SSD4:SSF4"/>
    <mergeCell ref="SSG4:SSI4"/>
    <mergeCell ref="SSJ4:SSL4"/>
    <mergeCell ref="SSM4:SSO4"/>
    <mergeCell ref="SRF4:SRH4"/>
    <mergeCell ref="SRI4:SRK4"/>
    <mergeCell ref="SRL4:SRN4"/>
    <mergeCell ref="SRO4:SRQ4"/>
    <mergeCell ref="SRR4:SRT4"/>
    <mergeCell ref="SRU4:SRW4"/>
    <mergeCell ref="SYV4:SYX4"/>
    <mergeCell ref="SYY4:SZA4"/>
    <mergeCell ref="SZB4:SZD4"/>
    <mergeCell ref="SZE4:SZG4"/>
    <mergeCell ref="SZH4:SZJ4"/>
    <mergeCell ref="SZK4:SZM4"/>
    <mergeCell ref="SYD4:SYF4"/>
    <mergeCell ref="SYG4:SYI4"/>
    <mergeCell ref="SYJ4:SYL4"/>
    <mergeCell ref="SYM4:SYO4"/>
    <mergeCell ref="SYP4:SYR4"/>
    <mergeCell ref="SYS4:SYU4"/>
    <mergeCell ref="SXL4:SXN4"/>
    <mergeCell ref="SXO4:SXQ4"/>
    <mergeCell ref="SXR4:SXT4"/>
    <mergeCell ref="SXU4:SXW4"/>
    <mergeCell ref="SXX4:SXZ4"/>
    <mergeCell ref="SYA4:SYC4"/>
    <mergeCell ref="SWT4:SWV4"/>
    <mergeCell ref="SWW4:SWY4"/>
    <mergeCell ref="SWZ4:SXB4"/>
    <mergeCell ref="SXC4:SXE4"/>
    <mergeCell ref="SXF4:SXH4"/>
    <mergeCell ref="SXI4:SXK4"/>
    <mergeCell ref="SWB4:SWD4"/>
    <mergeCell ref="SWE4:SWG4"/>
    <mergeCell ref="SWH4:SWJ4"/>
    <mergeCell ref="SWK4:SWM4"/>
    <mergeCell ref="SWN4:SWP4"/>
    <mergeCell ref="SWQ4:SWS4"/>
    <mergeCell ref="SVJ4:SVL4"/>
    <mergeCell ref="SVM4:SVO4"/>
    <mergeCell ref="SVP4:SVR4"/>
    <mergeCell ref="SVS4:SVU4"/>
    <mergeCell ref="SVV4:SVX4"/>
    <mergeCell ref="SVY4:SWA4"/>
    <mergeCell ref="TCZ4:TDB4"/>
    <mergeCell ref="TDC4:TDE4"/>
    <mergeCell ref="TDF4:TDH4"/>
    <mergeCell ref="TDI4:TDK4"/>
    <mergeCell ref="TDL4:TDN4"/>
    <mergeCell ref="TDO4:TDQ4"/>
    <mergeCell ref="TCH4:TCJ4"/>
    <mergeCell ref="TCK4:TCM4"/>
    <mergeCell ref="TCN4:TCP4"/>
    <mergeCell ref="TCQ4:TCS4"/>
    <mergeCell ref="TCT4:TCV4"/>
    <mergeCell ref="TCW4:TCY4"/>
    <mergeCell ref="TBP4:TBR4"/>
    <mergeCell ref="TBS4:TBU4"/>
    <mergeCell ref="TBV4:TBX4"/>
    <mergeCell ref="TBY4:TCA4"/>
    <mergeCell ref="TCB4:TCD4"/>
    <mergeCell ref="TCE4:TCG4"/>
    <mergeCell ref="TAX4:TAZ4"/>
    <mergeCell ref="TBA4:TBC4"/>
    <mergeCell ref="TBD4:TBF4"/>
    <mergeCell ref="TBG4:TBI4"/>
    <mergeCell ref="TBJ4:TBL4"/>
    <mergeCell ref="TBM4:TBO4"/>
    <mergeCell ref="TAF4:TAH4"/>
    <mergeCell ref="TAI4:TAK4"/>
    <mergeCell ref="TAL4:TAN4"/>
    <mergeCell ref="TAO4:TAQ4"/>
    <mergeCell ref="TAR4:TAT4"/>
    <mergeCell ref="TAU4:TAW4"/>
    <mergeCell ref="SZN4:SZP4"/>
    <mergeCell ref="SZQ4:SZS4"/>
    <mergeCell ref="SZT4:SZV4"/>
    <mergeCell ref="SZW4:SZY4"/>
    <mergeCell ref="SZZ4:TAB4"/>
    <mergeCell ref="TAC4:TAE4"/>
    <mergeCell ref="THD4:THF4"/>
    <mergeCell ref="THG4:THI4"/>
    <mergeCell ref="THJ4:THL4"/>
    <mergeCell ref="THM4:THO4"/>
    <mergeCell ref="THP4:THR4"/>
    <mergeCell ref="THS4:THU4"/>
    <mergeCell ref="TGL4:TGN4"/>
    <mergeCell ref="TGO4:TGQ4"/>
    <mergeCell ref="TGR4:TGT4"/>
    <mergeCell ref="TGU4:TGW4"/>
    <mergeCell ref="TGX4:TGZ4"/>
    <mergeCell ref="THA4:THC4"/>
    <mergeCell ref="TFT4:TFV4"/>
    <mergeCell ref="TFW4:TFY4"/>
    <mergeCell ref="TFZ4:TGB4"/>
    <mergeCell ref="TGC4:TGE4"/>
    <mergeCell ref="TGF4:TGH4"/>
    <mergeCell ref="TGI4:TGK4"/>
    <mergeCell ref="TFB4:TFD4"/>
    <mergeCell ref="TFE4:TFG4"/>
    <mergeCell ref="TFH4:TFJ4"/>
    <mergeCell ref="TFK4:TFM4"/>
    <mergeCell ref="TFN4:TFP4"/>
    <mergeCell ref="TFQ4:TFS4"/>
    <mergeCell ref="TEJ4:TEL4"/>
    <mergeCell ref="TEM4:TEO4"/>
    <mergeCell ref="TEP4:TER4"/>
    <mergeCell ref="TES4:TEU4"/>
    <mergeCell ref="TEV4:TEX4"/>
    <mergeCell ref="TEY4:TFA4"/>
    <mergeCell ref="TDR4:TDT4"/>
    <mergeCell ref="TDU4:TDW4"/>
    <mergeCell ref="TDX4:TDZ4"/>
    <mergeCell ref="TEA4:TEC4"/>
    <mergeCell ref="TED4:TEF4"/>
    <mergeCell ref="TEG4:TEI4"/>
    <mergeCell ref="TLH4:TLJ4"/>
    <mergeCell ref="TLK4:TLM4"/>
    <mergeCell ref="TLN4:TLP4"/>
    <mergeCell ref="TLQ4:TLS4"/>
    <mergeCell ref="TLT4:TLV4"/>
    <mergeCell ref="TLW4:TLY4"/>
    <mergeCell ref="TKP4:TKR4"/>
    <mergeCell ref="TKS4:TKU4"/>
    <mergeCell ref="TKV4:TKX4"/>
    <mergeCell ref="TKY4:TLA4"/>
    <mergeCell ref="TLB4:TLD4"/>
    <mergeCell ref="TLE4:TLG4"/>
    <mergeCell ref="TJX4:TJZ4"/>
    <mergeCell ref="TKA4:TKC4"/>
    <mergeCell ref="TKD4:TKF4"/>
    <mergeCell ref="TKG4:TKI4"/>
    <mergeCell ref="TKJ4:TKL4"/>
    <mergeCell ref="TKM4:TKO4"/>
    <mergeCell ref="TJF4:TJH4"/>
    <mergeCell ref="TJI4:TJK4"/>
    <mergeCell ref="TJL4:TJN4"/>
    <mergeCell ref="TJO4:TJQ4"/>
    <mergeCell ref="TJR4:TJT4"/>
    <mergeCell ref="TJU4:TJW4"/>
    <mergeCell ref="TIN4:TIP4"/>
    <mergeCell ref="TIQ4:TIS4"/>
    <mergeCell ref="TIT4:TIV4"/>
    <mergeCell ref="TIW4:TIY4"/>
    <mergeCell ref="TIZ4:TJB4"/>
    <mergeCell ref="TJC4:TJE4"/>
    <mergeCell ref="THV4:THX4"/>
    <mergeCell ref="THY4:TIA4"/>
    <mergeCell ref="TIB4:TID4"/>
    <mergeCell ref="TIE4:TIG4"/>
    <mergeCell ref="TIH4:TIJ4"/>
    <mergeCell ref="TIK4:TIM4"/>
    <mergeCell ref="TPL4:TPN4"/>
    <mergeCell ref="TPO4:TPQ4"/>
    <mergeCell ref="TPR4:TPT4"/>
    <mergeCell ref="TPU4:TPW4"/>
    <mergeCell ref="TPX4:TPZ4"/>
    <mergeCell ref="TQA4:TQC4"/>
    <mergeCell ref="TOT4:TOV4"/>
    <mergeCell ref="TOW4:TOY4"/>
    <mergeCell ref="TOZ4:TPB4"/>
    <mergeCell ref="TPC4:TPE4"/>
    <mergeCell ref="TPF4:TPH4"/>
    <mergeCell ref="TPI4:TPK4"/>
    <mergeCell ref="TOB4:TOD4"/>
    <mergeCell ref="TOE4:TOG4"/>
    <mergeCell ref="TOH4:TOJ4"/>
    <mergeCell ref="TOK4:TOM4"/>
    <mergeCell ref="TON4:TOP4"/>
    <mergeCell ref="TOQ4:TOS4"/>
    <mergeCell ref="TNJ4:TNL4"/>
    <mergeCell ref="TNM4:TNO4"/>
    <mergeCell ref="TNP4:TNR4"/>
    <mergeCell ref="TNS4:TNU4"/>
    <mergeCell ref="TNV4:TNX4"/>
    <mergeCell ref="TNY4:TOA4"/>
    <mergeCell ref="TMR4:TMT4"/>
    <mergeCell ref="TMU4:TMW4"/>
    <mergeCell ref="TMX4:TMZ4"/>
    <mergeCell ref="TNA4:TNC4"/>
    <mergeCell ref="TND4:TNF4"/>
    <mergeCell ref="TNG4:TNI4"/>
    <mergeCell ref="TLZ4:TMB4"/>
    <mergeCell ref="TMC4:TME4"/>
    <mergeCell ref="TMF4:TMH4"/>
    <mergeCell ref="TMI4:TMK4"/>
    <mergeCell ref="TML4:TMN4"/>
    <mergeCell ref="TMO4:TMQ4"/>
    <mergeCell ref="TTP4:TTR4"/>
    <mergeCell ref="TTS4:TTU4"/>
    <mergeCell ref="TTV4:TTX4"/>
    <mergeCell ref="TTY4:TUA4"/>
    <mergeCell ref="TUB4:TUD4"/>
    <mergeCell ref="TUE4:TUG4"/>
    <mergeCell ref="TSX4:TSZ4"/>
    <mergeCell ref="TTA4:TTC4"/>
    <mergeCell ref="TTD4:TTF4"/>
    <mergeCell ref="TTG4:TTI4"/>
    <mergeCell ref="TTJ4:TTL4"/>
    <mergeCell ref="TTM4:TTO4"/>
    <mergeCell ref="TSF4:TSH4"/>
    <mergeCell ref="TSI4:TSK4"/>
    <mergeCell ref="TSL4:TSN4"/>
    <mergeCell ref="TSO4:TSQ4"/>
    <mergeCell ref="TSR4:TST4"/>
    <mergeCell ref="TSU4:TSW4"/>
    <mergeCell ref="TRN4:TRP4"/>
    <mergeCell ref="TRQ4:TRS4"/>
    <mergeCell ref="TRT4:TRV4"/>
    <mergeCell ref="TRW4:TRY4"/>
    <mergeCell ref="TRZ4:TSB4"/>
    <mergeCell ref="TSC4:TSE4"/>
    <mergeCell ref="TQV4:TQX4"/>
    <mergeCell ref="TQY4:TRA4"/>
    <mergeCell ref="TRB4:TRD4"/>
    <mergeCell ref="TRE4:TRG4"/>
    <mergeCell ref="TRH4:TRJ4"/>
    <mergeCell ref="TRK4:TRM4"/>
    <mergeCell ref="TQD4:TQF4"/>
    <mergeCell ref="TQG4:TQI4"/>
    <mergeCell ref="TQJ4:TQL4"/>
    <mergeCell ref="TQM4:TQO4"/>
    <mergeCell ref="TQP4:TQR4"/>
    <mergeCell ref="TQS4:TQU4"/>
    <mergeCell ref="TXT4:TXV4"/>
    <mergeCell ref="TXW4:TXY4"/>
    <mergeCell ref="TXZ4:TYB4"/>
    <mergeCell ref="TYC4:TYE4"/>
    <mergeCell ref="TYF4:TYH4"/>
    <mergeCell ref="TYI4:TYK4"/>
    <mergeCell ref="TXB4:TXD4"/>
    <mergeCell ref="TXE4:TXG4"/>
    <mergeCell ref="TXH4:TXJ4"/>
    <mergeCell ref="TXK4:TXM4"/>
    <mergeCell ref="TXN4:TXP4"/>
    <mergeCell ref="TXQ4:TXS4"/>
    <mergeCell ref="TWJ4:TWL4"/>
    <mergeCell ref="TWM4:TWO4"/>
    <mergeCell ref="TWP4:TWR4"/>
    <mergeCell ref="TWS4:TWU4"/>
    <mergeCell ref="TWV4:TWX4"/>
    <mergeCell ref="TWY4:TXA4"/>
    <mergeCell ref="TVR4:TVT4"/>
    <mergeCell ref="TVU4:TVW4"/>
    <mergeCell ref="TVX4:TVZ4"/>
    <mergeCell ref="TWA4:TWC4"/>
    <mergeCell ref="TWD4:TWF4"/>
    <mergeCell ref="TWG4:TWI4"/>
    <mergeCell ref="TUZ4:TVB4"/>
    <mergeCell ref="TVC4:TVE4"/>
    <mergeCell ref="TVF4:TVH4"/>
    <mergeCell ref="TVI4:TVK4"/>
    <mergeCell ref="TVL4:TVN4"/>
    <mergeCell ref="TVO4:TVQ4"/>
    <mergeCell ref="TUH4:TUJ4"/>
    <mergeCell ref="TUK4:TUM4"/>
    <mergeCell ref="TUN4:TUP4"/>
    <mergeCell ref="TUQ4:TUS4"/>
    <mergeCell ref="TUT4:TUV4"/>
    <mergeCell ref="TUW4:TUY4"/>
    <mergeCell ref="UBX4:UBZ4"/>
    <mergeCell ref="UCA4:UCC4"/>
    <mergeCell ref="UCD4:UCF4"/>
    <mergeCell ref="UCG4:UCI4"/>
    <mergeCell ref="UCJ4:UCL4"/>
    <mergeCell ref="UCM4:UCO4"/>
    <mergeCell ref="UBF4:UBH4"/>
    <mergeCell ref="UBI4:UBK4"/>
    <mergeCell ref="UBL4:UBN4"/>
    <mergeCell ref="UBO4:UBQ4"/>
    <mergeCell ref="UBR4:UBT4"/>
    <mergeCell ref="UBU4:UBW4"/>
    <mergeCell ref="UAN4:UAP4"/>
    <mergeCell ref="UAQ4:UAS4"/>
    <mergeCell ref="UAT4:UAV4"/>
    <mergeCell ref="UAW4:UAY4"/>
    <mergeCell ref="UAZ4:UBB4"/>
    <mergeCell ref="UBC4:UBE4"/>
    <mergeCell ref="TZV4:TZX4"/>
    <mergeCell ref="TZY4:UAA4"/>
    <mergeCell ref="UAB4:UAD4"/>
    <mergeCell ref="UAE4:UAG4"/>
    <mergeCell ref="UAH4:UAJ4"/>
    <mergeCell ref="UAK4:UAM4"/>
    <mergeCell ref="TZD4:TZF4"/>
    <mergeCell ref="TZG4:TZI4"/>
    <mergeCell ref="TZJ4:TZL4"/>
    <mergeCell ref="TZM4:TZO4"/>
    <mergeCell ref="TZP4:TZR4"/>
    <mergeCell ref="TZS4:TZU4"/>
    <mergeCell ref="TYL4:TYN4"/>
    <mergeCell ref="TYO4:TYQ4"/>
    <mergeCell ref="TYR4:TYT4"/>
    <mergeCell ref="TYU4:TYW4"/>
    <mergeCell ref="TYX4:TYZ4"/>
    <mergeCell ref="TZA4:TZC4"/>
    <mergeCell ref="UGB4:UGD4"/>
    <mergeCell ref="UGE4:UGG4"/>
    <mergeCell ref="UGH4:UGJ4"/>
    <mergeCell ref="UGK4:UGM4"/>
    <mergeCell ref="UGN4:UGP4"/>
    <mergeCell ref="UGQ4:UGS4"/>
    <mergeCell ref="UFJ4:UFL4"/>
    <mergeCell ref="UFM4:UFO4"/>
    <mergeCell ref="UFP4:UFR4"/>
    <mergeCell ref="UFS4:UFU4"/>
    <mergeCell ref="UFV4:UFX4"/>
    <mergeCell ref="UFY4:UGA4"/>
    <mergeCell ref="UER4:UET4"/>
    <mergeCell ref="UEU4:UEW4"/>
    <mergeCell ref="UEX4:UEZ4"/>
    <mergeCell ref="UFA4:UFC4"/>
    <mergeCell ref="UFD4:UFF4"/>
    <mergeCell ref="UFG4:UFI4"/>
    <mergeCell ref="UDZ4:UEB4"/>
    <mergeCell ref="UEC4:UEE4"/>
    <mergeCell ref="UEF4:UEH4"/>
    <mergeCell ref="UEI4:UEK4"/>
    <mergeCell ref="UEL4:UEN4"/>
    <mergeCell ref="UEO4:UEQ4"/>
    <mergeCell ref="UDH4:UDJ4"/>
    <mergeCell ref="UDK4:UDM4"/>
    <mergeCell ref="UDN4:UDP4"/>
    <mergeCell ref="UDQ4:UDS4"/>
    <mergeCell ref="UDT4:UDV4"/>
    <mergeCell ref="UDW4:UDY4"/>
    <mergeCell ref="UCP4:UCR4"/>
    <mergeCell ref="UCS4:UCU4"/>
    <mergeCell ref="UCV4:UCX4"/>
    <mergeCell ref="UCY4:UDA4"/>
    <mergeCell ref="UDB4:UDD4"/>
    <mergeCell ref="UDE4:UDG4"/>
    <mergeCell ref="UKF4:UKH4"/>
    <mergeCell ref="UKI4:UKK4"/>
    <mergeCell ref="UKL4:UKN4"/>
    <mergeCell ref="UKO4:UKQ4"/>
    <mergeCell ref="UKR4:UKT4"/>
    <mergeCell ref="UKU4:UKW4"/>
    <mergeCell ref="UJN4:UJP4"/>
    <mergeCell ref="UJQ4:UJS4"/>
    <mergeCell ref="UJT4:UJV4"/>
    <mergeCell ref="UJW4:UJY4"/>
    <mergeCell ref="UJZ4:UKB4"/>
    <mergeCell ref="UKC4:UKE4"/>
    <mergeCell ref="UIV4:UIX4"/>
    <mergeCell ref="UIY4:UJA4"/>
    <mergeCell ref="UJB4:UJD4"/>
    <mergeCell ref="UJE4:UJG4"/>
    <mergeCell ref="UJH4:UJJ4"/>
    <mergeCell ref="UJK4:UJM4"/>
    <mergeCell ref="UID4:UIF4"/>
    <mergeCell ref="UIG4:UII4"/>
    <mergeCell ref="UIJ4:UIL4"/>
    <mergeCell ref="UIM4:UIO4"/>
    <mergeCell ref="UIP4:UIR4"/>
    <mergeCell ref="UIS4:UIU4"/>
    <mergeCell ref="UHL4:UHN4"/>
    <mergeCell ref="UHO4:UHQ4"/>
    <mergeCell ref="UHR4:UHT4"/>
    <mergeCell ref="UHU4:UHW4"/>
    <mergeCell ref="UHX4:UHZ4"/>
    <mergeCell ref="UIA4:UIC4"/>
    <mergeCell ref="UGT4:UGV4"/>
    <mergeCell ref="UGW4:UGY4"/>
    <mergeCell ref="UGZ4:UHB4"/>
    <mergeCell ref="UHC4:UHE4"/>
    <mergeCell ref="UHF4:UHH4"/>
    <mergeCell ref="UHI4:UHK4"/>
    <mergeCell ref="UOJ4:UOL4"/>
    <mergeCell ref="UOM4:UOO4"/>
    <mergeCell ref="UOP4:UOR4"/>
    <mergeCell ref="UOS4:UOU4"/>
    <mergeCell ref="UOV4:UOX4"/>
    <mergeCell ref="UOY4:UPA4"/>
    <mergeCell ref="UNR4:UNT4"/>
    <mergeCell ref="UNU4:UNW4"/>
    <mergeCell ref="UNX4:UNZ4"/>
    <mergeCell ref="UOA4:UOC4"/>
    <mergeCell ref="UOD4:UOF4"/>
    <mergeCell ref="UOG4:UOI4"/>
    <mergeCell ref="UMZ4:UNB4"/>
    <mergeCell ref="UNC4:UNE4"/>
    <mergeCell ref="UNF4:UNH4"/>
    <mergeCell ref="UNI4:UNK4"/>
    <mergeCell ref="UNL4:UNN4"/>
    <mergeCell ref="UNO4:UNQ4"/>
    <mergeCell ref="UMH4:UMJ4"/>
    <mergeCell ref="UMK4:UMM4"/>
    <mergeCell ref="UMN4:UMP4"/>
    <mergeCell ref="UMQ4:UMS4"/>
    <mergeCell ref="UMT4:UMV4"/>
    <mergeCell ref="UMW4:UMY4"/>
    <mergeCell ref="ULP4:ULR4"/>
    <mergeCell ref="ULS4:ULU4"/>
    <mergeCell ref="ULV4:ULX4"/>
    <mergeCell ref="ULY4:UMA4"/>
    <mergeCell ref="UMB4:UMD4"/>
    <mergeCell ref="UME4:UMG4"/>
    <mergeCell ref="UKX4:UKZ4"/>
    <mergeCell ref="ULA4:ULC4"/>
    <mergeCell ref="ULD4:ULF4"/>
    <mergeCell ref="ULG4:ULI4"/>
    <mergeCell ref="ULJ4:ULL4"/>
    <mergeCell ref="ULM4:ULO4"/>
    <mergeCell ref="USN4:USP4"/>
    <mergeCell ref="USQ4:USS4"/>
    <mergeCell ref="UST4:USV4"/>
    <mergeCell ref="USW4:USY4"/>
    <mergeCell ref="USZ4:UTB4"/>
    <mergeCell ref="UTC4:UTE4"/>
    <mergeCell ref="URV4:URX4"/>
    <mergeCell ref="URY4:USA4"/>
    <mergeCell ref="USB4:USD4"/>
    <mergeCell ref="USE4:USG4"/>
    <mergeCell ref="USH4:USJ4"/>
    <mergeCell ref="USK4:USM4"/>
    <mergeCell ref="URD4:URF4"/>
    <mergeCell ref="URG4:URI4"/>
    <mergeCell ref="URJ4:URL4"/>
    <mergeCell ref="URM4:URO4"/>
    <mergeCell ref="URP4:URR4"/>
    <mergeCell ref="URS4:URU4"/>
    <mergeCell ref="UQL4:UQN4"/>
    <mergeCell ref="UQO4:UQQ4"/>
    <mergeCell ref="UQR4:UQT4"/>
    <mergeCell ref="UQU4:UQW4"/>
    <mergeCell ref="UQX4:UQZ4"/>
    <mergeCell ref="URA4:URC4"/>
    <mergeCell ref="UPT4:UPV4"/>
    <mergeCell ref="UPW4:UPY4"/>
    <mergeCell ref="UPZ4:UQB4"/>
    <mergeCell ref="UQC4:UQE4"/>
    <mergeCell ref="UQF4:UQH4"/>
    <mergeCell ref="UQI4:UQK4"/>
    <mergeCell ref="UPB4:UPD4"/>
    <mergeCell ref="UPE4:UPG4"/>
    <mergeCell ref="UPH4:UPJ4"/>
    <mergeCell ref="UPK4:UPM4"/>
    <mergeCell ref="UPN4:UPP4"/>
    <mergeCell ref="UPQ4:UPS4"/>
    <mergeCell ref="UWR4:UWT4"/>
    <mergeCell ref="UWU4:UWW4"/>
    <mergeCell ref="UWX4:UWZ4"/>
    <mergeCell ref="UXA4:UXC4"/>
    <mergeCell ref="UXD4:UXF4"/>
    <mergeCell ref="UXG4:UXI4"/>
    <mergeCell ref="UVZ4:UWB4"/>
    <mergeCell ref="UWC4:UWE4"/>
    <mergeCell ref="UWF4:UWH4"/>
    <mergeCell ref="UWI4:UWK4"/>
    <mergeCell ref="UWL4:UWN4"/>
    <mergeCell ref="UWO4:UWQ4"/>
    <mergeCell ref="UVH4:UVJ4"/>
    <mergeCell ref="UVK4:UVM4"/>
    <mergeCell ref="UVN4:UVP4"/>
    <mergeCell ref="UVQ4:UVS4"/>
    <mergeCell ref="UVT4:UVV4"/>
    <mergeCell ref="UVW4:UVY4"/>
    <mergeCell ref="UUP4:UUR4"/>
    <mergeCell ref="UUS4:UUU4"/>
    <mergeCell ref="UUV4:UUX4"/>
    <mergeCell ref="UUY4:UVA4"/>
    <mergeCell ref="UVB4:UVD4"/>
    <mergeCell ref="UVE4:UVG4"/>
    <mergeCell ref="UTX4:UTZ4"/>
    <mergeCell ref="UUA4:UUC4"/>
    <mergeCell ref="UUD4:UUF4"/>
    <mergeCell ref="UUG4:UUI4"/>
    <mergeCell ref="UUJ4:UUL4"/>
    <mergeCell ref="UUM4:UUO4"/>
    <mergeCell ref="UTF4:UTH4"/>
    <mergeCell ref="UTI4:UTK4"/>
    <mergeCell ref="UTL4:UTN4"/>
    <mergeCell ref="UTO4:UTQ4"/>
    <mergeCell ref="UTR4:UTT4"/>
    <mergeCell ref="UTU4:UTW4"/>
    <mergeCell ref="VAV4:VAX4"/>
    <mergeCell ref="VAY4:VBA4"/>
    <mergeCell ref="VBB4:VBD4"/>
    <mergeCell ref="VBE4:VBG4"/>
    <mergeCell ref="VBH4:VBJ4"/>
    <mergeCell ref="VBK4:VBM4"/>
    <mergeCell ref="VAD4:VAF4"/>
    <mergeCell ref="VAG4:VAI4"/>
    <mergeCell ref="VAJ4:VAL4"/>
    <mergeCell ref="VAM4:VAO4"/>
    <mergeCell ref="VAP4:VAR4"/>
    <mergeCell ref="VAS4:VAU4"/>
    <mergeCell ref="UZL4:UZN4"/>
    <mergeCell ref="UZO4:UZQ4"/>
    <mergeCell ref="UZR4:UZT4"/>
    <mergeCell ref="UZU4:UZW4"/>
    <mergeCell ref="UZX4:UZZ4"/>
    <mergeCell ref="VAA4:VAC4"/>
    <mergeCell ref="UYT4:UYV4"/>
    <mergeCell ref="UYW4:UYY4"/>
    <mergeCell ref="UYZ4:UZB4"/>
    <mergeCell ref="UZC4:UZE4"/>
    <mergeCell ref="UZF4:UZH4"/>
    <mergeCell ref="UZI4:UZK4"/>
    <mergeCell ref="UYB4:UYD4"/>
    <mergeCell ref="UYE4:UYG4"/>
    <mergeCell ref="UYH4:UYJ4"/>
    <mergeCell ref="UYK4:UYM4"/>
    <mergeCell ref="UYN4:UYP4"/>
    <mergeCell ref="UYQ4:UYS4"/>
    <mergeCell ref="UXJ4:UXL4"/>
    <mergeCell ref="UXM4:UXO4"/>
    <mergeCell ref="UXP4:UXR4"/>
    <mergeCell ref="UXS4:UXU4"/>
    <mergeCell ref="UXV4:UXX4"/>
    <mergeCell ref="UXY4:UYA4"/>
    <mergeCell ref="VEZ4:VFB4"/>
    <mergeCell ref="VFC4:VFE4"/>
    <mergeCell ref="VFF4:VFH4"/>
    <mergeCell ref="VFI4:VFK4"/>
    <mergeCell ref="VFL4:VFN4"/>
    <mergeCell ref="VFO4:VFQ4"/>
    <mergeCell ref="VEH4:VEJ4"/>
    <mergeCell ref="VEK4:VEM4"/>
    <mergeCell ref="VEN4:VEP4"/>
    <mergeCell ref="VEQ4:VES4"/>
    <mergeCell ref="VET4:VEV4"/>
    <mergeCell ref="VEW4:VEY4"/>
    <mergeCell ref="VDP4:VDR4"/>
    <mergeCell ref="VDS4:VDU4"/>
    <mergeCell ref="VDV4:VDX4"/>
    <mergeCell ref="VDY4:VEA4"/>
    <mergeCell ref="VEB4:VED4"/>
    <mergeCell ref="VEE4:VEG4"/>
    <mergeCell ref="VCX4:VCZ4"/>
    <mergeCell ref="VDA4:VDC4"/>
    <mergeCell ref="VDD4:VDF4"/>
    <mergeCell ref="VDG4:VDI4"/>
    <mergeCell ref="VDJ4:VDL4"/>
    <mergeCell ref="VDM4:VDO4"/>
    <mergeCell ref="VCF4:VCH4"/>
    <mergeCell ref="VCI4:VCK4"/>
    <mergeCell ref="VCL4:VCN4"/>
    <mergeCell ref="VCO4:VCQ4"/>
    <mergeCell ref="VCR4:VCT4"/>
    <mergeCell ref="VCU4:VCW4"/>
    <mergeCell ref="VBN4:VBP4"/>
    <mergeCell ref="VBQ4:VBS4"/>
    <mergeCell ref="VBT4:VBV4"/>
    <mergeCell ref="VBW4:VBY4"/>
    <mergeCell ref="VBZ4:VCB4"/>
    <mergeCell ref="VCC4:VCE4"/>
    <mergeCell ref="VJD4:VJF4"/>
    <mergeCell ref="VJG4:VJI4"/>
    <mergeCell ref="VJJ4:VJL4"/>
    <mergeCell ref="VJM4:VJO4"/>
    <mergeCell ref="VJP4:VJR4"/>
    <mergeCell ref="VJS4:VJU4"/>
    <mergeCell ref="VIL4:VIN4"/>
    <mergeCell ref="VIO4:VIQ4"/>
    <mergeCell ref="VIR4:VIT4"/>
    <mergeCell ref="VIU4:VIW4"/>
    <mergeCell ref="VIX4:VIZ4"/>
    <mergeCell ref="VJA4:VJC4"/>
    <mergeCell ref="VHT4:VHV4"/>
    <mergeCell ref="VHW4:VHY4"/>
    <mergeCell ref="VHZ4:VIB4"/>
    <mergeCell ref="VIC4:VIE4"/>
    <mergeCell ref="VIF4:VIH4"/>
    <mergeCell ref="VII4:VIK4"/>
    <mergeCell ref="VHB4:VHD4"/>
    <mergeCell ref="VHE4:VHG4"/>
    <mergeCell ref="VHH4:VHJ4"/>
    <mergeCell ref="VHK4:VHM4"/>
    <mergeCell ref="VHN4:VHP4"/>
    <mergeCell ref="VHQ4:VHS4"/>
    <mergeCell ref="VGJ4:VGL4"/>
    <mergeCell ref="VGM4:VGO4"/>
    <mergeCell ref="VGP4:VGR4"/>
    <mergeCell ref="VGS4:VGU4"/>
    <mergeCell ref="VGV4:VGX4"/>
    <mergeCell ref="VGY4:VHA4"/>
    <mergeCell ref="VFR4:VFT4"/>
    <mergeCell ref="VFU4:VFW4"/>
    <mergeCell ref="VFX4:VFZ4"/>
    <mergeCell ref="VGA4:VGC4"/>
    <mergeCell ref="VGD4:VGF4"/>
    <mergeCell ref="VGG4:VGI4"/>
    <mergeCell ref="VNH4:VNJ4"/>
    <mergeCell ref="VNK4:VNM4"/>
    <mergeCell ref="VNN4:VNP4"/>
    <mergeCell ref="VNQ4:VNS4"/>
    <mergeCell ref="VNT4:VNV4"/>
    <mergeCell ref="VNW4:VNY4"/>
    <mergeCell ref="VMP4:VMR4"/>
    <mergeCell ref="VMS4:VMU4"/>
    <mergeCell ref="VMV4:VMX4"/>
    <mergeCell ref="VMY4:VNA4"/>
    <mergeCell ref="VNB4:VND4"/>
    <mergeCell ref="VNE4:VNG4"/>
    <mergeCell ref="VLX4:VLZ4"/>
    <mergeCell ref="VMA4:VMC4"/>
    <mergeCell ref="VMD4:VMF4"/>
    <mergeCell ref="VMG4:VMI4"/>
    <mergeCell ref="VMJ4:VML4"/>
    <mergeCell ref="VMM4:VMO4"/>
    <mergeCell ref="VLF4:VLH4"/>
    <mergeCell ref="VLI4:VLK4"/>
    <mergeCell ref="VLL4:VLN4"/>
    <mergeCell ref="VLO4:VLQ4"/>
    <mergeCell ref="VLR4:VLT4"/>
    <mergeCell ref="VLU4:VLW4"/>
    <mergeCell ref="VKN4:VKP4"/>
    <mergeCell ref="VKQ4:VKS4"/>
    <mergeCell ref="VKT4:VKV4"/>
    <mergeCell ref="VKW4:VKY4"/>
    <mergeCell ref="VKZ4:VLB4"/>
    <mergeCell ref="VLC4:VLE4"/>
    <mergeCell ref="VJV4:VJX4"/>
    <mergeCell ref="VJY4:VKA4"/>
    <mergeCell ref="VKB4:VKD4"/>
    <mergeCell ref="VKE4:VKG4"/>
    <mergeCell ref="VKH4:VKJ4"/>
    <mergeCell ref="VKK4:VKM4"/>
    <mergeCell ref="VRL4:VRN4"/>
    <mergeCell ref="VRO4:VRQ4"/>
    <mergeCell ref="VRR4:VRT4"/>
    <mergeCell ref="VRU4:VRW4"/>
    <mergeCell ref="VRX4:VRZ4"/>
    <mergeCell ref="VSA4:VSC4"/>
    <mergeCell ref="VQT4:VQV4"/>
    <mergeCell ref="VQW4:VQY4"/>
    <mergeCell ref="VQZ4:VRB4"/>
    <mergeCell ref="VRC4:VRE4"/>
    <mergeCell ref="VRF4:VRH4"/>
    <mergeCell ref="VRI4:VRK4"/>
    <mergeCell ref="VQB4:VQD4"/>
    <mergeCell ref="VQE4:VQG4"/>
    <mergeCell ref="VQH4:VQJ4"/>
    <mergeCell ref="VQK4:VQM4"/>
    <mergeCell ref="VQN4:VQP4"/>
    <mergeCell ref="VQQ4:VQS4"/>
    <mergeCell ref="VPJ4:VPL4"/>
    <mergeCell ref="VPM4:VPO4"/>
    <mergeCell ref="VPP4:VPR4"/>
    <mergeCell ref="VPS4:VPU4"/>
    <mergeCell ref="VPV4:VPX4"/>
    <mergeCell ref="VPY4:VQA4"/>
    <mergeCell ref="VOR4:VOT4"/>
    <mergeCell ref="VOU4:VOW4"/>
    <mergeCell ref="VOX4:VOZ4"/>
    <mergeCell ref="VPA4:VPC4"/>
    <mergeCell ref="VPD4:VPF4"/>
    <mergeCell ref="VPG4:VPI4"/>
    <mergeCell ref="VNZ4:VOB4"/>
    <mergeCell ref="VOC4:VOE4"/>
    <mergeCell ref="VOF4:VOH4"/>
    <mergeCell ref="VOI4:VOK4"/>
    <mergeCell ref="VOL4:VON4"/>
    <mergeCell ref="VOO4:VOQ4"/>
    <mergeCell ref="VVP4:VVR4"/>
    <mergeCell ref="VVS4:VVU4"/>
    <mergeCell ref="VVV4:VVX4"/>
    <mergeCell ref="VVY4:VWA4"/>
    <mergeCell ref="VWB4:VWD4"/>
    <mergeCell ref="VWE4:VWG4"/>
    <mergeCell ref="VUX4:VUZ4"/>
    <mergeCell ref="VVA4:VVC4"/>
    <mergeCell ref="VVD4:VVF4"/>
    <mergeCell ref="VVG4:VVI4"/>
    <mergeCell ref="VVJ4:VVL4"/>
    <mergeCell ref="VVM4:VVO4"/>
    <mergeCell ref="VUF4:VUH4"/>
    <mergeCell ref="VUI4:VUK4"/>
    <mergeCell ref="VUL4:VUN4"/>
    <mergeCell ref="VUO4:VUQ4"/>
    <mergeCell ref="VUR4:VUT4"/>
    <mergeCell ref="VUU4:VUW4"/>
    <mergeCell ref="VTN4:VTP4"/>
    <mergeCell ref="VTQ4:VTS4"/>
    <mergeCell ref="VTT4:VTV4"/>
    <mergeCell ref="VTW4:VTY4"/>
    <mergeCell ref="VTZ4:VUB4"/>
    <mergeCell ref="VUC4:VUE4"/>
    <mergeCell ref="VSV4:VSX4"/>
    <mergeCell ref="VSY4:VTA4"/>
    <mergeCell ref="VTB4:VTD4"/>
    <mergeCell ref="VTE4:VTG4"/>
    <mergeCell ref="VTH4:VTJ4"/>
    <mergeCell ref="VTK4:VTM4"/>
    <mergeCell ref="VSD4:VSF4"/>
    <mergeCell ref="VSG4:VSI4"/>
    <mergeCell ref="VSJ4:VSL4"/>
    <mergeCell ref="VSM4:VSO4"/>
    <mergeCell ref="VSP4:VSR4"/>
    <mergeCell ref="VSS4:VSU4"/>
    <mergeCell ref="VZT4:VZV4"/>
    <mergeCell ref="VZW4:VZY4"/>
    <mergeCell ref="VZZ4:WAB4"/>
    <mergeCell ref="WAC4:WAE4"/>
    <mergeCell ref="WAF4:WAH4"/>
    <mergeCell ref="WAI4:WAK4"/>
    <mergeCell ref="VZB4:VZD4"/>
    <mergeCell ref="VZE4:VZG4"/>
    <mergeCell ref="VZH4:VZJ4"/>
    <mergeCell ref="VZK4:VZM4"/>
    <mergeCell ref="VZN4:VZP4"/>
    <mergeCell ref="VZQ4:VZS4"/>
    <mergeCell ref="VYJ4:VYL4"/>
    <mergeCell ref="VYM4:VYO4"/>
    <mergeCell ref="VYP4:VYR4"/>
    <mergeCell ref="VYS4:VYU4"/>
    <mergeCell ref="VYV4:VYX4"/>
    <mergeCell ref="VYY4:VZA4"/>
    <mergeCell ref="VXR4:VXT4"/>
    <mergeCell ref="VXU4:VXW4"/>
    <mergeCell ref="VXX4:VXZ4"/>
    <mergeCell ref="VYA4:VYC4"/>
    <mergeCell ref="VYD4:VYF4"/>
    <mergeCell ref="VYG4:VYI4"/>
    <mergeCell ref="VWZ4:VXB4"/>
    <mergeCell ref="VXC4:VXE4"/>
    <mergeCell ref="VXF4:VXH4"/>
    <mergeCell ref="VXI4:VXK4"/>
    <mergeCell ref="VXL4:VXN4"/>
    <mergeCell ref="VXO4:VXQ4"/>
    <mergeCell ref="VWH4:VWJ4"/>
    <mergeCell ref="VWK4:VWM4"/>
    <mergeCell ref="VWN4:VWP4"/>
    <mergeCell ref="VWQ4:VWS4"/>
    <mergeCell ref="VWT4:VWV4"/>
    <mergeCell ref="VWW4:VWY4"/>
    <mergeCell ref="WDX4:WDZ4"/>
    <mergeCell ref="WEA4:WEC4"/>
    <mergeCell ref="WED4:WEF4"/>
    <mergeCell ref="WEG4:WEI4"/>
    <mergeCell ref="WEJ4:WEL4"/>
    <mergeCell ref="WEM4:WEO4"/>
    <mergeCell ref="WDF4:WDH4"/>
    <mergeCell ref="WDI4:WDK4"/>
    <mergeCell ref="WDL4:WDN4"/>
    <mergeCell ref="WDO4:WDQ4"/>
    <mergeCell ref="WDR4:WDT4"/>
    <mergeCell ref="WDU4:WDW4"/>
    <mergeCell ref="WCN4:WCP4"/>
    <mergeCell ref="WCQ4:WCS4"/>
    <mergeCell ref="WCT4:WCV4"/>
    <mergeCell ref="WCW4:WCY4"/>
    <mergeCell ref="WCZ4:WDB4"/>
    <mergeCell ref="WDC4:WDE4"/>
    <mergeCell ref="WBV4:WBX4"/>
    <mergeCell ref="WBY4:WCA4"/>
    <mergeCell ref="WCB4:WCD4"/>
    <mergeCell ref="WCE4:WCG4"/>
    <mergeCell ref="WCH4:WCJ4"/>
    <mergeCell ref="WCK4:WCM4"/>
    <mergeCell ref="WBD4:WBF4"/>
    <mergeCell ref="WBG4:WBI4"/>
    <mergeCell ref="WBJ4:WBL4"/>
    <mergeCell ref="WBM4:WBO4"/>
    <mergeCell ref="WBP4:WBR4"/>
    <mergeCell ref="WBS4:WBU4"/>
    <mergeCell ref="WAL4:WAN4"/>
    <mergeCell ref="WAO4:WAQ4"/>
    <mergeCell ref="WAR4:WAT4"/>
    <mergeCell ref="WAU4:WAW4"/>
    <mergeCell ref="WAX4:WAZ4"/>
    <mergeCell ref="WBA4:WBC4"/>
    <mergeCell ref="WIB4:WID4"/>
    <mergeCell ref="WIE4:WIG4"/>
    <mergeCell ref="WIH4:WIJ4"/>
    <mergeCell ref="WIK4:WIM4"/>
    <mergeCell ref="WIN4:WIP4"/>
    <mergeCell ref="WIQ4:WIS4"/>
    <mergeCell ref="WHJ4:WHL4"/>
    <mergeCell ref="WHM4:WHO4"/>
    <mergeCell ref="WHP4:WHR4"/>
    <mergeCell ref="WHS4:WHU4"/>
    <mergeCell ref="WHV4:WHX4"/>
    <mergeCell ref="WHY4:WIA4"/>
    <mergeCell ref="WGR4:WGT4"/>
    <mergeCell ref="WGU4:WGW4"/>
    <mergeCell ref="WGX4:WGZ4"/>
    <mergeCell ref="WHA4:WHC4"/>
    <mergeCell ref="WHD4:WHF4"/>
    <mergeCell ref="WHG4:WHI4"/>
    <mergeCell ref="WFZ4:WGB4"/>
    <mergeCell ref="WGC4:WGE4"/>
    <mergeCell ref="WGF4:WGH4"/>
    <mergeCell ref="WGI4:WGK4"/>
    <mergeCell ref="WGL4:WGN4"/>
    <mergeCell ref="WGO4:WGQ4"/>
    <mergeCell ref="WFH4:WFJ4"/>
    <mergeCell ref="WFK4:WFM4"/>
    <mergeCell ref="WFN4:WFP4"/>
    <mergeCell ref="WFQ4:WFS4"/>
    <mergeCell ref="WFT4:WFV4"/>
    <mergeCell ref="WFW4:WFY4"/>
    <mergeCell ref="WEP4:WER4"/>
    <mergeCell ref="WES4:WEU4"/>
    <mergeCell ref="WEV4:WEX4"/>
    <mergeCell ref="WEY4:WFA4"/>
    <mergeCell ref="WFB4:WFD4"/>
    <mergeCell ref="WFE4:WFG4"/>
    <mergeCell ref="WMF4:WMH4"/>
    <mergeCell ref="WMI4:WMK4"/>
    <mergeCell ref="WML4:WMN4"/>
    <mergeCell ref="WMO4:WMQ4"/>
    <mergeCell ref="WMR4:WMT4"/>
    <mergeCell ref="WMU4:WMW4"/>
    <mergeCell ref="WLN4:WLP4"/>
    <mergeCell ref="WLQ4:WLS4"/>
    <mergeCell ref="WLT4:WLV4"/>
    <mergeCell ref="WLW4:WLY4"/>
    <mergeCell ref="WLZ4:WMB4"/>
    <mergeCell ref="WMC4:WME4"/>
    <mergeCell ref="WKV4:WKX4"/>
    <mergeCell ref="WKY4:WLA4"/>
    <mergeCell ref="WLB4:WLD4"/>
    <mergeCell ref="WLE4:WLG4"/>
    <mergeCell ref="WLH4:WLJ4"/>
    <mergeCell ref="WLK4:WLM4"/>
    <mergeCell ref="WKD4:WKF4"/>
    <mergeCell ref="WKG4:WKI4"/>
    <mergeCell ref="WKJ4:WKL4"/>
    <mergeCell ref="WKM4:WKO4"/>
    <mergeCell ref="WKP4:WKR4"/>
    <mergeCell ref="WKS4:WKU4"/>
    <mergeCell ref="WJL4:WJN4"/>
    <mergeCell ref="WJO4:WJQ4"/>
    <mergeCell ref="WJR4:WJT4"/>
    <mergeCell ref="WJU4:WJW4"/>
    <mergeCell ref="WJX4:WJZ4"/>
    <mergeCell ref="WKA4:WKC4"/>
    <mergeCell ref="WIT4:WIV4"/>
    <mergeCell ref="WIW4:WIY4"/>
    <mergeCell ref="WIZ4:WJB4"/>
    <mergeCell ref="WJC4:WJE4"/>
    <mergeCell ref="WJF4:WJH4"/>
    <mergeCell ref="WJI4:WJK4"/>
    <mergeCell ref="WQJ4:WQL4"/>
    <mergeCell ref="WQM4:WQO4"/>
    <mergeCell ref="WQP4:WQR4"/>
    <mergeCell ref="WQS4:WQU4"/>
    <mergeCell ref="WQV4:WQX4"/>
    <mergeCell ref="WQY4:WRA4"/>
    <mergeCell ref="WPR4:WPT4"/>
    <mergeCell ref="WPU4:WPW4"/>
    <mergeCell ref="WPX4:WPZ4"/>
    <mergeCell ref="WQA4:WQC4"/>
    <mergeCell ref="WQD4:WQF4"/>
    <mergeCell ref="WQG4:WQI4"/>
    <mergeCell ref="WOZ4:WPB4"/>
    <mergeCell ref="WPC4:WPE4"/>
    <mergeCell ref="WPF4:WPH4"/>
    <mergeCell ref="WPI4:WPK4"/>
    <mergeCell ref="WPL4:WPN4"/>
    <mergeCell ref="WPO4:WPQ4"/>
    <mergeCell ref="WOH4:WOJ4"/>
    <mergeCell ref="WOK4:WOM4"/>
    <mergeCell ref="WON4:WOP4"/>
    <mergeCell ref="WOQ4:WOS4"/>
    <mergeCell ref="WOT4:WOV4"/>
    <mergeCell ref="WOW4:WOY4"/>
    <mergeCell ref="WNP4:WNR4"/>
    <mergeCell ref="WNS4:WNU4"/>
    <mergeCell ref="WNV4:WNX4"/>
    <mergeCell ref="WNY4:WOA4"/>
    <mergeCell ref="WOB4:WOD4"/>
    <mergeCell ref="WOE4:WOG4"/>
    <mergeCell ref="WMX4:WMZ4"/>
    <mergeCell ref="WNA4:WNC4"/>
    <mergeCell ref="WND4:WNF4"/>
    <mergeCell ref="WNG4:WNI4"/>
    <mergeCell ref="WNJ4:WNL4"/>
    <mergeCell ref="WNM4:WNO4"/>
    <mergeCell ref="WUN4:WUP4"/>
    <mergeCell ref="WUQ4:WUS4"/>
    <mergeCell ref="WUT4:WUV4"/>
    <mergeCell ref="WUW4:WUY4"/>
    <mergeCell ref="WUZ4:WVB4"/>
    <mergeCell ref="WVC4:WVE4"/>
    <mergeCell ref="WTV4:WTX4"/>
    <mergeCell ref="WTY4:WUA4"/>
    <mergeCell ref="WUB4:WUD4"/>
    <mergeCell ref="WUE4:WUG4"/>
    <mergeCell ref="WUH4:WUJ4"/>
    <mergeCell ref="WUK4:WUM4"/>
    <mergeCell ref="WTD4:WTF4"/>
    <mergeCell ref="WTG4:WTI4"/>
    <mergeCell ref="WTJ4:WTL4"/>
    <mergeCell ref="WTM4:WTO4"/>
    <mergeCell ref="WTP4:WTR4"/>
    <mergeCell ref="WTS4:WTU4"/>
    <mergeCell ref="WSL4:WSN4"/>
    <mergeCell ref="WSO4:WSQ4"/>
    <mergeCell ref="WSR4:WST4"/>
    <mergeCell ref="WSU4:WSW4"/>
    <mergeCell ref="WSX4:WSZ4"/>
    <mergeCell ref="WTA4:WTC4"/>
    <mergeCell ref="WRT4:WRV4"/>
    <mergeCell ref="WRW4:WRY4"/>
    <mergeCell ref="WRZ4:WSB4"/>
    <mergeCell ref="WSC4:WSE4"/>
    <mergeCell ref="WSF4:WSH4"/>
    <mergeCell ref="WSI4:WSK4"/>
    <mergeCell ref="WRB4:WRD4"/>
    <mergeCell ref="WRE4:WRG4"/>
    <mergeCell ref="WRH4:WRJ4"/>
    <mergeCell ref="WRK4:WRM4"/>
    <mergeCell ref="WRN4:WRP4"/>
    <mergeCell ref="WRQ4:WRS4"/>
    <mergeCell ref="WYR4:WYT4"/>
    <mergeCell ref="WYU4:WYW4"/>
    <mergeCell ref="WYX4:WYZ4"/>
    <mergeCell ref="WZA4:WZC4"/>
    <mergeCell ref="WZD4:WZF4"/>
    <mergeCell ref="WZG4:WZI4"/>
    <mergeCell ref="WXZ4:WYB4"/>
    <mergeCell ref="WYC4:WYE4"/>
    <mergeCell ref="WYF4:WYH4"/>
    <mergeCell ref="WYI4:WYK4"/>
    <mergeCell ref="WYL4:WYN4"/>
    <mergeCell ref="WYO4:WYQ4"/>
    <mergeCell ref="WXH4:WXJ4"/>
    <mergeCell ref="WXK4:WXM4"/>
    <mergeCell ref="WXN4:WXP4"/>
    <mergeCell ref="WXQ4:WXS4"/>
    <mergeCell ref="WXT4:WXV4"/>
    <mergeCell ref="WXW4:WXY4"/>
    <mergeCell ref="WWP4:WWR4"/>
    <mergeCell ref="WWS4:WWU4"/>
    <mergeCell ref="WWV4:WWX4"/>
    <mergeCell ref="WWY4:WXA4"/>
    <mergeCell ref="WXB4:WXD4"/>
    <mergeCell ref="WXE4:WXG4"/>
    <mergeCell ref="WVX4:WVZ4"/>
    <mergeCell ref="WWA4:WWC4"/>
    <mergeCell ref="WWD4:WWF4"/>
    <mergeCell ref="WWG4:WWI4"/>
    <mergeCell ref="WWJ4:WWL4"/>
    <mergeCell ref="WWM4:WWO4"/>
    <mergeCell ref="WVF4:WVH4"/>
    <mergeCell ref="WVI4:WVK4"/>
    <mergeCell ref="WVL4:WVN4"/>
    <mergeCell ref="WVO4:WVQ4"/>
    <mergeCell ref="WVR4:WVT4"/>
    <mergeCell ref="WVU4:WVW4"/>
    <mergeCell ref="Y5:AA5"/>
    <mergeCell ref="AB5:AD5"/>
    <mergeCell ref="AE5:AG5"/>
    <mergeCell ref="AH5:AJ5"/>
    <mergeCell ref="AK5:AM5"/>
    <mergeCell ref="AN5:AP5"/>
    <mergeCell ref="XEX4:XEZ4"/>
    <mergeCell ref="XFA4:XFC4"/>
    <mergeCell ref="A5:C5"/>
    <mergeCell ref="D5:F5"/>
    <mergeCell ref="G5:I5"/>
    <mergeCell ref="J5:L5"/>
    <mergeCell ref="M5:O5"/>
    <mergeCell ref="P5:R5"/>
    <mergeCell ref="S5:U5"/>
    <mergeCell ref="V5:X5"/>
    <mergeCell ref="XEF4:XEH4"/>
    <mergeCell ref="XEI4:XEK4"/>
    <mergeCell ref="XEL4:XEN4"/>
    <mergeCell ref="XEO4:XEQ4"/>
    <mergeCell ref="XER4:XET4"/>
    <mergeCell ref="XEU4:XEW4"/>
    <mergeCell ref="XDN4:XDP4"/>
    <mergeCell ref="XDQ4:XDS4"/>
    <mergeCell ref="XDT4:XDV4"/>
    <mergeCell ref="XDW4:XDY4"/>
    <mergeCell ref="XDZ4:XEB4"/>
    <mergeCell ref="XEC4:XEE4"/>
    <mergeCell ref="XCV4:XCX4"/>
    <mergeCell ref="XCY4:XDA4"/>
    <mergeCell ref="XDB4:XDD4"/>
    <mergeCell ref="XDE4:XDG4"/>
    <mergeCell ref="XDH4:XDJ4"/>
    <mergeCell ref="XDK4:XDM4"/>
    <mergeCell ref="XCD4:XCF4"/>
    <mergeCell ref="XCG4:XCI4"/>
    <mergeCell ref="XCJ4:XCL4"/>
    <mergeCell ref="XCM4:XCO4"/>
    <mergeCell ref="XCP4:XCR4"/>
    <mergeCell ref="XCS4:XCU4"/>
    <mergeCell ref="XBL4:XBN4"/>
    <mergeCell ref="XBO4:XBQ4"/>
    <mergeCell ref="XBR4:XBT4"/>
    <mergeCell ref="XBU4:XBW4"/>
    <mergeCell ref="XBX4:XBZ4"/>
    <mergeCell ref="XCA4:XCC4"/>
    <mergeCell ref="XAT4:XAV4"/>
    <mergeCell ref="XAW4:XAY4"/>
    <mergeCell ref="XAZ4:XBB4"/>
    <mergeCell ref="XBC4:XBE4"/>
    <mergeCell ref="XBF4:XBH4"/>
    <mergeCell ref="XBI4:XBK4"/>
    <mergeCell ref="XAB4:XAD4"/>
    <mergeCell ref="XAE4:XAG4"/>
    <mergeCell ref="XAH4:XAJ4"/>
    <mergeCell ref="XAK4:XAM4"/>
    <mergeCell ref="XAN4:XAP4"/>
    <mergeCell ref="XAQ4:XAS4"/>
    <mergeCell ref="WZJ4:WZL4"/>
    <mergeCell ref="WZM4:WZO4"/>
    <mergeCell ref="WZP4:WZR4"/>
    <mergeCell ref="WZS4:WZU4"/>
    <mergeCell ref="WZV4:WZX4"/>
    <mergeCell ref="WZY4:XAA4"/>
    <mergeCell ref="EC5:EE5"/>
    <mergeCell ref="EF5:EH5"/>
    <mergeCell ref="EI5:EK5"/>
    <mergeCell ref="EL5:EN5"/>
    <mergeCell ref="EO5:EQ5"/>
    <mergeCell ref="ER5:ET5"/>
    <mergeCell ref="DK5:DM5"/>
    <mergeCell ref="DN5:DP5"/>
    <mergeCell ref="DQ5:DS5"/>
    <mergeCell ref="DT5:DV5"/>
    <mergeCell ref="DW5:DY5"/>
    <mergeCell ref="DZ5:EB5"/>
    <mergeCell ref="CS5:CU5"/>
    <mergeCell ref="CV5:CX5"/>
    <mergeCell ref="CY5:DA5"/>
    <mergeCell ref="DB5:DD5"/>
    <mergeCell ref="DE5:DG5"/>
    <mergeCell ref="DH5:DJ5"/>
    <mergeCell ref="CA5:CC5"/>
    <mergeCell ref="CD5:CF5"/>
    <mergeCell ref="CG5:CI5"/>
    <mergeCell ref="CJ5:CL5"/>
    <mergeCell ref="CM5:CO5"/>
    <mergeCell ref="CP5:CR5"/>
    <mergeCell ref="BI5:BK5"/>
    <mergeCell ref="BL5:BN5"/>
    <mergeCell ref="BO5:BQ5"/>
    <mergeCell ref="BR5:BT5"/>
    <mergeCell ref="BU5:BW5"/>
    <mergeCell ref="BX5:BZ5"/>
    <mergeCell ref="AQ5:AS5"/>
    <mergeCell ref="AT5:AV5"/>
    <mergeCell ref="AW5:AY5"/>
    <mergeCell ref="AZ5:BB5"/>
    <mergeCell ref="BC5:BE5"/>
    <mergeCell ref="BF5:BH5"/>
    <mergeCell ref="IG5:II5"/>
    <mergeCell ref="IJ5:IL5"/>
    <mergeCell ref="IM5:IO5"/>
    <mergeCell ref="IP5:IR5"/>
    <mergeCell ref="IS5:IU5"/>
    <mergeCell ref="IV5:IX5"/>
    <mergeCell ref="HO5:HQ5"/>
    <mergeCell ref="HR5:HT5"/>
    <mergeCell ref="HU5:HW5"/>
    <mergeCell ref="HX5:HZ5"/>
    <mergeCell ref="IA5:IC5"/>
    <mergeCell ref="ID5:IF5"/>
    <mergeCell ref="GW5:GY5"/>
    <mergeCell ref="GZ5:HB5"/>
    <mergeCell ref="HC5:HE5"/>
    <mergeCell ref="HF5:HH5"/>
    <mergeCell ref="HI5:HK5"/>
    <mergeCell ref="HL5:HN5"/>
    <mergeCell ref="GE5:GG5"/>
    <mergeCell ref="GH5:GJ5"/>
    <mergeCell ref="GK5:GM5"/>
    <mergeCell ref="GN5:GP5"/>
    <mergeCell ref="GQ5:GS5"/>
    <mergeCell ref="GT5:GV5"/>
    <mergeCell ref="FM5:FO5"/>
    <mergeCell ref="FP5:FR5"/>
    <mergeCell ref="FS5:FU5"/>
    <mergeCell ref="FV5:FX5"/>
    <mergeCell ref="FY5:GA5"/>
    <mergeCell ref="GB5:GD5"/>
    <mergeCell ref="EU5:EW5"/>
    <mergeCell ref="EX5:EZ5"/>
    <mergeCell ref="FA5:FC5"/>
    <mergeCell ref="FD5:FF5"/>
    <mergeCell ref="FG5:FI5"/>
    <mergeCell ref="FJ5:FL5"/>
    <mergeCell ref="MK5:MM5"/>
    <mergeCell ref="MN5:MP5"/>
    <mergeCell ref="MQ5:MS5"/>
    <mergeCell ref="MT5:MV5"/>
    <mergeCell ref="MW5:MY5"/>
    <mergeCell ref="MZ5:NB5"/>
    <mergeCell ref="LS5:LU5"/>
    <mergeCell ref="LV5:LX5"/>
    <mergeCell ref="LY5:MA5"/>
    <mergeCell ref="MB5:MD5"/>
    <mergeCell ref="ME5:MG5"/>
    <mergeCell ref="MH5:MJ5"/>
    <mergeCell ref="LA5:LC5"/>
    <mergeCell ref="LD5:LF5"/>
    <mergeCell ref="LG5:LI5"/>
    <mergeCell ref="LJ5:LL5"/>
    <mergeCell ref="LM5:LO5"/>
    <mergeCell ref="LP5:LR5"/>
    <mergeCell ref="KI5:KK5"/>
    <mergeCell ref="KL5:KN5"/>
    <mergeCell ref="KO5:KQ5"/>
    <mergeCell ref="KR5:KT5"/>
    <mergeCell ref="KU5:KW5"/>
    <mergeCell ref="KX5:KZ5"/>
    <mergeCell ref="JQ5:JS5"/>
    <mergeCell ref="JT5:JV5"/>
    <mergeCell ref="JW5:JY5"/>
    <mergeCell ref="JZ5:KB5"/>
    <mergeCell ref="KC5:KE5"/>
    <mergeCell ref="KF5:KH5"/>
    <mergeCell ref="IY5:JA5"/>
    <mergeCell ref="JB5:JD5"/>
    <mergeCell ref="JE5:JG5"/>
    <mergeCell ref="JH5:JJ5"/>
    <mergeCell ref="JK5:JM5"/>
    <mergeCell ref="JN5:JP5"/>
    <mergeCell ref="QO5:QQ5"/>
    <mergeCell ref="QR5:QT5"/>
    <mergeCell ref="QU5:QW5"/>
    <mergeCell ref="QX5:QZ5"/>
    <mergeCell ref="RA5:RC5"/>
    <mergeCell ref="RD5:RF5"/>
    <mergeCell ref="PW5:PY5"/>
    <mergeCell ref="PZ5:QB5"/>
    <mergeCell ref="QC5:QE5"/>
    <mergeCell ref="QF5:QH5"/>
    <mergeCell ref="QI5:QK5"/>
    <mergeCell ref="QL5:QN5"/>
    <mergeCell ref="PE5:PG5"/>
    <mergeCell ref="PH5:PJ5"/>
    <mergeCell ref="PK5:PM5"/>
    <mergeCell ref="PN5:PP5"/>
    <mergeCell ref="PQ5:PS5"/>
    <mergeCell ref="PT5:PV5"/>
    <mergeCell ref="OM5:OO5"/>
    <mergeCell ref="OP5:OR5"/>
    <mergeCell ref="OS5:OU5"/>
    <mergeCell ref="OV5:OX5"/>
    <mergeCell ref="OY5:PA5"/>
    <mergeCell ref="PB5:PD5"/>
    <mergeCell ref="NU5:NW5"/>
    <mergeCell ref="NX5:NZ5"/>
    <mergeCell ref="OA5:OC5"/>
    <mergeCell ref="OD5:OF5"/>
    <mergeCell ref="OG5:OI5"/>
    <mergeCell ref="OJ5:OL5"/>
    <mergeCell ref="NC5:NE5"/>
    <mergeCell ref="NF5:NH5"/>
    <mergeCell ref="NI5:NK5"/>
    <mergeCell ref="NL5:NN5"/>
    <mergeCell ref="NO5:NQ5"/>
    <mergeCell ref="NR5:NT5"/>
    <mergeCell ref="US5:UU5"/>
    <mergeCell ref="UV5:UX5"/>
    <mergeCell ref="UY5:VA5"/>
    <mergeCell ref="VB5:VD5"/>
    <mergeCell ref="VE5:VG5"/>
    <mergeCell ref="VH5:VJ5"/>
    <mergeCell ref="UA5:UC5"/>
    <mergeCell ref="UD5:UF5"/>
    <mergeCell ref="UG5:UI5"/>
    <mergeCell ref="UJ5:UL5"/>
    <mergeCell ref="UM5:UO5"/>
    <mergeCell ref="UP5:UR5"/>
    <mergeCell ref="TI5:TK5"/>
    <mergeCell ref="TL5:TN5"/>
    <mergeCell ref="TO5:TQ5"/>
    <mergeCell ref="TR5:TT5"/>
    <mergeCell ref="TU5:TW5"/>
    <mergeCell ref="TX5:TZ5"/>
    <mergeCell ref="SQ5:SS5"/>
    <mergeCell ref="ST5:SV5"/>
    <mergeCell ref="SW5:SY5"/>
    <mergeCell ref="SZ5:TB5"/>
    <mergeCell ref="TC5:TE5"/>
    <mergeCell ref="TF5:TH5"/>
    <mergeCell ref="RY5:SA5"/>
    <mergeCell ref="SB5:SD5"/>
    <mergeCell ref="SE5:SG5"/>
    <mergeCell ref="SH5:SJ5"/>
    <mergeCell ref="SK5:SM5"/>
    <mergeCell ref="SN5:SP5"/>
    <mergeCell ref="RG5:RI5"/>
    <mergeCell ref="RJ5:RL5"/>
    <mergeCell ref="RM5:RO5"/>
    <mergeCell ref="RP5:RR5"/>
    <mergeCell ref="RS5:RU5"/>
    <mergeCell ref="RV5:RX5"/>
    <mergeCell ref="YW5:YY5"/>
    <mergeCell ref="YZ5:ZB5"/>
    <mergeCell ref="ZC5:ZE5"/>
    <mergeCell ref="ZF5:ZH5"/>
    <mergeCell ref="ZI5:ZK5"/>
    <mergeCell ref="ZL5:ZN5"/>
    <mergeCell ref="YE5:YG5"/>
    <mergeCell ref="YH5:YJ5"/>
    <mergeCell ref="YK5:YM5"/>
    <mergeCell ref="YN5:YP5"/>
    <mergeCell ref="YQ5:YS5"/>
    <mergeCell ref="YT5:YV5"/>
    <mergeCell ref="XM5:XO5"/>
    <mergeCell ref="XP5:XR5"/>
    <mergeCell ref="XS5:XU5"/>
    <mergeCell ref="XV5:XX5"/>
    <mergeCell ref="XY5:YA5"/>
    <mergeCell ref="YB5:YD5"/>
    <mergeCell ref="WU5:WW5"/>
    <mergeCell ref="WX5:WZ5"/>
    <mergeCell ref="XA5:XC5"/>
    <mergeCell ref="XD5:XF5"/>
    <mergeCell ref="XG5:XI5"/>
    <mergeCell ref="XJ5:XL5"/>
    <mergeCell ref="WC5:WE5"/>
    <mergeCell ref="WF5:WH5"/>
    <mergeCell ref="WI5:WK5"/>
    <mergeCell ref="WL5:WN5"/>
    <mergeCell ref="WO5:WQ5"/>
    <mergeCell ref="WR5:WT5"/>
    <mergeCell ref="VK5:VM5"/>
    <mergeCell ref="VN5:VP5"/>
    <mergeCell ref="VQ5:VS5"/>
    <mergeCell ref="VT5:VV5"/>
    <mergeCell ref="VW5:VY5"/>
    <mergeCell ref="VZ5:WB5"/>
    <mergeCell ref="ADA5:ADC5"/>
    <mergeCell ref="ADD5:ADF5"/>
    <mergeCell ref="ADG5:ADI5"/>
    <mergeCell ref="ADJ5:ADL5"/>
    <mergeCell ref="ADM5:ADO5"/>
    <mergeCell ref="ADP5:ADR5"/>
    <mergeCell ref="ACI5:ACK5"/>
    <mergeCell ref="ACL5:ACN5"/>
    <mergeCell ref="ACO5:ACQ5"/>
    <mergeCell ref="ACR5:ACT5"/>
    <mergeCell ref="ACU5:ACW5"/>
    <mergeCell ref="ACX5:ACZ5"/>
    <mergeCell ref="ABQ5:ABS5"/>
    <mergeCell ref="ABT5:ABV5"/>
    <mergeCell ref="ABW5:ABY5"/>
    <mergeCell ref="ABZ5:ACB5"/>
    <mergeCell ref="ACC5:ACE5"/>
    <mergeCell ref="ACF5:ACH5"/>
    <mergeCell ref="AAY5:ABA5"/>
    <mergeCell ref="ABB5:ABD5"/>
    <mergeCell ref="ABE5:ABG5"/>
    <mergeCell ref="ABH5:ABJ5"/>
    <mergeCell ref="ABK5:ABM5"/>
    <mergeCell ref="ABN5:ABP5"/>
    <mergeCell ref="AAG5:AAI5"/>
    <mergeCell ref="AAJ5:AAL5"/>
    <mergeCell ref="AAM5:AAO5"/>
    <mergeCell ref="AAP5:AAR5"/>
    <mergeCell ref="AAS5:AAU5"/>
    <mergeCell ref="AAV5:AAX5"/>
    <mergeCell ref="ZO5:ZQ5"/>
    <mergeCell ref="ZR5:ZT5"/>
    <mergeCell ref="ZU5:ZW5"/>
    <mergeCell ref="ZX5:ZZ5"/>
    <mergeCell ref="AAA5:AAC5"/>
    <mergeCell ref="AAD5:AAF5"/>
    <mergeCell ref="AHE5:AHG5"/>
    <mergeCell ref="AHH5:AHJ5"/>
    <mergeCell ref="AHK5:AHM5"/>
    <mergeCell ref="AHN5:AHP5"/>
    <mergeCell ref="AHQ5:AHS5"/>
    <mergeCell ref="AHT5:AHV5"/>
    <mergeCell ref="AGM5:AGO5"/>
    <mergeCell ref="AGP5:AGR5"/>
    <mergeCell ref="AGS5:AGU5"/>
    <mergeCell ref="AGV5:AGX5"/>
    <mergeCell ref="AGY5:AHA5"/>
    <mergeCell ref="AHB5:AHD5"/>
    <mergeCell ref="AFU5:AFW5"/>
    <mergeCell ref="AFX5:AFZ5"/>
    <mergeCell ref="AGA5:AGC5"/>
    <mergeCell ref="AGD5:AGF5"/>
    <mergeCell ref="AGG5:AGI5"/>
    <mergeCell ref="AGJ5:AGL5"/>
    <mergeCell ref="AFC5:AFE5"/>
    <mergeCell ref="AFF5:AFH5"/>
    <mergeCell ref="AFI5:AFK5"/>
    <mergeCell ref="AFL5:AFN5"/>
    <mergeCell ref="AFO5:AFQ5"/>
    <mergeCell ref="AFR5:AFT5"/>
    <mergeCell ref="AEK5:AEM5"/>
    <mergeCell ref="AEN5:AEP5"/>
    <mergeCell ref="AEQ5:AES5"/>
    <mergeCell ref="AET5:AEV5"/>
    <mergeCell ref="AEW5:AEY5"/>
    <mergeCell ref="AEZ5:AFB5"/>
    <mergeCell ref="ADS5:ADU5"/>
    <mergeCell ref="ADV5:ADX5"/>
    <mergeCell ref="ADY5:AEA5"/>
    <mergeCell ref="AEB5:AED5"/>
    <mergeCell ref="AEE5:AEG5"/>
    <mergeCell ref="AEH5:AEJ5"/>
    <mergeCell ref="ALI5:ALK5"/>
    <mergeCell ref="ALL5:ALN5"/>
    <mergeCell ref="ALO5:ALQ5"/>
    <mergeCell ref="ALR5:ALT5"/>
    <mergeCell ref="ALU5:ALW5"/>
    <mergeCell ref="ALX5:ALZ5"/>
    <mergeCell ref="AKQ5:AKS5"/>
    <mergeCell ref="AKT5:AKV5"/>
    <mergeCell ref="AKW5:AKY5"/>
    <mergeCell ref="AKZ5:ALB5"/>
    <mergeCell ref="ALC5:ALE5"/>
    <mergeCell ref="ALF5:ALH5"/>
    <mergeCell ref="AJY5:AKA5"/>
    <mergeCell ref="AKB5:AKD5"/>
    <mergeCell ref="AKE5:AKG5"/>
    <mergeCell ref="AKH5:AKJ5"/>
    <mergeCell ref="AKK5:AKM5"/>
    <mergeCell ref="AKN5:AKP5"/>
    <mergeCell ref="AJG5:AJI5"/>
    <mergeCell ref="AJJ5:AJL5"/>
    <mergeCell ref="AJM5:AJO5"/>
    <mergeCell ref="AJP5:AJR5"/>
    <mergeCell ref="AJS5:AJU5"/>
    <mergeCell ref="AJV5:AJX5"/>
    <mergeCell ref="AIO5:AIQ5"/>
    <mergeCell ref="AIR5:AIT5"/>
    <mergeCell ref="AIU5:AIW5"/>
    <mergeCell ref="AIX5:AIZ5"/>
    <mergeCell ref="AJA5:AJC5"/>
    <mergeCell ref="AJD5:AJF5"/>
    <mergeCell ref="AHW5:AHY5"/>
    <mergeCell ref="AHZ5:AIB5"/>
    <mergeCell ref="AIC5:AIE5"/>
    <mergeCell ref="AIF5:AIH5"/>
    <mergeCell ref="AII5:AIK5"/>
    <mergeCell ref="AIL5:AIN5"/>
    <mergeCell ref="APM5:APO5"/>
    <mergeCell ref="APP5:APR5"/>
    <mergeCell ref="APS5:APU5"/>
    <mergeCell ref="APV5:APX5"/>
    <mergeCell ref="APY5:AQA5"/>
    <mergeCell ref="AQB5:AQD5"/>
    <mergeCell ref="AOU5:AOW5"/>
    <mergeCell ref="AOX5:AOZ5"/>
    <mergeCell ref="APA5:APC5"/>
    <mergeCell ref="APD5:APF5"/>
    <mergeCell ref="APG5:API5"/>
    <mergeCell ref="APJ5:APL5"/>
    <mergeCell ref="AOC5:AOE5"/>
    <mergeCell ref="AOF5:AOH5"/>
    <mergeCell ref="AOI5:AOK5"/>
    <mergeCell ref="AOL5:AON5"/>
    <mergeCell ref="AOO5:AOQ5"/>
    <mergeCell ref="AOR5:AOT5"/>
    <mergeCell ref="ANK5:ANM5"/>
    <mergeCell ref="ANN5:ANP5"/>
    <mergeCell ref="ANQ5:ANS5"/>
    <mergeCell ref="ANT5:ANV5"/>
    <mergeCell ref="ANW5:ANY5"/>
    <mergeCell ref="ANZ5:AOB5"/>
    <mergeCell ref="AMS5:AMU5"/>
    <mergeCell ref="AMV5:AMX5"/>
    <mergeCell ref="AMY5:ANA5"/>
    <mergeCell ref="ANB5:AND5"/>
    <mergeCell ref="ANE5:ANG5"/>
    <mergeCell ref="ANH5:ANJ5"/>
    <mergeCell ref="AMA5:AMC5"/>
    <mergeCell ref="AMD5:AMF5"/>
    <mergeCell ref="AMG5:AMI5"/>
    <mergeCell ref="AMJ5:AML5"/>
    <mergeCell ref="AMM5:AMO5"/>
    <mergeCell ref="AMP5:AMR5"/>
    <mergeCell ref="ATQ5:ATS5"/>
    <mergeCell ref="ATT5:ATV5"/>
    <mergeCell ref="ATW5:ATY5"/>
    <mergeCell ref="ATZ5:AUB5"/>
    <mergeCell ref="AUC5:AUE5"/>
    <mergeCell ref="AUF5:AUH5"/>
    <mergeCell ref="ASY5:ATA5"/>
    <mergeCell ref="ATB5:ATD5"/>
    <mergeCell ref="ATE5:ATG5"/>
    <mergeCell ref="ATH5:ATJ5"/>
    <mergeCell ref="ATK5:ATM5"/>
    <mergeCell ref="ATN5:ATP5"/>
    <mergeCell ref="ASG5:ASI5"/>
    <mergeCell ref="ASJ5:ASL5"/>
    <mergeCell ref="ASM5:ASO5"/>
    <mergeCell ref="ASP5:ASR5"/>
    <mergeCell ref="ASS5:ASU5"/>
    <mergeCell ref="ASV5:ASX5"/>
    <mergeCell ref="ARO5:ARQ5"/>
    <mergeCell ref="ARR5:ART5"/>
    <mergeCell ref="ARU5:ARW5"/>
    <mergeCell ref="ARX5:ARZ5"/>
    <mergeCell ref="ASA5:ASC5"/>
    <mergeCell ref="ASD5:ASF5"/>
    <mergeCell ref="AQW5:AQY5"/>
    <mergeCell ref="AQZ5:ARB5"/>
    <mergeCell ref="ARC5:ARE5"/>
    <mergeCell ref="ARF5:ARH5"/>
    <mergeCell ref="ARI5:ARK5"/>
    <mergeCell ref="ARL5:ARN5"/>
    <mergeCell ref="AQE5:AQG5"/>
    <mergeCell ref="AQH5:AQJ5"/>
    <mergeCell ref="AQK5:AQM5"/>
    <mergeCell ref="AQN5:AQP5"/>
    <mergeCell ref="AQQ5:AQS5"/>
    <mergeCell ref="AQT5:AQV5"/>
    <mergeCell ref="AXU5:AXW5"/>
    <mergeCell ref="AXX5:AXZ5"/>
    <mergeCell ref="AYA5:AYC5"/>
    <mergeCell ref="AYD5:AYF5"/>
    <mergeCell ref="AYG5:AYI5"/>
    <mergeCell ref="AYJ5:AYL5"/>
    <mergeCell ref="AXC5:AXE5"/>
    <mergeCell ref="AXF5:AXH5"/>
    <mergeCell ref="AXI5:AXK5"/>
    <mergeCell ref="AXL5:AXN5"/>
    <mergeCell ref="AXO5:AXQ5"/>
    <mergeCell ref="AXR5:AXT5"/>
    <mergeCell ref="AWK5:AWM5"/>
    <mergeCell ref="AWN5:AWP5"/>
    <mergeCell ref="AWQ5:AWS5"/>
    <mergeCell ref="AWT5:AWV5"/>
    <mergeCell ref="AWW5:AWY5"/>
    <mergeCell ref="AWZ5:AXB5"/>
    <mergeCell ref="AVS5:AVU5"/>
    <mergeCell ref="AVV5:AVX5"/>
    <mergeCell ref="AVY5:AWA5"/>
    <mergeCell ref="AWB5:AWD5"/>
    <mergeCell ref="AWE5:AWG5"/>
    <mergeCell ref="AWH5:AWJ5"/>
    <mergeCell ref="AVA5:AVC5"/>
    <mergeCell ref="AVD5:AVF5"/>
    <mergeCell ref="AVG5:AVI5"/>
    <mergeCell ref="AVJ5:AVL5"/>
    <mergeCell ref="AVM5:AVO5"/>
    <mergeCell ref="AVP5:AVR5"/>
    <mergeCell ref="AUI5:AUK5"/>
    <mergeCell ref="AUL5:AUN5"/>
    <mergeCell ref="AUO5:AUQ5"/>
    <mergeCell ref="AUR5:AUT5"/>
    <mergeCell ref="AUU5:AUW5"/>
    <mergeCell ref="AUX5:AUZ5"/>
    <mergeCell ref="BBY5:BCA5"/>
    <mergeCell ref="BCB5:BCD5"/>
    <mergeCell ref="BCE5:BCG5"/>
    <mergeCell ref="BCH5:BCJ5"/>
    <mergeCell ref="BCK5:BCM5"/>
    <mergeCell ref="BCN5:BCP5"/>
    <mergeCell ref="BBG5:BBI5"/>
    <mergeCell ref="BBJ5:BBL5"/>
    <mergeCell ref="BBM5:BBO5"/>
    <mergeCell ref="BBP5:BBR5"/>
    <mergeCell ref="BBS5:BBU5"/>
    <mergeCell ref="BBV5:BBX5"/>
    <mergeCell ref="BAO5:BAQ5"/>
    <mergeCell ref="BAR5:BAT5"/>
    <mergeCell ref="BAU5:BAW5"/>
    <mergeCell ref="BAX5:BAZ5"/>
    <mergeCell ref="BBA5:BBC5"/>
    <mergeCell ref="BBD5:BBF5"/>
    <mergeCell ref="AZW5:AZY5"/>
    <mergeCell ref="AZZ5:BAB5"/>
    <mergeCell ref="BAC5:BAE5"/>
    <mergeCell ref="BAF5:BAH5"/>
    <mergeCell ref="BAI5:BAK5"/>
    <mergeCell ref="BAL5:BAN5"/>
    <mergeCell ref="AZE5:AZG5"/>
    <mergeCell ref="AZH5:AZJ5"/>
    <mergeCell ref="AZK5:AZM5"/>
    <mergeCell ref="AZN5:AZP5"/>
    <mergeCell ref="AZQ5:AZS5"/>
    <mergeCell ref="AZT5:AZV5"/>
    <mergeCell ref="AYM5:AYO5"/>
    <mergeCell ref="AYP5:AYR5"/>
    <mergeCell ref="AYS5:AYU5"/>
    <mergeCell ref="AYV5:AYX5"/>
    <mergeCell ref="AYY5:AZA5"/>
    <mergeCell ref="AZB5:AZD5"/>
    <mergeCell ref="BGC5:BGE5"/>
    <mergeCell ref="BGF5:BGH5"/>
    <mergeCell ref="BGI5:BGK5"/>
    <mergeCell ref="BGL5:BGN5"/>
    <mergeCell ref="BGO5:BGQ5"/>
    <mergeCell ref="BGR5:BGT5"/>
    <mergeCell ref="BFK5:BFM5"/>
    <mergeCell ref="BFN5:BFP5"/>
    <mergeCell ref="BFQ5:BFS5"/>
    <mergeCell ref="BFT5:BFV5"/>
    <mergeCell ref="BFW5:BFY5"/>
    <mergeCell ref="BFZ5:BGB5"/>
    <mergeCell ref="BES5:BEU5"/>
    <mergeCell ref="BEV5:BEX5"/>
    <mergeCell ref="BEY5:BFA5"/>
    <mergeCell ref="BFB5:BFD5"/>
    <mergeCell ref="BFE5:BFG5"/>
    <mergeCell ref="BFH5:BFJ5"/>
    <mergeCell ref="BEA5:BEC5"/>
    <mergeCell ref="BED5:BEF5"/>
    <mergeCell ref="BEG5:BEI5"/>
    <mergeCell ref="BEJ5:BEL5"/>
    <mergeCell ref="BEM5:BEO5"/>
    <mergeCell ref="BEP5:BER5"/>
    <mergeCell ref="BDI5:BDK5"/>
    <mergeCell ref="BDL5:BDN5"/>
    <mergeCell ref="BDO5:BDQ5"/>
    <mergeCell ref="BDR5:BDT5"/>
    <mergeCell ref="BDU5:BDW5"/>
    <mergeCell ref="BDX5:BDZ5"/>
    <mergeCell ref="BCQ5:BCS5"/>
    <mergeCell ref="BCT5:BCV5"/>
    <mergeCell ref="BCW5:BCY5"/>
    <mergeCell ref="BCZ5:BDB5"/>
    <mergeCell ref="BDC5:BDE5"/>
    <mergeCell ref="BDF5:BDH5"/>
    <mergeCell ref="BKG5:BKI5"/>
    <mergeCell ref="BKJ5:BKL5"/>
    <mergeCell ref="BKM5:BKO5"/>
    <mergeCell ref="BKP5:BKR5"/>
    <mergeCell ref="BKS5:BKU5"/>
    <mergeCell ref="BKV5:BKX5"/>
    <mergeCell ref="BJO5:BJQ5"/>
    <mergeCell ref="BJR5:BJT5"/>
    <mergeCell ref="BJU5:BJW5"/>
    <mergeCell ref="BJX5:BJZ5"/>
    <mergeCell ref="BKA5:BKC5"/>
    <mergeCell ref="BKD5:BKF5"/>
    <mergeCell ref="BIW5:BIY5"/>
    <mergeCell ref="BIZ5:BJB5"/>
    <mergeCell ref="BJC5:BJE5"/>
    <mergeCell ref="BJF5:BJH5"/>
    <mergeCell ref="BJI5:BJK5"/>
    <mergeCell ref="BJL5:BJN5"/>
    <mergeCell ref="BIE5:BIG5"/>
    <mergeCell ref="BIH5:BIJ5"/>
    <mergeCell ref="BIK5:BIM5"/>
    <mergeCell ref="BIN5:BIP5"/>
    <mergeCell ref="BIQ5:BIS5"/>
    <mergeCell ref="BIT5:BIV5"/>
    <mergeCell ref="BHM5:BHO5"/>
    <mergeCell ref="BHP5:BHR5"/>
    <mergeCell ref="BHS5:BHU5"/>
    <mergeCell ref="BHV5:BHX5"/>
    <mergeCell ref="BHY5:BIA5"/>
    <mergeCell ref="BIB5:BID5"/>
    <mergeCell ref="BGU5:BGW5"/>
    <mergeCell ref="BGX5:BGZ5"/>
    <mergeCell ref="BHA5:BHC5"/>
    <mergeCell ref="BHD5:BHF5"/>
    <mergeCell ref="BHG5:BHI5"/>
    <mergeCell ref="BHJ5:BHL5"/>
    <mergeCell ref="BOK5:BOM5"/>
    <mergeCell ref="BON5:BOP5"/>
    <mergeCell ref="BOQ5:BOS5"/>
    <mergeCell ref="BOT5:BOV5"/>
    <mergeCell ref="BOW5:BOY5"/>
    <mergeCell ref="BOZ5:BPB5"/>
    <mergeCell ref="BNS5:BNU5"/>
    <mergeCell ref="BNV5:BNX5"/>
    <mergeCell ref="BNY5:BOA5"/>
    <mergeCell ref="BOB5:BOD5"/>
    <mergeCell ref="BOE5:BOG5"/>
    <mergeCell ref="BOH5:BOJ5"/>
    <mergeCell ref="BNA5:BNC5"/>
    <mergeCell ref="BND5:BNF5"/>
    <mergeCell ref="BNG5:BNI5"/>
    <mergeCell ref="BNJ5:BNL5"/>
    <mergeCell ref="BNM5:BNO5"/>
    <mergeCell ref="BNP5:BNR5"/>
    <mergeCell ref="BMI5:BMK5"/>
    <mergeCell ref="BML5:BMN5"/>
    <mergeCell ref="BMO5:BMQ5"/>
    <mergeCell ref="BMR5:BMT5"/>
    <mergeCell ref="BMU5:BMW5"/>
    <mergeCell ref="BMX5:BMZ5"/>
    <mergeCell ref="BLQ5:BLS5"/>
    <mergeCell ref="BLT5:BLV5"/>
    <mergeCell ref="BLW5:BLY5"/>
    <mergeCell ref="BLZ5:BMB5"/>
    <mergeCell ref="BMC5:BME5"/>
    <mergeCell ref="BMF5:BMH5"/>
    <mergeCell ref="BKY5:BLA5"/>
    <mergeCell ref="BLB5:BLD5"/>
    <mergeCell ref="BLE5:BLG5"/>
    <mergeCell ref="BLH5:BLJ5"/>
    <mergeCell ref="BLK5:BLM5"/>
    <mergeCell ref="BLN5:BLP5"/>
    <mergeCell ref="BSO5:BSQ5"/>
    <mergeCell ref="BSR5:BST5"/>
    <mergeCell ref="BSU5:BSW5"/>
    <mergeCell ref="BSX5:BSZ5"/>
    <mergeCell ref="BTA5:BTC5"/>
    <mergeCell ref="BTD5:BTF5"/>
    <mergeCell ref="BRW5:BRY5"/>
    <mergeCell ref="BRZ5:BSB5"/>
    <mergeCell ref="BSC5:BSE5"/>
    <mergeCell ref="BSF5:BSH5"/>
    <mergeCell ref="BSI5:BSK5"/>
    <mergeCell ref="BSL5:BSN5"/>
    <mergeCell ref="BRE5:BRG5"/>
    <mergeCell ref="BRH5:BRJ5"/>
    <mergeCell ref="BRK5:BRM5"/>
    <mergeCell ref="BRN5:BRP5"/>
    <mergeCell ref="BRQ5:BRS5"/>
    <mergeCell ref="BRT5:BRV5"/>
    <mergeCell ref="BQM5:BQO5"/>
    <mergeCell ref="BQP5:BQR5"/>
    <mergeCell ref="BQS5:BQU5"/>
    <mergeCell ref="BQV5:BQX5"/>
    <mergeCell ref="BQY5:BRA5"/>
    <mergeCell ref="BRB5:BRD5"/>
    <mergeCell ref="BPU5:BPW5"/>
    <mergeCell ref="BPX5:BPZ5"/>
    <mergeCell ref="BQA5:BQC5"/>
    <mergeCell ref="BQD5:BQF5"/>
    <mergeCell ref="BQG5:BQI5"/>
    <mergeCell ref="BQJ5:BQL5"/>
    <mergeCell ref="BPC5:BPE5"/>
    <mergeCell ref="BPF5:BPH5"/>
    <mergeCell ref="BPI5:BPK5"/>
    <mergeCell ref="BPL5:BPN5"/>
    <mergeCell ref="BPO5:BPQ5"/>
    <mergeCell ref="BPR5:BPT5"/>
    <mergeCell ref="BWS5:BWU5"/>
    <mergeCell ref="BWV5:BWX5"/>
    <mergeCell ref="BWY5:BXA5"/>
    <mergeCell ref="BXB5:BXD5"/>
    <mergeCell ref="BXE5:BXG5"/>
    <mergeCell ref="BXH5:BXJ5"/>
    <mergeCell ref="BWA5:BWC5"/>
    <mergeCell ref="BWD5:BWF5"/>
    <mergeCell ref="BWG5:BWI5"/>
    <mergeCell ref="BWJ5:BWL5"/>
    <mergeCell ref="BWM5:BWO5"/>
    <mergeCell ref="BWP5:BWR5"/>
    <mergeCell ref="BVI5:BVK5"/>
    <mergeCell ref="BVL5:BVN5"/>
    <mergeCell ref="BVO5:BVQ5"/>
    <mergeCell ref="BVR5:BVT5"/>
    <mergeCell ref="BVU5:BVW5"/>
    <mergeCell ref="BVX5:BVZ5"/>
    <mergeCell ref="BUQ5:BUS5"/>
    <mergeCell ref="BUT5:BUV5"/>
    <mergeCell ref="BUW5:BUY5"/>
    <mergeCell ref="BUZ5:BVB5"/>
    <mergeCell ref="BVC5:BVE5"/>
    <mergeCell ref="BVF5:BVH5"/>
    <mergeCell ref="BTY5:BUA5"/>
    <mergeCell ref="BUB5:BUD5"/>
    <mergeCell ref="BUE5:BUG5"/>
    <mergeCell ref="BUH5:BUJ5"/>
    <mergeCell ref="BUK5:BUM5"/>
    <mergeCell ref="BUN5:BUP5"/>
    <mergeCell ref="BTG5:BTI5"/>
    <mergeCell ref="BTJ5:BTL5"/>
    <mergeCell ref="BTM5:BTO5"/>
    <mergeCell ref="BTP5:BTR5"/>
    <mergeCell ref="BTS5:BTU5"/>
    <mergeCell ref="BTV5:BTX5"/>
    <mergeCell ref="CAW5:CAY5"/>
    <mergeCell ref="CAZ5:CBB5"/>
    <mergeCell ref="CBC5:CBE5"/>
    <mergeCell ref="CBF5:CBH5"/>
    <mergeCell ref="CBI5:CBK5"/>
    <mergeCell ref="CBL5:CBN5"/>
    <mergeCell ref="CAE5:CAG5"/>
    <mergeCell ref="CAH5:CAJ5"/>
    <mergeCell ref="CAK5:CAM5"/>
    <mergeCell ref="CAN5:CAP5"/>
    <mergeCell ref="CAQ5:CAS5"/>
    <mergeCell ref="CAT5:CAV5"/>
    <mergeCell ref="BZM5:BZO5"/>
    <mergeCell ref="BZP5:BZR5"/>
    <mergeCell ref="BZS5:BZU5"/>
    <mergeCell ref="BZV5:BZX5"/>
    <mergeCell ref="BZY5:CAA5"/>
    <mergeCell ref="CAB5:CAD5"/>
    <mergeCell ref="BYU5:BYW5"/>
    <mergeCell ref="BYX5:BYZ5"/>
    <mergeCell ref="BZA5:BZC5"/>
    <mergeCell ref="BZD5:BZF5"/>
    <mergeCell ref="BZG5:BZI5"/>
    <mergeCell ref="BZJ5:BZL5"/>
    <mergeCell ref="BYC5:BYE5"/>
    <mergeCell ref="BYF5:BYH5"/>
    <mergeCell ref="BYI5:BYK5"/>
    <mergeCell ref="BYL5:BYN5"/>
    <mergeCell ref="BYO5:BYQ5"/>
    <mergeCell ref="BYR5:BYT5"/>
    <mergeCell ref="BXK5:BXM5"/>
    <mergeCell ref="BXN5:BXP5"/>
    <mergeCell ref="BXQ5:BXS5"/>
    <mergeCell ref="BXT5:BXV5"/>
    <mergeCell ref="BXW5:BXY5"/>
    <mergeCell ref="BXZ5:BYB5"/>
    <mergeCell ref="CFA5:CFC5"/>
    <mergeCell ref="CFD5:CFF5"/>
    <mergeCell ref="CFG5:CFI5"/>
    <mergeCell ref="CFJ5:CFL5"/>
    <mergeCell ref="CFM5:CFO5"/>
    <mergeCell ref="CFP5:CFR5"/>
    <mergeCell ref="CEI5:CEK5"/>
    <mergeCell ref="CEL5:CEN5"/>
    <mergeCell ref="CEO5:CEQ5"/>
    <mergeCell ref="CER5:CET5"/>
    <mergeCell ref="CEU5:CEW5"/>
    <mergeCell ref="CEX5:CEZ5"/>
    <mergeCell ref="CDQ5:CDS5"/>
    <mergeCell ref="CDT5:CDV5"/>
    <mergeCell ref="CDW5:CDY5"/>
    <mergeCell ref="CDZ5:CEB5"/>
    <mergeCell ref="CEC5:CEE5"/>
    <mergeCell ref="CEF5:CEH5"/>
    <mergeCell ref="CCY5:CDA5"/>
    <mergeCell ref="CDB5:CDD5"/>
    <mergeCell ref="CDE5:CDG5"/>
    <mergeCell ref="CDH5:CDJ5"/>
    <mergeCell ref="CDK5:CDM5"/>
    <mergeCell ref="CDN5:CDP5"/>
    <mergeCell ref="CCG5:CCI5"/>
    <mergeCell ref="CCJ5:CCL5"/>
    <mergeCell ref="CCM5:CCO5"/>
    <mergeCell ref="CCP5:CCR5"/>
    <mergeCell ref="CCS5:CCU5"/>
    <mergeCell ref="CCV5:CCX5"/>
    <mergeCell ref="CBO5:CBQ5"/>
    <mergeCell ref="CBR5:CBT5"/>
    <mergeCell ref="CBU5:CBW5"/>
    <mergeCell ref="CBX5:CBZ5"/>
    <mergeCell ref="CCA5:CCC5"/>
    <mergeCell ref="CCD5:CCF5"/>
    <mergeCell ref="CJE5:CJG5"/>
    <mergeCell ref="CJH5:CJJ5"/>
    <mergeCell ref="CJK5:CJM5"/>
    <mergeCell ref="CJN5:CJP5"/>
    <mergeCell ref="CJQ5:CJS5"/>
    <mergeCell ref="CJT5:CJV5"/>
    <mergeCell ref="CIM5:CIO5"/>
    <mergeCell ref="CIP5:CIR5"/>
    <mergeCell ref="CIS5:CIU5"/>
    <mergeCell ref="CIV5:CIX5"/>
    <mergeCell ref="CIY5:CJA5"/>
    <mergeCell ref="CJB5:CJD5"/>
    <mergeCell ref="CHU5:CHW5"/>
    <mergeCell ref="CHX5:CHZ5"/>
    <mergeCell ref="CIA5:CIC5"/>
    <mergeCell ref="CID5:CIF5"/>
    <mergeCell ref="CIG5:CII5"/>
    <mergeCell ref="CIJ5:CIL5"/>
    <mergeCell ref="CHC5:CHE5"/>
    <mergeCell ref="CHF5:CHH5"/>
    <mergeCell ref="CHI5:CHK5"/>
    <mergeCell ref="CHL5:CHN5"/>
    <mergeCell ref="CHO5:CHQ5"/>
    <mergeCell ref="CHR5:CHT5"/>
    <mergeCell ref="CGK5:CGM5"/>
    <mergeCell ref="CGN5:CGP5"/>
    <mergeCell ref="CGQ5:CGS5"/>
    <mergeCell ref="CGT5:CGV5"/>
    <mergeCell ref="CGW5:CGY5"/>
    <mergeCell ref="CGZ5:CHB5"/>
    <mergeCell ref="CFS5:CFU5"/>
    <mergeCell ref="CFV5:CFX5"/>
    <mergeCell ref="CFY5:CGA5"/>
    <mergeCell ref="CGB5:CGD5"/>
    <mergeCell ref="CGE5:CGG5"/>
    <mergeCell ref="CGH5:CGJ5"/>
    <mergeCell ref="CNI5:CNK5"/>
    <mergeCell ref="CNL5:CNN5"/>
    <mergeCell ref="CNO5:CNQ5"/>
    <mergeCell ref="CNR5:CNT5"/>
    <mergeCell ref="CNU5:CNW5"/>
    <mergeCell ref="CNX5:CNZ5"/>
    <mergeCell ref="CMQ5:CMS5"/>
    <mergeCell ref="CMT5:CMV5"/>
    <mergeCell ref="CMW5:CMY5"/>
    <mergeCell ref="CMZ5:CNB5"/>
    <mergeCell ref="CNC5:CNE5"/>
    <mergeCell ref="CNF5:CNH5"/>
    <mergeCell ref="CLY5:CMA5"/>
    <mergeCell ref="CMB5:CMD5"/>
    <mergeCell ref="CME5:CMG5"/>
    <mergeCell ref="CMH5:CMJ5"/>
    <mergeCell ref="CMK5:CMM5"/>
    <mergeCell ref="CMN5:CMP5"/>
    <mergeCell ref="CLG5:CLI5"/>
    <mergeCell ref="CLJ5:CLL5"/>
    <mergeCell ref="CLM5:CLO5"/>
    <mergeCell ref="CLP5:CLR5"/>
    <mergeCell ref="CLS5:CLU5"/>
    <mergeCell ref="CLV5:CLX5"/>
    <mergeCell ref="CKO5:CKQ5"/>
    <mergeCell ref="CKR5:CKT5"/>
    <mergeCell ref="CKU5:CKW5"/>
    <mergeCell ref="CKX5:CKZ5"/>
    <mergeCell ref="CLA5:CLC5"/>
    <mergeCell ref="CLD5:CLF5"/>
    <mergeCell ref="CJW5:CJY5"/>
    <mergeCell ref="CJZ5:CKB5"/>
    <mergeCell ref="CKC5:CKE5"/>
    <mergeCell ref="CKF5:CKH5"/>
    <mergeCell ref="CKI5:CKK5"/>
    <mergeCell ref="CKL5:CKN5"/>
    <mergeCell ref="CRM5:CRO5"/>
    <mergeCell ref="CRP5:CRR5"/>
    <mergeCell ref="CRS5:CRU5"/>
    <mergeCell ref="CRV5:CRX5"/>
    <mergeCell ref="CRY5:CSA5"/>
    <mergeCell ref="CSB5:CSD5"/>
    <mergeCell ref="CQU5:CQW5"/>
    <mergeCell ref="CQX5:CQZ5"/>
    <mergeCell ref="CRA5:CRC5"/>
    <mergeCell ref="CRD5:CRF5"/>
    <mergeCell ref="CRG5:CRI5"/>
    <mergeCell ref="CRJ5:CRL5"/>
    <mergeCell ref="CQC5:CQE5"/>
    <mergeCell ref="CQF5:CQH5"/>
    <mergeCell ref="CQI5:CQK5"/>
    <mergeCell ref="CQL5:CQN5"/>
    <mergeCell ref="CQO5:CQQ5"/>
    <mergeCell ref="CQR5:CQT5"/>
    <mergeCell ref="CPK5:CPM5"/>
    <mergeCell ref="CPN5:CPP5"/>
    <mergeCell ref="CPQ5:CPS5"/>
    <mergeCell ref="CPT5:CPV5"/>
    <mergeCell ref="CPW5:CPY5"/>
    <mergeCell ref="CPZ5:CQB5"/>
    <mergeCell ref="COS5:COU5"/>
    <mergeCell ref="COV5:COX5"/>
    <mergeCell ref="COY5:CPA5"/>
    <mergeCell ref="CPB5:CPD5"/>
    <mergeCell ref="CPE5:CPG5"/>
    <mergeCell ref="CPH5:CPJ5"/>
    <mergeCell ref="COA5:COC5"/>
    <mergeCell ref="COD5:COF5"/>
    <mergeCell ref="COG5:COI5"/>
    <mergeCell ref="COJ5:COL5"/>
    <mergeCell ref="COM5:COO5"/>
    <mergeCell ref="COP5:COR5"/>
    <mergeCell ref="CVQ5:CVS5"/>
    <mergeCell ref="CVT5:CVV5"/>
    <mergeCell ref="CVW5:CVY5"/>
    <mergeCell ref="CVZ5:CWB5"/>
    <mergeCell ref="CWC5:CWE5"/>
    <mergeCell ref="CWF5:CWH5"/>
    <mergeCell ref="CUY5:CVA5"/>
    <mergeCell ref="CVB5:CVD5"/>
    <mergeCell ref="CVE5:CVG5"/>
    <mergeCell ref="CVH5:CVJ5"/>
    <mergeCell ref="CVK5:CVM5"/>
    <mergeCell ref="CVN5:CVP5"/>
    <mergeCell ref="CUG5:CUI5"/>
    <mergeCell ref="CUJ5:CUL5"/>
    <mergeCell ref="CUM5:CUO5"/>
    <mergeCell ref="CUP5:CUR5"/>
    <mergeCell ref="CUS5:CUU5"/>
    <mergeCell ref="CUV5:CUX5"/>
    <mergeCell ref="CTO5:CTQ5"/>
    <mergeCell ref="CTR5:CTT5"/>
    <mergeCell ref="CTU5:CTW5"/>
    <mergeCell ref="CTX5:CTZ5"/>
    <mergeCell ref="CUA5:CUC5"/>
    <mergeCell ref="CUD5:CUF5"/>
    <mergeCell ref="CSW5:CSY5"/>
    <mergeCell ref="CSZ5:CTB5"/>
    <mergeCell ref="CTC5:CTE5"/>
    <mergeCell ref="CTF5:CTH5"/>
    <mergeCell ref="CTI5:CTK5"/>
    <mergeCell ref="CTL5:CTN5"/>
    <mergeCell ref="CSE5:CSG5"/>
    <mergeCell ref="CSH5:CSJ5"/>
    <mergeCell ref="CSK5:CSM5"/>
    <mergeCell ref="CSN5:CSP5"/>
    <mergeCell ref="CSQ5:CSS5"/>
    <mergeCell ref="CST5:CSV5"/>
    <mergeCell ref="CZU5:CZW5"/>
    <mergeCell ref="CZX5:CZZ5"/>
    <mergeCell ref="DAA5:DAC5"/>
    <mergeCell ref="DAD5:DAF5"/>
    <mergeCell ref="DAG5:DAI5"/>
    <mergeCell ref="DAJ5:DAL5"/>
    <mergeCell ref="CZC5:CZE5"/>
    <mergeCell ref="CZF5:CZH5"/>
    <mergeCell ref="CZI5:CZK5"/>
    <mergeCell ref="CZL5:CZN5"/>
    <mergeCell ref="CZO5:CZQ5"/>
    <mergeCell ref="CZR5:CZT5"/>
    <mergeCell ref="CYK5:CYM5"/>
    <mergeCell ref="CYN5:CYP5"/>
    <mergeCell ref="CYQ5:CYS5"/>
    <mergeCell ref="CYT5:CYV5"/>
    <mergeCell ref="CYW5:CYY5"/>
    <mergeCell ref="CYZ5:CZB5"/>
    <mergeCell ref="CXS5:CXU5"/>
    <mergeCell ref="CXV5:CXX5"/>
    <mergeCell ref="CXY5:CYA5"/>
    <mergeCell ref="CYB5:CYD5"/>
    <mergeCell ref="CYE5:CYG5"/>
    <mergeCell ref="CYH5:CYJ5"/>
    <mergeCell ref="CXA5:CXC5"/>
    <mergeCell ref="CXD5:CXF5"/>
    <mergeCell ref="CXG5:CXI5"/>
    <mergeCell ref="CXJ5:CXL5"/>
    <mergeCell ref="CXM5:CXO5"/>
    <mergeCell ref="CXP5:CXR5"/>
    <mergeCell ref="CWI5:CWK5"/>
    <mergeCell ref="CWL5:CWN5"/>
    <mergeCell ref="CWO5:CWQ5"/>
    <mergeCell ref="CWR5:CWT5"/>
    <mergeCell ref="CWU5:CWW5"/>
    <mergeCell ref="CWX5:CWZ5"/>
    <mergeCell ref="DDY5:DEA5"/>
    <mergeCell ref="DEB5:DED5"/>
    <mergeCell ref="DEE5:DEG5"/>
    <mergeCell ref="DEH5:DEJ5"/>
    <mergeCell ref="DEK5:DEM5"/>
    <mergeCell ref="DEN5:DEP5"/>
    <mergeCell ref="DDG5:DDI5"/>
    <mergeCell ref="DDJ5:DDL5"/>
    <mergeCell ref="DDM5:DDO5"/>
    <mergeCell ref="DDP5:DDR5"/>
    <mergeCell ref="DDS5:DDU5"/>
    <mergeCell ref="DDV5:DDX5"/>
    <mergeCell ref="DCO5:DCQ5"/>
    <mergeCell ref="DCR5:DCT5"/>
    <mergeCell ref="DCU5:DCW5"/>
    <mergeCell ref="DCX5:DCZ5"/>
    <mergeCell ref="DDA5:DDC5"/>
    <mergeCell ref="DDD5:DDF5"/>
    <mergeCell ref="DBW5:DBY5"/>
    <mergeCell ref="DBZ5:DCB5"/>
    <mergeCell ref="DCC5:DCE5"/>
    <mergeCell ref="DCF5:DCH5"/>
    <mergeCell ref="DCI5:DCK5"/>
    <mergeCell ref="DCL5:DCN5"/>
    <mergeCell ref="DBE5:DBG5"/>
    <mergeCell ref="DBH5:DBJ5"/>
    <mergeCell ref="DBK5:DBM5"/>
    <mergeCell ref="DBN5:DBP5"/>
    <mergeCell ref="DBQ5:DBS5"/>
    <mergeCell ref="DBT5:DBV5"/>
    <mergeCell ref="DAM5:DAO5"/>
    <mergeCell ref="DAP5:DAR5"/>
    <mergeCell ref="DAS5:DAU5"/>
    <mergeCell ref="DAV5:DAX5"/>
    <mergeCell ref="DAY5:DBA5"/>
    <mergeCell ref="DBB5:DBD5"/>
    <mergeCell ref="DIC5:DIE5"/>
    <mergeCell ref="DIF5:DIH5"/>
    <mergeCell ref="DII5:DIK5"/>
    <mergeCell ref="DIL5:DIN5"/>
    <mergeCell ref="DIO5:DIQ5"/>
    <mergeCell ref="DIR5:DIT5"/>
    <mergeCell ref="DHK5:DHM5"/>
    <mergeCell ref="DHN5:DHP5"/>
    <mergeCell ref="DHQ5:DHS5"/>
    <mergeCell ref="DHT5:DHV5"/>
    <mergeCell ref="DHW5:DHY5"/>
    <mergeCell ref="DHZ5:DIB5"/>
    <mergeCell ref="DGS5:DGU5"/>
    <mergeCell ref="DGV5:DGX5"/>
    <mergeCell ref="DGY5:DHA5"/>
    <mergeCell ref="DHB5:DHD5"/>
    <mergeCell ref="DHE5:DHG5"/>
    <mergeCell ref="DHH5:DHJ5"/>
    <mergeCell ref="DGA5:DGC5"/>
    <mergeCell ref="DGD5:DGF5"/>
    <mergeCell ref="DGG5:DGI5"/>
    <mergeCell ref="DGJ5:DGL5"/>
    <mergeCell ref="DGM5:DGO5"/>
    <mergeCell ref="DGP5:DGR5"/>
    <mergeCell ref="DFI5:DFK5"/>
    <mergeCell ref="DFL5:DFN5"/>
    <mergeCell ref="DFO5:DFQ5"/>
    <mergeCell ref="DFR5:DFT5"/>
    <mergeCell ref="DFU5:DFW5"/>
    <mergeCell ref="DFX5:DFZ5"/>
    <mergeCell ref="DEQ5:DES5"/>
    <mergeCell ref="DET5:DEV5"/>
    <mergeCell ref="DEW5:DEY5"/>
    <mergeCell ref="DEZ5:DFB5"/>
    <mergeCell ref="DFC5:DFE5"/>
    <mergeCell ref="DFF5:DFH5"/>
    <mergeCell ref="DMG5:DMI5"/>
    <mergeCell ref="DMJ5:DML5"/>
    <mergeCell ref="DMM5:DMO5"/>
    <mergeCell ref="DMP5:DMR5"/>
    <mergeCell ref="DMS5:DMU5"/>
    <mergeCell ref="DMV5:DMX5"/>
    <mergeCell ref="DLO5:DLQ5"/>
    <mergeCell ref="DLR5:DLT5"/>
    <mergeCell ref="DLU5:DLW5"/>
    <mergeCell ref="DLX5:DLZ5"/>
    <mergeCell ref="DMA5:DMC5"/>
    <mergeCell ref="DMD5:DMF5"/>
    <mergeCell ref="DKW5:DKY5"/>
    <mergeCell ref="DKZ5:DLB5"/>
    <mergeCell ref="DLC5:DLE5"/>
    <mergeCell ref="DLF5:DLH5"/>
    <mergeCell ref="DLI5:DLK5"/>
    <mergeCell ref="DLL5:DLN5"/>
    <mergeCell ref="DKE5:DKG5"/>
    <mergeCell ref="DKH5:DKJ5"/>
    <mergeCell ref="DKK5:DKM5"/>
    <mergeCell ref="DKN5:DKP5"/>
    <mergeCell ref="DKQ5:DKS5"/>
    <mergeCell ref="DKT5:DKV5"/>
    <mergeCell ref="DJM5:DJO5"/>
    <mergeCell ref="DJP5:DJR5"/>
    <mergeCell ref="DJS5:DJU5"/>
    <mergeCell ref="DJV5:DJX5"/>
    <mergeCell ref="DJY5:DKA5"/>
    <mergeCell ref="DKB5:DKD5"/>
    <mergeCell ref="DIU5:DIW5"/>
    <mergeCell ref="DIX5:DIZ5"/>
    <mergeCell ref="DJA5:DJC5"/>
    <mergeCell ref="DJD5:DJF5"/>
    <mergeCell ref="DJG5:DJI5"/>
    <mergeCell ref="DJJ5:DJL5"/>
    <mergeCell ref="DQK5:DQM5"/>
    <mergeCell ref="DQN5:DQP5"/>
    <mergeCell ref="DQQ5:DQS5"/>
    <mergeCell ref="DQT5:DQV5"/>
    <mergeCell ref="DQW5:DQY5"/>
    <mergeCell ref="DQZ5:DRB5"/>
    <mergeCell ref="DPS5:DPU5"/>
    <mergeCell ref="DPV5:DPX5"/>
    <mergeCell ref="DPY5:DQA5"/>
    <mergeCell ref="DQB5:DQD5"/>
    <mergeCell ref="DQE5:DQG5"/>
    <mergeCell ref="DQH5:DQJ5"/>
    <mergeCell ref="DPA5:DPC5"/>
    <mergeCell ref="DPD5:DPF5"/>
    <mergeCell ref="DPG5:DPI5"/>
    <mergeCell ref="DPJ5:DPL5"/>
    <mergeCell ref="DPM5:DPO5"/>
    <mergeCell ref="DPP5:DPR5"/>
    <mergeCell ref="DOI5:DOK5"/>
    <mergeCell ref="DOL5:DON5"/>
    <mergeCell ref="DOO5:DOQ5"/>
    <mergeCell ref="DOR5:DOT5"/>
    <mergeCell ref="DOU5:DOW5"/>
    <mergeCell ref="DOX5:DOZ5"/>
    <mergeCell ref="DNQ5:DNS5"/>
    <mergeCell ref="DNT5:DNV5"/>
    <mergeCell ref="DNW5:DNY5"/>
    <mergeCell ref="DNZ5:DOB5"/>
    <mergeCell ref="DOC5:DOE5"/>
    <mergeCell ref="DOF5:DOH5"/>
    <mergeCell ref="DMY5:DNA5"/>
    <mergeCell ref="DNB5:DND5"/>
    <mergeCell ref="DNE5:DNG5"/>
    <mergeCell ref="DNH5:DNJ5"/>
    <mergeCell ref="DNK5:DNM5"/>
    <mergeCell ref="DNN5:DNP5"/>
    <mergeCell ref="DUO5:DUQ5"/>
    <mergeCell ref="DUR5:DUT5"/>
    <mergeCell ref="DUU5:DUW5"/>
    <mergeCell ref="DUX5:DUZ5"/>
    <mergeCell ref="DVA5:DVC5"/>
    <mergeCell ref="DVD5:DVF5"/>
    <mergeCell ref="DTW5:DTY5"/>
    <mergeCell ref="DTZ5:DUB5"/>
    <mergeCell ref="DUC5:DUE5"/>
    <mergeCell ref="DUF5:DUH5"/>
    <mergeCell ref="DUI5:DUK5"/>
    <mergeCell ref="DUL5:DUN5"/>
    <mergeCell ref="DTE5:DTG5"/>
    <mergeCell ref="DTH5:DTJ5"/>
    <mergeCell ref="DTK5:DTM5"/>
    <mergeCell ref="DTN5:DTP5"/>
    <mergeCell ref="DTQ5:DTS5"/>
    <mergeCell ref="DTT5:DTV5"/>
    <mergeCell ref="DSM5:DSO5"/>
    <mergeCell ref="DSP5:DSR5"/>
    <mergeCell ref="DSS5:DSU5"/>
    <mergeCell ref="DSV5:DSX5"/>
    <mergeCell ref="DSY5:DTA5"/>
    <mergeCell ref="DTB5:DTD5"/>
    <mergeCell ref="DRU5:DRW5"/>
    <mergeCell ref="DRX5:DRZ5"/>
    <mergeCell ref="DSA5:DSC5"/>
    <mergeCell ref="DSD5:DSF5"/>
    <mergeCell ref="DSG5:DSI5"/>
    <mergeCell ref="DSJ5:DSL5"/>
    <mergeCell ref="DRC5:DRE5"/>
    <mergeCell ref="DRF5:DRH5"/>
    <mergeCell ref="DRI5:DRK5"/>
    <mergeCell ref="DRL5:DRN5"/>
    <mergeCell ref="DRO5:DRQ5"/>
    <mergeCell ref="DRR5:DRT5"/>
    <mergeCell ref="DYS5:DYU5"/>
    <mergeCell ref="DYV5:DYX5"/>
    <mergeCell ref="DYY5:DZA5"/>
    <mergeCell ref="DZB5:DZD5"/>
    <mergeCell ref="DZE5:DZG5"/>
    <mergeCell ref="DZH5:DZJ5"/>
    <mergeCell ref="DYA5:DYC5"/>
    <mergeCell ref="DYD5:DYF5"/>
    <mergeCell ref="DYG5:DYI5"/>
    <mergeCell ref="DYJ5:DYL5"/>
    <mergeCell ref="DYM5:DYO5"/>
    <mergeCell ref="DYP5:DYR5"/>
    <mergeCell ref="DXI5:DXK5"/>
    <mergeCell ref="DXL5:DXN5"/>
    <mergeCell ref="DXO5:DXQ5"/>
    <mergeCell ref="DXR5:DXT5"/>
    <mergeCell ref="DXU5:DXW5"/>
    <mergeCell ref="DXX5:DXZ5"/>
    <mergeCell ref="DWQ5:DWS5"/>
    <mergeCell ref="DWT5:DWV5"/>
    <mergeCell ref="DWW5:DWY5"/>
    <mergeCell ref="DWZ5:DXB5"/>
    <mergeCell ref="DXC5:DXE5"/>
    <mergeCell ref="DXF5:DXH5"/>
    <mergeCell ref="DVY5:DWA5"/>
    <mergeCell ref="DWB5:DWD5"/>
    <mergeCell ref="DWE5:DWG5"/>
    <mergeCell ref="DWH5:DWJ5"/>
    <mergeCell ref="DWK5:DWM5"/>
    <mergeCell ref="DWN5:DWP5"/>
    <mergeCell ref="DVG5:DVI5"/>
    <mergeCell ref="DVJ5:DVL5"/>
    <mergeCell ref="DVM5:DVO5"/>
    <mergeCell ref="DVP5:DVR5"/>
    <mergeCell ref="DVS5:DVU5"/>
    <mergeCell ref="DVV5:DVX5"/>
    <mergeCell ref="ECW5:ECY5"/>
    <mergeCell ref="ECZ5:EDB5"/>
    <mergeCell ref="EDC5:EDE5"/>
    <mergeCell ref="EDF5:EDH5"/>
    <mergeCell ref="EDI5:EDK5"/>
    <mergeCell ref="EDL5:EDN5"/>
    <mergeCell ref="ECE5:ECG5"/>
    <mergeCell ref="ECH5:ECJ5"/>
    <mergeCell ref="ECK5:ECM5"/>
    <mergeCell ref="ECN5:ECP5"/>
    <mergeCell ref="ECQ5:ECS5"/>
    <mergeCell ref="ECT5:ECV5"/>
    <mergeCell ref="EBM5:EBO5"/>
    <mergeCell ref="EBP5:EBR5"/>
    <mergeCell ref="EBS5:EBU5"/>
    <mergeCell ref="EBV5:EBX5"/>
    <mergeCell ref="EBY5:ECA5"/>
    <mergeCell ref="ECB5:ECD5"/>
    <mergeCell ref="EAU5:EAW5"/>
    <mergeCell ref="EAX5:EAZ5"/>
    <mergeCell ref="EBA5:EBC5"/>
    <mergeCell ref="EBD5:EBF5"/>
    <mergeCell ref="EBG5:EBI5"/>
    <mergeCell ref="EBJ5:EBL5"/>
    <mergeCell ref="EAC5:EAE5"/>
    <mergeCell ref="EAF5:EAH5"/>
    <mergeCell ref="EAI5:EAK5"/>
    <mergeCell ref="EAL5:EAN5"/>
    <mergeCell ref="EAO5:EAQ5"/>
    <mergeCell ref="EAR5:EAT5"/>
    <mergeCell ref="DZK5:DZM5"/>
    <mergeCell ref="DZN5:DZP5"/>
    <mergeCell ref="DZQ5:DZS5"/>
    <mergeCell ref="DZT5:DZV5"/>
    <mergeCell ref="DZW5:DZY5"/>
    <mergeCell ref="DZZ5:EAB5"/>
    <mergeCell ref="EHA5:EHC5"/>
    <mergeCell ref="EHD5:EHF5"/>
    <mergeCell ref="EHG5:EHI5"/>
    <mergeCell ref="EHJ5:EHL5"/>
    <mergeCell ref="EHM5:EHO5"/>
    <mergeCell ref="EHP5:EHR5"/>
    <mergeCell ref="EGI5:EGK5"/>
    <mergeCell ref="EGL5:EGN5"/>
    <mergeCell ref="EGO5:EGQ5"/>
    <mergeCell ref="EGR5:EGT5"/>
    <mergeCell ref="EGU5:EGW5"/>
    <mergeCell ref="EGX5:EGZ5"/>
    <mergeCell ref="EFQ5:EFS5"/>
    <mergeCell ref="EFT5:EFV5"/>
    <mergeCell ref="EFW5:EFY5"/>
    <mergeCell ref="EFZ5:EGB5"/>
    <mergeCell ref="EGC5:EGE5"/>
    <mergeCell ref="EGF5:EGH5"/>
    <mergeCell ref="EEY5:EFA5"/>
    <mergeCell ref="EFB5:EFD5"/>
    <mergeCell ref="EFE5:EFG5"/>
    <mergeCell ref="EFH5:EFJ5"/>
    <mergeCell ref="EFK5:EFM5"/>
    <mergeCell ref="EFN5:EFP5"/>
    <mergeCell ref="EEG5:EEI5"/>
    <mergeCell ref="EEJ5:EEL5"/>
    <mergeCell ref="EEM5:EEO5"/>
    <mergeCell ref="EEP5:EER5"/>
    <mergeCell ref="EES5:EEU5"/>
    <mergeCell ref="EEV5:EEX5"/>
    <mergeCell ref="EDO5:EDQ5"/>
    <mergeCell ref="EDR5:EDT5"/>
    <mergeCell ref="EDU5:EDW5"/>
    <mergeCell ref="EDX5:EDZ5"/>
    <mergeCell ref="EEA5:EEC5"/>
    <mergeCell ref="EED5:EEF5"/>
    <mergeCell ref="ELE5:ELG5"/>
    <mergeCell ref="ELH5:ELJ5"/>
    <mergeCell ref="ELK5:ELM5"/>
    <mergeCell ref="ELN5:ELP5"/>
    <mergeCell ref="ELQ5:ELS5"/>
    <mergeCell ref="ELT5:ELV5"/>
    <mergeCell ref="EKM5:EKO5"/>
    <mergeCell ref="EKP5:EKR5"/>
    <mergeCell ref="EKS5:EKU5"/>
    <mergeCell ref="EKV5:EKX5"/>
    <mergeCell ref="EKY5:ELA5"/>
    <mergeCell ref="ELB5:ELD5"/>
    <mergeCell ref="EJU5:EJW5"/>
    <mergeCell ref="EJX5:EJZ5"/>
    <mergeCell ref="EKA5:EKC5"/>
    <mergeCell ref="EKD5:EKF5"/>
    <mergeCell ref="EKG5:EKI5"/>
    <mergeCell ref="EKJ5:EKL5"/>
    <mergeCell ref="EJC5:EJE5"/>
    <mergeCell ref="EJF5:EJH5"/>
    <mergeCell ref="EJI5:EJK5"/>
    <mergeCell ref="EJL5:EJN5"/>
    <mergeCell ref="EJO5:EJQ5"/>
    <mergeCell ref="EJR5:EJT5"/>
    <mergeCell ref="EIK5:EIM5"/>
    <mergeCell ref="EIN5:EIP5"/>
    <mergeCell ref="EIQ5:EIS5"/>
    <mergeCell ref="EIT5:EIV5"/>
    <mergeCell ref="EIW5:EIY5"/>
    <mergeCell ref="EIZ5:EJB5"/>
    <mergeCell ref="EHS5:EHU5"/>
    <mergeCell ref="EHV5:EHX5"/>
    <mergeCell ref="EHY5:EIA5"/>
    <mergeCell ref="EIB5:EID5"/>
    <mergeCell ref="EIE5:EIG5"/>
    <mergeCell ref="EIH5:EIJ5"/>
    <mergeCell ref="EPI5:EPK5"/>
    <mergeCell ref="EPL5:EPN5"/>
    <mergeCell ref="EPO5:EPQ5"/>
    <mergeCell ref="EPR5:EPT5"/>
    <mergeCell ref="EPU5:EPW5"/>
    <mergeCell ref="EPX5:EPZ5"/>
    <mergeCell ref="EOQ5:EOS5"/>
    <mergeCell ref="EOT5:EOV5"/>
    <mergeCell ref="EOW5:EOY5"/>
    <mergeCell ref="EOZ5:EPB5"/>
    <mergeCell ref="EPC5:EPE5"/>
    <mergeCell ref="EPF5:EPH5"/>
    <mergeCell ref="ENY5:EOA5"/>
    <mergeCell ref="EOB5:EOD5"/>
    <mergeCell ref="EOE5:EOG5"/>
    <mergeCell ref="EOH5:EOJ5"/>
    <mergeCell ref="EOK5:EOM5"/>
    <mergeCell ref="EON5:EOP5"/>
    <mergeCell ref="ENG5:ENI5"/>
    <mergeCell ref="ENJ5:ENL5"/>
    <mergeCell ref="ENM5:ENO5"/>
    <mergeCell ref="ENP5:ENR5"/>
    <mergeCell ref="ENS5:ENU5"/>
    <mergeCell ref="ENV5:ENX5"/>
    <mergeCell ref="EMO5:EMQ5"/>
    <mergeCell ref="EMR5:EMT5"/>
    <mergeCell ref="EMU5:EMW5"/>
    <mergeCell ref="EMX5:EMZ5"/>
    <mergeCell ref="ENA5:ENC5"/>
    <mergeCell ref="END5:ENF5"/>
    <mergeCell ref="ELW5:ELY5"/>
    <mergeCell ref="ELZ5:EMB5"/>
    <mergeCell ref="EMC5:EME5"/>
    <mergeCell ref="EMF5:EMH5"/>
    <mergeCell ref="EMI5:EMK5"/>
    <mergeCell ref="EML5:EMN5"/>
    <mergeCell ref="ETM5:ETO5"/>
    <mergeCell ref="ETP5:ETR5"/>
    <mergeCell ref="ETS5:ETU5"/>
    <mergeCell ref="ETV5:ETX5"/>
    <mergeCell ref="ETY5:EUA5"/>
    <mergeCell ref="EUB5:EUD5"/>
    <mergeCell ref="ESU5:ESW5"/>
    <mergeCell ref="ESX5:ESZ5"/>
    <mergeCell ref="ETA5:ETC5"/>
    <mergeCell ref="ETD5:ETF5"/>
    <mergeCell ref="ETG5:ETI5"/>
    <mergeCell ref="ETJ5:ETL5"/>
    <mergeCell ref="ESC5:ESE5"/>
    <mergeCell ref="ESF5:ESH5"/>
    <mergeCell ref="ESI5:ESK5"/>
    <mergeCell ref="ESL5:ESN5"/>
    <mergeCell ref="ESO5:ESQ5"/>
    <mergeCell ref="ESR5:EST5"/>
    <mergeCell ref="ERK5:ERM5"/>
    <mergeCell ref="ERN5:ERP5"/>
    <mergeCell ref="ERQ5:ERS5"/>
    <mergeCell ref="ERT5:ERV5"/>
    <mergeCell ref="ERW5:ERY5"/>
    <mergeCell ref="ERZ5:ESB5"/>
    <mergeCell ref="EQS5:EQU5"/>
    <mergeCell ref="EQV5:EQX5"/>
    <mergeCell ref="EQY5:ERA5"/>
    <mergeCell ref="ERB5:ERD5"/>
    <mergeCell ref="ERE5:ERG5"/>
    <mergeCell ref="ERH5:ERJ5"/>
    <mergeCell ref="EQA5:EQC5"/>
    <mergeCell ref="EQD5:EQF5"/>
    <mergeCell ref="EQG5:EQI5"/>
    <mergeCell ref="EQJ5:EQL5"/>
    <mergeCell ref="EQM5:EQO5"/>
    <mergeCell ref="EQP5:EQR5"/>
    <mergeCell ref="EXQ5:EXS5"/>
    <mergeCell ref="EXT5:EXV5"/>
    <mergeCell ref="EXW5:EXY5"/>
    <mergeCell ref="EXZ5:EYB5"/>
    <mergeCell ref="EYC5:EYE5"/>
    <mergeCell ref="EYF5:EYH5"/>
    <mergeCell ref="EWY5:EXA5"/>
    <mergeCell ref="EXB5:EXD5"/>
    <mergeCell ref="EXE5:EXG5"/>
    <mergeCell ref="EXH5:EXJ5"/>
    <mergeCell ref="EXK5:EXM5"/>
    <mergeCell ref="EXN5:EXP5"/>
    <mergeCell ref="EWG5:EWI5"/>
    <mergeCell ref="EWJ5:EWL5"/>
    <mergeCell ref="EWM5:EWO5"/>
    <mergeCell ref="EWP5:EWR5"/>
    <mergeCell ref="EWS5:EWU5"/>
    <mergeCell ref="EWV5:EWX5"/>
    <mergeCell ref="EVO5:EVQ5"/>
    <mergeCell ref="EVR5:EVT5"/>
    <mergeCell ref="EVU5:EVW5"/>
    <mergeCell ref="EVX5:EVZ5"/>
    <mergeCell ref="EWA5:EWC5"/>
    <mergeCell ref="EWD5:EWF5"/>
    <mergeCell ref="EUW5:EUY5"/>
    <mergeCell ref="EUZ5:EVB5"/>
    <mergeCell ref="EVC5:EVE5"/>
    <mergeCell ref="EVF5:EVH5"/>
    <mergeCell ref="EVI5:EVK5"/>
    <mergeCell ref="EVL5:EVN5"/>
    <mergeCell ref="EUE5:EUG5"/>
    <mergeCell ref="EUH5:EUJ5"/>
    <mergeCell ref="EUK5:EUM5"/>
    <mergeCell ref="EUN5:EUP5"/>
    <mergeCell ref="EUQ5:EUS5"/>
    <mergeCell ref="EUT5:EUV5"/>
    <mergeCell ref="FBU5:FBW5"/>
    <mergeCell ref="FBX5:FBZ5"/>
    <mergeCell ref="FCA5:FCC5"/>
    <mergeCell ref="FCD5:FCF5"/>
    <mergeCell ref="FCG5:FCI5"/>
    <mergeCell ref="FCJ5:FCL5"/>
    <mergeCell ref="FBC5:FBE5"/>
    <mergeCell ref="FBF5:FBH5"/>
    <mergeCell ref="FBI5:FBK5"/>
    <mergeCell ref="FBL5:FBN5"/>
    <mergeCell ref="FBO5:FBQ5"/>
    <mergeCell ref="FBR5:FBT5"/>
    <mergeCell ref="FAK5:FAM5"/>
    <mergeCell ref="FAN5:FAP5"/>
    <mergeCell ref="FAQ5:FAS5"/>
    <mergeCell ref="FAT5:FAV5"/>
    <mergeCell ref="FAW5:FAY5"/>
    <mergeCell ref="FAZ5:FBB5"/>
    <mergeCell ref="EZS5:EZU5"/>
    <mergeCell ref="EZV5:EZX5"/>
    <mergeCell ref="EZY5:FAA5"/>
    <mergeCell ref="FAB5:FAD5"/>
    <mergeCell ref="FAE5:FAG5"/>
    <mergeCell ref="FAH5:FAJ5"/>
    <mergeCell ref="EZA5:EZC5"/>
    <mergeCell ref="EZD5:EZF5"/>
    <mergeCell ref="EZG5:EZI5"/>
    <mergeCell ref="EZJ5:EZL5"/>
    <mergeCell ref="EZM5:EZO5"/>
    <mergeCell ref="EZP5:EZR5"/>
    <mergeCell ref="EYI5:EYK5"/>
    <mergeCell ref="EYL5:EYN5"/>
    <mergeCell ref="EYO5:EYQ5"/>
    <mergeCell ref="EYR5:EYT5"/>
    <mergeCell ref="EYU5:EYW5"/>
    <mergeCell ref="EYX5:EYZ5"/>
    <mergeCell ref="FFY5:FGA5"/>
    <mergeCell ref="FGB5:FGD5"/>
    <mergeCell ref="FGE5:FGG5"/>
    <mergeCell ref="FGH5:FGJ5"/>
    <mergeCell ref="FGK5:FGM5"/>
    <mergeCell ref="FGN5:FGP5"/>
    <mergeCell ref="FFG5:FFI5"/>
    <mergeCell ref="FFJ5:FFL5"/>
    <mergeCell ref="FFM5:FFO5"/>
    <mergeCell ref="FFP5:FFR5"/>
    <mergeCell ref="FFS5:FFU5"/>
    <mergeCell ref="FFV5:FFX5"/>
    <mergeCell ref="FEO5:FEQ5"/>
    <mergeCell ref="FER5:FET5"/>
    <mergeCell ref="FEU5:FEW5"/>
    <mergeCell ref="FEX5:FEZ5"/>
    <mergeCell ref="FFA5:FFC5"/>
    <mergeCell ref="FFD5:FFF5"/>
    <mergeCell ref="FDW5:FDY5"/>
    <mergeCell ref="FDZ5:FEB5"/>
    <mergeCell ref="FEC5:FEE5"/>
    <mergeCell ref="FEF5:FEH5"/>
    <mergeCell ref="FEI5:FEK5"/>
    <mergeCell ref="FEL5:FEN5"/>
    <mergeCell ref="FDE5:FDG5"/>
    <mergeCell ref="FDH5:FDJ5"/>
    <mergeCell ref="FDK5:FDM5"/>
    <mergeCell ref="FDN5:FDP5"/>
    <mergeCell ref="FDQ5:FDS5"/>
    <mergeCell ref="FDT5:FDV5"/>
    <mergeCell ref="FCM5:FCO5"/>
    <mergeCell ref="FCP5:FCR5"/>
    <mergeCell ref="FCS5:FCU5"/>
    <mergeCell ref="FCV5:FCX5"/>
    <mergeCell ref="FCY5:FDA5"/>
    <mergeCell ref="FDB5:FDD5"/>
    <mergeCell ref="FKC5:FKE5"/>
    <mergeCell ref="FKF5:FKH5"/>
    <mergeCell ref="FKI5:FKK5"/>
    <mergeCell ref="FKL5:FKN5"/>
    <mergeCell ref="FKO5:FKQ5"/>
    <mergeCell ref="FKR5:FKT5"/>
    <mergeCell ref="FJK5:FJM5"/>
    <mergeCell ref="FJN5:FJP5"/>
    <mergeCell ref="FJQ5:FJS5"/>
    <mergeCell ref="FJT5:FJV5"/>
    <mergeCell ref="FJW5:FJY5"/>
    <mergeCell ref="FJZ5:FKB5"/>
    <mergeCell ref="FIS5:FIU5"/>
    <mergeCell ref="FIV5:FIX5"/>
    <mergeCell ref="FIY5:FJA5"/>
    <mergeCell ref="FJB5:FJD5"/>
    <mergeCell ref="FJE5:FJG5"/>
    <mergeCell ref="FJH5:FJJ5"/>
    <mergeCell ref="FIA5:FIC5"/>
    <mergeCell ref="FID5:FIF5"/>
    <mergeCell ref="FIG5:FII5"/>
    <mergeCell ref="FIJ5:FIL5"/>
    <mergeCell ref="FIM5:FIO5"/>
    <mergeCell ref="FIP5:FIR5"/>
    <mergeCell ref="FHI5:FHK5"/>
    <mergeCell ref="FHL5:FHN5"/>
    <mergeCell ref="FHO5:FHQ5"/>
    <mergeCell ref="FHR5:FHT5"/>
    <mergeCell ref="FHU5:FHW5"/>
    <mergeCell ref="FHX5:FHZ5"/>
    <mergeCell ref="FGQ5:FGS5"/>
    <mergeCell ref="FGT5:FGV5"/>
    <mergeCell ref="FGW5:FGY5"/>
    <mergeCell ref="FGZ5:FHB5"/>
    <mergeCell ref="FHC5:FHE5"/>
    <mergeCell ref="FHF5:FHH5"/>
    <mergeCell ref="FOG5:FOI5"/>
    <mergeCell ref="FOJ5:FOL5"/>
    <mergeCell ref="FOM5:FOO5"/>
    <mergeCell ref="FOP5:FOR5"/>
    <mergeCell ref="FOS5:FOU5"/>
    <mergeCell ref="FOV5:FOX5"/>
    <mergeCell ref="FNO5:FNQ5"/>
    <mergeCell ref="FNR5:FNT5"/>
    <mergeCell ref="FNU5:FNW5"/>
    <mergeCell ref="FNX5:FNZ5"/>
    <mergeCell ref="FOA5:FOC5"/>
    <mergeCell ref="FOD5:FOF5"/>
    <mergeCell ref="FMW5:FMY5"/>
    <mergeCell ref="FMZ5:FNB5"/>
    <mergeCell ref="FNC5:FNE5"/>
    <mergeCell ref="FNF5:FNH5"/>
    <mergeCell ref="FNI5:FNK5"/>
    <mergeCell ref="FNL5:FNN5"/>
    <mergeCell ref="FME5:FMG5"/>
    <mergeCell ref="FMH5:FMJ5"/>
    <mergeCell ref="FMK5:FMM5"/>
    <mergeCell ref="FMN5:FMP5"/>
    <mergeCell ref="FMQ5:FMS5"/>
    <mergeCell ref="FMT5:FMV5"/>
    <mergeCell ref="FLM5:FLO5"/>
    <mergeCell ref="FLP5:FLR5"/>
    <mergeCell ref="FLS5:FLU5"/>
    <mergeCell ref="FLV5:FLX5"/>
    <mergeCell ref="FLY5:FMA5"/>
    <mergeCell ref="FMB5:FMD5"/>
    <mergeCell ref="FKU5:FKW5"/>
    <mergeCell ref="FKX5:FKZ5"/>
    <mergeCell ref="FLA5:FLC5"/>
    <mergeCell ref="FLD5:FLF5"/>
    <mergeCell ref="FLG5:FLI5"/>
    <mergeCell ref="FLJ5:FLL5"/>
    <mergeCell ref="FSK5:FSM5"/>
    <mergeCell ref="FSN5:FSP5"/>
    <mergeCell ref="FSQ5:FSS5"/>
    <mergeCell ref="FST5:FSV5"/>
    <mergeCell ref="FSW5:FSY5"/>
    <mergeCell ref="FSZ5:FTB5"/>
    <mergeCell ref="FRS5:FRU5"/>
    <mergeCell ref="FRV5:FRX5"/>
    <mergeCell ref="FRY5:FSA5"/>
    <mergeCell ref="FSB5:FSD5"/>
    <mergeCell ref="FSE5:FSG5"/>
    <mergeCell ref="FSH5:FSJ5"/>
    <mergeCell ref="FRA5:FRC5"/>
    <mergeCell ref="FRD5:FRF5"/>
    <mergeCell ref="FRG5:FRI5"/>
    <mergeCell ref="FRJ5:FRL5"/>
    <mergeCell ref="FRM5:FRO5"/>
    <mergeCell ref="FRP5:FRR5"/>
    <mergeCell ref="FQI5:FQK5"/>
    <mergeCell ref="FQL5:FQN5"/>
    <mergeCell ref="FQO5:FQQ5"/>
    <mergeCell ref="FQR5:FQT5"/>
    <mergeCell ref="FQU5:FQW5"/>
    <mergeCell ref="FQX5:FQZ5"/>
    <mergeCell ref="FPQ5:FPS5"/>
    <mergeCell ref="FPT5:FPV5"/>
    <mergeCell ref="FPW5:FPY5"/>
    <mergeCell ref="FPZ5:FQB5"/>
    <mergeCell ref="FQC5:FQE5"/>
    <mergeCell ref="FQF5:FQH5"/>
    <mergeCell ref="FOY5:FPA5"/>
    <mergeCell ref="FPB5:FPD5"/>
    <mergeCell ref="FPE5:FPG5"/>
    <mergeCell ref="FPH5:FPJ5"/>
    <mergeCell ref="FPK5:FPM5"/>
    <mergeCell ref="FPN5:FPP5"/>
    <mergeCell ref="FWO5:FWQ5"/>
    <mergeCell ref="FWR5:FWT5"/>
    <mergeCell ref="FWU5:FWW5"/>
    <mergeCell ref="FWX5:FWZ5"/>
    <mergeCell ref="FXA5:FXC5"/>
    <mergeCell ref="FXD5:FXF5"/>
    <mergeCell ref="FVW5:FVY5"/>
    <mergeCell ref="FVZ5:FWB5"/>
    <mergeCell ref="FWC5:FWE5"/>
    <mergeCell ref="FWF5:FWH5"/>
    <mergeCell ref="FWI5:FWK5"/>
    <mergeCell ref="FWL5:FWN5"/>
    <mergeCell ref="FVE5:FVG5"/>
    <mergeCell ref="FVH5:FVJ5"/>
    <mergeCell ref="FVK5:FVM5"/>
    <mergeCell ref="FVN5:FVP5"/>
    <mergeCell ref="FVQ5:FVS5"/>
    <mergeCell ref="FVT5:FVV5"/>
    <mergeCell ref="FUM5:FUO5"/>
    <mergeCell ref="FUP5:FUR5"/>
    <mergeCell ref="FUS5:FUU5"/>
    <mergeCell ref="FUV5:FUX5"/>
    <mergeCell ref="FUY5:FVA5"/>
    <mergeCell ref="FVB5:FVD5"/>
    <mergeCell ref="FTU5:FTW5"/>
    <mergeCell ref="FTX5:FTZ5"/>
    <mergeCell ref="FUA5:FUC5"/>
    <mergeCell ref="FUD5:FUF5"/>
    <mergeCell ref="FUG5:FUI5"/>
    <mergeCell ref="FUJ5:FUL5"/>
    <mergeCell ref="FTC5:FTE5"/>
    <mergeCell ref="FTF5:FTH5"/>
    <mergeCell ref="FTI5:FTK5"/>
    <mergeCell ref="FTL5:FTN5"/>
    <mergeCell ref="FTO5:FTQ5"/>
    <mergeCell ref="FTR5:FTT5"/>
    <mergeCell ref="GAS5:GAU5"/>
    <mergeCell ref="GAV5:GAX5"/>
    <mergeCell ref="GAY5:GBA5"/>
    <mergeCell ref="GBB5:GBD5"/>
    <mergeCell ref="GBE5:GBG5"/>
    <mergeCell ref="GBH5:GBJ5"/>
    <mergeCell ref="GAA5:GAC5"/>
    <mergeCell ref="GAD5:GAF5"/>
    <mergeCell ref="GAG5:GAI5"/>
    <mergeCell ref="GAJ5:GAL5"/>
    <mergeCell ref="GAM5:GAO5"/>
    <mergeCell ref="GAP5:GAR5"/>
    <mergeCell ref="FZI5:FZK5"/>
    <mergeCell ref="FZL5:FZN5"/>
    <mergeCell ref="FZO5:FZQ5"/>
    <mergeCell ref="FZR5:FZT5"/>
    <mergeCell ref="FZU5:FZW5"/>
    <mergeCell ref="FZX5:FZZ5"/>
    <mergeCell ref="FYQ5:FYS5"/>
    <mergeCell ref="FYT5:FYV5"/>
    <mergeCell ref="FYW5:FYY5"/>
    <mergeCell ref="FYZ5:FZB5"/>
    <mergeCell ref="FZC5:FZE5"/>
    <mergeCell ref="FZF5:FZH5"/>
    <mergeCell ref="FXY5:FYA5"/>
    <mergeCell ref="FYB5:FYD5"/>
    <mergeCell ref="FYE5:FYG5"/>
    <mergeCell ref="FYH5:FYJ5"/>
    <mergeCell ref="FYK5:FYM5"/>
    <mergeCell ref="FYN5:FYP5"/>
    <mergeCell ref="FXG5:FXI5"/>
    <mergeCell ref="FXJ5:FXL5"/>
    <mergeCell ref="FXM5:FXO5"/>
    <mergeCell ref="FXP5:FXR5"/>
    <mergeCell ref="FXS5:FXU5"/>
    <mergeCell ref="FXV5:FXX5"/>
    <mergeCell ref="GEW5:GEY5"/>
    <mergeCell ref="GEZ5:GFB5"/>
    <mergeCell ref="GFC5:GFE5"/>
    <mergeCell ref="GFF5:GFH5"/>
    <mergeCell ref="GFI5:GFK5"/>
    <mergeCell ref="GFL5:GFN5"/>
    <mergeCell ref="GEE5:GEG5"/>
    <mergeCell ref="GEH5:GEJ5"/>
    <mergeCell ref="GEK5:GEM5"/>
    <mergeCell ref="GEN5:GEP5"/>
    <mergeCell ref="GEQ5:GES5"/>
    <mergeCell ref="GET5:GEV5"/>
    <mergeCell ref="GDM5:GDO5"/>
    <mergeCell ref="GDP5:GDR5"/>
    <mergeCell ref="GDS5:GDU5"/>
    <mergeCell ref="GDV5:GDX5"/>
    <mergeCell ref="GDY5:GEA5"/>
    <mergeCell ref="GEB5:GED5"/>
    <mergeCell ref="GCU5:GCW5"/>
    <mergeCell ref="GCX5:GCZ5"/>
    <mergeCell ref="GDA5:GDC5"/>
    <mergeCell ref="GDD5:GDF5"/>
    <mergeCell ref="GDG5:GDI5"/>
    <mergeCell ref="GDJ5:GDL5"/>
    <mergeCell ref="GCC5:GCE5"/>
    <mergeCell ref="GCF5:GCH5"/>
    <mergeCell ref="GCI5:GCK5"/>
    <mergeCell ref="GCL5:GCN5"/>
    <mergeCell ref="GCO5:GCQ5"/>
    <mergeCell ref="GCR5:GCT5"/>
    <mergeCell ref="GBK5:GBM5"/>
    <mergeCell ref="GBN5:GBP5"/>
    <mergeCell ref="GBQ5:GBS5"/>
    <mergeCell ref="GBT5:GBV5"/>
    <mergeCell ref="GBW5:GBY5"/>
    <mergeCell ref="GBZ5:GCB5"/>
    <mergeCell ref="GJA5:GJC5"/>
    <mergeCell ref="GJD5:GJF5"/>
    <mergeCell ref="GJG5:GJI5"/>
    <mergeCell ref="GJJ5:GJL5"/>
    <mergeCell ref="GJM5:GJO5"/>
    <mergeCell ref="GJP5:GJR5"/>
    <mergeCell ref="GII5:GIK5"/>
    <mergeCell ref="GIL5:GIN5"/>
    <mergeCell ref="GIO5:GIQ5"/>
    <mergeCell ref="GIR5:GIT5"/>
    <mergeCell ref="GIU5:GIW5"/>
    <mergeCell ref="GIX5:GIZ5"/>
    <mergeCell ref="GHQ5:GHS5"/>
    <mergeCell ref="GHT5:GHV5"/>
    <mergeCell ref="GHW5:GHY5"/>
    <mergeCell ref="GHZ5:GIB5"/>
    <mergeCell ref="GIC5:GIE5"/>
    <mergeCell ref="GIF5:GIH5"/>
    <mergeCell ref="GGY5:GHA5"/>
    <mergeCell ref="GHB5:GHD5"/>
    <mergeCell ref="GHE5:GHG5"/>
    <mergeCell ref="GHH5:GHJ5"/>
    <mergeCell ref="GHK5:GHM5"/>
    <mergeCell ref="GHN5:GHP5"/>
    <mergeCell ref="GGG5:GGI5"/>
    <mergeCell ref="GGJ5:GGL5"/>
    <mergeCell ref="GGM5:GGO5"/>
    <mergeCell ref="GGP5:GGR5"/>
    <mergeCell ref="GGS5:GGU5"/>
    <mergeCell ref="GGV5:GGX5"/>
    <mergeCell ref="GFO5:GFQ5"/>
    <mergeCell ref="GFR5:GFT5"/>
    <mergeCell ref="GFU5:GFW5"/>
    <mergeCell ref="GFX5:GFZ5"/>
    <mergeCell ref="GGA5:GGC5"/>
    <mergeCell ref="GGD5:GGF5"/>
    <mergeCell ref="GNE5:GNG5"/>
    <mergeCell ref="GNH5:GNJ5"/>
    <mergeCell ref="GNK5:GNM5"/>
    <mergeCell ref="GNN5:GNP5"/>
    <mergeCell ref="GNQ5:GNS5"/>
    <mergeCell ref="GNT5:GNV5"/>
    <mergeCell ref="GMM5:GMO5"/>
    <mergeCell ref="GMP5:GMR5"/>
    <mergeCell ref="GMS5:GMU5"/>
    <mergeCell ref="GMV5:GMX5"/>
    <mergeCell ref="GMY5:GNA5"/>
    <mergeCell ref="GNB5:GND5"/>
    <mergeCell ref="GLU5:GLW5"/>
    <mergeCell ref="GLX5:GLZ5"/>
    <mergeCell ref="GMA5:GMC5"/>
    <mergeCell ref="GMD5:GMF5"/>
    <mergeCell ref="GMG5:GMI5"/>
    <mergeCell ref="GMJ5:GML5"/>
    <mergeCell ref="GLC5:GLE5"/>
    <mergeCell ref="GLF5:GLH5"/>
    <mergeCell ref="GLI5:GLK5"/>
    <mergeCell ref="GLL5:GLN5"/>
    <mergeCell ref="GLO5:GLQ5"/>
    <mergeCell ref="GLR5:GLT5"/>
    <mergeCell ref="GKK5:GKM5"/>
    <mergeCell ref="GKN5:GKP5"/>
    <mergeCell ref="GKQ5:GKS5"/>
    <mergeCell ref="GKT5:GKV5"/>
    <mergeCell ref="GKW5:GKY5"/>
    <mergeCell ref="GKZ5:GLB5"/>
    <mergeCell ref="GJS5:GJU5"/>
    <mergeCell ref="GJV5:GJX5"/>
    <mergeCell ref="GJY5:GKA5"/>
    <mergeCell ref="GKB5:GKD5"/>
    <mergeCell ref="GKE5:GKG5"/>
    <mergeCell ref="GKH5:GKJ5"/>
    <mergeCell ref="GRI5:GRK5"/>
    <mergeCell ref="GRL5:GRN5"/>
    <mergeCell ref="GRO5:GRQ5"/>
    <mergeCell ref="GRR5:GRT5"/>
    <mergeCell ref="GRU5:GRW5"/>
    <mergeCell ref="GRX5:GRZ5"/>
    <mergeCell ref="GQQ5:GQS5"/>
    <mergeCell ref="GQT5:GQV5"/>
    <mergeCell ref="GQW5:GQY5"/>
    <mergeCell ref="GQZ5:GRB5"/>
    <mergeCell ref="GRC5:GRE5"/>
    <mergeCell ref="GRF5:GRH5"/>
    <mergeCell ref="GPY5:GQA5"/>
    <mergeCell ref="GQB5:GQD5"/>
    <mergeCell ref="GQE5:GQG5"/>
    <mergeCell ref="GQH5:GQJ5"/>
    <mergeCell ref="GQK5:GQM5"/>
    <mergeCell ref="GQN5:GQP5"/>
    <mergeCell ref="GPG5:GPI5"/>
    <mergeCell ref="GPJ5:GPL5"/>
    <mergeCell ref="GPM5:GPO5"/>
    <mergeCell ref="GPP5:GPR5"/>
    <mergeCell ref="GPS5:GPU5"/>
    <mergeCell ref="GPV5:GPX5"/>
    <mergeCell ref="GOO5:GOQ5"/>
    <mergeCell ref="GOR5:GOT5"/>
    <mergeCell ref="GOU5:GOW5"/>
    <mergeCell ref="GOX5:GOZ5"/>
    <mergeCell ref="GPA5:GPC5"/>
    <mergeCell ref="GPD5:GPF5"/>
    <mergeCell ref="GNW5:GNY5"/>
    <mergeCell ref="GNZ5:GOB5"/>
    <mergeCell ref="GOC5:GOE5"/>
    <mergeCell ref="GOF5:GOH5"/>
    <mergeCell ref="GOI5:GOK5"/>
    <mergeCell ref="GOL5:GON5"/>
    <mergeCell ref="GVM5:GVO5"/>
    <mergeCell ref="GVP5:GVR5"/>
    <mergeCell ref="GVS5:GVU5"/>
    <mergeCell ref="GVV5:GVX5"/>
    <mergeCell ref="GVY5:GWA5"/>
    <mergeCell ref="GWB5:GWD5"/>
    <mergeCell ref="GUU5:GUW5"/>
    <mergeCell ref="GUX5:GUZ5"/>
    <mergeCell ref="GVA5:GVC5"/>
    <mergeCell ref="GVD5:GVF5"/>
    <mergeCell ref="GVG5:GVI5"/>
    <mergeCell ref="GVJ5:GVL5"/>
    <mergeCell ref="GUC5:GUE5"/>
    <mergeCell ref="GUF5:GUH5"/>
    <mergeCell ref="GUI5:GUK5"/>
    <mergeCell ref="GUL5:GUN5"/>
    <mergeCell ref="GUO5:GUQ5"/>
    <mergeCell ref="GUR5:GUT5"/>
    <mergeCell ref="GTK5:GTM5"/>
    <mergeCell ref="GTN5:GTP5"/>
    <mergeCell ref="GTQ5:GTS5"/>
    <mergeCell ref="GTT5:GTV5"/>
    <mergeCell ref="GTW5:GTY5"/>
    <mergeCell ref="GTZ5:GUB5"/>
    <mergeCell ref="GSS5:GSU5"/>
    <mergeCell ref="GSV5:GSX5"/>
    <mergeCell ref="GSY5:GTA5"/>
    <mergeCell ref="GTB5:GTD5"/>
    <mergeCell ref="GTE5:GTG5"/>
    <mergeCell ref="GTH5:GTJ5"/>
    <mergeCell ref="GSA5:GSC5"/>
    <mergeCell ref="GSD5:GSF5"/>
    <mergeCell ref="GSG5:GSI5"/>
    <mergeCell ref="GSJ5:GSL5"/>
    <mergeCell ref="GSM5:GSO5"/>
    <mergeCell ref="GSP5:GSR5"/>
    <mergeCell ref="GZQ5:GZS5"/>
    <mergeCell ref="GZT5:GZV5"/>
    <mergeCell ref="GZW5:GZY5"/>
    <mergeCell ref="GZZ5:HAB5"/>
    <mergeCell ref="HAC5:HAE5"/>
    <mergeCell ref="HAF5:HAH5"/>
    <mergeCell ref="GYY5:GZA5"/>
    <mergeCell ref="GZB5:GZD5"/>
    <mergeCell ref="GZE5:GZG5"/>
    <mergeCell ref="GZH5:GZJ5"/>
    <mergeCell ref="GZK5:GZM5"/>
    <mergeCell ref="GZN5:GZP5"/>
    <mergeCell ref="GYG5:GYI5"/>
    <mergeCell ref="GYJ5:GYL5"/>
    <mergeCell ref="GYM5:GYO5"/>
    <mergeCell ref="GYP5:GYR5"/>
    <mergeCell ref="GYS5:GYU5"/>
    <mergeCell ref="GYV5:GYX5"/>
    <mergeCell ref="GXO5:GXQ5"/>
    <mergeCell ref="GXR5:GXT5"/>
    <mergeCell ref="GXU5:GXW5"/>
    <mergeCell ref="GXX5:GXZ5"/>
    <mergeCell ref="GYA5:GYC5"/>
    <mergeCell ref="GYD5:GYF5"/>
    <mergeCell ref="GWW5:GWY5"/>
    <mergeCell ref="GWZ5:GXB5"/>
    <mergeCell ref="GXC5:GXE5"/>
    <mergeCell ref="GXF5:GXH5"/>
    <mergeCell ref="GXI5:GXK5"/>
    <mergeCell ref="GXL5:GXN5"/>
    <mergeCell ref="GWE5:GWG5"/>
    <mergeCell ref="GWH5:GWJ5"/>
    <mergeCell ref="GWK5:GWM5"/>
    <mergeCell ref="GWN5:GWP5"/>
    <mergeCell ref="GWQ5:GWS5"/>
    <mergeCell ref="GWT5:GWV5"/>
    <mergeCell ref="HDU5:HDW5"/>
    <mergeCell ref="HDX5:HDZ5"/>
    <mergeCell ref="HEA5:HEC5"/>
    <mergeCell ref="HED5:HEF5"/>
    <mergeCell ref="HEG5:HEI5"/>
    <mergeCell ref="HEJ5:HEL5"/>
    <mergeCell ref="HDC5:HDE5"/>
    <mergeCell ref="HDF5:HDH5"/>
    <mergeCell ref="HDI5:HDK5"/>
    <mergeCell ref="HDL5:HDN5"/>
    <mergeCell ref="HDO5:HDQ5"/>
    <mergeCell ref="HDR5:HDT5"/>
    <mergeCell ref="HCK5:HCM5"/>
    <mergeCell ref="HCN5:HCP5"/>
    <mergeCell ref="HCQ5:HCS5"/>
    <mergeCell ref="HCT5:HCV5"/>
    <mergeCell ref="HCW5:HCY5"/>
    <mergeCell ref="HCZ5:HDB5"/>
    <mergeCell ref="HBS5:HBU5"/>
    <mergeCell ref="HBV5:HBX5"/>
    <mergeCell ref="HBY5:HCA5"/>
    <mergeCell ref="HCB5:HCD5"/>
    <mergeCell ref="HCE5:HCG5"/>
    <mergeCell ref="HCH5:HCJ5"/>
    <mergeCell ref="HBA5:HBC5"/>
    <mergeCell ref="HBD5:HBF5"/>
    <mergeCell ref="HBG5:HBI5"/>
    <mergeCell ref="HBJ5:HBL5"/>
    <mergeCell ref="HBM5:HBO5"/>
    <mergeCell ref="HBP5:HBR5"/>
    <mergeCell ref="HAI5:HAK5"/>
    <mergeCell ref="HAL5:HAN5"/>
    <mergeCell ref="HAO5:HAQ5"/>
    <mergeCell ref="HAR5:HAT5"/>
    <mergeCell ref="HAU5:HAW5"/>
    <mergeCell ref="HAX5:HAZ5"/>
    <mergeCell ref="HHY5:HIA5"/>
    <mergeCell ref="HIB5:HID5"/>
    <mergeCell ref="HIE5:HIG5"/>
    <mergeCell ref="HIH5:HIJ5"/>
    <mergeCell ref="HIK5:HIM5"/>
    <mergeCell ref="HIN5:HIP5"/>
    <mergeCell ref="HHG5:HHI5"/>
    <mergeCell ref="HHJ5:HHL5"/>
    <mergeCell ref="HHM5:HHO5"/>
    <mergeCell ref="HHP5:HHR5"/>
    <mergeCell ref="HHS5:HHU5"/>
    <mergeCell ref="HHV5:HHX5"/>
    <mergeCell ref="HGO5:HGQ5"/>
    <mergeCell ref="HGR5:HGT5"/>
    <mergeCell ref="HGU5:HGW5"/>
    <mergeCell ref="HGX5:HGZ5"/>
    <mergeCell ref="HHA5:HHC5"/>
    <mergeCell ref="HHD5:HHF5"/>
    <mergeCell ref="HFW5:HFY5"/>
    <mergeCell ref="HFZ5:HGB5"/>
    <mergeCell ref="HGC5:HGE5"/>
    <mergeCell ref="HGF5:HGH5"/>
    <mergeCell ref="HGI5:HGK5"/>
    <mergeCell ref="HGL5:HGN5"/>
    <mergeCell ref="HFE5:HFG5"/>
    <mergeCell ref="HFH5:HFJ5"/>
    <mergeCell ref="HFK5:HFM5"/>
    <mergeCell ref="HFN5:HFP5"/>
    <mergeCell ref="HFQ5:HFS5"/>
    <mergeCell ref="HFT5:HFV5"/>
    <mergeCell ref="HEM5:HEO5"/>
    <mergeCell ref="HEP5:HER5"/>
    <mergeCell ref="HES5:HEU5"/>
    <mergeCell ref="HEV5:HEX5"/>
    <mergeCell ref="HEY5:HFA5"/>
    <mergeCell ref="HFB5:HFD5"/>
    <mergeCell ref="HMC5:HME5"/>
    <mergeCell ref="HMF5:HMH5"/>
    <mergeCell ref="HMI5:HMK5"/>
    <mergeCell ref="HML5:HMN5"/>
    <mergeCell ref="HMO5:HMQ5"/>
    <mergeCell ref="HMR5:HMT5"/>
    <mergeCell ref="HLK5:HLM5"/>
    <mergeCell ref="HLN5:HLP5"/>
    <mergeCell ref="HLQ5:HLS5"/>
    <mergeCell ref="HLT5:HLV5"/>
    <mergeCell ref="HLW5:HLY5"/>
    <mergeCell ref="HLZ5:HMB5"/>
    <mergeCell ref="HKS5:HKU5"/>
    <mergeCell ref="HKV5:HKX5"/>
    <mergeCell ref="HKY5:HLA5"/>
    <mergeCell ref="HLB5:HLD5"/>
    <mergeCell ref="HLE5:HLG5"/>
    <mergeCell ref="HLH5:HLJ5"/>
    <mergeCell ref="HKA5:HKC5"/>
    <mergeCell ref="HKD5:HKF5"/>
    <mergeCell ref="HKG5:HKI5"/>
    <mergeCell ref="HKJ5:HKL5"/>
    <mergeCell ref="HKM5:HKO5"/>
    <mergeCell ref="HKP5:HKR5"/>
    <mergeCell ref="HJI5:HJK5"/>
    <mergeCell ref="HJL5:HJN5"/>
    <mergeCell ref="HJO5:HJQ5"/>
    <mergeCell ref="HJR5:HJT5"/>
    <mergeCell ref="HJU5:HJW5"/>
    <mergeCell ref="HJX5:HJZ5"/>
    <mergeCell ref="HIQ5:HIS5"/>
    <mergeCell ref="HIT5:HIV5"/>
    <mergeCell ref="HIW5:HIY5"/>
    <mergeCell ref="HIZ5:HJB5"/>
    <mergeCell ref="HJC5:HJE5"/>
    <mergeCell ref="HJF5:HJH5"/>
    <mergeCell ref="HQG5:HQI5"/>
    <mergeCell ref="HQJ5:HQL5"/>
    <mergeCell ref="HQM5:HQO5"/>
    <mergeCell ref="HQP5:HQR5"/>
    <mergeCell ref="HQS5:HQU5"/>
    <mergeCell ref="HQV5:HQX5"/>
    <mergeCell ref="HPO5:HPQ5"/>
    <mergeCell ref="HPR5:HPT5"/>
    <mergeCell ref="HPU5:HPW5"/>
    <mergeCell ref="HPX5:HPZ5"/>
    <mergeCell ref="HQA5:HQC5"/>
    <mergeCell ref="HQD5:HQF5"/>
    <mergeCell ref="HOW5:HOY5"/>
    <mergeCell ref="HOZ5:HPB5"/>
    <mergeCell ref="HPC5:HPE5"/>
    <mergeCell ref="HPF5:HPH5"/>
    <mergeCell ref="HPI5:HPK5"/>
    <mergeCell ref="HPL5:HPN5"/>
    <mergeCell ref="HOE5:HOG5"/>
    <mergeCell ref="HOH5:HOJ5"/>
    <mergeCell ref="HOK5:HOM5"/>
    <mergeCell ref="HON5:HOP5"/>
    <mergeCell ref="HOQ5:HOS5"/>
    <mergeCell ref="HOT5:HOV5"/>
    <mergeCell ref="HNM5:HNO5"/>
    <mergeCell ref="HNP5:HNR5"/>
    <mergeCell ref="HNS5:HNU5"/>
    <mergeCell ref="HNV5:HNX5"/>
    <mergeCell ref="HNY5:HOA5"/>
    <mergeCell ref="HOB5:HOD5"/>
    <mergeCell ref="HMU5:HMW5"/>
    <mergeCell ref="HMX5:HMZ5"/>
    <mergeCell ref="HNA5:HNC5"/>
    <mergeCell ref="HND5:HNF5"/>
    <mergeCell ref="HNG5:HNI5"/>
    <mergeCell ref="HNJ5:HNL5"/>
    <mergeCell ref="HUK5:HUM5"/>
    <mergeCell ref="HUN5:HUP5"/>
    <mergeCell ref="HUQ5:HUS5"/>
    <mergeCell ref="HUT5:HUV5"/>
    <mergeCell ref="HUW5:HUY5"/>
    <mergeCell ref="HUZ5:HVB5"/>
    <mergeCell ref="HTS5:HTU5"/>
    <mergeCell ref="HTV5:HTX5"/>
    <mergeCell ref="HTY5:HUA5"/>
    <mergeCell ref="HUB5:HUD5"/>
    <mergeCell ref="HUE5:HUG5"/>
    <mergeCell ref="HUH5:HUJ5"/>
    <mergeCell ref="HTA5:HTC5"/>
    <mergeCell ref="HTD5:HTF5"/>
    <mergeCell ref="HTG5:HTI5"/>
    <mergeCell ref="HTJ5:HTL5"/>
    <mergeCell ref="HTM5:HTO5"/>
    <mergeCell ref="HTP5:HTR5"/>
    <mergeCell ref="HSI5:HSK5"/>
    <mergeCell ref="HSL5:HSN5"/>
    <mergeCell ref="HSO5:HSQ5"/>
    <mergeCell ref="HSR5:HST5"/>
    <mergeCell ref="HSU5:HSW5"/>
    <mergeCell ref="HSX5:HSZ5"/>
    <mergeCell ref="HRQ5:HRS5"/>
    <mergeCell ref="HRT5:HRV5"/>
    <mergeCell ref="HRW5:HRY5"/>
    <mergeCell ref="HRZ5:HSB5"/>
    <mergeCell ref="HSC5:HSE5"/>
    <mergeCell ref="HSF5:HSH5"/>
    <mergeCell ref="HQY5:HRA5"/>
    <mergeCell ref="HRB5:HRD5"/>
    <mergeCell ref="HRE5:HRG5"/>
    <mergeCell ref="HRH5:HRJ5"/>
    <mergeCell ref="HRK5:HRM5"/>
    <mergeCell ref="HRN5:HRP5"/>
    <mergeCell ref="HYO5:HYQ5"/>
    <mergeCell ref="HYR5:HYT5"/>
    <mergeCell ref="HYU5:HYW5"/>
    <mergeCell ref="HYX5:HYZ5"/>
    <mergeCell ref="HZA5:HZC5"/>
    <mergeCell ref="HZD5:HZF5"/>
    <mergeCell ref="HXW5:HXY5"/>
    <mergeCell ref="HXZ5:HYB5"/>
    <mergeCell ref="HYC5:HYE5"/>
    <mergeCell ref="HYF5:HYH5"/>
    <mergeCell ref="HYI5:HYK5"/>
    <mergeCell ref="HYL5:HYN5"/>
    <mergeCell ref="HXE5:HXG5"/>
    <mergeCell ref="HXH5:HXJ5"/>
    <mergeCell ref="HXK5:HXM5"/>
    <mergeCell ref="HXN5:HXP5"/>
    <mergeCell ref="HXQ5:HXS5"/>
    <mergeCell ref="HXT5:HXV5"/>
    <mergeCell ref="HWM5:HWO5"/>
    <mergeCell ref="HWP5:HWR5"/>
    <mergeCell ref="HWS5:HWU5"/>
    <mergeCell ref="HWV5:HWX5"/>
    <mergeCell ref="HWY5:HXA5"/>
    <mergeCell ref="HXB5:HXD5"/>
    <mergeCell ref="HVU5:HVW5"/>
    <mergeCell ref="HVX5:HVZ5"/>
    <mergeCell ref="HWA5:HWC5"/>
    <mergeCell ref="HWD5:HWF5"/>
    <mergeCell ref="HWG5:HWI5"/>
    <mergeCell ref="HWJ5:HWL5"/>
    <mergeCell ref="HVC5:HVE5"/>
    <mergeCell ref="HVF5:HVH5"/>
    <mergeCell ref="HVI5:HVK5"/>
    <mergeCell ref="HVL5:HVN5"/>
    <mergeCell ref="HVO5:HVQ5"/>
    <mergeCell ref="HVR5:HVT5"/>
    <mergeCell ref="ICS5:ICU5"/>
    <mergeCell ref="ICV5:ICX5"/>
    <mergeCell ref="ICY5:IDA5"/>
    <mergeCell ref="IDB5:IDD5"/>
    <mergeCell ref="IDE5:IDG5"/>
    <mergeCell ref="IDH5:IDJ5"/>
    <mergeCell ref="ICA5:ICC5"/>
    <mergeCell ref="ICD5:ICF5"/>
    <mergeCell ref="ICG5:ICI5"/>
    <mergeCell ref="ICJ5:ICL5"/>
    <mergeCell ref="ICM5:ICO5"/>
    <mergeCell ref="ICP5:ICR5"/>
    <mergeCell ref="IBI5:IBK5"/>
    <mergeCell ref="IBL5:IBN5"/>
    <mergeCell ref="IBO5:IBQ5"/>
    <mergeCell ref="IBR5:IBT5"/>
    <mergeCell ref="IBU5:IBW5"/>
    <mergeCell ref="IBX5:IBZ5"/>
    <mergeCell ref="IAQ5:IAS5"/>
    <mergeCell ref="IAT5:IAV5"/>
    <mergeCell ref="IAW5:IAY5"/>
    <mergeCell ref="IAZ5:IBB5"/>
    <mergeCell ref="IBC5:IBE5"/>
    <mergeCell ref="IBF5:IBH5"/>
    <mergeCell ref="HZY5:IAA5"/>
    <mergeCell ref="IAB5:IAD5"/>
    <mergeCell ref="IAE5:IAG5"/>
    <mergeCell ref="IAH5:IAJ5"/>
    <mergeCell ref="IAK5:IAM5"/>
    <mergeCell ref="IAN5:IAP5"/>
    <mergeCell ref="HZG5:HZI5"/>
    <mergeCell ref="HZJ5:HZL5"/>
    <mergeCell ref="HZM5:HZO5"/>
    <mergeCell ref="HZP5:HZR5"/>
    <mergeCell ref="HZS5:HZU5"/>
    <mergeCell ref="HZV5:HZX5"/>
    <mergeCell ref="IGW5:IGY5"/>
    <mergeCell ref="IGZ5:IHB5"/>
    <mergeCell ref="IHC5:IHE5"/>
    <mergeCell ref="IHF5:IHH5"/>
    <mergeCell ref="IHI5:IHK5"/>
    <mergeCell ref="IHL5:IHN5"/>
    <mergeCell ref="IGE5:IGG5"/>
    <mergeCell ref="IGH5:IGJ5"/>
    <mergeCell ref="IGK5:IGM5"/>
    <mergeCell ref="IGN5:IGP5"/>
    <mergeCell ref="IGQ5:IGS5"/>
    <mergeCell ref="IGT5:IGV5"/>
    <mergeCell ref="IFM5:IFO5"/>
    <mergeCell ref="IFP5:IFR5"/>
    <mergeCell ref="IFS5:IFU5"/>
    <mergeCell ref="IFV5:IFX5"/>
    <mergeCell ref="IFY5:IGA5"/>
    <mergeCell ref="IGB5:IGD5"/>
    <mergeCell ref="IEU5:IEW5"/>
    <mergeCell ref="IEX5:IEZ5"/>
    <mergeCell ref="IFA5:IFC5"/>
    <mergeCell ref="IFD5:IFF5"/>
    <mergeCell ref="IFG5:IFI5"/>
    <mergeCell ref="IFJ5:IFL5"/>
    <mergeCell ref="IEC5:IEE5"/>
    <mergeCell ref="IEF5:IEH5"/>
    <mergeCell ref="IEI5:IEK5"/>
    <mergeCell ref="IEL5:IEN5"/>
    <mergeCell ref="IEO5:IEQ5"/>
    <mergeCell ref="IER5:IET5"/>
    <mergeCell ref="IDK5:IDM5"/>
    <mergeCell ref="IDN5:IDP5"/>
    <mergeCell ref="IDQ5:IDS5"/>
    <mergeCell ref="IDT5:IDV5"/>
    <mergeCell ref="IDW5:IDY5"/>
    <mergeCell ref="IDZ5:IEB5"/>
    <mergeCell ref="ILA5:ILC5"/>
    <mergeCell ref="ILD5:ILF5"/>
    <mergeCell ref="ILG5:ILI5"/>
    <mergeCell ref="ILJ5:ILL5"/>
    <mergeCell ref="ILM5:ILO5"/>
    <mergeCell ref="ILP5:ILR5"/>
    <mergeCell ref="IKI5:IKK5"/>
    <mergeCell ref="IKL5:IKN5"/>
    <mergeCell ref="IKO5:IKQ5"/>
    <mergeCell ref="IKR5:IKT5"/>
    <mergeCell ref="IKU5:IKW5"/>
    <mergeCell ref="IKX5:IKZ5"/>
    <mergeCell ref="IJQ5:IJS5"/>
    <mergeCell ref="IJT5:IJV5"/>
    <mergeCell ref="IJW5:IJY5"/>
    <mergeCell ref="IJZ5:IKB5"/>
    <mergeCell ref="IKC5:IKE5"/>
    <mergeCell ref="IKF5:IKH5"/>
    <mergeCell ref="IIY5:IJA5"/>
    <mergeCell ref="IJB5:IJD5"/>
    <mergeCell ref="IJE5:IJG5"/>
    <mergeCell ref="IJH5:IJJ5"/>
    <mergeCell ref="IJK5:IJM5"/>
    <mergeCell ref="IJN5:IJP5"/>
    <mergeCell ref="IIG5:III5"/>
    <mergeCell ref="IIJ5:IIL5"/>
    <mergeCell ref="IIM5:IIO5"/>
    <mergeCell ref="IIP5:IIR5"/>
    <mergeCell ref="IIS5:IIU5"/>
    <mergeCell ref="IIV5:IIX5"/>
    <mergeCell ref="IHO5:IHQ5"/>
    <mergeCell ref="IHR5:IHT5"/>
    <mergeCell ref="IHU5:IHW5"/>
    <mergeCell ref="IHX5:IHZ5"/>
    <mergeCell ref="IIA5:IIC5"/>
    <mergeCell ref="IID5:IIF5"/>
    <mergeCell ref="IPE5:IPG5"/>
    <mergeCell ref="IPH5:IPJ5"/>
    <mergeCell ref="IPK5:IPM5"/>
    <mergeCell ref="IPN5:IPP5"/>
    <mergeCell ref="IPQ5:IPS5"/>
    <mergeCell ref="IPT5:IPV5"/>
    <mergeCell ref="IOM5:IOO5"/>
    <mergeCell ref="IOP5:IOR5"/>
    <mergeCell ref="IOS5:IOU5"/>
    <mergeCell ref="IOV5:IOX5"/>
    <mergeCell ref="IOY5:IPA5"/>
    <mergeCell ref="IPB5:IPD5"/>
    <mergeCell ref="INU5:INW5"/>
    <mergeCell ref="INX5:INZ5"/>
    <mergeCell ref="IOA5:IOC5"/>
    <mergeCell ref="IOD5:IOF5"/>
    <mergeCell ref="IOG5:IOI5"/>
    <mergeCell ref="IOJ5:IOL5"/>
    <mergeCell ref="INC5:INE5"/>
    <mergeCell ref="INF5:INH5"/>
    <mergeCell ref="INI5:INK5"/>
    <mergeCell ref="INL5:INN5"/>
    <mergeCell ref="INO5:INQ5"/>
    <mergeCell ref="INR5:INT5"/>
    <mergeCell ref="IMK5:IMM5"/>
    <mergeCell ref="IMN5:IMP5"/>
    <mergeCell ref="IMQ5:IMS5"/>
    <mergeCell ref="IMT5:IMV5"/>
    <mergeCell ref="IMW5:IMY5"/>
    <mergeCell ref="IMZ5:INB5"/>
    <mergeCell ref="ILS5:ILU5"/>
    <mergeCell ref="ILV5:ILX5"/>
    <mergeCell ref="ILY5:IMA5"/>
    <mergeCell ref="IMB5:IMD5"/>
    <mergeCell ref="IME5:IMG5"/>
    <mergeCell ref="IMH5:IMJ5"/>
    <mergeCell ref="ITI5:ITK5"/>
    <mergeCell ref="ITL5:ITN5"/>
    <mergeCell ref="ITO5:ITQ5"/>
    <mergeCell ref="ITR5:ITT5"/>
    <mergeCell ref="ITU5:ITW5"/>
    <mergeCell ref="ITX5:ITZ5"/>
    <mergeCell ref="ISQ5:ISS5"/>
    <mergeCell ref="IST5:ISV5"/>
    <mergeCell ref="ISW5:ISY5"/>
    <mergeCell ref="ISZ5:ITB5"/>
    <mergeCell ref="ITC5:ITE5"/>
    <mergeCell ref="ITF5:ITH5"/>
    <mergeCell ref="IRY5:ISA5"/>
    <mergeCell ref="ISB5:ISD5"/>
    <mergeCell ref="ISE5:ISG5"/>
    <mergeCell ref="ISH5:ISJ5"/>
    <mergeCell ref="ISK5:ISM5"/>
    <mergeCell ref="ISN5:ISP5"/>
    <mergeCell ref="IRG5:IRI5"/>
    <mergeCell ref="IRJ5:IRL5"/>
    <mergeCell ref="IRM5:IRO5"/>
    <mergeCell ref="IRP5:IRR5"/>
    <mergeCell ref="IRS5:IRU5"/>
    <mergeCell ref="IRV5:IRX5"/>
    <mergeCell ref="IQO5:IQQ5"/>
    <mergeCell ref="IQR5:IQT5"/>
    <mergeCell ref="IQU5:IQW5"/>
    <mergeCell ref="IQX5:IQZ5"/>
    <mergeCell ref="IRA5:IRC5"/>
    <mergeCell ref="IRD5:IRF5"/>
    <mergeCell ref="IPW5:IPY5"/>
    <mergeCell ref="IPZ5:IQB5"/>
    <mergeCell ref="IQC5:IQE5"/>
    <mergeCell ref="IQF5:IQH5"/>
    <mergeCell ref="IQI5:IQK5"/>
    <mergeCell ref="IQL5:IQN5"/>
    <mergeCell ref="IXM5:IXO5"/>
    <mergeCell ref="IXP5:IXR5"/>
    <mergeCell ref="IXS5:IXU5"/>
    <mergeCell ref="IXV5:IXX5"/>
    <mergeCell ref="IXY5:IYA5"/>
    <mergeCell ref="IYB5:IYD5"/>
    <mergeCell ref="IWU5:IWW5"/>
    <mergeCell ref="IWX5:IWZ5"/>
    <mergeCell ref="IXA5:IXC5"/>
    <mergeCell ref="IXD5:IXF5"/>
    <mergeCell ref="IXG5:IXI5"/>
    <mergeCell ref="IXJ5:IXL5"/>
    <mergeCell ref="IWC5:IWE5"/>
    <mergeCell ref="IWF5:IWH5"/>
    <mergeCell ref="IWI5:IWK5"/>
    <mergeCell ref="IWL5:IWN5"/>
    <mergeCell ref="IWO5:IWQ5"/>
    <mergeCell ref="IWR5:IWT5"/>
    <mergeCell ref="IVK5:IVM5"/>
    <mergeCell ref="IVN5:IVP5"/>
    <mergeCell ref="IVQ5:IVS5"/>
    <mergeCell ref="IVT5:IVV5"/>
    <mergeCell ref="IVW5:IVY5"/>
    <mergeCell ref="IVZ5:IWB5"/>
    <mergeCell ref="IUS5:IUU5"/>
    <mergeCell ref="IUV5:IUX5"/>
    <mergeCell ref="IUY5:IVA5"/>
    <mergeCell ref="IVB5:IVD5"/>
    <mergeCell ref="IVE5:IVG5"/>
    <mergeCell ref="IVH5:IVJ5"/>
    <mergeCell ref="IUA5:IUC5"/>
    <mergeCell ref="IUD5:IUF5"/>
    <mergeCell ref="IUG5:IUI5"/>
    <mergeCell ref="IUJ5:IUL5"/>
    <mergeCell ref="IUM5:IUO5"/>
    <mergeCell ref="IUP5:IUR5"/>
    <mergeCell ref="JBQ5:JBS5"/>
    <mergeCell ref="JBT5:JBV5"/>
    <mergeCell ref="JBW5:JBY5"/>
    <mergeCell ref="JBZ5:JCB5"/>
    <mergeCell ref="JCC5:JCE5"/>
    <mergeCell ref="JCF5:JCH5"/>
    <mergeCell ref="JAY5:JBA5"/>
    <mergeCell ref="JBB5:JBD5"/>
    <mergeCell ref="JBE5:JBG5"/>
    <mergeCell ref="JBH5:JBJ5"/>
    <mergeCell ref="JBK5:JBM5"/>
    <mergeCell ref="JBN5:JBP5"/>
    <mergeCell ref="JAG5:JAI5"/>
    <mergeCell ref="JAJ5:JAL5"/>
    <mergeCell ref="JAM5:JAO5"/>
    <mergeCell ref="JAP5:JAR5"/>
    <mergeCell ref="JAS5:JAU5"/>
    <mergeCell ref="JAV5:JAX5"/>
    <mergeCell ref="IZO5:IZQ5"/>
    <mergeCell ref="IZR5:IZT5"/>
    <mergeCell ref="IZU5:IZW5"/>
    <mergeCell ref="IZX5:IZZ5"/>
    <mergeCell ref="JAA5:JAC5"/>
    <mergeCell ref="JAD5:JAF5"/>
    <mergeCell ref="IYW5:IYY5"/>
    <mergeCell ref="IYZ5:IZB5"/>
    <mergeCell ref="IZC5:IZE5"/>
    <mergeCell ref="IZF5:IZH5"/>
    <mergeCell ref="IZI5:IZK5"/>
    <mergeCell ref="IZL5:IZN5"/>
    <mergeCell ref="IYE5:IYG5"/>
    <mergeCell ref="IYH5:IYJ5"/>
    <mergeCell ref="IYK5:IYM5"/>
    <mergeCell ref="IYN5:IYP5"/>
    <mergeCell ref="IYQ5:IYS5"/>
    <mergeCell ref="IYT5:IYV5"/>
    <mergeCell ref="JFU5:JFW5"/>
    <mergeCell ref="JFX5:JFZ5"/>
    <mergeCell ref="JGA5:JGC5"/>
    <mergeCell ref="JGD5:JGF5"/>
    <mergeCell ref="JGG5:JGI5"/>
    <mergeCell ref="JGJ5:JGL5"/>
    <mergeCell ref="JFC5:JFE5"/>
    <mergeCell ref="JFF5:JFH5"/>
    <mergeCell ref="JFI5:JFK5"/>
    <mergeCell ref="JFL5:JFN5"/>
    <mergeCell ref="JFO5:JFQ5"/>
    <mergeCell ref="JFR5:JFT5"/>
    <mergeCell ref="JEK5:JEM5"/>
    <mergeCell ref="JEN5:JEP5"/>
    <mergeCell ref="JEQ5:JES5"/>
    <mergeCell ref="JET5:JEV5"/>
    <mergeCell ref="JEW5:JEY5"/>
    <mergeCell ref="JEZ5:JFB5"/>
    <mergeCell ref="JDS5:JDU5"/>
    <mergeCell ref="JDV5:JDX5"/>
    <mergeCell ref="JDY5:JEA5"/>
    <mergeCell ref="JEB5:JED5"/>
    <mergeCell ref="JEE5:JEG5"/>
    <mergeCell ref="JEH5:JEJ5"/>
    <mergeCell ref="JDA5:JDC5"/>
    <mergeCell ref="JDD5:JDF5"/>
    <mergeCell ref="JDG5:JDI5"/>
    <mergeCell ref="JDJ5:JDL5"/>
    <mergeCell ref="JDM5:JDO5"/>
    <mergeCell ref="JDP5:JDR5"/>
    <mergeCell ref="JCI5:JCK5"/>
    <mergeCell ref="JCL5:JCN5"/>
    <mergeCell ref="JCO5:JCQ5"/>
    <mergeCell ref="JCR5:JCT5"/>
    <mergeCell ref="JCU5:JCW5"/>
    <mergeCell ref="JCX5:JCZ5"/>
    <mergeCell ref="JJY5:JKA5"/>
    <mergeCell ref="JKB5:JKD5"/>
    <mergeCell ref="JKE5:JKG5"/>
    <mergeCell ref="JKH5:JKJ5"/>
    <mergeCell ref="JKK5:JKM5"/>
    <mergeCell ref="JKN5:JKP5"/>
    <mergeCell ref="JJG5:JJI5"/>
    <mergeCell ref="JJJ5:JJL5"/>
    <mergeCell ref="JJM5:JJO5"/>
    <mergeCell ref="JJP5:JJR5"/>
    <mergeCell ref="JJS5:JJU5"/>
    <mergeCell ref="JJV5:JJX5"/>
    <mergeCell ref="JIO5:JIQ5"/>
    <mergeCell ref="JIR5:JIT5"/>
    <mergeCell ref="JIU5:JIW5"/>
    <mergeCell ref="JIX5:JIZ5"/>
    <mergeCell ref="JJA5:JJC5"/>
    <mergeCell ref="JJD5:JJF5"/>
    <mergeCell ref="JHW5:JHY5"/>
    <mergeCell ref="JHZ5:JIB5"/>
    <mergeCell ref="JIC5:JIE5"/>
    <mergeCell ref="JIF5:JIH5"/>
    <mergeCell ref="JII5:JIK5"/>
    <mergeCell ref="JIL5:JIN5"/>
    <mergeCell ref="JHE5:JHG5"/>
    <mergeCell ref="JHH5:JHJ5"/>
    <mergeCell ref="JHK5:JHM5"/>
    <mergeCell ref="JHN5:JHP5"/>
    <mergeCell ref="JHQ5:JHS5"/>
    <mergeCell ref="JHT5:JHV5"/>
    <mergeCell ref="JGM5:JGO5"/>
    <mergeCell ref="JGP5:JGR5"/>
    <mergeCell ref="JGS5:JGU5"/>
    <mergeCell ref="JGV5:JGX5"/>
    <mergeCell ref="JGY5:JHA5"/>
    <mergeCell ref="JHB5:JHD5"/>
    <mergeCell ref="JOC5:JOE5"/>
    <mergeCell ref="JOF5:JOH5"/>
    <mergeCell ref="JOI5:JOK5"/>
    <mergeCell ref="JOL5:JON5"/>
    <mergeCell ref="JOO5:JOQ5"/>
    <mergeCell ref="JOR5:JOT5"/>
    <mergeCell ref="JNK5:JNM5"/>
    <mergeCell ref="JNN5:JNP5"/>
    <mergeCell ref="JNQ5:JNS5"/>
    <mergeCell ref="JNT5:JNV5"/>
    <mergeCell ref="JNW5:JNY5"/>
    <mergeCell ref="JNZ5:JOB5"/>
    <mergeCell ref="JMS5:JMU5"/>
    <mergeCell ref="JMV5:JMX5"/>
    <mergeCell ref="JMY5:JNA5"/>
    <mergeCell ref="JNB5:JND5"/>
    <mergeCell ref="JNE5:JNG5"/>
    <mergeCell ref="JNH5:JNJ5"/>
    <mergeCell ref="JMA5:JMC5"/>
    <mergeCell ref="JMD5:JMF5"/>
    <mergeCell ref="JMG5:JMI5"/>
    <mergeCell ref="JMJ5:JML5"/>
    <mergeCell ref="JMM5:JMO5"/>
    <mergeCell ref="JMP5:JMR5"/>
    <mergeCell ref="JLI5:JLK5"/>
    <mergeCell ref="JLL5:JLN5"/>
    <mergeCell ref="JLO5:JLQ5"/>
    <mergeCell ref="JLR5:JLT5"/>
    <mergeCell ref="JLU5:JLW5"/>
    <mergeCell ref="JLX5:JLZ5"/>
    <mergeCell ref="JKQ5:JKS5"/>
    <mergeCell ref="JKT5:JKV5"/>
    <mergeCell ref="JKW5:JKY5"/>
    <mergeCell ref="JKZ5:JLB5"/>
    <mergeCell ref="JLC5:JLE5"/>
    <mergeCell ref="JLF5:JLH5"/>
    <mergeCell ref="JSG5:JSI5"/>
    <mergeCell ref="JSJ5:JSL5"/>
    <mergeCell ref="JSM5:JSO5"/>
    <mergeCell ref="JSP5:JSR5"/>
    <mergeCell ref="JSS5:JSU5"/>
    <mergeCell ref="JSV5:JSX5"/>
    <mergeCell ref="JRO5:JRQ5"/>
    <mergeCell ref="JRR5:JRT5"/>
    <mergeCell ref="JRU5:JRW5"/>
    <mergeCell ref="JRX5:JRZ5"/>
    <mergeCell ref="JSA5:JSC5"/>
    <mergeCell ref="JSD5:JSF5"/>
    <mergeCell ref="JQW5:JQY5"/>
    <mergeCell ref="JQZ5:JRB5"/>
    <mergeCell ref="JRC5:JRE5"/>
    <mergeCell ref="JRF5:JRH5"/>
    <mergeCell ref="JRI5:JRK5"/>
    <mergeCell ref="JRL5:JRN5"/>
    <mergeCell ref="JQE5:JQG5"/>
    <mergeCell ref="JQH5:JQJ5"/>
    <mergeCell ref="JQK5:JQM5"/>
    <mergeCell ref="JQN5:JQP5"/>
    <mergeCell ref="JQQ5:JQS5"/>
    <mergeCell ref="JQT5:JQV5"/>
    <mergeCell ref="JPM5:JPO5"/>
    <mergeCell ref="JPP5:JPR5"/>
    <mergeCell ref="JPS5:JPU5"/>
    <mergeCell ref="JPV5:JPX5"/>
    <mergeCell ref="JPY5:JQA5"/>
    <mergeCell ref="JQB5:JQD5"/>
    <mergeCell ref="JOU5:JOW5"/>
    <mergeCell ref="JOX5:JOZ5"/>
    <mergeCell ref="JPA5:JPC5"/>
    <mergeCell ref="JPD5:JPF5"/>
    <mergeCell ref="JPG5:JPI5"/>
    <mergeCell ref="JPJ5:JPL5"/>
    <mergeCell ref="JWK5:JWM5"/>
    <mergeCell ref="JWN5:JWP5"/>
    <mergeCell ref="JWQ5:JWS5"/>
    <mergeCell ref="JWT5:JWV5"/>
    <mergeCell ref="JWW5:JWY5"/>
    <mergeCell ref="JWZ5:JXB5"/>
    <mergeCell ref="JVS5:JVU5"/>
    <mergeCell ref="JVV5:JVX5"/>
    <mergeCell ref="JVY5:JWA5"/>
    <mergeCell ref="JWB5:JWD5"/>
    <mergeCell ref="JWE5:JWG5"/>
    <mergeCell ref="JWH5:JWJ5"/>
    <mergeCell ref="JVA5:JVC5"/>
    <mergeCell ref="JVD5:JVF5"/>
    <mergeCell ref="JVG5:JVI5"/>
    <mergeCell ref="JVJ5:JVL5"/>
    <mergeCell ref="JVM5:JVO5"/>
    <mergeCell ref="JVP5:JVR5"/>
    <mergeCell ref="JUI5:JUK5"/>
    <mergeCell ref="JUL5:JUN5"/>
    <mergeCell ref="JUO5:JUQ5"/>
    <mergeCell ref="JUR5:JUT5"/>
    <mergeCell ref="JUU5:JUW5"/>
    <mergeCell ref="JUX5:JUZ5"/>
    <mergeCell ref="JTQ5:JTS5"/>
    <mergeCell ref="JTT5:JTV5"/>
    <mergeCell ref="JTW5:JTY5"/>
    <mergeCell ref="JTZ5:JUB5"/>
    <mergeCell ref="JUC5:JUE5"/>
    <mergeCell ref="JUF5:JUH5"/>
    <mergeCell ref="JSY5:JTA5"/>
    <mergeCell ref="JTB5:JTD5"/>
    <mergeCell ref="JTE5:JTG5"/>
    <mergeCell ref="JTH5:JTJ5"/>
    <mergeCell ref="JTK5:JTM5"/>
    <mergeCell ref="JTN5:JTP5"/>
    <mergeCell ref="KAO5:KAQ5"/>
    <mergeCell ref="KAR5:KAT5"/>
    <mergeCell ref="KAU5:KAW5"/>
    <mergeCell ref="KAX5:KAZ5"/>
    <mergeCell ref="KBA5:KBC5"/>
    <mergeCell ref="KBD5:KBF5"/>
    <mergeCell ref="JZW5:JZY5"/>
    <mergeCell ref="JZZ5:KAB5"/>
    <mergeCell ref="KAC5:KAE5"/>
    <mergeCell ref="KAF5:KAH5"/>
    <mergeCell ref="KAI5:KAK5"/>
    <mergeCell ref="KAL5:KAN5"/>
    <mergeCell ref="JZE5:JZG5"/>
    <mergeCell ref="JZH5:JZJ5"/>
    <mergeCell ref="JZK5:JZM5"/>
    <mergeCell ref="JZN5:JZP5"/>
    <mergeCell ref="JZQ5:JZS5"/>
    <mergeCell ref="JZT5:JZV5"/>
    <mergeCell ref="JYM5:JYO5"/>
    <mergeCell ref="JYP5:JYR5"/>
    <mergeCell ref="JYS5:JYU5"/>
    <mergeCell ref="JYV5:JYX5"/>
    <mergeCell ref="JYY5:JZA5"/>
    <mergeCell ref="JZB5:JZD5"/>
    <mergeCell ref="JXU5:JXW5"/>
    <mergeCell ref="JXX5:JXZ5"/>
    <mergeCell ref="JYA5:JYC5"/>
    <mergeCell ref="JYD5:JYF5"/>
    <mergeCell ref="JYG5:JYI5"/>
    <mergeCell ref="JYJ5:JYL5"/>
    <mergeCell ref="JXC5:JXE5"/>
    <mergeCell ref="JXF5:JXH5"/>
    <mergeCell ref="JXI5:JXK5"/>
    <mergeCell ref="JXL5:JXN5"/>
    <mergeCell ref="JXO5:JXQ5"/>
    <mergeCell ref="JXR5:JXT5"/>
    <mergeCell ref="KES5:KEU5"/>
    <mergeCell ref="KEV5:KEX5"/>
    <mergeCell ref="KEY5:KFA5"/>
    <mergeCell ref="KFB5:KFD5"/>
    <mergeCell ref="KFE5:KFG5"/>
    <mergeCell ref="KFH5:KFJ5"/>
    <mergeCell ref="KEA5:KEC5"/>
    <mergeCell ref="KED5:KEF5"/>
    <mergeCell ref="KEG5:KEI5"/>
    <mergeCell ref="KEJ5:KEL5"/>
    <mergeCell ref="KEM5:KEO5"/>
    <mergeCell ref="KEP5:KER5"/>
    <mergeCell ref="KDI5:KDK5"/>
    <mergeCell ref="KDL5:KDN5"/>
    <mergeCell ref="KDO5:KDQ5"/>
    <mergeCell ref="KDR5:KDT5"/>
    <mergeCell ref="KDU5:KDW5"/>
    <mergeCell ref="KDX5:KDZ5"/>
    <mergeCell ref="KCQ5:KCS5"/>
    <mergeCell ref="KCT5:KCV5"/>
    <mergeCell ref="KCW5:KCY5"/>
    <mergeCell ref="KCZ5:KDB5"/>
    <mergeCell ref="KDC5:KDE5"/>
    <mergeCell ref="KDF5:KDH5"/>
    <mergeCell ref="KBY5:KCA5"/>
    <mergeCell ref="KCB5:KCD5"/>
    <mergeCell ref="KCE5:KCG5"/>
    <mergeCell ref="KCH5:KCJ5"/>
    <mergeCell ref="KCK5:KCM5"/>
    <mergeCell ref="KCN5:KCP5"/>
    <mergeCell ref="KBG5:KBI5"/>
    <mergeCell ref="KBJ5:KBL5"/>
    <mergeCell ref="KBM5:KBO5"/>
    <mergeCell ref="KBP5:KBR5"/>
    <mergeCell ref="KBS5:KBU5"/>
    <mergeCell ref="KBV5:KBX5"/>
    <mergeCell ref="KIW5:KIY5"/>
    <mergeCell ref="KIZ5:KJB5"/>
    <mergeCell ref="KJC5:KJE5"/>
    <mergeCell ref="KJF5:KJH5"/>
    <mergeCell ref="KJI5:KJK5"/>
    <mergeCell ref="KJL5:KJN5"/>
    <mergeCell ref="KIE5:KIG5"/>
    <mergeCell ref="KIH5:KIJ5"/>
    <mergeCell ref="KIK5:KIM5"/>
    <mergeCell ref="KIN5:KIP5"/>
    <mergeCell ref="KIQ5:KIS5"/>
    <mergeCell ref="KIT5:KIV5"/>
    <mergeCell ref="KHM5:KHO5"/>
    <mergeCell ref="KHP5:KHR5"/>
    <mergeCell ref="KHS5:KHU5"/>
    <mergeCell ref="KHV5:KHX5"/>
    <mergeCell ref="KHY5:KIA5"/>
    <mergeCell ref="KIB5:KID5"/>
    <mergeCell ref="KGU5:KGW5"/>
    <mergeCell ref="KGX5:KGZ5"/>
    <mergeCell ref="KHA5:KHC5"/>
    <mergeCell ref="KHD5:KHF5"/>
    <mergeCell ref="KHG5:KHI5"/>
    <mergeCell ref="KHJ5:KHL5"/>
    <mergeCell ref="KGC5:KGE5"/>
    <mergeCell ref="KGF5:KGH5"/>
    <mergeCell ref="KGI5:KGK5"/>
    <mergeCell ref="KGL5:KGN5"/>
    <mergeCell ref="KGO5:KGQ5"/>
    <mergeCell ref="KGR5:KGT5"/>
    <mergeCell ref="KFK5:KFM5"/>
    <mergeCell ref="KFN5:KFP5"/>
    <mergeCell ref="KFQ5:KFS5"/>
    <mergeCell ref="KFT5:KFV5"/>
    <mergeCell ref="KFW5:KFY5"/>
    <mergeCell ref="KFZ5:KGB5"/>
    <mergeCell ref="KNA5:KNC5"/>
    <mergeCell ref="KND5:KNF5"/>
    <mergeCell ref="KNG5:KNI5"/>
    <mergeCell ref="KNJ5:KNL5"/>
    <mergeCell ref="KNM5:KNO5"/>
    <mergeCell ref="KNP5:KNR5"/>
    <mergeCell ref="KMI5:KMK5"/>
    <mergeCell ref="KML5:KMN5"/>
    <mergeCell ref="KMO5:KMQ5"/>
    <mergeCell ref="KMR5:KMT5"/>
    <mergeCell ref="KMU5:KMW5"/>
    <mergeCell ref="KMX5:KMZ5"/>
    <mergeCell ref="KLQ5:KLS5"/>
    <mergeCell ref="KLT5:KLV5"/>
    <mergeCell ref="KLW5:KLY5"/>
    <mergeCell ref="KLZ5:KMB5"/>
    <mergeCell ref="KMC5:KME5"/>
    <mergeCell ref="KMF5:KMH5"/>
    <mergeCell ref="KKY5:KLA5"/>
    <mergeCell ref="KLB5:KLD5"/>
    <mergeCell ref="KLE5:KLG5"/>
    <mergeCell ref="KLH5:KLJ5"/>
    <mergeCell ref="KLK5:KLM5"/>
    <mergeCell ref="KLN5:KLP5"/>
    <mergeCell ref="KKG5:KKI5"/>
    <mergeCell ref="KKJ5:KKL5"/>
    <mergeCell ref="KKM5:KKO5"/>
    <mergeCell ref="KKP5:KKR5"/>
    <mergeCell ref="KKS5:KKU5"/>
    <mergeCell ref="KKV5:KKX5"/>
    <mergeCell ref="KJO5:KJQ5"/>
    <mergeCell ref="KJR5:KJT5"/>
    <mergeCell ref="KJU5:KJW5"/>
    <mergeCell ref="KJX5:KJZ5"/>
    <mergeCell ref="KKA5:KKC5"/>
    <mergeCell ref="KKD5:KKF5"/>
    <mergeCell ref="KRE5:KRG5"/>
    <mergeCell ref="KRH5:KRJ5"/>
    <mergeCell ref="KRK5:KRM5"/>
    <mergeCell ref="KRN5:KRP5"/>
    <mergeCell ref="KRQ5:KRS5"/>
    <mergeCell ref="KRT5:KRV5"/>
    <mergeCell ref="KQM5:KQO5"/>
    <mergeCell ref="KQP5:KQR5"/>
    <mergeCell ref="KQS5:KQU5"/>
    <mergeCell ref="KQV5:KQX5"/>
    <mergeCell ref="KQY5:KRA5"/>
    <mergeCell ref="KRB5:KRD5"/>
    <mergeCell ref="KPU5:KPW5"/>
    <mergeCell ref="KPX5:KPZ5"/>
    <mergeCell ref="KQA5:KQC5"/>
    <mergeCell ref="KQD5:KQF5"/>
    <mergeCell ref="KQG5:KQI5"/>
    <mergeCell ref="KQJ5:KQL5"/>
    <mergeCell ref="KPC5:KPE5"/>
    <mergeCell ref="KPF5:KPH5"/>
    <mergeCell ref="KPI5:KPK5"/>
    <mergeCell ref="KPL5:KPN5"/>
    <mergeCell ref="KPO5:KPQ5"/>
    <mergeCell ref="KPR5:KPT5"/>
    <mergeCell ref="KOK5:KOM5"/>
    <mergeCell ref="KON5:KOP5"/>
    <mergeCell ref="KOQ5:KOS5"/>
    <mergeCell ref="KOT5:KOV5"/>
    <mergeCell ref="KOW5:KOY5"/>
    <mergeCell ref="KOZ5:KPB5"/>
    <mergeCell ref="KNS5:KNU5"/>
    <mergeCell ref="KNV5:KNX5"/>
    <mergeCell ref="KNY5:KOA5"/>
    <mergeCell ref="KOB5:KOD5"/>
    <mergeCell ref="KOE5:KOG5"/>
    <mergeCell ref="KOH5:KOJ5"/>
    <mergeCell ref="KVI5:KVK5"/>
    <mergeCell ref="KVL5:KVN5"/>
    <mergeCell ref="KVO5:KVQ5"/>
    <mergeCell ref="KVR5:KVT5"/>
    <mergeCell ref="KVU5:KVW5"/>
    <mergeCell ref="KVX5:KVZ5"/>
    <mergeCell ref="KUQ5:KUS5"/>
    <mergeCell ref="KUT5:KUV5"/>
    <mergeCell ref="KUW5:KUY5"/>
    <mergeCell ref="KUZ5:KVB5"/>
    <mergeCell ref="KVC5:KVE5"/>
    <mergeCell ref="KVF5:KVH5"/>
    <mergeCell ref="KTY5:KUA5"/>
    <mergeCell ref="KUB5:KUD5"/>
    <mergeCell ref="KUE5:KUG5"/>
    <mergeCell ref="KUH5:KUJ5"/>
    <mergeCell ref="KUK5:KUM5"/>
    <mergeCell ref="KUN5:KUP5"/>
    <mergeCell ref="KTG5:KTI5"/>
    <mergeCell ref="KTJ5:KTL5"/>
    <mergeCell ref="KTM5:KTO5"/>
    <mergeCell ref="KTP5:KTR5"/>
    <mergeCell ref="KTS5:KTU5"/>
    <mergeCell ref="KTV5:KTX5"/>
    <mergeCell ref="KSO5:KSQ5"/>
    <mergeCell ref="KSR5:KST5"/>
    <mergeCell ref="KSU5:KSW5"/>
    <mergeCell ref="KSX5:KSZ5"/>
    <mergeCell ref="KTA5:KTC5"/>
    <mergeCell ref="KTD5:KTF5"/>
    <mergeCell ref="KRW5:KRY5"/>
    <mergeCell ref="KRZ5:KSB5"/>
    <mergeCell ref="KSC5:KSE5"/>
    <mergeCell ref="KSF5:KSH5"/>
    <mergeCell ref="KSI5:KSK5"/>
    <mergeCell ref="KSL5:KSN5"/>
    <mergeCell ref="KZM5:KZO5"/>
    <mergeCell ref="KZP5:KZR5"/>
    <mergeCell ref="KZS5:KZU5"/>
    <mergeCell ref="KZV5:KZX5"/>
    <mergeCell ref="KZY5:LAA5"/>
    <mergeCell ref="LAB5:LAD5"/>
    <mergeCell ref="KYU5:KYW5"/>
    <mergeCell ref="KYX5:KYZ5"/>
    <mergeCell ref="KZA5:KZC5"/>
    <mergeCell ref="KZD5:KZF5"/>
    <mergeCell ref="KZG5:KZI5"/>
    <mergeCell ref="KZJ5:KZL5"/>
    <mergeCell ref="KYC5:KYE5"/>
    <mergeCell ref="KYF5:KYH5"/>
    <mergeCell ref="KYI5:KYK5"/>
    <mergeCell ref="KYL5:KYN5"/>
    <mergeCell ref="KYO5:KYQ5"/>
    <mergeCell ref="KYR5:KYT5"/>
    <mergeCell ref="KXK5:KXM5"/>
    <mergeCell ref="KXN5:KXP5"/>
    <mergeCell ref="KXQ5:KXS5"/>
    <mergeCell ref="KXT5:KXV5"/>
    <mergeCell ref="KXW5:KXY5"/>
    <mergeCell ref="KXZ5:KYB5"/>
    <mergeCell ref="KWS5:KWU5"/>
    <mergeCell ref="KWV5:KWX5"/>
    <mergeCell ref="KWY5:KXA5"/>
    <mergeCell ref="KXB5:KXD5"/>
    <mergeCell ref="KXE5:KXG5"/>
    <mergeCell ref="KXH5:KXJ5"/>
    <mergeCell ref="KWA5:KWC5"/>
    <mergeCell ref="KWD5:KWF5"/>
    <mergeCell ref="KWG5:KWI5"/>
    <mergeCell ref="KWJ5:KWL5"/>
    <mergeCell ref="KWM5:KWO5"/>
    <mergeCell ref="KWP5:KWR5"/>
    <mergeCell ref="LDQ5:LDS5"/>
    <mergeCell ref="LDT5:LDV5"/>
    <mergeCell ref="LDW5:LDY5"/>
    <mergeCell ref="LDZ5:LEB5"/>
    <mergeCell ref="LEC5:LEE5"/>
    <mergeCell ref="LEF5:LEH5"/>
    <mergeCell ref="LCY5:LDA5"/>
    <mergeCell ref="LDB5:LDD5"/>
    <mergeCell ref="LDE5:LDG5"/>
    <mergeCell ref="LDH5:LDJ5"/>
    <mergeCell ref="LDK5:LDM5"/>
    <mergeCell ref="LDN5:LDP5"/>
    <mergeCell ref="LCG5:LCI5"/>
    <mergeCell ref="LCJ5:LCL5"/>
    <mergeCell ref="LCM5:LCO5"/>
    <mergeCell ref="LCP5:LCR5"/>
    <mergeCell ref="LCS5:LCU5"/>
    <mergeCell ref="LCV5:LCX5"/>
    <mergeCell ref="LBO5:LBQ5"/>
    <mergeCell ref="LBR5:LBT5"/>
    <mergeCell ref="LBU5:LBW5"/>
    <mergeCell ref="LBX5:LBZ5"/>
    <mergeCell ref="LCA5:LCC5"/>
    <mergeCell ref="LCD5:LCF5"/>
    <mergeCell ref="LAW5:LAY5"/>
    <mergeCell ref="LAZ5:LBB5"/>
    <mergeCell ref="LBC5:LBE5"/>
    <mergeCell ref="LBF5:LBH5"/>
    <mergeCell ref="LBI5:LBK5"/>
    <mergeCell ref="LBL5:LBN5"/>
    <mergeCell ref="LAE5:LAG5"/>
    <mergeCell ref="LAH5:LAJ5"/>
    <mergeCell ref="LAK5:LAM5"/>
    <mergeCell ref="LAN5:LAP5"/>
    <mergeCell ref="LAQ5:LAS5"/>
    <mergeCell ref="LAT5:LAV5"/>
    <mergeCell ref="LHU5:LHW5"/>
    <mergeCell ref="LHX5:LHZ5"/>
    <mergeCell ref="LIA5:LIC5"/>
    <mergeCell ref="LID5:LIF5"/>
    <mergeCell ref="LIG5:LII5"/>
    <mergeCell ref="LIJ5:LIL5"/>
    <mergeCell ref="LHC5:LHE5"/>
    <mergeCell ref="LHF5:LHH5"/>
    <mergeCell ref="LHI5:LHK5"/>
    <mergeCell ref="LHL5:LHN5"/>
    <mergeCell ref="LHO5:LHQ5"/>
    <mergeCell ref="LHR5:LHT5"/>
    <mergeCell ref="LGK5:LGM5"/>
    <mergeCell ref="LGN5:LGP5"/>
    <mergeCell ref="LGQ5:LGS5"/>
    <mergeCell ref="LGT5:LGV5"/>
    <mergeCell ref="LGW5:LGY5"/>
    <mergeCell ref="LGZ5:LHB5"/>
    <mergeCell ref="LFS5:LFU5"/>
    <mergeCell ref="LFV5:LFX5"/>
    <mergeCell ref="LFY5:LGA5"/>
    <mergeCell ref="LGB5:LGD5"/>
    <mergeCell ref="LGE5:LGG5"/>
    <mergeCell ref="LGH5:LGJ5"/>
    <mergeCell ref="LFA5:LFC5"/>
    <mergeCell ref="LFD5:LFF5"/>
    <mergeCell ref="LFG5:LFI5"/>
    <mergeCell ref="LFJ5:LFL5"/>
    <mergeCell ref="LFM5:LFO5"/>
    <mergeCell ref="LFP5:LFR5"/>
    <mergeCell ref="LEI5:LEK5"/>
    <mergeCell ref="LEL5:LEN5"/>
    <mergeCell ref="LEO5:LEQ5"/>
    <mergeCell ref="LER5:LET5"/>
    <mergeCell ref="LEU5:LEW5"/>
    <mergeCell ref="LEX5:LEZ5"/>
    <mergeCell ref="LLY5:LMA5"/>
    <mergeCell ref="LMB5:LMD5"/>
    <mergeCell ref="LME5:LMG5"/>
    <mergeCell ref="LMH5:LMJ5"/>
    <mergeCell ref="LMK5:LMM5"/>
    <mergeCell ref="LMN5:LMP5"/>
    <mergeCell ref="LLG5:LLI5"/>
    <mergeCell ref="LLJ5:LLL5"/>
    <mergeCell ref="LLM5:LLO5"/>
    <mergeCell ref="LLP5:LLR5"/>
    <mergeCell ref="LLS5:LLU5"/>
    <mergeCell ref="LLV5:LLX5"/>
    <mergeCell ref="LKO5:LKQ5"/>
    <mergeCell ref="LKR5:LKT5"/>
    <mergeCell ref="LKU5:LKW5"/>
    <mergeCell ref="LKX5:LKZ5"/>
    <mergeCell ref="LLA5:LLC5"/>
    <mergeCell ref="LLD5:LLF5"/>
    <mergeCell ref="LJW5:LJY5"/>
    <mergeCell ref="LJZ5:LKB5"/>
    <mergeCell ref="LKC5:LKE5"/>
    <mergeCell ref="LKF5:LKH5"/>
    <mergeCell ref="LKI5:LKK5"/>
    <mergeCell ref="LKL5:LKN5"/>
    <mergeCell ref="LJE5:LJG5"/>
    <mergeCell ref="LJH5:LJJ5"/>
    <mergeCell ref="LJK5:LJM5"/>
    <mergeCell ref="LJN5:LJP5"/>
    <mergeCell ref="LJQ5:LJS5"/>
    <mergeCell ref="LJT5:LJV5"/>
    <mergeCell ref="LIM5:LIO5"/>
    <mergeCell ref="LIP5:LIR5"/>
    <mergeCell ref="LIS5:LIU5"/>
    <mergeCell ref="LIV5:LIX5"/>
    <mergeCell ref="LIY5:LJA5"/>
    <mergeCell ref="LJB5:LJD5"/>
    <mergeCell ref="LQC5:LQE5"/>
    <mergeCell ref="LQF5:LQH5"/>
    <mergeCell ref="LQI5:LQK5"/>
    <mergeCell ref="LQL5:LQN5"/>
    <mergeCell ref="LQO5:LQQ5"/>
    <mergeCell ref="LQR5:LQT5"/>
    <mergeCell ref="LPK5:LPM5"/>
    <mergeCell ref="LPN5:LPP5"/>
    <mergeCell ref="LPQ5:LPS5"/>
    <mergeCell ref="LPT5:LPV5"/>
    <mergeCell ref="LPW5:LPY5"/>
    <mergeCell ref="LPZ5:LQB5"/>
    <mergeCell ref="LOS5:LOU5"/>
    <mergeCell ref="LOV5:LOX5"/>
    <mergeCell ref="LOY5:LPA5"/>
    <mergeCell ref="LPB5:LPD5"/>
    <mergeCell ref="LPE5:LPG5"/>
    <mergeCell ref="LPH5:LPJ5"/>
    <mergeCell ref="LOA5:LOC5"/>
    <mergeCell ref="LOD5:LOF5"/>
    <mergeCell ref="LOG5:LOI5"/>
    <mergeCell ref="LOJ5:LOL5"/>
    <mergeCell ref="LOM5:LOO5"/>
    <mergeCell ref="LOP5:LOR5"/>
    <mergeCell ref="LNI5:LNK5"/>
    <mergeCell ref="LNL5:LNN5"/>
    <mergeCell ref="LNO5:LNQ5"/>
    <mergeCell ref="LNR5:LNT5"/>
    <mergeCell ref="LNU5:LNW5"/>
    <mergeCell ref="LNX5:LNZ5"/>
    <mergeCell ref="LMQ5:LMS5"/>
    <mergeCell ref="LMT5:LMV5"/>
    <mergeCell ref="LMW5:LMY5"/>
    <mergeCell ref="LMZ5:LNB5"/>
    <mergeCell ref="LNC5:LNE5"/>
    <mergeCell ref="LNF5:LNH5"/>
    <mergeCell ref="LUG5:LUI5"/>
    <mergeCell ref="LUJ5:LUL5"/>
    <mergeCell ref="LUM5:LUO5"/>
    <mergeCell ref="LUP5:LUR5"/>
    <mergeCell ref="LUS5:LUU5"/>
    <mergeCell ref="LUV5:LUX5"/>
    <mergeCell ref="LTO5:LTQ5"/>
    <mergeCell ref="LTR5:LTT5"/>
    <mergeCell ref="LTU5:LTW5"/>
    <mergeCell ref="LTX5:LTZ5"/>
    <mergeCell ref="LUA5:LUC5"/>
    <mergeCell ref="LUD5:LUF5"/>
    <mergeCell ref="LSW5:LSY5"/>
    <mergeCell ref="LSZ5:LTB5"/>
    <mergeCell ref="LTC5:LTE5"/>
    <mergeCell ref="LTF5:LTH5"/>
    <mergeCell ref="LTI5:LTK5"/>
    <mergeCell ref="LTL5:LTN5"/>
    <mergeCell ref="LSE5:LSG5"/>
    <mergeCell ref="LSH5:LSJ5"/>
    <mergeCell ref="LSK5:LSM5"/>
    <mergeCell ref="LSN5:LSP5"/>
    <mergeCell ref="LSQ5:LSS5"/>
    <mergeCell ref="LST5:LSV5"/>
    <mergeCell ref="LRM5:LRO5"/>
    <mergeCell ref="LRP5:LRR5"/>
    <mergeCell ref="LRS5:LRU5"/>
    <mergeCell ref="LRV5:LRX5"/>
    <mergeCell ref="LRY5:LSA5"/>
    <mergeCell ref="LSB5:LSD5"/>
    <mergeCell ref="LQU5:LQW5"/>
    <mergeCell ref="LQX5:LQZ5"/>
    <mergeCell ref="LRA5:LRC5"/>
    <mergeCell ref="LRD5:LRF5"/>
    <mergeCell ref="LRG5:LRI5"/>
    <mergeCell ref="LRJ5:LRL5"/>
    <mergeCell ref="LYK5:LYM5"/>
    <mergeCell ref="LYN5:LYP5"/>
    <mergeCell ref="LYQ5:LYS5"/>
    <mergeCell ref="LYT5:LYV5"/>
    <mergeCell ref="LYW5:LYY5"/>
    <mergeCell ref="LYZ5:LZB5"/>
    <mergeCell ref="LXS5:LXU5"/>
    <mergeCell ref="LXV5:LXX5"/>
    <mergeCell ref="LXY5:LYA5"/>
    <mergeCell ref="LYB5:LYD5"/>
    <mergeCell ref="LYE5:LYG5"/>
    <mergeCell ref="LYH5:LYJ5"/>
    <mergeCell ref="LXA5:LXC5"/>
    <mergeCell ref="LXD5:LXF5"/>
    <mergeCell ref="LXG5:LXI5"/>
    <mergeCell ref="LXJ5:LXL5"/>
    <mergeCell ref="LXM5:LXO5"/>
    <mergeCell ref="LXP5:LXR5"/>
    <mergeCell ref="LWI5:LWK5"/>
    <mergeCell ref="LWL5:LWN5"/>
    <mergeCell ref="LWO5:LWQ5"/>
    <mergeCell ref="LWR5:LWT5"/>
    <mergeCell ref="LWU5:LWW5"/>
    <mergeCell ref="LWX5:LWZ5"/>
    <mergeCell ref="LVQ5:LVS5"/>
    <mergeCell ref="LVT5:LVV5"/>
    <mergeCell ref="LVW5:LVY5"/>
    <mergeCell ref="LVZ5:LWB5"/>
    <mergeCell ref="LWC5:LWE5"/>
    <mergeCell ref="LWF5:LWH5"/>
    <mergeCell ref="LUY5:LVA5"/>
    <mergeCell ref="LVB5:LVD5"/>
    <mergeCell ref="LVE5:LVG5"/>
    <mergeCell ref="LVH5:LVJ5"/>
    <mergeCell ref="LVK5:LVM5"/>
    <mergeCell ref="LVN5:LVP5"/>
    <mergeCell ref="MCO5:MCQ5"/>
    <mergeCell ref="MCR5:MCT5"/>
    <mergeCell ref="MCU5:MCW5"/>
    <mergeCell ref="MCX5:MCZ5"/>
    <mergeCell ref="MDA5:MDC5"/>
    <mergeCell ref="MDD5:MDF5"/>
    <mergeCell ref="MBW5:MBY5"/>
    <mergeCell ref="MBZ5:MCB5"/>
    <mergeCell ref="MCC5:MCE5"/>
    <mergeCell ref="MCF5:MCH5"/>
    <mergeCell ref="MCI5:MCK5"/>
    <mergeCell ref="MCL5:MCN5"/>
    <mergeCell ref="MBE5:MBG5"/>
    <mergeCell ref="MBH5:MBJ5"/>
    <mergeCell ref="MBK5:MBM5"/>
    <mergeCell ref="MBN5:MBP5"/>
    <mergeCell ref="MBQ5:MBS5"/>
    <mergeCell ref="MBT5:MBV5"/>
    <mergeCell ref="MAM5:MAO5"/>
    <mergeCell ref="MAP5:MAR5"/>
    <mergeCell ref="MAS5:MAU5"/>
    <mergeCell ref="MAV5:MAX5"/>
    <mergeCell ref="MAY5:MBA5"/>
    <mergeCell ref="MBB5:MBD5"/>
    <mergeCell ref="LZU5:LZW5"/>
    <mergeCell ref="LZX5:LZZ5"/>
    <mergeCell ref="MAA5:MAC5"/>
    <mergeCell ref="MAD5:MAF5"/>
    <mergeCell ref="MAG5:MAI5"/>
    <mergeCell ref="MAJ5:MAL5"/>
    <mergeCell ref="LZC5:LZE5"/>
    <mergeCell ref="LZF5:LZH5"/>
    <mergeCell ref="LZI5:LZK5"/>
    <mergeCell ref="LZL5:LZN5"/>
    <mergeCell ref="LZO5:LZQ5"/>
    <mergeCell ref="LZR5:LZT5"/>
    <mergeCell ref="MGS5:MGU5"/>
    <mergeCell ref="MGV5:MGX5"/>
    <mergeCell ref="MGY5:MHA5"/>
    <mergeCell ref="MHB5:MHD5"/>
    <mergeCell ref="MHE5:MHG5"/>
    <mergeCell ref="MHH5:MHJ5"/>
    <mergeCell ref="MGA5:MGC5"/>
    <mergeCell ref="MGD5:MGF5"/>
    <mergeCell ref="MGG5:MGI5"/>
    <mergeCell ref="MGJ5:MGL5"/>
    <mergeCell ref="MGM5:MGO5"/>
    <mergeCell ref="MGP5:MGR5"/>
    <mergeCell ref="MFI5:MFK5"/>
    <mergeCell ref="MFL5:MFN5"/>
    <mergeCell ref="MFO5:MFQ5"/>
    <mergeCell ref="MFR5:MFT5"/>
    <mergeCell ref="MFU5:MFW5"/>
    <mergeCell ref="MFX5:MFZ5"/>
    <mergeCell ref="MEQ5:MES5"/>
    <mergeCell ref="MET5:MEV5"/>
    <mergeCell ref="MEW5:MEY5"/>
    <mergeCell ref="MEZ5:MFB5"/>
    <mergeCell ref="MFC5:MFE5"/>
    <mergeCell ref="MFF5:MFH5"/>
    <mergeCell ref="MDY5:MEA5"/>
    <mergeCell ref="MEB5:MED5"/>
    <mergeCell ref="MEE5:MEG5"/>
    <mergeCell ref="MEH5:MEJ5"/>
    <mergeCell ref="MEK5:MEM5"/>
    <mergeCell ref="MEN5:MEP5"/>
    <mergeCell ref="MDG5:MDI5"/>
    <mergeCell ref="MDJ5:MDL5"/>
    <mergeCell ref="MDM5:MDO5"/>
    <mergeCell ref="MDP5:MDR5"/>
    <mergeCell ref="MDS5:MDU5"/>
    <mergeCell ref="MDV5:MDX5"/>
    <mergeCell ref="MKW5:MKY5"/>
    <mergeCell ref="MKZ5:MLB5"/>
    <mergeCell ref="MLC5:MLE5"/>
    <mergeCell ref="MLF5:MLH5"/>
    <mergeCell ref="MLI5:MLK5"/>
    <mergeCell ref="MLL5:MLN5"/>
    <mergeCell ref="MKE5:MKG5"/>
    <mergeCell ref="MKH5:MKJ5"/>
    <mergeCell ref="MKK5:MKM5"/>
    <mergeCell ref="MKN5:MKP5"/>
    <mergeCell ref="MKQ5:MKS5"/>
    <mergeCell ref="MKT5:MKV5"/>
    <mergeCell ref="MJM5:MJO5"/>
    <mergeCell ref="MJP5:MJR5"/>
    <mergeCell ref="MJS5:MJU5"/>
    <mergeCell ref="MJV5:MJX5"/>
    <mergeCell ref="MJY5:MKA5"/>
    <mergeCell ref="MKB5:MKD5"/>
    <mergeCell ref="MIU5:MIW5"/>
    <mergeCell ref="MIX5:MIZ5"/>
    <mergeCell ref="MJA5:MJC5"/>
    <mergeCell ref="MJD5:MJF5"/>
    <mergeCell ref="MJG5:MJI5"/>
    <mergeCell ref="MJJ5:MJL5"/>
    <mergeCell ref="MIC5:MIE5"/>
    <mergeCell ref="MIF5:MIH5"/>
    <mergeCell ref="MII5:MIK5"/>
    <mergeCell ref="MIL5:MIN5"/>
    <mergeCell ref="MIO5:MIQ5"/>
    <mergeCell ref="MIR5:MIT5"/>
    <mergeCell ref="MHK5:MHM5"/>
    <mergeCell ref="MHN5:MHP5"/>
    <mergeCell ref="MHQ5:MHS5"/>
    <mergeCell ref="MHT5:MHV5"/>
    <mergeCell ref="MHW5:MHY5"/>
    <mergeCell ref="MHZ5:MIB5"/>
    <mergeCell ref="MPA5:MPC5"/>
    <mergeCell ref="MPD5:MPF5"/>
    <mergeCell ref="MPG5:MPI5"/>
    <mergeCell ref="MPJ5:MPL5"/>
    <mergeCell ref="MPM5:MPO5"/>
    <mergeCell ref="MPP5:MPR5"/>
    <mergeCell ref="MOI5:MOK5"/>
    <mergeCell ref="MOL5:MON5"/>
    <mergeCell ref="MOO5:MOQ5"/>
    <mergeCell ref="MOR5:MOT5"/>
    <mergeCell ref="MOU5:MOW5"/>
    <mergeCell ref="MOX5:MOZ5"/>
    <mergeCell ref="MNQ5:MNS5"/>
    <mergeCell ref="MNT5:MNV5"/>
    <mergeCell ref="MNW5:MNY5"/>
    <mergeCell ref="MNZ5:MOB5"/>
    <mergeCell ref="MOC5:MOE5"/>
    <mergeCell ref="MOF5:MOH5"/>
    <mergeCell ref="MMY5:MNA5"/>
    <mergeCell ref="MNB5:MND5"/>
    <mergeCell ref="MNE5:MNG5"/>
    <mergeCell ref="MNH5:MNJ5"/>
    <mergeCell ref="MNK5:MNM5"/>
    <mergeCell ref="MNN5:MNP5"/>
    <mergeCell ref="MMG5:MMI5"/>
    <mergeCell ref="MMJ5:MML5"/>
    <mergeCell ref="MMM5:MMO5"/>
    <mergeCell ref="MMP5:MMR5"/>
    <mergeCell ref="MMS5:MMU5"/>
    <mergeCell ref="MMV5:MMX5"/>
    <mergeCell ref="MLO5:MLQ5"/>
    <mergeCell ref="MLR5:MLT5"/>
    <mergeCell ref="MLU5:MLW5"/>
    <mergeCell ref="MLX5:MLZ5"/>
    <mergeCell ref="MMA5:MMC5"/>
    <mergeCell ref="MMD5:MMF5"/>
    <mergeCell ref="MTE5:MTG5"/>
    <mergeCell ref="MTH5:MTJ5"/>
    <mergeCell ref="MTK5:MTM5"/>
    <mergeCell ref="MTN5:MTP5"/>
    <mergeCell ref="MTQ5:MTS5"/>
    <mergeCell ref="MTT5:MTV5"/>
    <mergeCell ref="MSM5:MSO5"/>
    <mergeCell ref="MSP5:MSR5"/>
    <mergeCell ref="MSS5:MSU5"/>
    <mergeCell ref="MSV5:MSX5"/>
    <mergeCell ref="MSY5:MTA5"/>
    <mergeCell ref="MTB5:MTD5"/>
    <mergeCell ref="MRU5:MRW5"/>
    <mergeCell ref="MRX5:MRZ5"/>
    <mergeCell ref="MSA5:MSC5"/>
    <mergeCell ref="MSD5:MSF5"/>
    <mergeCell ref="MSG5:MSI5"/>
    <mergeCell ref="MSJ5:MSL5"/>
    <mergeCell ref="MRC5:MRE5"/>
    <mergeCell ref="MRF5:MRH5"/>
    <mergeCell ref="MRI5:MRK5"/>
    <mergeCell ref="MRL5:MRN5"/>
    <mergeCell ref="MRO5:MRQ5"/>
    <mergeCell ref="MRR5:MRT5"/>
    <mergeCell ref="MQK5:MQM5"/>
    <mergeCell ref="MQN5:MQP5"/>
    <mergeCell ref="MQQ5:MQS5"/>
    <mergeCell ref="MQT5:MQV5"/>
    <mergeCell ref="MQW5:MQY5"/>
    <mergeCell ref="MQZ5:MRB5"/>
    <mergeCell ref="MPS5:MPU5"/>
    <mergeCell ref="MPV5:MPX5"/>
    <mergeCell ref="MPY5:MQA5"/>
    <mergeCell ref="MQB5:MQD5"/>
    <mergeCell ref="MQE5:MQG5"/>
    <mergeCell ref="MQH5:MQJ5"/>
    <mergeCell ref="MXI5:MXK5"/>
    <mergeCell ref="MXL5:MXN5"/>
    <mergeCell ref="MXO5:MXQ5"/>
    <mergeCell ref="MXR5:MXT5"/>
    <mergeCell ref="MXU5:MXW5"/>
    <mergeCell ref="MXX5:MXZ5"/>
    <mergeCell ref="MWQ5:MWS5"/>
    <mergeCell ref="MWT5:MWV5"/>
    <mergeCell ref="MWW5:MWY5"/>
    <mergeCell ref="MWZ5:MXB5"/>
    <mergeCell ref="MXC5:MXE5"/>
    <mergeCell ref="MXF5:MXH5"/>
    <mergeCell ref="MVY5:MWA5"/>
    <mergeCell ref="MWB5:MWD5"/>
    <mergeCell ref="MWE5:MWG5"/>
    <mergeCell ref="MWH5:MWJ5"/>
    <mergeCell ref="MWK5:MWM5"/>
    <mergeCell ref="MWN5:MWP5"/>
    <mergeCell ref="MVG5:MVI5"/>
    <mergeCell ref="MVJ5:MVL5"/>
    <mergeCell ref="MVM5:MVO5"/>
    <mergeCell ref="MVP5:MVR5"/>
    <mergeCell ref="MVS5:MVU5"/>
    <mergeCell ref="MVV5:MVX5"/>
    <mergeCell ref="MUO5:MUQ5"/>
    <mergeCell ref="MUR5:MUT5"/>
    <mergeCell ref="MUU5:MUW5"/>
    <mergeCell ref="MUX5:MUZ5"/>
    <mergeCell ref="MVA5:MVC5"/>
    <mergeCell ref="MVD5:MVF5"/>
    <mergeCell ref="MTW5:MTY5"/>
    <mergeCell ref="MTZ5:MUB5"/>
    <mergeCell ref="MUC5:MUE5"/>
    <mergeCell ref="MUF5:MUH5"/>
    <mergeCell ref="MUI5:MUK5"/>
    <mergeCell ref="MUL5:MUN5"/>
    <mergeCell ref="NBM5:NBO5"/>
    <mergeCell ref="NBP5:NBR5"/>
    <mergeCell ref="NBS5:NBU5"/>
    <mergeCell ref="NBV5:NBX5"/>
    <mergeCell ref="NBY5:NCA5"/>
    <mergeCell ref="NCB5:NCD5"/>
    <mergeCell ref="NAU5:NAW5"/>
    <mergeCell ref="NAX5:NAZ5"/>
    <mergeCell ref="NBA5:NBC5"/>
    <mergeCell ref="NBD5:NBF5"/>
    <mergeCell ref="NBG5:NBI5"/>
    <mergeCell ref="NBJ5:NBL5"/>
    <mergeCell ref="NAC5:NAE5"/>
    <mergeCell ref="NAF5:NAH5"/>
    <mergeCell ref="NAI5:NAK5"/>
    <mergeCell ref="NAL5:NAN5"/>
    <mergeCell ref="NAO5:NAQ5"/>
    <mergeCell ref="NAR5:NAT5"/>
    <mergeCell ref="MZK5:MZM5"/>
    <mergeCell ref="MZN5:MZP5"/>
    <mergeCell ref="MZQ5:MZS5"/>
    <mergeCell ref="MZT5:MZV5"/>
    <mergeCell ref="MZW5:MZY5"/>
    <mergeCell ref="MZZ5:NAB5"/>
    <mergeCell ref="MYS5:MYU5"/>
    <mergeCell ref="MYV5:MYX5"/>
    <mergeCell ref="MYY5:MZA5"/>
    <mergeCell ref="MZB5:MZD5"/>
    <mergeCell ref="MZE5:MZG5"/>
    <mergeCell ref="MZH5:MZJ5"/>
    <mergeCell ref="MYA5:MYC5"/>
    <mergeCell ref="MYD5:MYF5"/>
    <mergeCell ref="MYG5:MYI5"/>
    <mergeCell ref="MYJ5:MYL5"/>
    <mergeCell ref="MYM5:MYO5"/>
    <mergeCell ref="MYP5:MYR5"/>
    <mergeCell ref="NFQ5:NFS5"/>
    <mergeCell ref="NFT5:NFV5"/>
    <mergeCell ref="NFW5:NFY5"/>
    <mergeCell ref="NFZ5:NGB5"/>
    <mergeCell ref="NGC5:NGE5"/>
    <mergeCell ref="NGF5:NGH5"/>
    <mergeCell ref="NEY5:NFA5"/>
    <mergeCell ref="NFB5:NFD5"/>
    <mergeCell ref="NFE5:NFG5"/>
    <mergeCell ref="NFH5:NFJ5"/>
    <mergeCell ref="NFK5:NFM5"/>
    <mergeCell ref="NFN5:NFP5"/>
    <mergeCell ref="NEG5:NEI5"/>
    <mergeCell ref="NEJ5:NEL5"/>
    <mergeCell ref="NEM5:NEO5"/>
    <mergeCell ref="NEP5:NER5"/>
    <mergeCell ref="NES5:NEU5"/>
    <mergeCell ref="NEV5:NEX5"/>
    <mergeCell ref="NDO5:NDQ5"/>
    <mergeCell ref="NDR5:NDT5"/>
    <mergeCell ref="NDU5:NDW5"/>
    <mergeCell ref="NDX5:NDZ5"/>
    <mergeCell ref="NEA5:NEC5"/>
    <mergeCell ref="NED5:NEF5"/>
    <mergeCell ref="NCW5:NCY5"/>
    <mergeCell ref="NCZ5:NDB5"/>
    <mergeCell ref="NDC5:NDE5"/>
    <mergeCell ref="NDF5:NDH5"/>
    <mergeCell ref="NDI5:NDK5"/>
    <mergeCell ref="NDL5:NDN5"/>
    <mergeCell ref="NCE5:NCG5"/>
    <mergeCell ref="NCH5:NCJ5"/>
    <mergeCell ref="NCK5:NCM5"/>
    <mergeCell ref="NCN5:NCP5"/>
    <mergeCell ref="NCQ5:NCS5"/>
    <mergeCell ref="NCT5:NCV5"/>
    <mergeCell ref="NJU5:NJW5"/>
    <mergeCell ref="NJX5:NJZ5"/>
    <mergeCell ref="NKA5:NKC5"/>
    <mergeCell ref="NKD5:NKF5"/>
    <mergeCell ref="NKG5:NKI5"/>
    <mergeCell ref="NKJ5:NKL5"/>
    <mergeCell ref="NJC5:NJE5"/>
    <mergeCell ref="NJF5:NJH5"/>
    <mergeCell ref="NJI5:NJK5"/>
    <mergeCell ref="NJL5:NJN5"/>
    <mergeCell ref="NJO5:NJQ5"/>
    <mergeCell ref="NJR5:NJT5"/>
    <mergeCell ref="NIK5:NIM5"/>
    <mergeCell ref="NIN5:NIP5"/>
    <mergeCell ref="NIQ5:NIS5"/>
    <mergeCell ref="NIT5:NIV5"/>
    <mergeCell ref="NIW5:NIY5"/>
    <mergeCell ref="NIZ5:NJB5"/>
    <mergeCell ref="NHS5:NHU5"/>
    <mergeCell ref="NHV5:NHX5"/>
    <mergeCell ref="NHY5:NIA5"/>
    <mergeCell ref="NIB5:NID5"/>
    <mergeCell ref="NIE5:NIG5"/>
    <mergeCell ref="NIH5:NIJ5"/>
    <mergeCell ref="NHA5:NHC5"/>
    <mergeCell ref="NHD5:NHF5"/>
    <mergeCell ref="NHG5:NHI5"/>
    <mergeCell ref="NHJ5:NHL5"/>
    <mergeCell ref="NHM5:NHO5"/>
    <mergeCell ref="NHP5:NHR5"/>
    <mergeCell ref="NGI5:NGK5"/>
    <mergeCell ref="NGL5:NGN5"/>
    <mergeCell ref="NGO5:NGQ5"/>
    <mergeCell ref="NGR5:NGT5"/>
    <mergeCell ref="NGU5:NGW5"/>
    <mergeCell ref="NGX5:NGZ5"/>
    <mergeCell ref="NNY5:NOA5"/>
    <mergeCell ref="NOB5:NOD5"/>
    <mergeCell ref="NOE5:NOG5"/>
    <mergeCell ref="NOH5:NOJ5"/>
    <mergeCell ref="NOK5:NOM5"/>
    <mergeCell ref="NON5:NOP5"/>
    <mergeCell ref="NNG5:NNI5"/>
    <mergeCell ref="NNJ5:NNL5"/>
    <mergeCell ref="NNM5:NNO5"/>
    <mergeCell ref="NNP5:NNR5"/>
    <mergeCell ref="NNS5:NNU5"/>
    <mergeCell ref="NNV5:NNX5"/>
    <mergeCell ref="NMO5:NMQ5"/>
    <mergeCell ref="NMR5:NMT5"/>
    <mergeCell ref="NMU5:NMW5"/>
    <mergeCell ref="NMX5:NMZ5"/>
    <mergeCell ref="NNA5:NNC5"/>
    <mergeCell ref="NND5:NNF5"/>
    <mergeCell ref="NLW5:NLY5"/>
    <mergeCell ref="NLZ5:NMB5"/>
    <mergeCell ref="NMC5:NME5"/>
    <mergeCell ref="NMF5:NMH5"/>
    <mergeCell ref="NMI5:NMK5"/>
    <mergeCell ref="NML5:NMN5"/>
    <mergeCell ref="NLE5:NLG5"/>
    <mergeCell ref="NLH5:NLJ5"/>
    <mergeCell ref="NLK5:NLM5"/>
    <mergeCell ref="NLN5:NLP5"/>
    <mergeCell ref="NLQ5:NLS5"/>
    <mergeCell ref="NLT5:NLV5"/>
    <mergeCell ref="NKM5:NKO5"/>
    <mergeCell ref="NKP5:NKR5"/>
    <mergeCell ref="NKS5:NKU5"/>
    <mergeCell ref="NKV5:NKX5"/>
    <mergeCell ref="NKY5:NLA5"/>
    <mergeCell ref="NLB5:NLD5"/>
    <mergeCell ref="NSC5:NSE5"/>
    <mergeCell ref="NSF5:NSH5"/>
    <mergeCell ref="NSI5:NSK5"/>
    <mergeCell ref="NSL5:NSN5"/>
    <mergeCell ref="NSO5:NSQ5"/>
    <mergeCell ref="NSR5:NST5"/>
    <mergeCell ref="NRK5:NRM5"/>
    <mergeCell ref="NRN5:NRP5"/>
    <mergeCell ref="NRQ5:NRS5"/>
    <mergeCell ref="NRT5:NRV5"/>
    <mergeCell ref="NRW5:NRY5"/>
    <mergeCell ref="NRZ5:NSB5"/>
    <mergeCell ref="NQS5:NQU5"/>
    <mergeCell ref="NQV5:NQX5"/>
    <mergeCell ref="NQY5:NRA5"/>
    <mergeCell ref="NRB5:NRD5"/>
    <mergeCell ref="NRE5:NRG5"/>
    <mergeCell ref="NRH5:NRJ5"/>
    <mergeCell ref="NQA5:NQC5"/>
    <mergeCell ref="NQD5:NQF5"/>
    <mergeCell ref="NQG5:NQI5"/>
    <mergeCell ref="NQJ5:NQL5"/>
    <mergeCell ref="NQM5:NQO5"/>
    <mergeCell ref="NQP5:NQR5"/>
    <mergeCell ref="NPI5:NPK5"/>
    <mergeCell ref="NPL5:NPN5"/>
    <mergeCell ref="NPO5:NPQ5"/>
    <mergeCell ref="NPR5:NPT5"/>
    <mergeCell ref="NPU5:NPW5"/>
    <mergeCell ref="NPX5:NPZ5"/>
    <mergeCell ref="NOQ5:NOS5"/>
    <mergeCell ref="NOT5:NOV5"/>
    <mergeCell ref="NOW5:NOY5"/>
    <mergeCell ref="NOZ5:NPB5"/>
    <mergeCell ref="NPC5:NPE5"/>
    <mergeCell ref="NPF5:NPH5"/>
    <mergeCell ref="NWG5:NWI5"/>
    <mergeCell ref="NWJ5:NWL5"/>
    <mergeCell ref="NWM5:NWO5"/>
    <mergeCell ref="NWP5:NWR5"/>
    <mergeCell ref="NWS5:NWU5"/>
    <mergeCell ref="NWV5:NWX5"/>
    <mergeCell ref="NVO5:NVQ5"/>
    <mergeCell ref="NVR5:NVT5"/>
    <mergeCell ref="NVU5:NVW5"/>
    <mergeCell ref="NVX5:NVZ5"/>
    <mergeCell ref="NWA5:NWC5"/>
    <mergeCell ref="NWD5:NWF5"/>
    <mergeCell ref="NUW5:NUY5"/>
    <mergeCell ref="NUZ5:NVB5"/>
    <mergeCell ref="NVC5:NVE5"/>
    <mergeCell ref="NVF5:NVH5"/>
    <mergeCell ref="NVI5:NVK5"/>
    <mergeCell ref="NVL5:NVN5"/>
    <mergeCell ref="NUE5:NUG5"/>
    <mergeCell ref="NUH5:NUJ5"/>
    <mergeCell ref="NUK5:NUM5"/>
    <mergeCell ref="NUN5:NUP5"/>
    <mergeCell ref="NUQ5:NUS5"/>
    <mergeCell ref="NUT5:NUV5"/>
    <mergeCell ref="NTM5:NTO5"/>
    <mergeCell ref="NTP5:NTR5"/>
    <mergeCell ref="NTS5:NTU5"/>
    <mergeCell ref="NTV5:NTX5"/>
    <mergeCell ref="NTY5:NUA5"/>
    <mergeCell ref="NUB5:NUD5"/>
    <mergeCell ref="NSU5:NSW5"/>
    <mergeCell ref="NSX5:NSZ5"/>
    <mergeCell ref="NTA5:NTC5"/>
    <mergeCell ref="NTD5:NTF5"/>
    <mergeCell ref="NTG5:NTI5"/>
    <mergeCell ref="NTJ5:NTL5"/>
    <mergeCell ref="OAK5:OAM5"/>
    <mergeCell ref="OAN5:OAP5"/>
    <mergeCell ref="OAQ5:OAS5"/>
    <mergeCell ref="OAT5:OAV5"/>
    <mergeCell ref="OAW5:OAY5"/>
    <mergeCell ref="OAZ5:OBB5"/>
    <mergeCell ref="NZS5:NZU5"/>
    <mergeCell ref="NZV5:NZX5"/>
    <mergeCell ref="NZY5:OAA5"/>
    <mergeCell ref="OAB5:OAD5"/>
    <mergeCell ref="OAE5:OAG5"/>
    <mergeCell ref="OAH5:OAJ5"/>
    <mergeCell ref="NZA5:NZC5"/>
    <mergeCell ref="NZD5:NZF5"/>
    <mergeCell ref="NZG5:NZI5"/>
    <mergeCell ref="NZJ5:NZL5"/>
    <mergeCell ref="NZM5:NZO5"/>
    <mergeCell ref="NZP5:NZR5"/>
    <mergeCell ref="NYI5:NYK5"/>
    <mergeCell ref="NYL5:NYN5"/>
    <mergeCell ref="NYO5:NYQ5"/>
    <mergeCell ref="NYR5:NYT5"/>
    <mergeCell ref="NYU5:NYW5"/>
    <mergeCell ref="NYX5:NYZ5"/>
    <mergeCell ref="NXQ5:NXS5"/>
    <mergeCell ref="NXT5:NXV5"/>
    <mergeCell ref="NXW5:NXY5"/>
    <mergeCell ref="NXZ5:NYB5"/>
    <mergeCell ref="NYC5:NYE5"/>
    <mergeCell ref="NYF5:NYH5"/>
    <mergeCell ref="NWY5:NXA5"/>
    <mergeCell ref="NXB5:NXD5"/>
    <mergeCell ref="NXE5:NXG5"/>
    <mergeCell ref="NXH5:NXJ5"/>
    <mergeCell ref="NXK5:NXM5"/>
    <mergeCell ref="NXN5:NXP5"/>
    <mergeCell ref="OEO5:OEQ5"/>
    <mergeCell ref="OER5:OET5"/>
    <mergeCell ref="OEU5:OEW5"/>
    <mergeCell ref="OEX5:OEZ5"/>
    <mergeCell ref="OFA5:OFC5"/>
    <mergeCell ref="OFD5:OFF5"/>
    <mergeCell ref="ODW5:ODY5"/>
    <mergeCell ref="ODZ5:OEB5"/>
    <mergeCell ref="OEC5:OEE5"/>
    <mergeCell ref="OEF5:OEH5"/>
    <mergeCell ref="OEI5:OEK5"/>
    <mergeCell ref="OEL5:OEN5"/>
    <mergeCell ref="ODE5:ODG5"/>
    <mergeCell ref="ODH5:ODJ5"/>
    <mergeCell ref="ODK5:ODM5"/>
    <mergeCell ref="ODN5:ODP5"/>
    <mergeCell ref="ODQ5:ODS5"/>
    <mergeCell ref="ODT5:ODV5"/>
    <mergeCell ref="OCM5:OCO5"/>
    <mergeCell ref="OCP5:OCR5"/>
    <mergeCell ref="OCS5:OCU5"/>
    <mergeCell ref="OCV5:OCX5"/>
    <mergeCell ref="OCY5:ODA5"/>
    <mergeCell ref="ODB5:ODD5"/>
    <mergeCell ref="OBU5:OBW5"/>
    <mergeCell ref="OBX5:OBZ5"/>
    <mergeCell ref="OCA5:OCC5"/>
    <mergeCell ref="OCD5:OCF5"/>
    <mergeCell ref="OCG5:OCI5"/>
    <mergeCell ref="OCJ5:OCL5"/>
    <mergeCell ref="OBC5:OBE5"/>
    <mergeCell ref="OBF5:OBH5"/>
    <mergeCell ref="OBI5:OBK5"/>
    <mergeCell ref="OBL5:OBN5"/>
    <mergeCell ref="OBO5:OBQ5"/>
    <mergeCell ref="OBR5:OBT5"/>
    <mergeCell ref="OIS5:OIU5"/>
    <mergeCell ref="OIV5:OIX5"/>
    <mergeCell ref="OIY5:OJA5"/>
    <mergeCell ref="OJB5:OJD5"/>
    <mergeCell ref="OJE5:OJG5"/>
    <mergeCell ref="OJH5:OJJ5"/>
    <mergeCell ref="OIA5:OIC5"/>
    <mergeCell ref="OID5:OIF5"/>
    <mergeCell ref="OIG5:OII5"/>
    <mergeCell ref="OIJ5:OIL5"/>
    <mergeCell ref="OIM5:OIO5"/>
    <mergeCell ref="OIP5:OIR5"/>
    <mergeCell ref="OHI5:OHK5"/>
    <mergeCell ref="OHL5:OHN5"/>
    <mergeCell ref="OHO5:OHQ5"/>
    <mergeCell ref="OHR5:OHT5"/>
    <mergeCell ref="OHU5:OHW5"/>
    <mergeCell ref="OHX5:OHZ5"/>
    <mergeCell ref="OGQ5:OGS5"/>
    <mergeCell ref="OGT5:OGV5"/>
    <mergeCell ref="OGW5:OGY5"/>
    <mergeCell ref="OGZ5:OHB5"/>
    <mergeCell ref="OHC5:OHE5"/>
    <mergeCell ref="OHF5:OHH5"/>
    <mergeCell ref="OFY5:OGA5"/>
    <mergeCell ref="OGB5:OGD5"/>
    <mergeCell ref="OGE5:OGG5"/>
    <mergeCell ref="OGH5:OGJ5"/>
    <mergeCell ref="OGK5:OGM5"/>
    <mergeCell ref="OGN5:OGP5"/>
    <mergeCell ref="OFG5:OFI5"/>
    <mergeCell ref="OFJ5:OFL5"/>
    <mergeCell ref="OFM5:OFO5"/>
    <mergeCell ref="OFP5:OFR5"/>
    <mergeCell ref="OFS5:OFU5"/>
    <mergeCell ref="OFV5:OFX5"/>
    <mergeCell ref="OMW5:OMY5"/>
    <mergeCell ref="OMZ5:ONB5"/>
    <mergeCell ref="ONC5:ONE5"/>
    <mergeCell ref="ONF5:ONH5"/>
    <mergeCell ref="ONI5:ONK5"/>
    <mergeCell ref="ONL5:ONN5"/>
    <mergeCell ref="OME5:OMG5"/>
    <mergeCell ref="OMH5:OMJ5"/>
    <mergeCell ref="OMK5:OMM5"/>
    <mergeCell ref="OMN5:OMP5"/>
    <mergeCell ref="OMQ5:OMS5"/>
    <mergeCell ref="OMT5:OMV5"/>
    <mergeCell ref="OLM5:OLO5"/>
    <mergeCell ref="OLP5:OLR5"/>
    <mergeCell ref="OLS5:OLU5"/>
    <mergeCell ref="OLV5:OLX5"/>
    <mergeCell ref="OLY5:OMA5"/>
    <mergeCell ref="OMB5:OMD5"/>
    <mergeCell ref="OKU5:OKW5"/>
    <mergeCell ref="OKX5:OKZ5"/>
    <mergeCell ref="OLA5:OLC5"/>
    <mergeCell ref="OLD5:OLF5"/>
    <mergeCell ref="OLG5:OLI5"/>
    <mergeCell ref="OLJ5:OLL5"/>
    <mergeCell ref="OKC5:OKE5"/>
    <mergeCell ref="OKF5:OKH5"/>
    <mergeCell ref="OKI5:OKK5"/>
    <mergeCell ref="OKL5:OKN5"/>
    <mergeCell ref="OKO5:OKQ5"/>
    <mergeCell ref="OKR5:OKT5"/>
    <mergeCell ref="OJK5:OJM5"/>
    <mergeCell ref="OJN5:OJP5"/>
    <mergeCell ref="OJQ5:OJS5"/>
    <mergeCell ref="OJT5:OJV5"/>
    <mergeCell ref="OJW5:OJY5"/>
    <mergeCell ref="OJZ5:OKB5"/>
    <mergeCell ref="ORA5:ORC5"/>
    <mergeCell ref="ORD5:ORF5"/>
    <mergeCell ref="ORG5:ORI5"/>
    <mergeCell ref="ORJ5:ORL5"/>
    <mergeCell ref="ORM5:ORO5"/>
    <mergeCell ref="ORP5:ORR5"/>
    <mergeCell ref="OQI5:OQK5"/>
    <mergeCell ref="OQL5:OQN5"/>
    <mergeCell ref="OQO5:OQQ5"/>
    <mergeCell ref="OQR5:OQT5"/>
    <mergeCell ref="OQU5:OQW5"/>
    <mergeCell ref="OQX5:OQZ5"/>
    <mergeCell ref="OPQ5:OPS5"/>
    <mergeCell ref="OPT5:OPV5"/>
    <mergeCell ref="OPW5:OPY5"/>
    <mergeCell ref="OPZ5:OQB5"/>
    <mergeCell ref="OQC5:OQE5"/>
    <mergeCell ref="OQF5:OQH5"/>
    <mergeCell ref="OOY5:OPA5"/>
    <mergeCell ref="OPB5:OPD5"/>
    <mergeCell ref="OPE5:OPG5"/>
    <mergeCell ref="OPH5:OPJ5"/>
    <mergeCell ref="OPK5:OPM5"/>
    <mergeCell ref="OPN5:OPP5"/>
    <mergeCell ref="OOG5:OOI5"/>
    <mergeCell ref="OOJ5:OOL5"/>
    <mergeCell ref="OOM5:OOO5"/>
    <mergeCell ref="OOP5:OOR5"/>
    <mergeCell ref="OOS5:OOU5"/>
    <mergeCell ref="OOV5:OOX5"/>
    <mergeCell ref="ONO5:ONQ5"/>
    <mergeCell ref="ONR5:ONT5"/>
    <mergeCell ref="ONU5:ONW5"/>
    <mergeCell ref="ONX5:ONZ5"/>
    <mergeCell ref="OOA5:OOC5"/>
    <mergeCell ref="OOD5:OOF5"/>
    <mergeCell ref="OVE5:OVG5"/>
    <mergeCell ref="OVH5:OVJ5"/>
    <mergeCell ref="OVK5:OVM5"/>
    <mergeCell ref="OVN5:OVP5"/>
    <mergeCell ref="OVQ5:OVS5"/>
    <mergeCell ref="OVT5:OVV5"/>
    <mergeCell ref="OUM5:OUO5"/>
    <mergeCell ref="OUP5:OUR5"/>
    <mergeCell ref="OUS5:OUU5"/>
    <mergeCell ref="OUV5:OUX5"/>
    <mergeCell ref="OUY5:OVA5"/>
    <mergeCell ref="OVB5:OVD5"/>
    <mergeCell ref="OTU5:OTW5"/>
    <mergeCell ref="OTX5:OTZ5"/>
    <mergeCell ref="OUA5:OUC5"/>
    <mergeCell ref="OUD5:OUF5"/>
    <mergeCell ref="OUG5:OUI5"/>
    <mergeCell ref="OUJ5:OUL5"/>
    <mergeCell ref="OTC5:OTE5"/>
    <mergeCell ref="OTF5:OTH5"/>
    <mergeCell ref="OTI5:OTK5"/>
    <mergeCell ref="OTL5:OTN5"/>
    <mergeCell ref="OTO5:OTQ5"/>
    <mergeCell ref="OTR5:OTT5"/>
    <mergeCell ref="OSK5:OSM5"/>
    <mergeCell ref="OSN5:OSP5"/>
    <mergeCell ref="OSQ5:OSS5"/>
    <mergeCell ref="OST5:OSV5"/>
    <mergeCell ref="OSW5:OSY5"/>
    <mergeCell ref="OSZ5:OTB5"/>
    <mergeCell ref="ORS5:ORU5"/>
    <mergeCell ref="ORV5:ORX5"/>
    <mergeCell ref="ORY5:OSA5"/>
    <mergeCell ref="OSB5:OSD5"/>
    <mergeCell ref="OSE5:OSG5"/>
    <mergeCell ref="OSH5:OSJ5"/>
    <mergeCell ref="OZI5:OZK5"/>
    <mergeCell ref="OZL5:OZN5"/>
    <mergeCell ref="OZO5:OZQ5"/>
    <mergeCell ref="OZR5:OZT5"/>
    <mergeCell ref="OZU5:OZW5"/>
    <mergeCell ref="OZX5:OZZ5"/>
    <mergeCell ref="OYQ5:OYS5"/>
    <mergeCell ref="OYT5:OYV5"/>
    <mergeCell ref="OYW5:OYY5"/>
    <mergeCell ref="OYZ5:OZB5"/>
    <mergeCell ref="OZC5:OZE5"/>
    <mergeCell ref="OZF5:OZH5"/>
    <mergeCell ref="OXY5:OYA5"/>
    <mergeCell ref="OYB5:OYD5"/>
    <mergeCell ref="OYE5:OYG5"/>
    <mergeCell ref="OYH5:OYJ5"/>
    <mergeCell ref="OYK5:OYM5"/>
    <mergeCell ref="OYN5:OYP5"/>
    <mergeCell ref="OXG5:OXI5"/>
    <mergeCell ref="OXJ5:OXL5"/>
    <mergeCell ref="OXM5:OXO5"/>
    <mergeCell ref="OXP5:OXR5"/>
    <mergeCell ref="OXS5:OXU5"/>
    <mergeCell ref="OXV5:OXX5"/>
    <mergeCell ref="OWO5:OWQ5"/>
    <mergeCell ref="OWR5:OWT5"/>
    <mergeCell ref="OWU5:OWW5"/>
    <mergeCell ref="OWX5:OWZ5"/>
    <mergeCell ref="OXA5:OXC5"/>
    <mergeCell ref="OXD5:OXF5"/>
    <mergeCell ref="OVW5:OVY5"/>
    <mergeCell ref="OVZ5:OWB5"/>
    <mergeCell ref="OWC5:OWE5"/>
    <mergeCell ref="OWF5:OWH5"/>
    <mergeCell ref="OWI5:OWK5"/>
    <mergeCell ref="OWL5:OWN5"/>
    <mergeCell ref="PDM5:PDO5"/>
    <mergeCell ref="PDP5:PDR5"/>
    <mergeCell ref="PDS5:PDU5"/>
    <mergeCell ref="PDV5:PDX5"/>
    <mergeCell ref="PDY5:PEA5"/>
    <mergeCell ref="PEB5:PED5"/>
    <mergeCell ref="PCU5:PCW5"/>
    <mergeCell ref="PCX5:PCZ5"/>
    <mergeCell ref="PDA5:PDC5"/>
    <mergeCell ref="PDD5:PDF5"/>
    <mergeCell ref="PDG5:PDI5"/>
    <mergeCell ref="PDJ5:PDL5"/>
    <mergeCell ref="PCC5:PCE5"/>
    <mergeCell ref="PCF5:PCH5"/>
    <mergeCell ref="PCI5:PCK5"/>
    <mergeCell ref="PCL5:PCN5"/>
    <mergeCell ref="PCO5:PCQ5"/>
    <mergeCell ref="PCR5:PCT5"/>
    <mergeCell ref="PBK5:PBM5"/>
    <mergeCell ref="PBN5:PBP5"/>
    <mergeCell ref="PBQ5:PBS5"/>
    <mergeCell ref="PBT5:PBV5"/>
    <mergeCell ref="PBW5:PBY5"/>
    <mergeCell ref="PBZ5:PCB5"/>
    <mergeCell ref="PAS5:PAU5"/>
    <mergeCell ref="PAV5:PAX5"/>
    <mergeCell ref="PAY5:PBA5"/>
    <mergeCell ref="PBB5:PBD5"/>
    <mergeCell ref="PBE5:PBG5"/>
    <mergeCell ref="PBH5:PBJ5"/>
    <mergeCell ref="PAA5:PAC5"/>
    <mergeCell ref="PAD5:PAF5"/>
    <mergeCell ref="PAG5:PAI5"/>
    <mergeCell ref="PAJ5:PAL5"/>
    <mergeCell ref="PAM5:PAO5"/>
    <mergeCell ref="PAP5:PAR5"/>
    <mergeCell ref="PHQ5:PHS5"/>
    <mergeCell ref="PHT5:PHV5"/>
    <mergeCell ref="PHW5:PHY5"/>
    <mergeCell ref="PHZ5:PIB5"/>
    <mergeCell ref="PIC5:PIE5"/>
    <mergeCell ref="PIF5:PIH5"/>
    <mergeCell ref="PGY5:PHA5"/>
    <mergeCell ref="PHB5:PHD5"/>
    <mergeCell ref="PHE5:PHG5"/>
    <mergeCell ref="PHH5:PHJ5"/>
    <mergeCell ref="PHK5:PHM5"/>
    <mergeCell ref="PHN5:PHP5"/>
    <mergeCell ref="PGG5:PGI5"/>
    <mergeCell ref="PGJ5:PGL5"/>
    <mergeCell ref="PGM5:PGO5"/>
    <mergeCell ref="PGP5:PGR5"/>
    <mergeCell ref="PGS5:PGU5"/>
    <mergeCell ref="PGV5:PGX5"/>
    <mergeCell ref="PFO5:PFQ5"/>
    <mergeCell ref="PFR5:PFT5"/>
    <mergeCell ref="PFU5:PFW5"/>
    <mergeCell ref="PFX5:PFZ5"/>
    <mergeCell ref="PGA5:PGC5"/>
    <mergeCell ref="PGD5:PGF5"/>
    <mergeCell ref="PEW5:PEY5"/>
    <mergeCell ref="PEZ5:PFB5"/>
    <mergeCell ref="PFC5:PFE5"/>
    <mergeCell ref="PFF5:PFH5"/>
    <mergeCell ref="PFI5:PFK5"/>
    <mergeCell ref="PFL5:PFN5"/>
    <mergeCell ref="PEE5:PEG5"/>
    <mergeCell ref="PEH5:PEJ5"/>
    <mergeCell ref="PEK5:PEM5"/>
    <mergeCell ref="PEN5:PEP5"/>
    <mergeCell ref="PEQ5:PES5"/>
    <mergeCell ref="PET5:PEV5"/>
    <mergeCell ref="PLU5:PLW5"/>
    <mergeCell ref="PLX5:PLZ5"/>
    <mergeCell ref="PMA5:PMC5"/>
    <mergeCell ref="PMD5:PMF5"/>
    <mergeCell ref="PMG5:PMI5"/>
    <mergeCell ref="PMJ5:PML5"/>
    <mergeCell ref="PLC5:PLE5"/>
    <mergeCell ref="PLF5:PLH5"/>
    <mergeCell ref="PLI5:PLK5"/>
    <mergeCell ref="PLL5:PLN5"/>
    <mergeCell ref="PLO5:PLQ5"/>
    <mergeCell ref="PLR5:PLT5"/>
    <mergeCell ref="PKK5:PKM5"/>
    <mergeCell ref="PKN5:PKP5"/>
    <mergeCell ref="PKQ5:PKS5"/>
    <mergeCell ref="PKT5:PKV5"/>
    <mergeCell ref="PKW5:PKY5"/>
    <mergeCell ref="PKZ5:PLB5"/>
    <mergeCell ref="PJS5:PJU5"/>
    <mergeCell ref="PJV5:PJX5"/>
    <mergeCell ref="PJY5:PKA5"/>
    <mergeCell ref="PKB5:PKD5"/>
    <mergeCell ref="PKE5:PKG5"/>
    <mergeCell ref="PKH5:PKJ5"/>
    <mergeCell ref="PJA5:PJC5"/>
    <mergeCell ref="PJD5:PJF5"/>
    <mergeCell ref="PJG5:PJI5"/>
    <mergeCell ref="PJJ5:PJL5"/>
    <mergeCell ref="PJM5:PJO5"/>
    <mergeCell ref="PJP5:PJR5"/>
    <mergeCell ref="PII5:PIK5"/>
    <mergeCell ref="PIL5:PIN5"/>
    <mergeCell ref="PIO5:PIQ5"/>
    <mergeCell ref="PIR5:PIT5"/>
    <mergeCell ref="PIU5:PIW5"/>
    <mergeCell ref="PIX5:PIZ5"/>
    <mergeCell ref="PPY5:PQA5"/>
    <mergeCell ref="PQB5:PQD5"/>
    <mergeCell ref="PQE5:PQG5"/>
    <mergeCell ref="PQH5:PQJ5"/>
    <mergeCell ref="PQK5:PQM5"/>
    <mergeCell ref="PQN5:PQP5"/>
    <mergeCell ref="PPG5:PPI5"/>
    <mergeCell ref="PPJ5:PPL5"/>
    <mergeCell ref="PPM5:PPO5"/>
    <mergeCell ref="PPP5:PPR5"/>
    <mergeCell ref="PPS5:PPU5"/>
    <mergeCell ref="PPV5:PPX5"/>
    <mergeCell ref="POO5:POQ5"/>
    <mergeCell ref="POR5:POT5"/>
    <mergeCell ref="POU5:POW5"/>
    <mergeCell ref="POX5:POZ5"/>
    <mergeCell ref="PPA5:PPC5"/>
    <mergeCell ref="PPD5:PPF5"/>
    <mergeCell ref="PNW5:PNY5"/>
    <mergeCell ref="PNZ5:POB5"/>
    <mergeCell ref="POC5:POE5"/>
    <mergeCell ref="POF5:POH5"/>
    <mergeCell ref="POI5:POK5"/>
    <mergeCell ref="POL5:PON5"/>
    <mergeCell ref="PNE5:PNG5"/>
    <mergeCell ref="PNH5:PNJ5"/>
    <mergeCell ref="PNK5:PNM5"/>
    <mergeCell ref="PNN5:PNP5"/>
    <mergeCell ref="PNQ5:PNS5"/>
    <mergeCell ref="PNT5:PNV5"/>
    <mergeCell ref="PMM5:PMO5"/>
    <mergeCell ref="PMP5:PMR5"/>
    <mergeCell ref="PMS5:PMU5"/>
    <mergeCell ref="PMV5:PMX5"/>
    <mergeCell ref="PMY5:PNA5"/>
    <mergeCell ref="PNB5:PND5"/>
    <mergeCell ref="PUC5:PUE5"/>
    <mergeCell ref="PUF5:PUH5"/>
    <mergeCell ref="PUI5:PUK5"/>
    <mergeCell ref="PUL5:PUN5"/>
    <mergeCell ref="PUO5:PUQ5"/>
    <mergeCell ref="PUR5:PUT5"/>
    <mergeCell ref="PTK5:PTM5"/>
    <mergeCell ref="PTN5:PTP5"/>
    <mergeCell ref="PTQ5:PTS5"/>
    <mergeCell ref="PTT5:PTV5"/>
    <mergeCell ref="PTW5:PTY5"/>
    <mergeCell ref="PTZ5:PUB5"/>
    <mergeCell ref="PSS5:PSU5"/>
    <mergeCell ref="PSV5:PSX5"/>
    <mergeCell ref="PSY5:PTA5"/>
    <mergeCell ref="PTB5:PTD5"/>
    <mergeCell ref="PTE5:PTG5"/>
    <mergeCell ref="PTH5:PTJ5"/>
    <mergeCell ref="PSA5:PSC5"/>
    <mergeCell ref="PSD5:PSF5"/>
    <mergeCell ref="PSG5:PSI5"/>
    <mergeCell ref="PSJ5:PSL5"/>
    <mergeCell ref="PSM5:PSO5"/>
    <mergeCell ref="PSP5:PSR5"/>
    <mergeCell ref="PRI5:PRK5"/>
    <mergeCell ref="PRL5:PRN5"/>
    <mergeCell ref="PRO5:PRQ5"/>
    <mergeCell ref="PRR5:PRT5"/>
    <mergeCell ref="PRU5:PRW5"/>
    <mergeCell ref="PRX5:PRZ5"/>
    <mergeCell ref="PQQ5:PQS5"/>
    <mergeCell ref="PQT5:PQV5"/>
    <mergeCell ref="PQW5:PQY5"/>
    <mergeCell ref="PQZ5:PRB5"/>
    <mergeCell ref="PRC5:PRE5"/>
    <mergeCell ref="PRF5:PRH5"/>
    <mergeCell ref="PYG5:PYI5"/>
    <mergeCell ref="PYJ5:PYL5"/>
    <mergeCell ref="PYM5:PYO5"/>
    <mergeCell ref="PYP5:PYR5"/>
    <mergeCell ref="PYS5:PYU5"/>
    <mergeCell ref="PYV5:PYX5"/>
    <mergeCell ref="PXO5:PXQ5"/>
    <mergeCell ref="PXR5:PXT5"/>
    <mergeCell ref="PXU5:PXW5"/>
    <mergeCell ref="PXX5:PXZ5"/>
    <mergeCell ref="PYA5:PYC5"/>
    <mergeCell ref="PYD5:PYF5"/>
    <mergeCell ref="PWW5:PWY5"/>
    <mergeCell ref="PWZ5:PXB5"/>
    <mergeCell ref="PXC5:PXE5"/>
    <mergeCell ref="PXF5:PXH5"/>
    <mergeCell ref="PXI5:PXK5"/>
    <mergeCell ref="PXL5:PXN5"/>
    <mergeCell ref="PWE5:PWG5"/>
    <mergeCell ref="PWH5:PWJ5"/>
    <mergeCell ref="PWK5:PWM5"/>
    <mergeCell ref="PWN5:PWP5"/>
    <mergeCell ref="PWQ5:PWS5"/>
    <mergeCell ref="PWT5:PWV5"/>
    <mergeCell ref="PVM5:PVO5"/>
    <mergeCell ref="PVP5:PVR5"/>
    <mergeCell ref="PVS5:PVU5"/>
    <mergeCell ref="PVV5:PVX5"/>
    <mergeCell ref="PVY5:PWA5"/>
    <mergeCell ref="PWB5:PWD5"/>
    <mergeCell ref="PUU5:PUW5"/>
    <mergeCell ref="PUX5:PUZ5"/>
    <mergeCell ref="PVA5:PVC5"/>
    <mergeCell ref="PVD5:PVF5"/>
    <mergeCell ref="PVG5:PVI5"/>
    <mergeCell ref="PVJ5:PVL5"/>
    <mergeCell ref="QCK5:QCM5"/>
    <mergeCell ref="QCN5:QCP5"/>
    <mergeCell ref="QCQ5:QCS5"/>
    <mergeCell ref="QCT5:QCV5"/>
    <mergeCell ref="QCW5:QCY5"/>
    <mergeCell ref="QCZ5:QDB5"/>
    <mergeCell ref="QBS5:QBU5"/>
    <mergeCell ref="QBV5:QBX5"/>
    <mergeCell ref="QBY5:QCA5"/>
    <mergeCell ref="QCB5:QCD5"/>
    <mergeCell ref="QCE5:QCG5"/>
    <mergeCell ref="QCH5:QCJ5"/>
    <mergeCell ref="QBA5:QBC5"/>
    <mergeCell ref="QBD5:QBF5"/>
    <mergeCell ref="QBG5:QBI5"/>
    <mergeCell ref="QBJ5:QBL5"/>
    <mergeCell ref="QBM5:QBO5"/>
    <mergeCell ref="QBP5:QBR5"/>
    <mergeCell ref="QAI5:QAK5"/>
    <mergeCell ref="QAL5:QAN5"/>
    <mergeCell ref="QAO5:QAQ5"/>
    <mergeCell ref="QAR5:QAT5"/>
    <mergeCell ref="QAU5:QAW5"/>
    <mergeCell ref="QAX5:QAZ5"/>
    <mergeCell ref="PZQ5:PZS5"/>
    <mergeCell ref="PZT5:PZV5"/>
    <mergeCell ref="PZW5:PZY5"/>
    <mergeCell ref="PZZ5:QAB5"/>
    <mergeCell ref="QAC5:QAE5"/>
    <mergeCell ref="QAF5:QAH5"/>
    <mergeCell ref="PYY5:PZA5"/>
    <mergeCell ref="PZB5:PZD5"/>
    <mergeCell ref="PZE5:PZG5"/>
    <mergeCell ref="PZH5:PZJ5"/>
    <mergeCell ref="PZK5:PZM5"/>
    <mergeCell ref="PZN5:PZP5"/>
    <mergeCell ref="QGO5:QGQ5"/>
    <mergeCell ref="QGR5:QGT5"/>
    <mergeCell ref="QGU5:QGW5"/>
    <mergeCell ref="QGX5:QGZ5"/>
    <mergeCell ref="QHA5:QHC5"/>
    <mergeCell ref="QHD5:QHF5"/>
    <mergeCell ref="QFW5:QFY5"/>
    <mergeCell ref="QFZ5:QGB5"/>
    <mergeCell ref="QGC5:QGE5"/>
    <mergeCell ref="QGF5:QGH5"/>
    <mergeCell ref="QGI5:QGK5"/>
    <mergeCell ref="QGL5:QGN5"/>
    <mergeCell ref="QFE5:QFG5"/>
    <mergeCell ref="QFH5:QFJ5"/>
    <mergeCell ref="QFK5:QFM5"/>
    <mergeCell ref="QFN5:QFP5"/>
    <mergeCell ref="QFQ5:QFS5"/>
    <mergeCell ref="QFT5:QFV5"/>
    <mergeCell ref="QEM5:QEO5"/>
    <mergeCell ref="QEP5:QER5"/>
    <mergeCell ref="QES5:QEU5"/>
    <mergeCell ref="QEV5:QEX5"/>
    <mergeCell ref="QEY5:QFA5"/>
    <mergeCell ref="QFB5:QFD5"/>
    <mergeCell ref="QDU5:QDW5"/>
    <mergeCell ref="QDX5:QDZ5"/>
    <mergeCell ref="QEA5:QEC5"/>
    <mergeCell ref="QED5:QEF5"/>
    <mergeCell ref="QEG5:QEI5"/>
    <mergeCell ref="QEJ5:QEL5"/>
    <mergeCell ref="QDC5:QDE5"/>
    <mergeCell ref="QDF5:QDH5"/>
    <mergeCell ref="QDI5:QDK5"/>
    <mergeCell ref="QDL5:QDN5"/>
    <mergeCell ref="QDO5:QDQ5"/>
    <mergeCell ref="QDR5:QDT5"/>
    <mergeCell ref="QKS5:QKU5"/>
    <mergeCell ref="QKV5:QKX5"/>
    <mergeCell ref="QKY5:QLA5"/>
    <mergeCell ref="QLB5:QLD5"/>
    <mergeCell ref="QLE5:QLG5"/>
    <mergeCell ref="QLH5:QLJ5"/>
    <mergeCell ref="QKA5:QKC5"/>
    <mergeCell ref="QKD5:QKF5"/>
    <mergeCell ref="QKG5:QKI5"/>
    <mergeCell ref="QKJ5:QKL5"/>
    <mergeCell ref="QKM5:QKO5"/>
    <mergeCell ref="QKP5:QKR5"/>
    <mergeCell ref="QJI5:QJK5"/>
    <mergeCell ref="QJL5:QJN5"/>
    <mergeCell ref="QJO5:QJQ5"/>
    <mergeCell ref="QJR5:QJT5"/>
    <mergeCell ref="QJU5:QJW5"/>
    <mergeCell ref="QJX5:QJZ5"/>
    <mergeCell ref="QIQ5:QIS5"/>
    <mergeCell ref="QIT5:QIV5"/>
    <mergeCell ref="QIW5:QIY5"/>
    <mergeCell ref="QIZ5:QJB5"/>
    <mergeCell ref="QJC5:QJE5"/>
    <mergeCell ref="QJF5:QJH5"/>
    <mergeCell ref="QHY5:QIA5"/>
    <mergeCell ref="QIB5:QID5"/>
    <mergeCell ref="QIE5:QIG5"/>
    <mergeCell ref="QIH5:QIJ5"/>
    <mergeCell ref="QIK5:QIM5"/>
    <mergeCell ref="QIN5:QIP5"/>
    <mergeCell ref="QHG5:QHI5"/>
    <mergeCell ref="QHJ5:QHL5"/>
    <mergeCell ref="QHM5:QHO5"/>
    <mergeCell ref="QHP5:QHR5"/>
    <mergeCell ref="QHS5:QHU5"/>
    <mergeCell ref="QHV5:QHX5"/>
    <mergeCell ref="QOW5:QOY5"/>
    <mergeCell ref="QOZ5:QPB5"/>
    <mergeCell ref="QPC5:QPE5"/>
    <mergeCell ref="QPF5:QPH5"/>
    <mergeCell ref="QPI5:QPK5"/>
    <mergeCell ref="QPL5:QPN5"/>
    <mergeCell ref="QOE5:QOG5"/>
    <mergeCell ref="QOH5:QOJ5"/>
    <mergeCell ref="QOK5:QOM5"/>
    <mergeCell ref="QON5:QOP5"/>
    <mergeCell ref="QOQ5:QOS5"/>
    <mergeCell ref="QOT5:QOV5"/>
    <mergeCell ref="QNM5:QNO5"/>
    <mergeCell ref="QNP5:QNR5"/>
    <mergeCell ref="QNS5:QNU5"/>
    <mergeCell ref="QNV5:QNX5"/>
    <mergeCell ref="QNY5:QOA5"/>
    <mergeCell ref="QOB5:QOD5"/>
    <mergeCell ref="QMU5:QMW5"/>
    <mergeCell ref="QMX5:QMZ5"/>
    <mergeCell ref="QNA5:QNC5"/>
    <mergeCell ref="QND5:QNF5"/>
    <mergeCell ref="QNG5:QNI5"/>
    <mergeCell ref="QNJ5:QNL5"/>
    <mergeCell ref="QMC5:QME5"/>
    <mergeCell ref="QMF5:QMH5"/>
    <mergeCell ref="QMI5:QMK5"/>
    <mergeCell ref="QML5:QMN5"/>
    <mergeCell ref="QMO5:QMQ5"/>
    <mergeCell ref="QMR5:QMT5"/>
    <mergeCell ref="QLK5:QLM5"/>
    <mergeCell ref="QLN5:QLP5"/>
    <mergeCell ref="QLQ5:QLS5"/>
    <mergeCell ref="QLT5:QLV5"/>
    <mergeCell ref="QLW5:QLY5"/>
    <mergeCell ref="QLZ5:QMB5"/>
    <mergeCell ref="QTA5:QTC5"/>
    <mergeCell ref="QTD5:QTF5"/>
    <mergeCell ref="QTG5:QTI5"/>
    <mergeCell ref="QTJ5:QTL5"/>
    <mergeCell ref="QTM5:QTO5"/>
    <mergeCell ref="QTP5:QTR5"/>
    <mergeCell ref="QSI5:QSK5"/>
    <mergeCell ref="QSL5:QSN5"/>
    <mergeCell ref="QSO5:QSQ5"/>
    <mergeCell ref="QSR5:QST5"/>
    <mergeCell ref="QSU5:QSW5"/>
    <mergeCell ref="QSX5:QSZ5"/>
    <mergeCell ref="QRQ5:QRS5"/>
    <mergeCell ref="QRT5:QRV5"/>
    <mergeCell ref="QRW5:QRY5"/>
    <mergeCell ref="QRZ5:QSB5"/>
    <mergeCell ref="QSC5:QSE5"/>
    <mergeCell ref="QSF5:QSH5"/>
    <mergeCell ref="QQY5:QRA5"/>
    <mergeCell ref="QRB5:QRD5"/>
    <mergeCell ref="QRE5:QRG5"/>
    <mergeCell ref="QRH5:QRJ5"/>
    <mergeCell ref="QRK5:QRM5"/>
    <mergeCell ref="QRN5:QRP5"/>
    <mergeCell ref="QQG5:QQI5"/>
    <mergeCell ref="QQJ5:QQL5"/>
    <mergeCell ref="QQM5:QQO5"/>
    <mergeCell ref="QQP5:QQR5"/>
    <mergeCell ref="QQS5:QQU5"/>
    <mergeCell ref="QQV5:QQX5"/>
    <mergeCell ref="QPO5:QPQ5"/>
    <mergeCell ref="QPR5:QPT5"/>
    <mergeCell ref="QPU5:QPW5"/>
    <mergeCell ref="QPX5:QPZ5"/>
    <mergeCell ref="QQA5:QQC5"/>
    <mergeCell ref="QQD5:QQF5"/>
    <mergeCell ref="QXE5:QXG5"/>
    <mergeCell ref="QXH5:QXJ5"/>
    <mergeCell ref="QXK5:QXM5"/>
    <mergeCell ref="QXN5:QXP5"/>
    <mergeCell ref="QXQ5:QXS5"/>
    <mergeCell ref="QXT5:QXV5"/>
    <mergeCell ref="QWM5:QWO5"/>
    <mergeCell ref="QWP5:QWR5"/>
    <mergeCell ref="QWS5:QWU5"/>
    <mergeCell ref="QWV5:QWX5"/>
    <mergeCell ref="QWY5:QXA5"/>
    <mergeCell ref="QXB5:QXD5"/>
    <mergeCell ref="QVU5:QVW5"/>
    <mergeCell ref="QVX5:QVZ5"/>
    <mergeCell ref="QWA5:QWC5"/>
    <mergeCell ref="QWD5:QWF5"/>
    <mergeCell ref="QWG5:QWI5"/>
    <mergeCell ref="QWJ5:QWL5"/>
    <mergeCell ref="QVC5:QVE5"/>
    <mergeCell ref="QVF5:QVH5"/>
    <mergeCell ref="QVI5:QVK5"/>
    <mergeCell ref="QVL5:QVN5"/>
    <mergeCell ref="QVO5:QVQ5"/>
    <mergeCell ref="QVR5:QVT5"/>
    <mergeCell ref="QUK5:QUM5"/>
    <mergeCell ref="QUN5:QUP5"/>
    <mergeCell ref="QUQ5:QUS5"/>
    <mergeCell ref="QUT5:QUV5"/>
    <mergeCell ref="QUW5:QUY5"/>
    <mergeCell ref="QUZ5:QVB5"/>
    <mergeCell ref="QTS5:QTU5"/>
    <mergeCell ref="QTV5:QTX5"/>
    <mergeCell ref="QTY5:QUA5"/>
    <mergeCell ref="QUB5:QUD5"/>
    <mergeCell ref="QUE5:QUG5"/>
    <mergeCell ref="QUH5:QUJ5"/>
    <mergeCell ref="RBI5:RBK5"/>
    <mergeCell ref="RBL5:RBN5"/>
    <mergeCell ref="RBO5:RBQ5"/>
    <mergeCell ref="RBR5:RBT5"/>
    <mergeCell ref="RBU5:RBW5"/>
    <mergeCell ref="RBX5:RBZ5"/>
    <mergeCell ref="RAQ5:RAS5"/>
    <mergeCell ref="RAT5:RAV5"/>
    <mergeCell ref="RAW5:RAY5"/>
    <mergeCell ref="RAZ5:RBB5"/>
    <mergeCell ref="RBC5:RBE5"/>
    <mergeCell ref="RBF5:RBH5"/>
    <mergeCell ref="QZY5:RAA5"/>
    <mergeCell ref="RAB5:RAD5"/>
    <mergeCell ref="RAE5:RAG5"/>
    <mergeCell ref="RAH5:RAJ5"/>
    <mergeCell ref="RAK5:RAM5"/>
    <mergeCell ref="RAN5:RAP5"/>
    <mergeCell ref="QZG5:QZI5"/>
    <mergeCell ref="QZJ5:QZL5"/>
    <mergeCell ref="QZM5:QZO5"/>
    <mergeCell ref="QZP5:QZR5"/>
    <mergeCell ref="QZS5:QZU5"/>
    <mergeCell ref="QZV5:QZX5"/>
    <mergeCell ref="QYO5:QYQ5"/>
    <mergeCell ref="QYR5:QYT5"/>
    <mergeCell ref="QYU5:QYW5"/>
    <mergeCell ref="QYX5:QYZ5"/>
    <mergeCell ref="QZA5:QZC5"/>
    <mergeCell ref="QZD5:QZF5"/>
    <mergeCell ref="QXW5:QXY5"/>
    <mergeCell ref="QXZ5:QYB5"/>
    <mergeCell ref="QYC5:QYE5"/>
    <mergeCell ref="QYF5:QYH5"/>
    <mergeCell ref="QYI5:QYK5"/>
    <mergeCell ref="QYL5:QYN5"/>
    <mergeCell ref="RFM5:RFO5"/>
    <mergeCell ref="RFP5:RFR5"/>
    <mergeCell ref="RFS5:RFU5"/>
    <mergeCell ref="RFV5:RFX5"/>
    <mergeCell ref="RFY5:RGA5"/>
    <mergeCell ref="RGB5:RGD5"/>
    <mergeCell ref="REU5:REW5"/>
    <mergeCell ref="REX5:REZ5"/>
    <mergeCell ref="RFA5:RFC5"/>
    <mergeCell ref="RFD5:RFF5"/>
    <mergeCell ref="RFG5:RFI5"/>
    <mergeCell ref="RFJ5:RFL5"/>
    <mergeCell ref="REC5:REE5"/>
    <mergeCell ref="REF5:REH5"/>
    <mergeCell ref="REI5:REK5"/>
    <mergeCell ref="REL5:REN5"/>
    <mergeCell ref="REO5:REQ5"/>
    <mergeCell ref="RER5:RET5"/>
    <mergeCell ref="RDK5:RDM5"/>
    <mergeCell ref="RDN5:RDP5"/>
    <mergeCell ref="RDQ5:RDS5"/>
    <mergeCell ref="RDT5:RDV5"/>
    <mergeCell ref="RDW5:RDY5"/>
    <mergeCell ref="RDZ5:REB5"/>
    <mergeCell ref="RCS5:RCU5"/>
    <mergeCell ref="RCV5:RCX5"/>
    <mergeCell ref="RCY5:RDA5"/>
    <mergeCell ref="RDB5:RDD5"/>
    <mergeCell ref="RDE5:RDG5"/>
    <mergeCell ref="RDH5:RDJ5"/>
    <mergeCell ref="RCA5:RCC5"/>
    <mergeCell ref="RCD5:RCF5"/>
    <mergeCell ref="RCG5:RCI5"/>
    <mergeCell ref="RCJ5:RCL5"/>
    <mergeCell ref="RCM5:RCO5"/>
    <mergeCell ref="RCP5:RCR5"/>
    <mergeCell ref="RJQ5:RJS5"/>
    <mergeCell ref="RJT5:RJV5"/>
    <mergeCell ref="RJW5:RJY5"/>
    <mergeCell ref="RJZ5:RKB5"/>
    <mergeCell ref="RKC5:RKE5"/>
    <mergeCell ref="RKF5:RKH5"/>
    <mergeCell ref="RIY5:RJA5"/>
    <mergeCell ref="RJB5:RJD5"/>
    <mergeCell ref="RJE5:RJG5"/>
    <mergeCell ref="RJH5:RJJ5"/>
    <mergeCell ref="RJK5:RJM5"/>
    <mergeCell ref="RJN5:RJP5"/>
    <mergeCell ref="RIG5:RII5"/>
    <mergeCell ref="RIJ5:RIL5"/>
    <mergeCell ref="RIM5:RIO5"/>
    <mergeCell ref="RIP5:RIR5"/>
    <mergeCell ref="RIS5:RIU5"/>
    <mergeCell ref="RIV5:RIX5"/>
    <mergeCell ref="RHO5:RHQ5"/>
    <mergeCell ref="RHR5:RHT5"/>
    <mergeCell ref="RHU5:RHW5"/>
    <mergeCell ref="RHX5:RHZ5"/>
    <mergeCell ref="RIA5:RIC5"/>
    <mergeCell ref="RID5:RIF5"/>
    <mergeCell ref="RGW5:RGY5"/>
    <mergeCell ref="RGZ5:RHB5"/>
    <mergeCell ref="RHC5:RHE5"/>
    <mergeCell ref="RHF5:RHH5"/>
    <mergeCell ref="RHI5:RHK5"/>
    <mergeCell ref="RHL5:RHN5"/>
    <mergeCell ref="RGE5:RGG5"/>
    <mergeCell ref="RGH5:RGJ5"/>
    <mergeCell ref="RGK5:RGM5"/>
    <mergeCell ref="RGN5:RGP5"/>
    <mergeCell ref="RGQ5:RGS5"/>
    <mergeCell ref="RGT5:RGV5"/>
    <mergeCell ref="RNU5:RNW5"/>
    <mergeCell ref="RNX5:RNZ5"/>
    <mergeCell ref="ROA5:ROC5"/>
    <mergeCell ref="ROD5:ROF5"/>
    <mergeCell ref="ROG5:ROI5"/>
    <mergeCell ref="ROJ5:ROL5"/>
    <mergeCell ref="RNC5:RNE5"/>
    <mergeCell ref="RNF5:RNH5"/>
    <mergeCell ref="RNI5:RNK5"/>
    <mergeCell ref="RNL5:RNN5"/>
    <mergeCell ref="RNO5:RNQ5"/>
    <mergeCell ref="RNR5:RNT5"/>
    <mergeCell ref="RMK5:RMM5"/>
    <mergeCell ref="RMN5:RMP5"/>
    <mergeCell ref="RMQ5:RMS5"/>
    <mergeCell ref="RMT5:RMV5"/>
    <mergeCell ref="RMW5:RMY5"/>
    <mergeCell ref="RMZ5:RNB5"/>
    <mergeCell ref="RLS5:RLU5"/>
    <mergeCell ref="RLV5:RLX5"/>
    <mergeCell ref="RLY5:RMA5"/>
    <mergeCell ref="RMB5:RMD5"/>
    <mergeCell ref="RME5:RMG5"/>
    <mergeCell ref="RMH5:RMJ5"/>
    <mergeCell ref="RLA5:RLC5"/>
    <mergeCell ref="RLD5:RLF5"/>
    <mergeCell ref="RLG5:RLI5"/>
    <mergeCell ref="RLJ5:RLL5"/>
    <mergeCell ref="RLM5:RLO5"/>
    <mergeCell ref="RLP5:RLR5"/>
    <mergeCell ref="RKI5:RKK5"/>
    <mergeCell ref="RKL5:RKN5"/>
    <mergeCell ref="RKO5:RKQ5"/>
    <mergeCell ref="RKR5:RKT5"/>
    <mergeCell ref="RKU5:RKW5"/>
    <mergeCell ref="RKX5:RKZ5"/>
    <mergeCell ref="RRY5:RSA5"/>
    <mergeCell ref="RSB5:RSD5"/>
    <mergeCell ref="RSE5:RSG5"/>
    <mergeCell ref="RSH5:RSJ5"/>
    <mergeCell ref="RSK5:RSM5"/>
    <mergeCell ref="RSN5:RSP5"/>
    <mergeCell ref="RRG5:RRI5"/>
    <mergeCell ref="RRJ5:RRL5"/>
    <mergeCell ref="RRM5:RRO5"/>
    <mergeCell ref="RRP5:RRR5"/>
    <mergeCell ref="RRS5:RRU5"/>
    <mergeCell ref="RRV5:RRX5"/>
    <mergeCell ref="RQO5:RQQ5"/>
    <mergeCell ref="RQR5:RQT5"/>
    <mergeCell ref="RQU5:RQW5"/>
    <mergeCell ref="RQX5:RQZ5"/>
    <mergeCell ref="RRA5:RRC5"/>
    <mergeCell ref="RRD5:RRF5"/>
    <mergeCell ref="RPW5:RPY5"/>
    <mergeCell ref="RPZ5:RQB5"/>
    <mergeCell ref="RQC5:RQE5"/>
    <mergeCell ref="RQF5:RQH5"/>
    <mergeCell ref="RQI5:RQK5"/>
    <mergeCell ref="RQL5:RQN5"/>
    <mergeCell ref="RPE5:RPG5"/>
    <mergeCell ref="RPH5:RPJ5"/>
    <mergeCell ref="RPK5:RPM5"/>
    <mergeCell ref="RPN5:RPP5"/>
    <mergeCell ref="RPQ5:RPS5"/>
    <mergeCell ref="RPT5:RPV5"/>
    <mergeCell ref="ROM5:ROO5"/>
    <mergeCell ref="ROP5:ROR5"/>
    <mergeCell ref="ROS5:ROU5"/>
    <mergeCell ref="ROV5:ROX5"/>
    <mergeCell ref="ROY5:RPA5"/>
    <mergeCell ref="RPB5:RPD5"/>
    <mergeCell ref="RWC5:RWE5"/>
    <mergeCell ref="RWF5:RWH5"/>
    <mergeCell ref="RWI5:RWK5"/>
    <mergeCell ref="RWL5:RWN5"/>
    <mergeCell ref="RWO5:RWQ5"/>
    <mergeCell ref="RWR5:RWT5"/>
    <mergeCell ref="RVK5:RVM5"/>
    <mergeCell ref="RVN5:RVP5"/>
    <mergeCell ref="RVQ5:RVS5"/>
    <mergeCell ref="RVT5:RVV5"/>
    <mergeCell ref="RVW5:RVY5"/>
    <mergeCell ref="RVZ5:RWB5"/>
    <mergeCell ref="RUS5:RUU5"/>
    <mergeCell ref="RUV5:RUX5"/>
    <mergeCell ref="RUY5:RVA5"/>
    <mergeCell ref="RVB5:RVD5"/>
    <mergeCell ref="RVE5:RVG5"/>
    <mergeCell ref="RVH5:RVJ5"/>
    <mergeCell ref="RUA5:RUC5"/>
    <mergeCell ref="RUD5:RUF5"/>
    <mergeCell ref="RUG5:RUI5"/>
    <mergeCell ref="RUJ5:RUL5"/>
    <mergeCell ref="RUM5:RUO5"/>
    <mergeCell ref="RUP5:RUR5"/>
    <mergeCell ref="RTI5:RTK5"/>
    <mergeCell ref="RTL5:RTN5"/>
    <mergeCell ref="RTO5:RTQ5"/>
    <mergeCell ref="RTR5:RTT5"/>
    <mergeCell ref="RTU5:RTW5"/>
    <mergeCell ref="RTX5:RTZ5"/>
    <mergeCell ref="RSQ5:RSS5"/>
    <mergeCell ref="RST5:RSV5"/>
    <mergeCell ref="RSW5:RSY5"/>
    <mergeCell ref="RSZ5:RTB5"/>
    <mergeCell ref="RTC5:RTE5"/>
    <mergeCell ref="RTF5:RTH5"/>
    <mergeCell ref="SAG5:SAI5"/>
    <mergeCell ref="SAJ5:SAL5"/>
    <mergeCell ref="SAM5:SAO5"/>
    <mergeCell ref="SAP5:SAR5"/>
    <mergeCell ref="SAS5:SAU5"/>
    <mergeCell ref="SAV5:SAX5"/>
    <mergeCell ref="RZO5:RZQ5"/>
    <mergeCell ref="RZR5:RZT5"/>
    <mergeCell ref="RZU5:RZW5"/>
    <mergeCell ref="RZX5:RZZ5"/>
    <mergeCell ref="SAA5:SAC5"/>
    <mergeCell ref="SAD5:SAF5"/>
    <mergeCell ref="RYW5:RYY5"/>
    <mergeCell ref="RYZ5:RZB5"/>
    <mergeCell ref="RZC5:RZE5"/>
    <mergeCell ref="RZF5:RZH5"/>
    <mergeCell ref="RZI5:RZK5"/>
    <mergeCell ref="RZL5:RZN5"/>
    <mergeCell ref="RYE5:RYG5"/>
    <mergeCell ref="RYH5:RYJ5"/>
    <mergeCell ref="RYK5:RYM5"/>
    <mergeCell ref="RYN5:RYP5"/>
    <mergeCell ref="RYQ5:RYS5"/>
    <mergeCell ref="RYT5:RYV5"/>
    <mergeCell ref="RXM5:RXO5"/>
    <mergeCell ref="RXP5:RXR5"/>
    <mergeCell ref="RXS5:RXU5"/>
    <mergeCell ref="RXV5:RXX5"/>
    <mergeCell ref="RXY5:RYA5"/>
    <mergeCell ref="RYB5:RYD5"/>
    <mergeCell ref="RWU5:RWW5"/>
    <mergeCell ref="RWX5:RWZ5"/>
    <mergeCell ref="RXA5:RXC5"/>
    <mergeCell ref="RXD5:RXF5"/>
    <mergeCell ref="RXG5:RXI5"/>
    <mergeCell ref="RXJ5:RXL5"/>
    <mergeCell ref="SEK5:SEM5"/>
    <mergeCell ref="SEN5:SEP5"/>
    <mergeCell ref="SEQ5:SES5"/>
    <mergeCell ref="SET5:SEV5"/>
    <mergeCell ref="SEW5:SEY5"/>
    <mergeCell ref="SEZ5:SFB5"/>
    <mergeCell ref="SDS5:SDU5"/>
    <mergeCell ref="SDV5:SDX5"/>
    <mergeCell ref="SDY5:SEA5"/>
    <mergeCell ref="SEB5:SED5"/>
    <mergeCell ref="SEE5:SEG5"/>
    <mergeCell ref="SEH5:SEJ5"/>
    <mergeCell ref="SDA5:SDC5"/>
    <mergeCell ref="SDD5:SDF5"/>
    <mergeCell ref="SDG5:SDI5"/>
    <mergeCell ref="SDJ5:SDL5"/>
    <mergeCell ref="SDM5:SDO5"/>
    <mergeCell ref="SDP5:SDR5"/>
    <mergeCell ref="SCI5:SCK5"/>
    <mergeCell ref="SCL5:SCN5"/>
    <mergeCell ref="SCO5:SCQ5"/>
    <mergeCell ref="SCR5:SCT5"/>
    <mergeCell ref="SCU5:SCW5"/>
    <mergeCell ref="SCX5:SCZ5"/>
    <mergeCell ref="SBQ5:SBS5"/>
    <mergeCell ref="SBT5:SBV5"/>
    <mergeCell ref="SBW5:SBY5"/>
    <mergeCell ref="SBZ5:SCB5"/>
    <mergeCell ref="SCC5:SCE5"/>
    <mergeCell ref="SCF5:SCH5"/>
    <mergeCell ref="SAY5:SBA5"/>
    <mergeCell ref="SBB5:SBD5"/>
    <mergeCell ref="SBE5:SBG5"/>
    <mergeCell ref="SBH5:SBJ5"/>
    <mergeCell ref="SBK5:SBM5"/>
    <mergeCell ref="SBN5:SBP5"/>
    <mergeCell ref="SIO5:SIQ5"/>
    <mergeCell ref="SIR5:SIT5"/>
    <mergeCell ref="SIU5:SIW5"/>
    <mergeCell ref="SIX5:SIZ5"/>
    <mergeCell ref="SJA5:SJC5"/>
    <mergeCell ref="SJD5:SJF5"/>
    <mergeCell ref="SHW5:SHY5"/>
    <mergeCell ref="SHZ5:SIB5"/>
    <mergeCell ref="SIC5:SIE5"/>
    <mergeCell ref="SIF5:SIH5"/>
    <mergeCell ref="SII5:SIK5"/>
    <mergeCell ref="SIL5:SIN5"/>
    <mergeCell ref="SHE5:SHG5"/>
    <mergeCell ref="SHH5:SHJ5"/>
    <mergeCell ref="SHK5:SHM5"/>
    <mergeCell ref="SHN5:SHP5"/>
    <mergeCell ref="SHQ5:SHS5"/>
    <mergeCell ref="SHT5:SHV5"/>
    <mergeCell ref="SGM5:SGO5"/>
    <mergeCell ref="SGP5:SGR5"/>
    <mergeCell ref="SGS5:SGU5"/>
    <mergeCell ref="SGV5:SGX5"/>
    <mergeCell ref="SGY5:SHA5"/>
    <mergeCell ref="SHB5:SHD5"/>
    <mergeCell ref="SFU5:SFW5"/>
    <mergeCell ref="SFX5:SFZ5"/>
    <mergeCell ref="SGA5:SGC5"/>
    <mergeCell ref="SGD5:SGF5"/>
    <mergeCell ref="SGG5:SGI5"/>
    <mergeCell ref="SGJ5:SGL5"/>
    <mergeCell ref="SFC5:SFE5"/>
    <mergeCell ref="SFF5:SFH5"/>
    <mergeCell ref="SFI5:SFK5"/>
    <mergeCell ref="SFL5:SFN5"/>
    <mergeCell ref="SFO5:SFQ5"/>
    <mergeCell ref="SFR5:SFT5"/>
    <mergeCell ref="SMS5:SMU5"/>
    <mergeCell ref="SMV5:SMX5"/>
    <mergeCell ref="SMY5:SNA5"/>
    <mergeCell ref="SNB5:SND5"/>
    <mergeCell ref="SNE5:SNG5"/>
    <mergeCell ref="SNH5:SNJ5"/>
    <mergeCell ref="SMA5:SMC5"/>
    <mergeCell ref="SMD5:SMF5"/>
    <mergeCell ref="SMG5:SMI5"/>
    <mergeCell ref="SMJ5:SML5"/>
    <mergeCell ref="SMM5:SMO5"/>
    <mergeCell ref="SMP5:SMR5"/>
    <mergeCell ref="SLI5:SLK5"/>
    <mergeCell ref="SLL5:SLN5"/>
    <mergeCell ref="SLO5:SLQ5"/>
    <mergeCell ref="SLR5:SLT5"/>
    <mergeCell ref="SLU5:SLW5"/>
    <mergeCell ref="SLX5:SLZ5"/>
    <mergeCell ref="SKQ5:SKS5"/>
    <mergeCell ref="SKT5:SKV5"/>
    <mergeCell ref="SKW5:SKY5"/>
    <mergeCell ref="SKZ5:SLB5"/>
    <mergeCell ref="SLC5:SLE5"/>
    <mergeCell ref="SLF5:SLH5"/>
    <mergeCell ref="SJY5:SKA5"/>
    <mergeCell ref="SKB5:SKD5"/>
    <mergeCell ref="SKE5:SKG5"/>
    <mergeCell ref="SKH5:SKJ5"/>
    <mergeCell ref="SKK5:SKM5"/>
    <mergeCell ref="SKN5:SKP5"/>
    <mergeCell ref="SJG5:SJI5"/>
    <mergeCell ref="SJJ5:SJL5"/>
    <mergeCell ref="SJM5:SJO5"/>
    <mergeCell ref="SJP5:SJR5"/>
    <mergeCell ref="SJS5:SJU5"/>
    <mergeCell ref="SJV5:SJX5"/>
    <mergeCell ref="SQW5:SQY5"/>
    <mergeCell ref="SQZ5:SRB5"/>
    <mergeCell ref="SRC5:SRE5"/>
    <mergeCell ref="SRF5:SRH5"/>
    <mergeCell ref="SRI5:SRK5"/>
    <mergeCell ref="SRL5:SRN5"/>
    <mergeCell ref="SQE5:SQG5"/>
    <mergeCell ref="SQH5:SQJ5"/>
    <mergeCell ref="SQK5:SQM5"/>
    <mergeCell ref="SQN5:SQP5"/>
    <mergeCell ref="SQQ5:SQS5"/>
    <mergeCell ref="SQT5:SQV5"/>
    <mergeCell ref="SPM5:SPO5"/>
    <mergeCell ref="SPP5:SPR5"/>
    <mergeCell ref="SPS5:SPU5"/>
    <mergeCell ref="SPV5:SPX5"/>
    <mergeCell ref="SPY5:SQA5"/>
    <mergeCell ref="SQB5:SQD5"/>
    <mergeCell ref="SOU5:SOW5"/>
    <mergeCell ref="SOX5:SOZ5"/>
    <mergeCell ref="SPA5:SPC5"/>
    <mergeCell ref="SPD5:SPF5"/>
    <mergeCell ref="SPG5:SPI5"/>
    <mergeCell ref="SPJ5:SPL5"/>
    <mergeCell ref="SOC5:SOE5"/>
    <mergeCell ref="SOF5:SOH5"/>
    <mergeCell ref="SOI5:SOK5"/>
    <mergeCell ref="SOL5:SON5"/>
    <mergeCell ref="SOO5:SOQ5"/>
    <mergeCell ref="SOR5:SOT5"/>
    <mergeCell ref="SNK5:SNM5"/>
    <mergeCell ref="SNN5:SNP5"/>
    <mergeCell ref="SNQ5:SNS5"/>
    <mergeCell ref="SNT5:SNV5"/>
    <mergeCell ref="SNW5:SNY5"/>
    <mergeCell ref="SNZ5:SOB5"/>
    <mergeCell ref="SVA5:SVC5"/>
    <mergeCell ref="SVD5:SVF5"/>
    <mergeCell ref="SVG5:SVI5"/>
    <mergeCell ref="SVJ5:SVL5"/>
    <mergeCell ref="SVM5:SVO5"/>
    <mergeCell ref="SVP5:SVR5"/>
    <mergeCell ref="SUI5:SUK5"/>
    <mergeCell ref="SUL5:SUN5"/>
    <mergeCell ref="SUO5:SUQ5"/>
    <mergeCell ref="SUR5:SUT5"/>
    <mergeCell ref="SUU5:SUW5"/>
    <mergeCell ref="SUX5:SUZ5"/>
    <mergeCell ref="STQ5:STS5"/>
    <mergeCell ref="STT5:STV5"/>
    <mergeCell ref="STW5:STY5"/>
    <mergeCell ref="STZ5:SUB5"/>
    <mergeCell ref="SUC5:SUE5"/>
    <mergeCell ref="SUF5:SUH5"/>
    <mergeCell ref="SSY5:STA5"/>
    <mergeCell ref="STB5:STD5"/>
    <mergeCell ref="STE5:STG5"/>
    <mergeCell ref="STH5:STJ5"/>
    <mergeCell ref="STK5:STM5"/>
    <mergeCell ref="STN5:STP5"/>
    <mergeCell ref="SSG5:SSI5"/>
    <mergeCell ref="SSJ5:SSL5"/>
    <mergeCell ref="SSM5:SSO5"/>
    <mergeCell ref="SSP5:SSR5"/>
    <mergeCell ref="SSS5:SSU5"/>
    <mergeCell ref="SSV5:SSX5"/>
    <mergeCell ref="SRO5:SRQ5"/>
    <mergeCell ref="SRR5:SRT5"/>
    <mergeCell ref="SRU5:SRW5"/>
    <mergeCell ref="SRX5:SRZ5"/>
    <mergeCell ref="SSA5:SSC5"/>
    <mergeCell ref="SSD5:SSF5"/>
    <mergeCell ref="SZE5:SZG5"/>
    <mergeCell ref="SZH5:SZJ5"/>
    <mergeCell ref="SZK5:SZM5"/>
    <mergeCell ref="SZN5:SZP5"/>
    <mergeCell ref="SZQ5:SZS5"/>
    <mergeCell ref="SZT5:SZV5"/>
    <mergeCell ref="SYM5:SYO5"/>
    <mergeCell ref="SYP5:SYR5"/>
    <mergeCell ref="SYS5:SYU5"/>
    <mergeCell ref="SYV5:SYX5"/>
    <mergeCell ref="SYY5:SZA5"/>
    <mergeCell ref="SZB5:SZD5"/>
    <mergeCell ref="SXU5:SXW5"/>
    <mergeCell ref="SXX5:SXZ5"/>
    <mergeCell ref="SYA5:SYC5"/>
    <mergeCell ref="SYD5:SYF5"/>
    <mergeCell ref="SYG5:SYI5"/>
    <mergeCell ref="SYJ5:SYL5"/>
    <mergeCell ref="SXC5:SXE5"/>
    <mergeCell ref="SXF5:SXH5"/>
    <mergeCell ref="SXI5:SXK5"/>
    <mergeCell ref="SXL5:SXN5"/>
    <mergeCell ref="SXO5:SXQ5"/>
    <mergeCell ref="SXR5:SXT5"/>
    <mergeCell ref="SWK5:SWM5"/>
    <mergeCell ref="SWN5:SWP5"/>
    <mergeCell ref="SWQ5:SWS5"/>
    <mergeCell ref="SWT5:SWV5"/>
    <mergeCell ref="SWW5:SWY5"/>
    <mergeCell ref="SWZ5:SXB5"/>
    <mergeCell ref="SVS5:SVU5"/>
    <mergeCell ref="SVV5:SVX5"/>
    <mergeCell ref="SVY5:SWA5"/>
    <mergeCell ref="SWB5:SWD5"/>
    <mergeCell ref="SWE5:SWG5"/>
    <mergeCell ref="SWH5:SWJ5"/>
    <mergeCell ref="TDI5:TDK5"/>
    <mergeCell ref="TDL5:TDN5"/>
    <mergeCell ref="TDO5:TDQ5"/>
    <mergeCell ref="TDR5:TDT5"/>
    <mergeCell ref="TDU5:TDW5"/>
    <mergeCell ref="TDX5:TDZ5"/>
    <mergeCell ref="TCQ5:TCS5"/>
    <mergeCell ref="TCT5:TCV5"/>
    <mergeCell ref="TCW5:TCY5"/>
    <mergeCell ref="TCZ5:TDB5"/>
    <mergeCell ref="TDC5:TDE5"/>
    <mergeCell ref="TDF5:TDH5"/>
    <mergeCell ref="TBY5:TCA5"/>
    <mergeCell ref="TCB5:TCD5"/>
    <mergeCell ref="TCE5:TCG5"/>
    <mergeCell ref="TCH5:TCJ5"/>
    <mergeCell ref="TCK5:TCM5"/>
    <mergeCell ref="TCN5:TCP5"/>
    <mergeCell ref="TBG5:TBI5"/>
    <mergeCell ref="TBJ5:TBL5"/>
    <mergeCell ref="TBM5:TBO5"/>
    <mergeCell ref="TBP5:TBR5"/>
    <mergeCell ref="TBS5:TBU5"/>
    <mergeCell ref="TBV5:TBX5"/>
    <mergeCell ref="TAO5:TAQ5"/>
    <mergeCell ref="TAR5:TAT5"/>
    <mergeCell ref="TAU5:TAW5"/>
    <mergeCell ref="TAX5:TAZ5"/>
    <mergeCell ref="TBA5:TBC5"/>
    <mergeCell ref="TBD5:TBF5"/>
    <mergeCell ref="SZW5:SZY5"/>
    <mergeCell ref="SZZ5:TAB5"/>
    <mergeCell ref="TAC5:TAE5"/>
    <mergeCell ref="TAF5:TAH5"/>
    <mergeCell ref="TAI5:TAK5"/>
    <mergeCell ref="TAL5:TAN5"/>
    <mergeCell ref="THM5:THO5"/>
    <mergeCell ref="THP5:THR5"/>
    <mergeCell ref="THS5:THU5"/>
    <mergeCell ref="THV5:THX5"/>
    <mergeCell ref="THY5:TIA5"/>
    <mergeCell ref="TIB5:TID5"/>
    <mergeCell ref="TGU5:TGW5"/>
    <mergeCell ref="TGX5:TGZ5"/>
    <mergeCell ref="THA5:THC5"/>
    <mergeCell ref="THD5:THF5"/>
    <mergeCell ref="THG5:THI5"/>
    <mergeCell ref="THJ5:THL5"/>
    <mergeCell ref="TGC5:TGE5"/>
    <mergeCell ref="TGF5:TGH5"/>
    <mergeCell ref="TGI5:TGK5"/>
    <mergeCell ref="TGL5:TGN5"/>
    <mergeCell ref="TGO5:TGQ5"/>
    <mergeCell ref="TGR5:TGT5"/>
    <mergeCell ref="TFK5:TFM5"/>
    <mergeCell ref="TFN5:TFP5"/>
    <mergeCell ref="TFQ5:TFS5"/>
    <mergeCell ref="TFT5:TFV5"/>
    <mergeCell ref="TFW5:TFY5"/>
    <mergeCell ref="TFZ5:TGB5"/>
    <mergeCell ref="TES5:TEU5"/>
    <mergeCell ref="TEV5:TEX5"/>
    <mergeCell ref="TEY5:TFA5"/>
    <mergeCell ref="TFB5:TFD5"/>
    <mergeCell ref="TFE5:TFG5"/>
    <mergeCell ref="TFH5:TFJ5"/>
    <mergeCell ref="TEA5:TEC5"/>
    <mergeCell ref="TED5:TEF5"/>
    <mergeCell ref="TEG5:TEI5"/>
    <mergeCell ref="TEJ5:TEL5"/>
    <mergeCell ref="TEM5:TEO5"/>
    <mergeCell ref="TEP5:TER5"/>
    <mergeCell ref="TLQ5:TLS5"/>
    <mergeCell ref="TLT5:TLV5"/>
    <mergeCell ref="TLW5:TLY5"/>
    <mergeCell ref="TLZ5:TMB5"/>
    <mergeCell ref="TMC5:TME5"/>
    <mergeCell ref="TMF5:TMH5"/>
    <mergeCell ref="TKY5:TLA5"/>
    <mergeCell ref="TLB5:TLD5"/>
    <mergeCell ref="TLE5:TLG5"/>
    <mergeCell ref="TLH5:TLJ5"/>
    <mergeCell ref="TLK5:TLM5"/>
    <mergeCell ref="TLN5:TLP5"/>
    <mergeCell ref="TKG5:TKI5"/>
    <mergeCell ref="TKJ5:TKL5"/>
    <mergeCell ref="TKM5:TKO5"/>
    <mergeCell ref="TKP5:TKR5"/>
    <mergeCell ref="TKS5:TKU5"/>
    <mergeCell ref="TKV5:TKX5"/>
    <mergeCell ref="TJO5:TJQ5"/>
    <mergeCell ref="TJR5:TJT5"/>
    <mergeCell ref="TJU5:TJW5"/>
    <mergeCell ref="TJX5:TJZ5"/>
    <mergeCell ref="TKA5:TKC5"/>
    <mergeCell ref="TKD5:TKF5"/>
    <mergeCell ref="TIW5:TIY5"/>
    <mergeCell ref="TIZ5:TJB5"/>
    <mergeCell ref="TJC5:TJE5"/>
    <mergeCell ref="TJF5:TJH5"/>
    <mergeCell ref="TJI5:TJK5"/>
    <mergeCell ref="TJL5:TJN5"/>
    <mergeCell ref="TIE5:TIG5"/>
    <mergeCell ref="TIH5:TIJ5"/>
    <mergeCell ref="TIK5:TIM5"/>
    <mergeCell ref="TIN5:TIP5"/>
    <mergeCell ref="TIQ5:TIS5"/>
    <mergeCell ref="TIT5:TIV5"/>
    <mergeCell ref="TPU5:TPW5"/>
    <mergeCell ref="TPX5:TPZ5"/>
    <mergeCell ref="TQA5:TQC5"/>
    <mergeCell ref="TQD5:TQF5"/>
    <mergeCell ref="TQG5:TQI5"/>
    <mergeCell ref="TQJ5:TQL5"/>
    <mergeCell ref="TPC5:TPE5"/>
    <mergeCell ref="TPF5:TPH5"/>
    <mergeCell ref="TPI5:TPK5"/>
    <mergeCell ref="TPL5:TPN5"/>
    <mergeCell ref="TPO5:TPQ5"/>
    <mergeCell ref="TPR5:TPT5"/>
    <mergeCell ref="TOK5:TOM5"/>
    <mergeCell ref="TON5:TOP5"/>
    <mergeCell ref="TOQ5:TOS5"/>
    <mergeCell ref="TOT5:TOV5"/>
    <mergeCell ref="TOW5:TOY5"/>
    <mergeCell ref="TOZ5:TPB5"/>
    <mergeCell ref="TNS5:TNU5"/>
    <mergeCell ref="TNV5:TNX5"/>
    <mergeCell ref="TNY5:TOA5"/>
    <mergeCell ref="TOB5:TOD5"/>
    <mergeCell ref="TOE5:TOG5"/>
    <mergeCell ref="TOH5:TOJ5"/>
    <mergeCell ref="TNA5:TNC5"/>
    <mergeCell ref="TND5:TNF5"/>
    <mergeCell ref="TNG5:TNI5"/>
    <mergeCell ref="TNJ5:TNL5"/>
    <mergeCell ref="TNM5:TNO5"/>
    <mergeCell ref="TNP5:TNR5"/>
    <mergeCell ref="TMI5:TMK5"/>
    <mergeCell ref="TML5:TMN5"/>
    <mergeCell ref="TMO5:TMQ5"/>
    <mergeCell ref="TMR5:TMT5"/>
    <mergeCell ref="TMU5:TMW5"/>
    <mergeCell ref="TMX5:TMZ5"/>
    <mergeCell ref="TTY5:TUA5"/>
    <mergeCell ref="TUB5:TUD5"/>
    <mergeCell ref="TUE5:TUG5"/>
    <mergeCell ref="TUH5:TUJ5"/>
    <mergeCell ref="TUK5:TUM5"/>
    <mergeCell ref="TUN5:TUP5"/>
    <mergeCell ref="TTG5:TTI5"/>
    <mergeCell ref="TTJ5:TTL5"/>
    <mergeCell ref="TTM5:TTO5"/>
    <mergeCell ref="TTP5:TTR5"/>
    <mergeCell ref="TTS5:TTU5"/>
    <mergeCell ref="TTV5:TTX5"/>
    <mergeCell ref="TSO5:TSQ5"/>
    <mergeCell ref="TSR5:TST5"/>
    <mergeCell ref="TSU5:TSW5"/>
    <mergeCell ref="TSX5:TSZ5"/>
    <mergeCell ref="TTA5:TTC5"/>
    <mergeCell ref="TTD5:TTF5"/>
    <mergeCell ref="TRW5:TRY5"/>
    <mergeCell ref="TRZ5:TSB5"/>
    <mergeCell ref="TSC5:TSE5"/>
    <mergeCell ref="TSF5:TSH5"/>
    <mergeCell ref="TSI5:TSK5"/>
    <mergeCell ref="TSL5:TSN5"/>
    <mergeCell ref="TRE5:TRG5"/>
    <mergeCell ref="TRH5:TRJ5"/>
    <mergeCell ref="TRK5:TRM5"/>
    <mergeCell ref="TRN5:TRP5"/>
    <mergeCell ref="TRQ5:TRS5"/>
    <mergeCell ref="TRT5:TRV5"/>
    <mergeCell ref="TQM5:TQO5"/>
    <mergeCell ref="TQP5:TQR5"/>
    <mergeCell ref="TQS5:TQU5"/>
    <mergeCell ref="TQV5:TQX5"/>
    <mergeCell ref="TQY5:TRA5"/>
    <mergeCell ref="TRB5:TRD5"/>
    <mergeCell ref="TYC5:TYE5"/>
    <mergeCell ref="TYF5:TYH5"/>
    <mergeCell ref="TYI5:TYK5"/>
    <mergeCell ref="TYL5:TYN5"/>
    <mergeCell ref="TYO5:TYQ5"/>
    <mergeCell ref="TYR5:TYT5"/>
    <mergeCell ref="TXK5:TXM5"/>
    <mergeCell ref="TXN5:TXP5"/>
    <mergeCell ref="TXQ5:TXS5"/>
    <mergeCell ref="TXT5:TXV5"/>
    <mergeCell ref="TXW5:TXY5"/>
    <mergeCell ref="TXZ5:TYB5"/>
    <mergeCell ref="TWS5:TWU5"/>
    <mergeCell ref="TWV5:TWX5"/>
    <mergeCell ref="TWY5:TXA5"/>
    <mergeCell ref="TXB5:TXD5"/>
    <mergeCell ref="TXE5:TXG5"/>
    <mergeCell ref="TXH5:TXJ5"/>
    <mergeCell ref="TWA5:TWC5"/>
    <mergeCell ref="TWD5:TWF5"/>
    <mergeCell ref="TWG5:TWI5"/>
    <mergeCell ref="TWJ5:TWL5"/>
    <mergeCell ref="TWM5:TWO5"/>
    <mergeCell ref="TWP5:TWR5"/>
    <mergeCell ref="TVI5:TVK5"/>
    <mergeCell ref="TVL5:TVN5"/>
    <mergeCell ref="TVO5:TVQ5"/>
    <mergeCell ref="TVR5:TVT5"/>
    <mergeCell ref="TVU5:TVW5"/>
    <mergeCell ref="TVX5:TVZ5"/>
    <mergeCell ref="TUQ5:TUS5"/>
    <mergeCell ref="TUT5:TUV5"/>
    <mergeCell ref="TUW5:TUY5"/>
    <mergeCell ref="TUZ5:TVB5"/>
    <mergeCell ref="TVC5:TVE5"/>
    <mergeCell ref="TVF5:TVH5"/>
    <mergeCell ref="UCG5:UCI5"/>
    <mergeCell ref="UCJ5:UCL5"/>
    <mergeCell ref="UCM5:UCO5"/>
    <mergeCell ref="UCP5:UCR5"/>
    <mergeCell ref="UCS5:UCU5"/>
    <mergeCell ref="UCV5:UCX5"/>
    <mergeCell ref="UBO5:UBQ5"/>
    <mergeCell ref="UBR5:UBT5"/>
    <mergeCell ref="UBU5:UBW5"/>
    <mergeCell ref="UBX5:UBZ5"/>
    <mergeCell ref="UCA5:UCC5"/>
    <mergeCell ref="UCD5:UCF5"/>
    <mergeCell ref="UAW5:UAY5"/>
    <mergeCell ref="UAZ5:UBB5"/>
    <mergeCell ref="UBC5:UBE5"/>
    <mergeCell ref="UBF5:UBH5"/>
    <mergeCell ref="UBI5:UBK5"/>
    <mergeCell ref="UBL5:UBN5"/>
    <mergeCell ref="UAE5:UAG5"/>
    <mergeCell ref="UAH5:UAJ5"/>
    <mergeCell ref="UAK5:UAM5"/>
    <mergeCell ref="UAN5:UAP5"/>
    <mergeCell ref="UAQ5:UAS5"/>
    <mergeCell ref="UAT5:UAV5"/>
    <mergeCell ref="TZM5:TZO5"/>
    <mergeCell ref="TZP5:TZR5"/>
    <mergeCell ref="TZS5:TZU5"/>
    <mergeCell ref="TZV5:TZX5"/>
    <mergeCell ref="TZY5:UAA5"/>
    <mergeCell ref="UAB5:UAD5"/>
    <mergeCell ref="TYU5:TYW5"/>
    <mergeCell ref="TYX5:TYZ5"/>
    <mergeCell ref="TZA5:TZC5"/>
    <mergeCell ref="TZD5:TZF5"/>
    <mergeCell ref="TZG5:TZI5"/>
    <mergeCell ref="TZJ5:TZL5"/>
    <mergeCell ref="UGK5:UGM5"/>
    <mergeCell ref="UGN5:UGP5"/>
    <mergeCell ref="UGQ5:UGS5"/>
    <mergeCell ref="UGT5:UGV5"/>
    <mergeCell ref="UGW5:UGY5"/>
    <mergeCell ref="UGZ5:UHB5"/>
    <mergeCell ref="UFS5:UFU5"/>
    <mergeCell ref="UFV5:UFX5"/>
    <mergeCell ref="UFY5:UGA5"/>
    <mergeCell ref="UGB5:UGD5"/>
    <mergeCell ref="UGE5:UGG5"/>
    <mergeCell ref="UGH5:UGJ5"/>
    <mergeCell ref="UFA5:UFC5"/>
    <mergeCell ref="UFD5:UFF5"/>
    <mergeCell ref="UFG5:UFI5"/>
    <mergeCell ref="UFJ5:UFL5"/>
    <mergeCell ref="UFM5:UFO5"/>
    <mergeCell ref="UFP5:UFR5"/>
    <mergeCell ref="UEI5:UEK5"/>
    <mergeCell ref="UEL5:UEN5"/>
    <mergeCell ref="UEO5:UEQ5"/>
    <mergeCell ref="UER5:UET5"/>
    <mergeCell ref="UEU5:UEW5"/>
    <mergeCell ref="UEX5:UEZ5"/>
    <mergeCell ref="UDQ5:UDS5"/>
    <mergeCell ref="UDT5:UDV5"/>
    <mergeCell ref="UDW5:UDY5"/>
    <mergeCell ref="UDZ5:UEB5"/>
    <mergeCell ref="UEC5:UEE5"/>
    <mergeCell ref="UEF5:UEH5"/>
    <mergeCell ref="UCY5:UDA5"/>
    <mergeCell ref="UDB5:UDD5"/>
    <mergeCell ref="UDE5:UDG5"/>
    <mergeCell ref="UDH5:UDJ5"/>
    <mergeCell ref="UDK5:UDM5"/>
    <mergeCell ref="UDN5:UDP5"/>
    <mergeCell ref="UKO5:UKQ5"/>
    <mergeCell ref="UKR5:UKT5"/>
    <mergeCell ref="UKU5:UKW5"/>
    <mergeCell ref="UKX5:UKZ5"/>
    <mergeCell ref="ULA5:ULC5"/>
    <mergeCell ref="ULD5:ULF5"/>
    <mergeCell ref="UJW5:UJY5"/>
    <mergeCell ref="UJZ5:UKB5"/>
    <mergeCell ref="UKC5:UKE5"/>
    <mergeCell ref="UKF5:UKH5"/>
    <mergeCell ref="UKI5:UKK5"/>
    <mergeCell ref="UKL5:UKN5"/>
    <mergeCell ref="UJE5:UJG5"/>
    <mergeCell ref="UJH5:UJJ5"/>
    <mergeCell ref="UJK5:UJM5"/>
    <mergeCell ref="UJN5:UJP5"/>
    <mergeCell ref="UJQ5:UJS5"/>
    <mergeCell ref="UJT5:UJV5"/>
    <mergeCell ref="UIM5:UIO5"/>
    <mergeCell ref="UIP5:UIR5"/>
    <mergeCell ref="UIS5:UIU5"/>
    <mergeCell ref="UIV5:UIX5"/>
    <mergeCell ref="UIY5:UJA5"/>
    <mergeCell ref="UJB5:UJD5"/>
    <mergeCell ref="UHU5:UHW5"/>
    <mergeCell ref="UHX5:UHZ5"/>
    <mergeCell ref="UIA5:UIC5"/>
    <mergeCell ref="UID5:UIF5"/>
    <mergeCell ref="UIG5:UII5"/>
    <mergeCell ref="UIJ5:UIL5"/>
    <mergeCell ref="UHC5:UHE5"/>
    <mergeCell ref="UHF5:UHH5"/>
    <mergeCell ref="UHI5:UHK5"/>
    <mergeCell ref="UHL5:UHN5"/>
    <mergeCell ref="UHO5:UHQ5"/>
    <mergeCell ref="UHR5:UHT5"/>
    <mergeCell ref="UOS5:UOU5"/>
    <mergeCell ref="UOV5:UOX5"/>
    <mergeCell ref="UOY5:UPA5"/>
    <mergeCell ref="UPB5:UPD5"/>
    <mergeCell ref="UPE5:UPG5"/>
    <mergeCell ref="UPH5:UPJ5"/>
    <mergeCell ref="UOA5:UOC5"/>
    <mergeCell ref="UOD5:UOF5"/>
    <mergeCell ref="UOG5:UOI5"/>
    <mergeCell ref="UOJ5:UOL5"/>
    <mergeCell ref="UOM5:UOO5"/>
    <mergeCell ref="UOP5:UOR5"/>
    <mergeCell ref="UNI5:UNK5"/>
    <mergeCell ref="UNL5:UNN5"/>
    <mergeCell ref="UNO5:UNQ5"/>
    <mergeCell ref="UNR5:UNT5"/>
    <mergeCell ref="UNU5:UNW5"/>
    <mergeCell ref="UNX5:UNZ5"/>
    <mergeCell ref="UMQ5:UMS5"/>
    <mergeCell ref="UMT5:UMV5"/>
    <mergeCell ref="UMW5:UMY5"/>
    <mergeCell ref="UMZ5:UNB5"/>
    <mergeCell ref="UNC5:UNE5"/>
    <mergeCell ref="UNF5:UNH5"/>
    <mergeCell ref="ULY5:UMA5"/>
    <mergeCell ref="UMB5:UMD5"/>
    <mergeCell ref="UME5:UMG5"/>
    <mergeCell ref="UMH5:UMJ5"/>
    <mergeCell ref="UMK5:UMM5"/>
    <mergeCell ref="UMN5:UMP5"/>
    <mergeCell ref="ULG5:ULI5"/>
    <mergeCell ref="ULJ5:ULL5"/>
    <mergeCell ref="ULM5:ULO5"/>
    <mergeCell ref="ULP5:ULR5"/>
    <mergeCell ref="ULS5:ULU5"/>
    <mergeCell ref="ULV5:ULX5"/>
    <mergeCell ref="USW5:USY5"/>
    <mergeCell ref="USZ5:UTB5"/>
    <mergeCell ref="UTC5:UTE5"/>
    <mergeCell ref="UTF5:UTH5"/>
    <mergeCell ref="UTI5:UTK5"/>
    <mergeCell ref="UTL5:UTN5"/>
    <mergeCell ref="USE5:USG5"/>
    <mergeCell ref="USH5:USJ5"/>
    <mergeCell ref="USK5:USM5"/>
    <mergeCell ref="USN5:USP5"/>
    <mergeCell ref="USQ5:USS5"/>
    <mergeCell ref="UST5:USV5"/>
    <mergeCell ref="URM5:URO5"/>
    <mergeCell ref="URP5:URR5"/>
    <mergeCell ref="URS5:URU5"/>
    <mergeCell ref="URV5:URX5"/>
    <mergeCell ref="URY5:USA5"/>
    <mergeCell ref="USB5:USD5"/>
    <mergeCell ref="UQU5:UQW5"/>
    <mergeCell ref="UQX5:UQZ5"/>
    <mergeCell ref="URA5:URC5"/>
    <mergeCell ref="URD5:URF5"/>
    <mergeCell ref="URG5:URI5"/>
    <mergeCell ref="URJ5:URL5"/>
    <mergeCell ref="UQC5:UQE5"/>
    <mergeCell ref="UQF5:UQH5"/>
    <mergeCell ref="UQI5:UQK5"/>
    <mergeCell ref="UQL5:UQN5"/>
    <mergeCell ref="UQO5:UQQ5"/>
    <mergeCell ref="UQR5:UQT5"/>
    <mergeCell ref="UPK5:UPM5"/>
    <mergeCell ref="UPN5:UPP5"/>
    <mergeCell ref="UPQ5:UPS5"/>
    <mergeCell ref="UPT5:UPV5"/>
    <mergeCell ref="UPW5:UPY5"/>
    <mergeCell ref="UPZ5:UQB5"/>
    <mergeCell ref="UXA5:UXC5"/>
    <mergeCell ref="UXD5:UXF5"/>
    <mergeCell ref="UXG5:UXI5"/>
    <mergeCell ref="UXJ5:UXL5"/>
    <mergeCell ref="UXM5:UXO5"/>
    <mergeCell ref="UXP5:UXR5"/>
    <mergeCell ref="UWI5:UWK5"/>
    <mergeCell ref="UWL5:UWN5"/>
    <mergeCell ref="UWO5:UWQ5"/>
    <mergeCell ref="UWR5:UWT5"/>
    <mergeCell ref="UWU5:UWW5"/>
    <mergeCell ref="UWX5:UWZ5"/>
    <mergeCell ref="UVQ5:UVS5"/>
    <mergeCell ref="UVT5:UVV5"/>
    <mergeCell ref="UVW5:UVY5"/>
    <mergeCell ref="UVZ5:UWB5"/>
    <mergeCell ref="UWC5:UWE5"/>
    <mergeCell ref="UWF5:UWH5"/>
    <mergeCell ref="UUY5:UVA5"/>
    <mergeCell ref="UVB5:UVD5"/>
    <mergeCell ref="UVE5:UVG5"/>
    <mergeCell ref="UVH5:UVJ5"/>
    <mergeCell ref="UVK5:UVM5"/>
    <mergeCell ref="UVN5:UVP5"/>
    <mergeCell ref="UUG5:UUI5"/>
    <mergeCell ref="UUJ5:UUL5"/>
    <mergeCell ref="UUM5:UUO5"/>
    <mergeCell ref="UUP5:UUR5"/>
    <mergeCell ref="UUS5:UUU5"/>
    <mergeCell ref="UUV5:UUX5"/>
    <mergeCell ref="UTO5:UTQ5"/>
    <mergeCell ref="UTR5:UTT5"/>
    <mergeCell ref="UTU5:UTW5"/>
    <mergeCell ref="UTX5:UTZ5"/>
    <mergeCell ref="UUA5:UUC5"/>
    <mergeCell ref="UUD5:UUF5"/>
    <mergeCell ref="VBE5:VBG5"/>
    <mergeCell ref="VBH5:VBJ5"/>
    <mergeCell ref="VBK5:VBM5"/>
    <mergeCell ref="VBN5:VBP5"/>
    <mergeCell ref="VBQ5:VBS5"/>
    <mergeCell ref="VBT5:VBV5"/>
    <mergeCell ref="VAM5:VAO5"/>
    <mergeCell ref="VAP5:VAR5"/>
    <mergeCell ref="VAS5:VAU5"/>
    <mergeCell ref="VAV5:VAX5"/>
    <mergeCell ref="VAY5:VBA5"/>
    <mergeCell ref="VBB5:VBD5"/>
    <mergeCell ref="UZU5:UZW5"/>
    <mergeCell ref="UZX5:UZZ5"/>
    <mergeCell ref="VAA5:VAC5"/>
    <mergeCell ref="VAD5:VAF5"/>
    <mergeCell ref="VAG5:VAI5"/>
    <mergeCell ref="VAJ5:VAL5"/>
    <mergeCell ref="UZC5:UZE5"/>
    <mergeCell ref="UZF5:UZH5"/>
    <mergeCell ref="UZI5:UZK5"/>
    <mergeCell ref="UZL5:UZN5"/>
    <mergeCell ref="UZO5:UZQ5"/>
    <mergeCell ref="UZR5:UZT5"/>
    <mergeCell ref="UYK5:UYM5"/>
    <mergeCell ref="UYN5:UYP5"/>
    <mergeCell ref="UYQ5:UYS5"/>
    <mergeCell ref="UYT5:UYV5"/>
    <mergeCell ref="UYW5:UYY5"/>
    <mergeCell ref="UYZ5:UZB5"/>
    <mergeCell ref="UXS5:UXU5"/>
    <mergeCell ref="UXV5:UXX5"/>
    <mergeCell ref="UXY5:UYA5"/>
    <mergeCell ref="UYB5:UYD5"/>
    <mergeCell ref="UYE5:UYG5"/>
    <mergeCell ref="UYH5:UYJ5"/>
    <mergeCell ref="VFI5:VFK5"/>
    <mergeCell ref="VFL5:VFN5"/>
    <mergeCell ref="VFO5:VFQ5"/>
    <mergeCell ref="VFR5:VFT5"/>
    <mergeCell ref="VFU5:VFW5"/>
    <mergeCell ref="VFX5:VFZ5"/>
    <mergeCell ref="VEQ5:VES5"/>
    <mergeCell ref="VET5:VEV5"/>
    <mergeCell ref="VEW5:VEY5"/>
    <mergeCell ref="VEZ5:VFB5"/>
    <mergeCell ref="VFC5:VFE5"/>
    <mergeCell ref="VFF5:VFH5"/>
    <mergeCell ref="VDY5:VEA5"/>
    <mergeCell ref="VEB5:VED5"/>
    <mergeCell ref="VEE5:VEG5"/>
    <mergeCell ref="VEH5:VEJ5"/>
    <mergeCell ref="VEK5:VEM5"/>
    <mergeCell ref="VEN5:VEP5"/>
    <mergeCell ref="VDG5:VDI5"/>
    <mergeCell ref="VDJ5:VDL5"/>
    <mergeCell ref="VDM5:VDO5"/>
    <mergeCell ref="VDP5:VDR5"/>
    <mergeCell ref="VDS5:VDU5"/>
    <mergeCell ref="VDV5:VDX5"/>
    <mergeCell ref="VCO5:VCQ5"/>
    <mergeCell ref="VCR5:VCT5"/>
    <mergeCell ref="VCU5:VCW5"/>
    <mergeCell ref="VCX5:VCZ5"/>
    <mergeCell ref="VDA5:VDC5"/>
    <mergeCell ref="VDD5:VDF5"/>
    <mergeCell ref="VBW5:VBY5"/>
    <mergeCell ref="VBZ5:VCB5"/>
    <mergeCell ref="VCC5:VCE5"/>
    <mergeCell ref="VCF5:VCH5"/>
    <mergeCell ref="VCI5:VCK5"/>
    <mergeCell ref="VCL5:VCN5"/>
    <mergeCell ref="VJM5:VJO5"/>
    <mergeCell ref="VJP5:VJR5"/>
    <mergeCell ref="VJS5:VJU5"/>
    <mergeCell ref="VJV5:VJX5"/>
    <mergeCell ref="VJY5:VKA5"/>
    <mergeCell ref="VKB5:VKD5"/>
    <mergeCell ref="VIU5:VIW5"/>
    <mergeCell ref="VIX5:VIZ5"/>
    <mergeCell ref="VJA5:VJC5"/>
    <mergeCell ref="VJD5:VJF5"/>
    <mergeCell ref="VJG5:VJI5"/>
    <mergeCell ref="VJJ5:VJL5"/>
    <mergeCell ref="VIC5:VIE5"/>
    <mergeCell ref="VIF5:VIH5"/>
    <mergeCell ref="VII5:VIK5"/>
    <mergeCell ref="VIL5:VIN5"/>
    <mergeCell ref="VIO5:VIQ5"/>
    <mergeCell ref="VIR5:VIT5"/>
    <mergeCell ref="VHK5:VHM5"/>
    <mergeCell ref="VHN5:VHP5"/>
    <mergeCell ref="VHQ5:VHS5"/>
    <mergeCell ref="VHT5:VHV5"/>
    <mergeCell ref="VHW5:VHY5"/>
    <mergeCell ref="VHZ5:VIB5"/>
    <mergeCell ref="VGS5:VGU5"/>
    <mergeCell ref="VGV5:VGX5"/>
    <mergeCell ref="VGY5:VHA5"/>
    <mergeCell ref="VHB5:VHD5"/>
    <mergeCell ref="VHE5:VHG5"/>
    <mergeCell ref="VHH5:VHJ5"/>
    <mergeCell ref="VGA5:VGC5"/>
    <mergeCell ref="VGD5:VGF5"/>
    <mergeCell ref="VGG5:VGI5"/>
    <mergeCell ref="VGJ5:VGL5"/>
    <mergeCell ref="VGM5:VGO5"/>
    <mergeCell ref="VGP5:VGR5"/>
    <mergeCell ref="VNQ5:VNS5"/>
    <mergeCell ref="VNT5:VNV5"/>
    <mergeCell ref="VNW5:VNY5"/>
    <mergeCell ref="VNZ5:VOB5"/>
    <mergeCell ref="VOC5:VOE5"/>
    <mergeCell ref="VOF5:VOH5"/>
    <mergeCell ref="VMY5:VNA5"/>
    <mergeCell ref="VNB5:VND5"/>
    <mergeCell ref="VNE5:VNG5"/>
    <mergeCell ref="VNH5:VNJ5"/>
    <mergeCell ref="VNK5:VNM5"/>
    <mergeCell ref="VNN5:VNP5"/>
    <mergeCell ref="VMG5:VMI5"/>
    <mergeCell ref="VMJ5:VML5"/>
    <mergeCell ref="VMM5:VMO5"/>
    <mergeCell ref="VMP5:VMR5"/>
    <mergeCell ref="VMS5:VMU5"/>
    <mergeCell ref="VMV5:VMX5"/>
    <mergeCell ref="VLO5:VLQ5"/>
    <mergeCell ref="VLR5:VLT5"/>
    <mergeCell ref="VLU5:VLW5"/>
    <mergeCell ref="VLX5:VLZ5"/>
    <mergeCell ref="VMA5:VMC5"/>
    <mergeCell ref="VMD5:VMF5"/>
    <mergeCell ref="VKW5:VKY5"/>
    <mergeCell ref="VKZ5:VLB5"/>
    <mergeCell ref="VLC5:VLE5"/>
    <mergeCell ref="VLF5:VLH5"/>
    <mergeCell ref="VLI5:VLK5"/>
    <mergeCell ref="VLL5:VLN5"/>
    <mergeCell ref="VKE5:VKG5"/>
    <mergeCell ref="VKH5:VKJ5"/>
    <mergeCell ref="VKK5:VKM5"/>
    <mergeCell ref="VKN5:VKP5"/>
    <mergeCell ref="VKQ5:VKS5"/>
    <mergeCell ref="VKT5:VKV5"/>
    <mergeCell ref="VRU5:VRW5"/>
    <mergeCell ref="VRX5:VRZ5"/>
    <mergeCell ref="VSA5:VSC5"/>
    <mergeCell ref="VSD5:VSF5"/>
    <mergeCell ref="VSG5:VSI5"/>
    <mergeCell ref="VSJ5:VSL5"/>
    <mergeCell ref="VRC5:VRE5"/>
    <mergeCell ref="VRF5:VRH5"/>
    <mergeCell ref="VRI5:VRK5"/>
    <mergeCell ref="VRL5:VRN5"/>
    <mergeCell ref="VRO5:VRQ5"/>
    <mergeCell ref="VRR5:VRT5"/>
    <mergeCell ref="VQK5:VQM5"/>
    <mergeCell ref="VQN5:VQP5"/>
    <mergeCell ref="VQQ5:VQS5"/>
    <mergeCell ref="VQT5:VQV5"/>
    <mergeCell ref="VQW5:VQY5"/>
    <mergeCell ref="VQZ5:VRB5"/>
    <mergeCell ref="VPS5:VPU5"/>
    <mergeCell ref="VPV5:VPX5"/>
    <mergeCell ref="VPY5:VQA5"/>
    <mergeCell ref="VQB5:VQD5"/>
    <mergeCell ref="VQE5:VQG5"/>
    <mergeCell ref="VQH5:VQJ5"/>
    <mergeCell ref="VPA5:VPC5"/>
    <mergeCell ref="VPD5:VPF5"/>
    <mergeCell ref="VPG5:VPI5"/>
    <mergeCell ref="VPJ5:VPL5"/>
    <mergeCell ref="VPM5:VPO5"/>
    <mergeCell ref="VPP5:VPR5"/>
    <mergeCell ref="VOI5:VOK5"/>
    <mergeCell ref="VOL5:VON5"/>
    <mergeCell ref="VOO5:VOQ5"/>
    <mergeCell ref="VOR5:VOT5"/>
    <mergeCell ref="VOU5:VOW5"/>
    <mergeCell ref="VOX5:VOZ5"/>
    <mergeCell ref="VVY5:VWA5"/>
    <mergeCell ref="VWB5:VWD5"/>
    <mergeCell ref="VWE5:VWG5"/>
    <mergeCell ref="VWH5:VWJ5"/>
    <mergeCell ref="VWK5:VWM5"/>
    <mergeCell ref="VWN5:VWP5"/>
    <mergeCell ref="VVG5:VVI5"/>
    <mergeCell ref="VVJ5:VVL5"/>
    <mergeCell ref="VVM5:VVO5"/>
    <mergeCell ref="VVP5:VVR5"/>
    <mergeCell ref="VVS5:VVU5"/>
    <mergeCell ref="VVV5:VVX5"/>
    <mergeCell ref="VUO5:VUQ5"/>
    <mergeCell ref="VUR5:VUT5"/>
    <mergeCell ref="VUU5:VUW5"/>
    <mergeCell ref="VUX5:VUZ5"/>
    <mergeCell ref="VVA5:VVC5"/>
    <mergeCell ref="VVD5:VVF5"/>
    <mergeCell ref="VTW5:VTY5"/>
    <mergeCell ref="VTZ5:VUB5"/>
    <mergeCell ref="VUC5:VUE5"/>
    <mergeCell ref="VUF5:VUH5"/>
    <mergeCell ref="VUI5:VUK5"/>
    <mergeCell ref="VUL5:VUN5"/>
    <mergeCell ref="VTE5:VTG5"/>
    <mergeCell ref="VTH5:VTJ5"/>
    <mergeCell ref="VTK5:VTM5"/>
    <mergeCell ref="VTN5:VTP5"/>
    <mergeCell ref="VTQ5:VTS5"/>
    <mergeCell ref="VTT5:VTV5"/>
    <mergeCell ref="VSM5:VSO5"/>
    <mergeCell ref="VSP5:VSR5"/>
    <mergeCell ref="VSS5:VSU5"/>
    <mergeCell ref="VSV5:VSX5"/>
    <mergeCell ref="VSY5:VTA5"/>
    <mergeCell ref="VTB5:VTD5"/>
    <mergeCell ref="WAC5:WAE5"/>
    <mergeCell ref="WAF5:WAH5"/>
    <mergeCell ref="WAI5:WAK5"/>
    <mergeCell ref="WAL5:WAN5"/>
    <mergeCell ref="WAO5:WAQ5"/>
    <mergeCell ref="WAR5:WAT5"/>
    <mergeCell ref="VZK5:VZM5"/>
    <mergeCell ref="VZN5:VZP5"/>
    <mergeCell ref="VZQ5:VZS5"/>
    <mergeCell ref="VZT5:VZV5"/>
    <mergeCell ref="VZW5:VZY5"/>
    <mergeCell ref="VZZ5:WAB5"/>
    <mergeCell ref="VYS5:VYU5"/>
    <mergeCell ref="VYV5:VYX5"/>
    <mergeCell ref="VYY5:VZA5"/>
    <mergeCell ref="VZB5:VZD5"/>
    <mergeCell ref="VZE5:VZG5"/>
    <mergeCell ref="VZH5:VZJ5"/>
    <mergeCell ref="VYA5:VYC5"/>
    <mergeCell ref="VYD5:VYF5"/>
    <mergeCell ref="VYG5:VYI5"/>
    <mergeCell ref="VYJ5:VYL5"/>
    <mergeCell ref="VYM5:VYO5"/>
    <mergeCell ref="VYP5:VYR5"/>
    <mergeCell ref="VXI5:VXK5"/>
    <mergeCell ref="VXL5:VXN5"/>
    <mergeCell ref="VXO5:VXQ5"/>
    <mergeCell ref="VXR5:VXT5"/>
    <mergeCell ref="VXU5:VXW5"/>
    <mergeCell ref="VXX5:VXZ5"/>
    <mergeCell ref="VWQ5:VWS5"/>
    <mergeCell ref="VWT5:VWV5"/>
    <mergeCell ref="VWW5:VWY5"/>
    <mergeCell ref="VWZ5:VXB5"/>
    <mergeCell ref="VXC5:VXE5"/>
    <mergeCell ref="VXF5:VXH5"/>
    <mergeCell ref="WEG5:WEI5"/>
    <mergeCell ref="WEJ5:WEL5"/>
    <mergeCell ref="WEM5:WEO5"/>
    <mergeCell ref="WEP5:WER5"/>
    <mergeCell ref="WES5:WEU5"/>
    <mergeCell ref="WEV5:WEX5"/>
    <mergeCell ref="WDO5:WDQ5"/>
    <mergeCell ref="WDR5:WDT5"/>
    <mergeCell ref="WDU5:WDW5"/>
    <mergeCell ref="WDX5:WDZ5"/>
    <mergeCell ref="WEA5:WEC5"/>
    <mergeCell ref="WED5:WEF5"/>
    <mergeCell ref="WCW5:WCY5"/>
    <mergeCell ref="WCZ5:WDB5"/>
    <mergeCell ref="WDC5:WDE5"/>
    <mergeCell ref="WDF5:WDH5"/>
    <mergeCell ref="WDI5:WDK5"/>
    <mergeCell ref="WDL5:WDN5"/>
    <mergeCell ref="WCE5:WCG5"/>
    <mergeCell ref="WCH5:WCJ5"/>
    <mergeCell ref="WCK5:WCM5"/>
    <mergeCell ref="WCN5:WCP5"/>
    <mergeCell ref="WCQ5:WCS5"/>
    <mergeCell ref="WCT5:WCV5"/>
    <mergeCell ref="WBM5:WBO5"/>
    <mergeCell ref="WBP5:WBR5"/>
    <mergeCell ref="WBS5:WBU5"/>
    <mergeCell ref="WBV5:WBX5"/>
    <mergeCell ref="WBY5:WCA5"/>
    <mergeCell ref="WCB5:WCD5"/>
    <mergeCell ref="WAU5:WAW5"/>
    <mergeCell ref="WAX5:WAZ5"/>
    <mergeCell ref="WBA5:WBC5"/>
    <mergeCell ref="WBD5:WBF5"/>
    <mergeCell ref="WBG5:WBI5"/>
    <mergeCell ref="WBJ5:WBL5"/>
    <mergeCell ref="WIK5:WIM5"/>
    <mergeCell ref="WIN5:WIP5"/>
    <mergeCell ref="WIQ5:WIS5"/>
    <mergeCell ref="WIT5:WIV5"/>
    <mergeCell ref="WIW5:WIY5"/>
    <mergeCell ref="WIZ5:WJB5"/>
    <mergeCell ref="WHS5:WHU5"/>
    <mergeCell ref="WHV5:WHX5"/>
    <mergeCell ref="WHY5:WIA5"/>
    <mergeCell ref="WIB5:WID5"/>
    <mergeCell ref="WIE5:WIG5"/>
    <mergeCell ref="WIH5:WIJ5"/>
    <mergeCell ref="WHA5:WHC5"/>
    <mergeCell ref="WHD5:WHF5"/>
    <mergeCell ref="WHG5:WHI5"/>
    <mergeCell ref="WHJ5:WHL5"/>
    <mergeCell ref="WHM5:WHO5"/>
    <mergeCell ref="WHP5:WHR5"/>
    <mergeCell ref="WGI5:WGK5"/>
    <mergeCell ref="WGL5:WGN5"/>
    <mergeCell ref="WGO5:WGQ5"/>
    <mergeCell ref="WGR5:WGT5"/>
    <mergeCell ref="WGU5:WGW5"/>
    <mergeCell ref="WGX5:WGZ5"/>
    <mergeCell ref="WFQ5:WFS5"/>
    <mergeCell ref="WFT5:WFV5"/>
    <mergeCell ref="WFW5:WFY5"/>
    <mergeCell ref="WFZ5:WGB5"/>
    <mergeCell ref="WGC5:WGE5"/>
    <mergeCell ref="WGF5:WGH5"/>
    <mergeCell ref="WEY5:WFA5"/>
    <mergeCell ref="WFB5:WFD5"/>
    <mergeCell ref="WFE5:WFG5"/>
    <mergeCell ref="WFH5:WFJ5"/>
    <mergeCell ref="WFK5:WFM5"/>
    <mergeCell ref="WFN5:WFP5"/>
    <mergeCell ref="WMO5:WMQ5"/>
    <mergeCell ref="WMR5:WMT5"/>
    <mergeCell ref="WMU5:WMW5"/>
    <mergeCell ref="WMX5:WMZ5"/>
    <mergeCell ref="WNA5:WNC5"/>
    <mergeCell ref="WND5:WNF5"/>
    <mergeCell ref="WLW5:WLY5"/>
    <mergeCell ref="WLZ5:WMB5"/>
    <mergeCell ref="WMC5:WME5"/>
    <mergeCell ref="WMF5:WMH5"/>
    <mergeCell ref="WMI5:WMK5"/>
    <mergeCell ref="WML5:WMN5"/>
    <mergeCell ref="WLE5:WLG5"/>
    <mergeCell ref="WLH5:WLJ5"/>
    <mergeCell ref="WLK5:WLM5"/>
    <mergeCell ref="WLN5:WLP5"/>
    <mergeCell ref="WLQ5:WLS5"/>
    <mergeCell ref="WLT5:WLV5"/>
    <mergeCell ref="WKM5:WKO5"/>
    <mergeCell ref="WKP5:WKR5"/>
    <mergeCell ref="WKS5:WKU5"/>
    <mergeCell ref="WKV5:WKX5"/>
    <mergeCell ref="WKY5:WLA5"/>
    <mergeCell ref="WLB5:WLD5"/>
    <mergeCell ref="WJU5:WJW5"/>
    <mergeCell ref="WJX5:WJZ5"/>
    <mergeCell ref="WKA5:WKC5"/>
    <mergeCell ref="WKD5:WKF5"/>
    <mergeCell ref="WKG5:WKI5"/>
    <mergeCell ref="WKJ5:WKL5"/>
    <mergeCell ref="WJC5:WJE5"/>
    <mergeCell ref="WJF5:WJH5"/>
    <mergeCell ref="WJI5:WJK5"/>
    <mergeCell ref="WJL5:WJN5"/>
    <mergeCell ref="WJO5:WJQ5"/>
    <mergeCell ref="WJR5:WJT5"/>
    <mergeCell ref="WQS5:WQU5"/>
    <mergeCell ref="WQV5:WQX5"/>
    <mergeCell ref="WQY5:WRA5"/>
    <mergeCell ref="WRB5:WRD5"/>
    <mergeCell ref="WRE5:WRG5"/>
    <mergeCell ref="WRH5:WRJ5"/>
    <mergeCell ref="WQA5:WQC5"/>
    <mergeCell ref="WQD5:WQF5"/>
    <mergeCell ref="WQG5:WQI5"/>
    <mergeCell ref="WQJ5:WQL5"/>
    <mergeCell ref="WQM5:WQO5"/>
    <mergeCell ref="WQP5:WQR5"/>
    <mergeCell ref="WPI5:WPK5"/>
    <mergeCell ref="WPL5:WPN5"/>
    <mergeCell ref="WPO5:WPQ5"/>
    <mergeCell ref="WPR5:WPT5"/>
    <mergeCell ref="WPU5:WPW5"/>
    <mergeCell ref="WPX5:WPZ5"/>
    <mergeCell ref="WOQ5:WOS5"/>
    <mergeCell ref="WOT5:WOV5"/>
    <mergeCell ref="WOW5:WOY5"/>
    <mergeCell ref="WOZ5:WPB5"/>
    <mergeCell ref="WPC5:WPE5"/>
    <mergeCell ref="WPF5:WPH5"/>
    <mergeCell ref="WNY5:WOA5"/>
    <mergeCell ref="WOB5:WOD5"/>
    <mergeCell ref="WOE5:WOG5"/>
    <mergeCell ref="WOH5:WOJ5"/>
    <mergeCell ref="WOK5:WOM5"/>
    <mergeCell ref="WON5:WOP5"/>
    <mergeCell ref="WNG5:WNI5"/>
    <mergeCell ref="WNJ5:WNL5"/>
    <mergeCell ref="WNM5:WNO5"/>
    <mergeCell ref="WNP5:WNR5"/>
    <mergeCell ref="WNS5:WNU5"/>
    <mergeCell ref="WNV5:WNX5"/>
    <mergeCell ref="WUW5:WUY5"/>
    <mergeCell ref="WUZ5:WVB5"/>
    <mergeCell ref="WVC5:WVE5"/>
    <mergeCell ref="WVF5:WVH5"/>
    <mergeCell ref="WVI5:WVK5"/>
    <mergeCell ref="WVL5:WVN5"/>
    <mergeCell ref="WUE5:WUG5"/>
    <mergeCell ref="WUH5:WUJ5"/>
    <mergeCell ref="WUK5:WUM5"/>
    <mergeCell ref="WUN5:WUP5"/>
    <mergeCell ref="WUQ5:WUS5"/>
    <mergeCell ref="WUT5:WUV5"/>
    <mergeCell ref="WTM5:WTO5"/>
    <mergeCell ref="WTP5:WTR5"/>
    <mergeCell ref="WTS5:WTU5"/>
    <mergeCell ref="WTV5:WTX5"/>
    <mergeCell ref="WTY5:WUA5"/>
    <mergeCell ref="WUB5:WUD5"/>
    <mergeCell ref="WSU5:WSW5"/>
    <mergeCell ref="WSX5:WSZ5"/>
    <mergeCell ref="WTA5:WTC5"/>
    <mergeCell ref="WTD5:WTF5"/>
    <mergeCell ref="WTG5:WTI5"/>
    <mergeCell ref="WTJ5:WTL5"/>
    <mergeCell ref="WSC5:WSE5"/>
    <mergeCell ref="WSF5:WSH5"/>
    <mergeCell ref="WSI5:WSK5"/>
    <mergeCell ref="WSL5:WSN5"/>
    <mergeCell ref="WSO5:WSQ5"/>
    <mergeCell ref="WSR5:WST5"/>
    <mergeCell ref="WRK5:WRM5"/>
    <mergeCell ref="WRN5:WRP5"/>
    <mergeCell ref="WRQ5:WRS5"/>
    <mergeCell ref="WRT5:WRV5"/>
    <mergeCell ref="WRW5:WRY5"/>
    <mergeCell ref="WRZ5:WSB5"/>
    <mergeCell ref="WZA5:WZC5"/>
    <mergeCell ref="WZD5:WZF5"/>
    <mergeCell ref="WZG5:WZI5"/>
    <mergeCell ref="WZJ5:WZL5"/>
    <mergeCell ref="WZM5:WZO5"/>
    <mergeCell ref="WZP5:WZR5"/>
    <mergeCell ref="WYI5:WYK5"/>
    <mergeCell ref="WYL5:WYN5"/>
    <mergeCell ref="WYO5:WYQ5"/>
    <mergeCell ref="WYR5:WYT5"/>
    <mergeCell ref="WYU5:WYW5"/>
    <mergeCell ref="WYX5:WYZ5"/>
    <mergeCell ref="WXQ5:WXS5"/>
    <mergeCell ref="WXT5:WXV5"/>
    <mergeCell ref="WXW5:WXY5"/>
    <mergeCell ref="WXZ5:WYB5"/>
    <mergeCell ref="WYC5:WYE5"/>
    <mergeCell ref="WYF5:WYH5"/>
    <mergeCell ref="WWY5:WXA5"/>
    <mergeCell ref="WXB5:WXD5"/>
    <mergeCell ref="WXE5:WXG5"/>
    <mergeCell ref="WXH5:WXJ5"/>
    <mergeCell ref="WXK5:WXM5"/>
    <mergeCell ref="WXN5:WXP5"/>
    <mergeCell ref="WWG5:WWI5"/>
    <mergeCell ref="WWJ5:WWL5"/>
    <mergeCell ref="WWM5:WWO5"/>
    <mergeCell ref="WWP5:WWR5"/>
    <mergeCell ref="WWS5:WWU5"/>
    <mergeCell ref="WWV5:WWX5"/>
    <mergeCell ref="WVO5:WVQ5"/>
    <mergeCell ref="WVR5:WVT5"/>
    <mergeCell ref="WVU5:WVW5"/>
    <mergeCell ref="WVX5:WVZ5"/>
    <mergeCell ref="WWA5:WWC5"/>
    <mergeCell ref="WWD5:WWF5"/>
    <mergeCell ref="AH6:AJ6"/>
    <mergeCell ref="AK6:AM6"/>
    <mergeCell ref="AN6:AP6"/>
    <mergeCell ref="AQ6:AS6"/>
    <mergeCell ref="AT6:AV6"/>
    <mergeCell ref="AW6:AY6"/>
    <mergeCell ref="P6:R6"/>
    <mergeCell ref="S6:U6"/>
    <mergeCell ref="V6:X6"/>
    <mergeCell ref="Y6:AA6"/>
    <mergeCell ref="AB6:AD6"/>
    <mergeCell ref="AE6:AG6"/>
    <mergeCell ref="XEO5:XEQ5"/>
    <mergeCell ref="XER5:XET5"/>
    <mergeCell ref="XEU5:XEW5"/>
    <mergeCell ref="XEX5:XEZ5"/>
    <mergeCell ref="XFA5:XFC5"/>
    <mergeCell ref="A6:C6"/>
    <mergeCell ref="D6:F6"/>
    <mergeCell ref="G6:I6"/>
    <mergeCell ref="J6:L6"/>
    <mergeCell ref="M6:O6"/>
    <mergeCell ref="XDW5:XDY5"/>
    <mergeCell ref="XDZ5:XEB5"/>
    <mergeCell ref="XEC5:XEE5"/>
    <mergeCell ref="XEF5:XEH5"/>
    <mergeCell ref="XEI5:XEK5"/>
    <mergeCell ref="XEL5:XEN5"/>
    <mergeCell ref="XDE5:XDG5"/>
    <mergeCell ref="XDH5:XDJ5"/>
    <mergeCell ref="XDK5:XDM5"/>
    <mergeCell ref="XDN5:XDP5"/>
    <mergeCell ref="XDQ5:XDS5"/>
    <mergeCell ref="XDT5:XDV5"/>
    <mergeCell ref="XCM5:XCO5"/>
    <mergeCell ref="XCP5:XCR5"/>
    <mergeCell ref="XCS5:XCU5"/>
    <mergeCell ref="XCV5:XCX5"/>
    <mergeCell ref="XCY5:XDA5"/>
    <mergeCell ref="XDB5:XDD5"/>
    <mergeCell ref="XBU5:XBW5"/>
    <mergeCell ref="XBX5:XBZ5"/>
    <mergeCell ref="XCA5:XCC5"/>
    <mergeCell ref="XCD5:XCF5"/>
    <mergeCell ref="XCG5:XCI5"/>
    <mergeCell ref="XCJ5:XCL5"/>
    <mergeCell ref="XBC5:XBE5"/>
    <mergeCell ref="XBF5:XBH5"/>
    <mergeCell ref="XBI5:XBK5"/>
    <mergeCell ref="XBL5:XBN5"/>
    <mergeCell ref="XBO5:XBQ5"/>
    <mergeCell ref="XBR5:XBT5"/>
    <mergeCell ref="XAK5:XAM5"/>
    <mergeCell ref="XAN5:XAP5"/>
    <mergeCell ref="XAQ5:XAS5"/>
    <mergeCell ref="XAT5:XAV5"/>
    <mergeCell ref="XAW5:XAY5"/>
    <mergeCell ref="XAZ5:XBB5"/>
    <mergeCell ref="WZS5:WZU5"/>
    <mergeCell ref="WZV5:WZX5"/>
    <mergeCell ref="WZY5:XAA5"/>
    <mergeCell ref="XAB5:XAD5"/>
    <mergeCell ref="XAE5:XAG5"/>
    <mergeCell ref="XAH5:XAJ5"/>
    <mergeCell ref="EL6:EN6"/>
    <mergeCell ref="EO6:EQ6"/>
    <mergeCell ref="ER6:ET6"/>
    <mergeCell ref="EU6:EW6"/>
    <mergeCell ref="EX6:EZ6"/>
    <mergeCell ref="FA6:FC6"/>
    <mergeCell ref="DT6:DV6"/>
    <mergeCell ref="DW6:DY6"/>
    <mergeCell ref="DZ6:EB6"/>
    <mergeCell ref="EC6:EE6"/>
    <mergeCell ref="EF6:EH6"/>
    <mergeCell ref="EI6:EK6"/>
    <mergeCell ref="DB6:DD6"/>
    <mergeCell ref="DE6:DG6"/>
    <mergeCell ref="DH6:DJ6"/>
    <mergeCell ref="DK6:DM6"/>
    <mergeCell ref="DN6:DP6"/>
    <mergeCell ref="DQ6:DS6"/>
    <mergeCell ref="CJ6:CL6"/>
    <mergeCell ref="CM6:CO6"/>
    <mergeCell ref="CP6:CR6"/>
    <mergeCell ref="CS6:CU6"/>
    <mergeCell ref="CV6:CX6"/>
    <mergeCell ref="CY6:DA6"/>
    <mergeCell ref="BR6:BT6"/>
    <mergeCell ref="BU6:BW6"/>
    <mergeCell ref="BX6:BZ6"/>
    <mergeCell ref="CA6:CC6"/>
    <mergeCell ref="CD6:CF6"/>
    <mergeCell ref="CG6:CI6"/>
    <mergeCell ref="AZ6:BB6"/>
    <mergeCell ref="BC6:BE6"/>
    <mergeCell ref="BF6:BH6"/>
    <mergeCell ref="BI6:BK6"/>
    <mergeCell ref="BL6:BN6"/>
    <mergeCell ref="BO6:BQ6"/>
    <mergeCell ref="IP6:IR6"/>
    <mergeCell ref="IS6:IU6"/>
    <mergeCell ref="IV6:IX6"/>
    <mergeCell ref="IY6:JA6"/>
    <mergeCell ref="JB6:JD6"/>
    <mergeCell ref="JE6:JG6"/>
    <mergeCell ref="HX6:HZ6"/>
    <mergeCell ref="IA6:IC6"/>
    <mergeCell ref="ID6:IF6"/>
    <mergeCell ref="IG6:II6"/>
    <mergeCell ref="IJ6:IL6"/>
    <mergeCell ref="IM6:IO6"/>
    <mergeCell ref="HF6:HH6"/>
    <mergeCell ref="HI6:HK6"/>
    <mergeCell ref="HL6:HN6"/>
    <mergeCell ref="HO6:HQ6"/>
    <mergeCell ref="HR6:HT6"/>
    <mergeCell ref="HU6:HW6"/>
    <mergeCell ref="GN6:GP6"/>
    <mergeCell ref="GQ6:GS6"/>
    <mergeCell ref="GT6:GV6"/>
    <mergeCell ref="GW6:GY6"/>
    <mergeCell ref="GZ6:HB6"/>
    <mergeCell ref="HC6:HE6"/>
    <mergeCell ref="FV6:FX6"/>
    <mergeCell ref="FY6:GA6"/>
    <mergeCell ref="GB6:GD6"/>
    <mergeCell ref="GE6:GG6"/>
    <mergeCell ref="GH6:GJ6"/>
    <mergeCell ref="GK6:GM6"/>
    <mergeCell ref="FD6:FF6"/>
    <mergeCell ref="FG6:FI6"/>
    <mergeCell ref="FJ6:FL6"/>
    <mergeCell ref="FM6:FO6"/>
    <mergeCell ref="FP6:FR6"/>
    <mergeCell ref="FS6:FU6"/>
    <mergeCell ref="MT6:MV6"/>
    <mergeCell ref="MW6:MY6"/>
    <mergeCell ref="MZ6:NB6"/>
    <mergeCell ref="NC6:NE6"/>
    <mergeCell ref="NF6:NH6"/>
    <mergeCell ref="NI6:NK6"/>
    <mergeCell ref="MB6:MD6"/>
    <mergeCell ref="ME6:MG6"/>
    <mergeCell ref="MH6:MJ6"/>
    <mergeCell ref="MK6:MM6"/>
    <mergeCell ref="MN6:MP6"/>
    <mergeCell ref="MQ6:MS6"/>
    <mergeCell ref="LJ6:LL6"/>
    <mergeCell ref="LM6:LO6"/>
    <mergeCell ref="LP6:LR6"/>
    <mergeCell ref="LS6:LU6"/>
    <mergeCell ref="LV6:LX6"/>
    <mergeCell ref="LY6:MA6"/>
    <mergeCell ref="KR6:KT6"/>
    <mergeCell ref="KU6:KW6"/>
    <mergeCell ref="KX6:KZ6"/>
    <mergeCell ref="LA6:LC6"/>
    <mergeCell ref="LD6:LF6"/>
    <mergeCell ref="LG6:LI6"/>
    <mergeCell ref="JZ6:KB6"/>
    <mergeCell ref="KC6:KE6"/>
    <mergeCell ref="KF6:KH6"/>
    <mergeCell ref="KI6:KK6"/>
    <mergeCell ref="KL6:KN6"/>
    <mergeCell ref="KO6:KQ6"/>
    <mergeCell ref="JH6:JJ6"/>
    <mergeCell ref="JK6:JM6"/>
    <mergeCell ref="JN6:JP6"/>
    <mergeCell ref="JQ6:JS6"/>
    <mergeCell ref="JT6:JV6"/>
    <mergeCell ref="JW6:JY6"/>
    <mergeCell ref="QX6:QZ6"/>
    <mergeCell ref="RA6:RC6"/>
    <mergeCell ref="RD6:RF6"/>
    <mergeCell ref="RG6:RI6"/>
    <mergeCell ref="RJ6:RL6"/>
    <mergeCell ref="RM6:RO6"/>
    <mergeCell ref="QF6:QH6"/>
    <mergeCell ref="QI6:QK6"/>
    <mergeCell ref="QL6:QN6"/>
    <mergeCell ref="QO6:QQ6"/>
    <mergeCell ref="QR6:QT6"/>
    <mergeCell ref="QU6:QW6"/>
    <mergeCell ref="PN6:PP6"/>
    <mergeCell ref="PQ6:PS6"/>
    <mergeCell ref="PT6:PV6"/>
    <mergeCell ref="PW6:PY6"/>
    <mergeCell ref="PZ6:QB6"/>
    <mergeCell ref="QC6:QE6"/>
    <mergeCell ref="OV6:OX6"/>
    <mergeCell ref="OY6:PA6"/>
    <mergeCell ref="PB6:PD6"/>
    <mergeCell ref="PE6:PG6"/>
    <mergeCell ref="PH6:PJ6"/>
    <mergeCell ref="PK6:PM6"/>
    <mergeCell ref="OD6:OF6"/>
    <mergeCell ref="OG6:OI6"/>
    <mergeCell ref="OJ6:OL6"/>
    <mergeCell ref="OM6:OO6"/>
    <mergeCell ref="OP6:OR6"/>
    <mergeCell ref="OS6:OU6"/>
    <mergeCell ref="NL6:NN6"/>
    <mergeCell ref="NO6:NQ6"/>
    <mergeCell ref="NR6:NT6"/>
    <mergeCell ref="NU6:NW6"/>
    <mergeCell ref="NX6:NZ6"/>
    <mergeCell ref="OA6:OC6"/>
    <mergeCell ref="VB6:VD6"/>
    <mergeCell ref="VE6:VG6"/>
    <mergeCell ref="VH6:VJ6"/>
    <mergeCell ref="VK6:VM6"/>
    <mergeCell ref="VN6:VP6"/>
    <mergeCell ref="VQ6:VS6"/>
    <mergeCell ref="UJ6:UL6"/>
    <mergeCell ref="UM6:UO6"/>
    <mergeCell ref="UP6:UR6"/>
    <mergeCell ref="US6:UU6"/>
    <mergeCell ref="UV6:UX6"/>
    <mergeCell ref="UY6:VA6"/>
    <mergeCell ref="TR6:TT6"/>
    <mergeCell ref="TU6:TW6"/>
    <mergeCell ref="TX6:TZ6"/>
    <mergeCell ref="UA6:UC6"/>
    <mergeCell ref="UD6:UF6"/>
    <mergeCell ref="UG6:UI6"/>
    <mergeCell ref="SZ6:TB6"/>
    <mergeCell ref="TC6:TE6"/>
    <mergeCell ref="TF6:TH6"/>
    <mergeCell ref="TI6:TK6"/>
    <mergeCell ref="TL6:TN6"/>
    <mergeCell ref="TO6:TQ6"/>
    <mergeCell ref="SH6:SJ6"/>
    <mergeCell ref="SK6:SM6"/>
    <mergeCell ref="SN6:SP6"/>
    <mergeCell ref="SQ6:SS6"/>
    <mergeCell ref="ST6:SV6"/>
    <mergeCell ref="SW6:SY6"/>
    <mergeCell ref="RP6:RR6"/>
    <mergeCell ref="RS6:RU6"/>
    <mergeCell ref="RV6:RX6"/>
    <mergeCell ref="RY6:SA6"/>
    <mergeCell ref="SB6:SD6"/>
    <mergeCell ref="SE6:SG6"/>
    <mergeCell ref="ZF6:ZH6"/>
    <mergeCell ref="ZI6:ZK6"/>
    <mergeCell ref="ZL6:ZN6"/>
    <mergeCell ref="ZO6:ZQ6"/>
    <mergeCell ref="ZR6:ZT6"/>
    <mergeCell ref="ZU6:ZW6"/>
    <mergeCell ref="YN6:YP6"/>
    <mergeCell ref="YQ6:YS6"/>
    <mergeCell ref="YT6:YV6"/>
    <mergeCell ref="YW6:YY6"/>
    <mergeCell ref="YZ6:ZB6"/>
    <mergeCell ref="ZC6:ZE6"/>
    <mergeCell ref="XV6:XX6"/>
    <mergeCell ref="XY6:YA6"/>
    <mergeCell ref="YB6:YD6"/>
    <mergeCell ref="YE6:YG6"/>
    <mergeCell ref="YH6:YJ6"/>
    <mergeCell ref="YK6:YM6"/>
    <mergeCell ref="XD6:XF6"/>
    <mergeCell ref="XG6:XI6"/>
    <mergeCell ref="XJ6:XL6"/>
    <mergeCell ref="XM6:XO6"/>
    <mergeCell ref="XP6:XR6"/>
    <mergeCell ref="XS6:XU6"/>
    <mergeCell ref="WL6:WN6"/>
    <mergeCell ref="WO6:WQ6"/>
    <mergeCell ref="WR6:WT6"/>
    <mergeCell ref="WU6:WW6"/>
    <mergeCell ref="WX6:WZ6"/>
    <mergeCell ref="XA6:XC6"/>
    <mergeCell ref="VT6:VV6"/>
    <mergeCell ref="VW6:VY6"/>
    <mergeCell ref="VZ6:WB6"/>
    <mergeCell ref="WC6:WE6"/>
    <mergeCell ref="WF6:WH6"/>
    <mergeCell ref="WI6:WK6"/>
    <mergeCell ref="ADJ6:ADL6"/>
    <mergeCell ref="ADM6:ADO6"/>
    <mergeCell ref="ADP6:ADR6"/>
    <mergeCell ref="ADS6:ADU6"/>
    <mergeCell ref="ADV6:ADX6"/>
    <mergeCell ref="ADY6:AEA6"/>
    <mergeCell ref="ACR6:ACT6"/>
    <mergeCell ref="ACU6:ACW6"/>
    <mergeCell ref="ACX6:ACZ6"/>
    <mergeCell ref="ADA6:ADC6"/>
    <mergeCell ref="ADD6:ADF6"/>
    <mergeCell ref="ADG6:ADI6"/>
    <mergeCell ref="ABZ6:ACB6"/>
    <mergeCell ref="ACC6:ACE6"/>
    <mergeCell ref="ACF6:ACH6"/>
    <mergeCell ref="ACI6:ACK6"/>
    <mergeCell ref="ACL6:ACN6"/>
    <mergeCell ref="ACO6:ACQ6"/>
    <mergeCell ref="ABH6:ABJ6"/>
    <mergeCell ref="ABK6:ABM6"/>
    <mergeCell ref="ABN6:ABP6"/>
    <mergeCell ref="ABQ6:ABS6"/>
    <mergeCell ref="ABT6:ABV6"/>
    <mergeCell ref="ABW6:ABY6"/>
    <mergeCell ref="AAP6:AAR6"/>
    <mergeCell ref="AAS6:AAU6"/>
    <mergeCell ref="AAV6:AAX6"/>
    <mergeCell ref="AAY6:ABA6"/>
    <mergeCell ref="ABB6:ABD6"/>
    <mergeCell ref="ABE6:ABG6"/>
    <mergeCell ref="ZX6:ZZ6"/>
    <mergeCell ref="AAA6:AAC6"/>
    <mergeCell ref="AAD6:AAF6"/>
    <mergeCell ref="AAG6:AAI6"/>
    <mergeCell ref="AAJ6:AAL6"/>
    <mergeCell ref="AAM6:AAO6"/>
    <mergeCell ref="AHN6:AHP6"/>
    <mergeCell ref="AHQ6:AHS6"/>
    <mergeCell ref="AHT6:AHV6"/>
    <mergeCell ref="AHW6:AHY6"/>
    <mergeCell ref="AHZ6:AIB6"/>
    <mergeCell ref="AIC6:AIE6"/>
    <mergeCell ref="AGV6:AGX6"/>
    <mergeCell ref="AGY6:AHA6"/>
    <mergeCell ref="AHB6:AHD6"/>
    <mergeCell ref="AHE6:AHG6"/>
    <mergeCell ref="AHH6:AHJ6"/>
    <mergeCell ref="AHK6:AHM6"/>
    <mergeCell ref="AGD6:AGF6"/>
    <mergeCell ref="AGG6:AGI6"/>
    <mergeCell ref="AGJ6:AGL6"/>
    <mergeCell ref="AGM6:AGO6"/>
    <mergeCell ref="AGP6:AGR6"/>
    <mergeCell ref="AGS6:AGU6"/>
    <mergeCell ref="AFL6:AFN6"/>
    <mergeCell ref="AFO6:AFQ6"/>
    <mergeCell ref="AFR6:AFT6"/>
    <mergeCell ref="AFU6:AFW6"/>
    <mergeCell ref="AFX6:AFZ6"/>
    <mergeCell ref="AGA6:AGC6"/>
    <mergeCell ref="AET6:AEV6"/>
    <mergeCell ref="AEW6:AEY6"/>
    <mergeCell ref="AEZ6:AFB6"/>
    <mergeCell ref="AFC6:AFE6"/>
    <mergeCell ref="AFF6:AFH6"/>
    <mergeCell ref="AFI6:AFK6"/>
    <mergeCell ref="AEB6:AED6"/>
    <mergeCell ref="AEE6:AEG6"/>
    <mergeCell ref="AEH6:AEJ6"/>
    <mergeCell ref="AEK6:AEM6"/>
    <mergeCell ref="AEN6:AEP6"/>
    <mergeCell ref="AEQ6:AES6"/>
    <mergeCell ref="ALR6:ALT6"/>
    <mergeCell ref="ALU6:ALW6"/>
    <mergeCell ref="ALX6:ALZ6"/>
    <mergeCell ref="AMA6:AMC6"/>
    <mergeCell ref="AMD6:AMF6"/>
    <mergeCell ref="AMG6:AMI6"/>
    <mergeCell ref="AKZ6:ALB6"/>
    <mergeCell ref="ALC6:ALE6"/>
    <mergeCell ref="ALF6:ALH6"/>
    <mergeCell ref="ALI6:ALK6"/>
    <mergeCell ref="ALL6:ALN6"/>
    <mergeCell ref="ALO6:ALQ6"/>
    <mergeCell ref="AKH6:AKJ6"/>
    <mergeCell ref="AKK6:AKM6"/>
    <mergeCell ref="AKN6:AKP6"/>
    <mergeCell ref="AKQ6:AKS6"/>
    <mergeCell ref="AKT6:AKV6"/>
    <mergeCell ref="AKW6:AKY6"/>
    <mergeCell ref="AJP6:AJR6"/>
    <mergeCell ref="AJS6:AJU6"/>
    <mergeCell ref="AJV6:AJX6"/>
    <mergeCell ref="AJY6:AKA6"/>
    <mergeCell ref="AKB6:AKD6"/>
    <mergeCell ref="AKE6:AKG6"/>
    <mergeCell ref="AIX6:AIZ6"/>
    <mergeCell ref="AJA6:AJC6"/>
    <mergeCell ref="AJD6:AJF6"/>
    <mergeCell ref="AJG6:AJI6"/>
    <mergeCell ref="AJJ6:AJL6"/>
    <mergeCell ref="AJM6:AJO6"/>
    <mergeCell ref="AIF6:AIH6"/>
    <mergeCell ref="AII6:AIK6"/>
    <mergeCell ref="AIL6:AIN6"/>
    <mergeCell ref="AIO6:AIQ6"/>
    <mergeCell ref="AIR6:AIT6"/>
    <mergeCell ref="AIU6:AIW6"/>
    <mergeCell ref="APV6:APX6"/>
    <mergeCell ref="APY6:AQA6"/>
    <mergeCell ref="AQB6:AQD6"/>
    <mergeCell ref="AQE6:AQG6"/>
    <mergeCell ref="AQH6:AQJ6"/>
    <mergeCell ref="AQK6:AQM6"/>
    <mergeCell ref="APD6:APF6"/>
    <mergeCell ref="APG6:API6"/>
    <mergeCell ref="APJ6:APL6"/>
    <mergeCell ref="APM6:APO6"/>
    <mergeCell ref="APP6:APR6"/>
    <mergeCell ref="APS6:APU6"/>
    <mergeCell ref="AOL6:AON6"/>
    <mergeCell ref="AOO6:AOQ6"/>
    <mergeCell ref="AOR6:AOT6"/>
    <mergeCell ref="AOU6:AOW6"/>
    <mergeCell ref="AOX6:AOZ6"/>
    <mergeCell ref="APA6:APC6"/>
    <mergeCell ref="ANT6:ANV6"/>
    <mergeCell ref="ANW6:ANY6"/>
    <mergeCell ref="ANZ6:AOB6"/>
    <mergeCell ref="AOC6:AOE6"/>
    <mergeCell ref="AOF6:AOH6"/>
    <mergeCell ref="AOI6:AOK6"/>
    <mergeCell ref="ANB6:AND6"/>
    <mergeCell ref="ANE6:ANG6"/>
    <mergeCell ref="ANH6:ANJ6"/>
    <mergeCell ref="ANK6:ANM6"/>
    <mergeCell ref="ANN6:ANP6"/>
    <mergeCell ref="ANQ6:ANS6"/>
    <mergeCell ref="AMJ6:AML6"/>
    <mergeCell ref="AMM6:AMO6"/>
    <mergeCell ref="AMP6:AMR6"/>
    <mergeCell ref="AMS6:AMU6"/>
    <mergeCell ref="AMV6:AMX6"/>
    <mergeCell ref="AMY6:ANA6"/>
    <mergeCell ref="ATZ6:AUB6"/>
    <mergeCell ref="AUC6:AUE6"/>
    <mergeCell ref="AUF6:AUH6"/>
    <mergeCell ref="AUI6:AUK6"/>
    <mergeCell ref="AUL6:AUN6"/>
    <mergeCell ref="AUO6:AUQ6"/>
    <mergeCell ref="ATH6:ATJ6"/>
    <mergeCell ref="ATK6:ATM6"/>
    <mergeCell ref="ATN6:ATP6"/>
    <mergeCell ref="ATQ6:ATS6"/>
    <mergeCell ref="ATT6:ATV6"/>
    <mergeCell ref="ATW6:ATY6"/>
    <mergeCell ref="ASP6:ASR6"/>
    <mergeCell ref="ASS6:ASU6"/>
    <mergeCell ref="ASV6:ASX6"/>
    <mergeCell ref="ASY6:ATA6"/>
    <mergeCell ref="ATB6:ATD6"/>
    <mergeCell ref="ATE6:ATG6"/>
    <mergeCell ref="ARX6:ARZ6"/>
    <mergeCell ref="ASA6:ASC6"/>
    <mergeCell ref="ASD6:ASF6"/>
    <mergeCell ref="ASG6:ASI6"/>
    <mergeCell ref="ASJ6:ASL6"/>
    <mergeCell ref="ASM6:ASO6"/>
    <mergeCell ref="ARF6:ARH6"/>
    <mergeCell ref="ARI6:ARK6"/>
    <mergeCell ref="ARL6:ARN6"/>
    <mergeCell ref="ARO6:ARQ6"/>
    <mergeCell ref="ARR6:ART6"/>
    <mergeCell ref="ARU6:ARW6"/>
    <mergeCell ref="AQN6:AQP6"/>
    <mergeCell ref="AQQ6:AQS6"/>
    <mergeCell ref="AQT6:AQV6"/>
    <mergeCell ref="AQW6:AQY6"/>
    <mergeCell ref="AQZ6:ARB6"/>
    <mergeCell ref="ARC6:ARE6"/>
    <mergeCell ref="AYD6:AYF6"/>
    <mergeCell ref="AYG6:AYI6"/>
    <mergeCell ref="AYJ6:AYL6"/>
    <mergeCell ref="AYM6:AYO6"/>
    <mergeCell ref="AYP6:AYR6"/>
    <mergeCell ref="AYS6:AYU6"/>
    <mergeCell ref="AXL6:AXN6"/>
    <mergeCell ref="AXO6:AXQ6"/>
    <mergeCell ref="AXR6:AXT6"/>
    <mergeCell ref="AXU6:AXW6"/>
    <mergeCell ref="AXX6:AXZ6"/>
    <mergeCell ref="AYA6:AYC6"/>
    <mergeCell ref="AWT6:AWV6"/>
    <mergeCell ref="AWW6:AWY6"/>
    <mergeCell ref="AWZ6:AXB6"/>
    <mergeCell ref="AXC6:AXE6"/>
    <mergeCell ref="AXF6:AXH6"/>
    <mergeCell ref="AXI6:AXK6"/>
    <mergeCell ref="AWB6:AWD6"/>
    <mergeCell ref="AWE6:AWG6"/>
    <mergeCell ref="AWH6:AWJ6"/>
    <mergeCell ref="AWK6:AWM6"/>
    <mergeCell ref="AWN6:AWP6"/>
    <mergeCell ref="AWQ6:AWS6"/>
    <mergeCell ref="AVJ6:AVL6"/>
    <mergeCell ref="AVM6:AVO6"/>
    <mergeCell ref="AVP6:AVR6"/>
    <mergeCell ref="AVS6:AVU6"/>
    <mergeCell ref="AVV6:AVX6"/>
    <mergeCell ref="AVY6:AWA6"/>
    <mergeCell ref="AUR6:AUT6"/>
    <mergeCell ref="AUU6:AUW6"/>
    <mergeCell ref="AUX6:AUZ6"/>
    <mergeCell ref="AVA6:AVC6"/>
    <mergeCell ref="AVD6:AVF6"/>
    <mergeCell ref="AVG6:AVI6"/>
    <mergeCell ref="BCH6:BCJ6"/>
    <mergeCell ref="BCK6:BCM6"/>
    <mergeCell ref="BCN6:BCP6"/>
    <mergeCell ref="BCQ6:BCS6"/>
    <mergeCell ref="BCT6:BCV6"/>
    <mergeCell ref="BCW6:BCY6"/>
    <mergeCell ref="BBP6:BBR6"/>
    <mergeCell ref="BBS6:BBU6"/>
    <mergeCell ref="BBV6:BBX6"/>
    <mergeCell ref="BBY6:BCA6"/>
    <mergeCell ref="BCB6:BCD6"/>
    <mergeCell ref="BCE6:BCG6"/>
    <mergeCell ref="BAX6:BAZ6"/>
    <mergeCell ref="BBA6:BBC6"/>
    <mergeCell ref="BBD6:BBF6"/>
    <mergeCell ref="BBG6:BBI6"/>
    <mergeCell ref="BBJ6:BBL6"/>
    <mergeCell ref="BBM6:BBO6"/>
    <mergeCell ref="BAF6:BAH6"/>
    <mergeCell ref="BAI6:BAK6"/>
    <mergeCell ref="BAL6:BAN6"/>
    <mergeCell ref="BAO6:BAQ6"/>
    <mergeCell ref="BAR6:BAT6"/>
    <mergeCell ref="BAU6:BAW6"/>
    <mergeCell ref="AZN6:AZP6"/>
    <mergeCell ref="AZQ6:AZS6"/>
    <mergeCell ref="AZT6:AZV6"/>
    <mergeCell ref="AZW6:AZY6"/>
    <mergeCell ref="AZZ6:BAB6"/>
    <mergeCell ref="BAC6:BAE6"/>
    <mergeCell ref="AYV6:AYX6"/>
    <mergeCell ref="AYY6:AZA6"/>
    <mergeCell ref="AZB6:AZD6"/>
    <mergeCell ref="AZE6:AZG6"/>
    <mergeCell ref="AZH6:AZJ6"/>
    <mergeCell ref="AZK6:AZM6"/>
    <mergeCell ref="BGL6:BGN6"/>
    <mergeCell ref="BGO6:BGQ6"/>
    <mergeCell ref="BGR6:BGT6"/>
    <mergeCell ref="BGU6:BGW6"/>
    <mergeCell ref="BGX6:BGZ6"/>
    <mergeCell ref="BHA6:BHC6"/>
    <mergeCell ref="BFT6:BFV6"/>
    <mergeCell ref="BFW6:BFY6"/>
    <mergeCell ref="BFZ6:BGB6"/>
    <mergeCell ref="BGC6:BGE6"/>
    <mergeCell ref="BGF6:BGH6"/>
    <mergeCell ref="BGI6:BGK6"/>
    <mergeCell ref="BFB6:BFD6"/>
    <mergeCell ref="BFE6:BFG6"/>
    <mergeCell ref="BFH6:BFJ6"/>
    <mergeCell ref="BFK6:BFM6"/>
    <mergeCell ref="BFN6:BFP6"/>
    <mergeCell ref="BFQ6:BFS6"/>
    <mergeCell ref="BEJ6:BEL6"/>
    <mergeCell ref="BEM6:BEO6"/>
    <mergeCell ref="BEP6:BER6"/>
    <mergeCell ref="BES6:BEU6"/>
    <mergeCell ref="BEV6:BEX6"/>
    <mergeCell ref="BEY6:BFA6"/>
    <mergeCell ref="BDR6:BDT6"/>
    <mergeCell ref="BDU6:BDW6"/>
    <mergeCell ref="BDX6:BDZ6"/>
    <mergeCell ref="BEA6:BEC6"/>
    <mergeCell ref="BED6:BEF6"/>
    <mergeCell ref="BEG6:BEI6"/>
    <mergeCell ref="BCZ6:BDB6"/>
    <mergeCell ref="BDC6:BDE6"/>
    <mergeCell ref="BDF6:BDH6"/>
    <mergeCell ref="BDI6:BDK6"/>
    <mergeCell ref="BDL6:BDN6"/>
    <mergeCell ref="BDO6:BDQ6"/>
    <mergeCell ref="BKP6:BKR6"/>
    <mergeCell ref="BKS6:BKU6"/>
    <mergeCell ref="BKV6:BKX6"/>
    <mergeCell ref="BKY6:BLA6"/>
    <mergeCell ref="BLB6:BLD6"/>
    <mergeCell ref="BLE6:BLG6"/>
    <mergeCell ref="BJX6:BJZ6"/>
    <mergeCell ref="BKA6:BKC6"/>
    <mergeCell ref="BKD6:BKF6"/>
    <mergeCell ref="BKG6:BKI6"/>
    <mergeCell ref="BKJ6:BKL6"/>
    <mergeCell ref="BKM6:BKO6"/>
    <mergeCell ref="BJF6:BJH6"/>
    <mergeCell ref="BJI6:BJK6"/>
    <mergeCell ref="BJL6:BJN6"/>
    <mergeCell ref="BJO6:BJQ6"/>
    <mergeCell ref="BJR6:BJT6"/>
    <mergeCell ref="BJU6:BJW6"/>
    <mergeCell ref="BIN6:BIP6"/>
    <mergeCell ref="BIQ6:BIS6"/>
    <mergeCell ref="BIT6:BIV6"/>
    <mergeCell ref="BIW6:BIY6"/>
    <mergeCell ref="BIZ6:BJB6"/>
    <mergeCell ref="BJC6:BJE6"/>
    <mergeCell ref="BHV6:BHX6"/>
    <mergeCell ref="BHY6:BIA6"/>
    <mergeCell ref="BIB6:BID6"/>
    <mergeCell ref="BIE6:BIG6"/>
    <mergeCell ref="BIH6:BIJ6"/>
    <mergeCell ref="BIK6:BIM6"/>
    <mergeCell ref="BHD6:BHF6"/>
    <mergeCell ref="BHG6:BHI6"/>
    <mergeCell ref="BHJ6:BHL6"/>
    <mergeCell ref="BHM6:BHO6"/>
    <mergeCell ref="BHP6:BHR6"/>
    <mergeCell ref="BHS6:BHU6"/>
    <mergeCell ref="BOT6:BOV6"/>
    <mergeCell ref="BOW6:BOY6"/>
    <mergeCell ref="BOZ6:BPB6"/>
    <mergeCell ref="BPC6:BPE6"/>
    <mergeCell ref="BPF6:BPH6"/>
    <mergeCell ref="BPI6:BPK6"/>
    <mergeCell ref="BOB6:BOD6"/>
    <mergeCell ref="BOE6:BOG6"/>
    <mergeCell ref="BOH6:BOJ6"/>
    <mergeCell ref="BOK6:BOM6"/>
    <mergeCell ref="BON6:BOP6"/>
    <mergeCell ref="BOQ6:BOS6"/>
    <mergeCell ref="BNJ6:BNL6"/>
    <mergeCell ref="BNM6:BNO6"/>
    <mergeCell ref="BNP6:BNR6"/>
    <mergeCell ref="BNS6:BNU6"/>
    <mergeCell ref="BNV6:BNX6"/>
    <mergeCell ref="BNY6:BOA6"/>
    <mergeCell ref="BMR6:BMT6"/>
    <mergeCell ref="BMU6:BMW6"/>
    <mergeCell ref="BMX6:BMZ6"/>
    <mergeCell ref="BNA6:BNC6"/>
    <mergeCell ref="BND6:BNF6"/>
    <mergeCell ref="BNG6:BNI6"/>
    <mergeCell ref="BLZ6:BMB6"/>
    <mergeCell ref="BMC6:BME6"/>
    <mergeCell ref="BMF6:BMH6"/>
    <mergeCell ref="BMI6:BMK6"/>
    <mergeCell ref="BML6:BMN6"/>
    <mergeCell ref="BMO6:BMQ6"/>
    <mergeCell ref="BLH6:BLJ6"/>
    <mergeCell ref="BLK6:BLM6"/>
    <mergeCell ref="BLN6:BLP6"/>
    <mergeCell ref="BLQ6:BLS6"/>
    <mergeCell ref="BLT6:BLV6"/>
    <mergeCell ref="BLW6:BLY6"/>
    <mergeCell ref="BSX6:BSZ6"/>
    <mergeCell ref="BTA6:BTC6"/>
    <mergeCell ref="BTD6:BTF6"/>
    <mergeCell ref="BTG6:BTI6"/>
    <mergeCell ref="BTJ6:BTL6"/>
    <mergeCell ref="BTM6:BTO6"/>
    <mergeCell ref="BSF6:BSH6"/>
    <mergeCell ref="BSI6:BSK6"/>
    <mergeCell ref="BSL6:BSN6"/>
    <mergeCell ref="BSO6:BSQ6"/>
    <mergeCell ref="BSR6:BST6"/>
    <mergeCell ref="BSU6:BSW6"/>
    <mergeCell ref="BRN6:BRP6"/>
    <mergeCell ref="BRQ6:BRS6"/>
    <mergeCell ref="BRT6:BRV6"/>
    <mergeCell ref="BRW6:BRY6"/>
    <mergeCell ref="BRZ6:BSB6"/>
    <mergeCell ref="BSC6:BSE6"/>
    <mergeCell ref="BQV6:BQX6"/>
    <mergeCell ref="BQY6:BRA6"/>
    <mergeCell ref="BRB6:BRD6"/>
    <mergeCell ref="BRE6:BRG6"/>
    <mergeCell ref="BRH6:BRJ6"/>
    <mergeCell ref="BRK6:BRM6"/>
    <mergeCell ref="BQD6:BQF6"/>
    <mergeCell ref="BQG6:BQI6"/>
    <mergeCell ref="BQJ6:BQL6"/>
    <mergeCell ref="BQM6:BQO6"/>
    <mergeCell ref="BQP6:BQR6"/>
    <mergeCell ref="BQS6:BQU6"/>
    <mergeCell ref="BPL6:BPN6"/>
    <mergeCell ref="BPO6:BPQ6"/>
    <mergeCell ref="BPR6:BPT6"/>
    <mergeCell ref="BPU6:BPW6"/>
    <mergeCell ref="BPX6:BPZ6"/>
    <mergeCell ref="BQA6:BQC6"/>
    <mergeCell ref="BXB6:BXD6"/>
    <mergeCell ref="BXE6:BXG6"/>
    <mergeCell ref="BXH6:BXJ6"/>
    <mergeCell ref="BXK6:BXM6"/>
    <mergeCell ref="BXN6:BXP6"/>
    <mergeCell ref="BXQ6:BXS6"/>
    <mergeCell ref="BWJ6:BWL6"/>
    <mergeCell ref="BWM6:BWO6"/>
    <mergeCell ref="BWP6:BWR6"/>
    <mergeCell ref="BWS6:BWU6"/>
    <mergeCell ref="BWV6:BWX6"/>
    <mergeCell ref="BWY6:BXA6"/>
    <mergeCell ref="BVR6:BVT6"/>
    <mergeCell ref="BVU6:BVW6"/>
    <mergeCell ref="BVX6:BVZ6"/>
    <mergeCell ref="BWA6:BWC6"/>
    <mergeCell ref="BWD6:BWF6"/>
    <mergeCell ref="BWG6:BWI6"/>
    <mergeCell ref="BUZ6:BVB6"/>
    <mergeCell ref="BVC6:BVE6"/>
    <mergeCell ref="BVF6:BVH6"/>
    <mergeCell ref="BVI6:BVK6"/>
    <mergeCell ref="BVL6:BVN6"/>
    <mergeCell ref="BVO6:BVQ6"/>
    <mergeCell ref="BUH6:BUJ6"/>
    <mergeCell ref="BUK6:BUM6"/>
    <mergeCell ref="BUN6:BUP6"/>
    <mergeCell ref="BUQ6:BUS6"/>
    <mergeCell ref="BUT6:BUV6"/>
    <mergeCell ref="BUW6:BUY6"/>
    <mergeCell ref="BTP6:BTR6"/>
    <mergeCell ref="BTS6:BTU6"/>
    <mergeCell ref="BTV6:BTX6"/>
    <mergeCell ref="BTY6:BUA6"/>
    <mergeCell ref="BUB6:BUD6"/>
    <mergeCell ref="BUE6:BUG6"/>
    <mergeCell ref="CBF6:CBH6"/>
    <mergeCell ref="CBI6:CBK6"/>
    <mergeCell ref="CBL6:CBN6"/>
    <mergeCell ref="CBO6:CBQ6"/>
    <mergeCell ref="CBR6:CBT6"/>
    <mergeCell ref="CBU6:CBW6"/>
    <mergeCell ref="CAN6:CAP6"/>
    <mergeCell ref="CAQ6:CAS6"/>
    <mergeCell ref="CAT6:CAV6"/>
    <mergeCell ref="CAW6:CAY6"/>
    <mergeCell ref="CAZ6:CBB6"/>
    <mergeCell ref="CBC6:CBE6"/>
    <mergeCell ref="BZV6:BZX6"/>
    <mergeCell ref="BZY6:CAA6"/>
    <mergeCell ref="CAB6:CAD6"/>
    <mergeCell ref="CAE6:CAG6"/>
    <mergeCell ref="CAH6:CAJ6"/>
    <mergeCell ref="CAK6:CAM6"/>
    <mergeCell ref="BZD6:BZF6"/>
    <mergeCell ref="BZG6:BZI6"/>
    <mergeCell ref="BZJ6:BZL6"/>
    <mergeCell ref="BZM6:BZO6"/>
    <mergeCell ref="BZP6:BZR6"/>
    <mergeCell ref="BZS6:BZU6"/>
    <mergeCell ref="BYL6:BYN6"/>
    <mergeCell ref="BYO6:BYQ6"/>
    <mergeCell ref="BYR6:BYT6"/>
    <mergeCell ref="BYU6:BYW6"/>
    <mergeCell ref="BYX6:BYZ6"/>
    <mergeCell ref="BZA6:BZC6"/>
    <mergeCell ref="BXT6:BXV6"/>
    <mergeCell ref="BXW6:BXY6"/>
    <mergeCell ref="BXZ6:BYB6"/>
    <mergeCell ref="BYC6:BYE6"/>
    <mergeCell ref="BYF6:BYH6"/>
    <mergeCell ref="BYI6:BYK6"/>
    <mergeCell ref="CFJ6:CFL6"/>
    <mergeCell ref="CFM6:CFO6"/>
    <mergeCell ref="CFP6:CFR6"/>
    <mergeCell ref="CFS6:CFU6"/>
    <mergeCell ref="CFV6:CFX6"/>
    <mergeCell ref="CFY6:CGA6"/>
    <mergeCell ref="CER6:CET6"/>
    <mergeCell ref="CEU6:CEW6"/>
    <mergeCell ref="CEX6:CEZ6"/>
    <mergeCell ref="CFA6:CFC6"/>
    <mergeCell ref="CFD6:CFF6"/>
    <mergeCell ref="CFG6:CFI6"/>
    <mergeCell ref="CDZ6:CEB6"/>
    <mergeCell ref="CEC6:CEE6"/>
    <mergeCell ref="CEF6:CEH6"/>
    <mergeCell ref="CEI6:CEK6"/>
    <mergeCell ref="CEL6:CEN6"/>
    <mergeCell ref="CEO6:CEQ6"/>
    <mergeCell ref="CDH6:CDJ6"/>
    <mergeCell ref="CDK6:CDM6"/>
    <mergeCell ref="CDN6:CDP6"/>
    <mergeCell ref="CDQ6:CDS6"/>
    <mergeCell ref="CDT6:CDV6"/>
    <mergeCell ref="CDW6:CDY6"/>
    <mergeCell ref="CCP6:CCR6"/>
    <mergeCell ref="CCS6:CCU6"/>
    <mergeCell ref="CCV6:CCX6"/>
    <mergeCell ref="CCY6:CDA6"/>
    <mergeCell ref="CDB6:CDD6"/>
    <mergeCell ref="CDE6:CDG6"/>
    <mergeCell ref="CBX6:CBZ6"/>
    <mergeCell ref="CCA6:CCC6"/>
    <mergeCell ref="CCD6:CCF6"/>
    <mergeCell ref="CCG6:CCI6"/>
    <mergeCell ref="CCJ6:CCL6"/>
    <mergeCell ref="CCM6:CCO6"/>
    <mergeCell ref="CJN6:CJP6"/>
    <mergeCell ref="CJQ6:CJS6"/>
    <mergeCell ref="CJT6:CJV6"/>
    <mergeCell ref="CJW6:CJY6"/>
    <mergeCell ref="CJZ6:CKB6"/>
    <mergeCell ref="CKC6:CKE6"/>
    <mergeCell ref="CIV6:CIX6"/>
    <mergeCell ref="CIY6:CJA6"/>
    <mergeCell ref="CJB6:CJD6"/>
    <mergeCell ref="CJE6:CJG6"/>
    <mergeCell ref="CJH6:CJJ6"/>
    <mergeCell ref="CJK6:CJM6"/>
    <mergeCell ref="CID6:CIF6"/>
    <mergeCell ref="CIG6:CII6"/>
    <mergeCell ref="CIJ6:CIL6"/>
    <mergeCell ref="CIM6:CIO6"/>
    <mergeCell ref="CIP6:CIR6"/>
    <mergeCell ref="CIS6:CIU6"/>
    <mergeCell ref="CHL6:CHN6"/>
    <mergeCell ref="CHO6:CHQ6"/>
    <mergeCell ref="CHR6:CHT6"/>
    <mergeCell ref="CHU6:CHW6"/>
    <mergeCell ref="CHX6:CHZ6"/>
    <mergeCell ref="CIA6:CIC6"/>
    <mergeCell ref="CGT6:CGV6"/>
    <mergeCell ref="CGW6:CGY6"/>
    <mergeCell ref="CGZ6:CHB6"/>
    <mergeCell ref="CHC6:CHE6"/>
    <mergeCell ref="CHF6:CHH6"/>
    <mergeCell ref="CHI6:CHK6"/>
    <mergeCell ref="CGB6:CGD6"/>
    <mergeCell ref="CGE6:CGG6"/>
    <mergeCell ref="CGH6:CGJ6"/>
    <mergeCell ref="CGK6:CGM6"/>
    <mergeCell ref="CGN6:CGP6"/>
    <mergeCell ref="CGQ6:CGS6"/>
    <mergeCell ref="CNR6:CNT6"/>
    <mergeCell ref="CNU6:CNW6"/>
    <mergeCell ref="CNX6:CNZ6"/>
    <mergeCell ref="COA6:COC6"/>
    <mergeCell ref="COD6:COF6"/>
    <mergeCell ref="COG6:COI6"/>
    <mergeCell ref="CMZ6:CNB6"/>
    <mergeCell ref="CNC6:CNE6"/>
    <mergeCell ref="CNF6:CNH6"/>
    <mergeCell ref="CNI6:CNK6"/>
    <mergeCell ref="CNL6:CNN6"/>
    <mergeCell ref="CNO6:CNQ6"/>
    <mergeCell ref="CMH6:CMJ6"/>
    <mergeCell ref="CMK6:CMM6"/>
    <mergeCell ref="CMN6:CMP6"/>
    <mergeCell ref="CMQ6:CMS6"/>
    <mergeCell ref="CMT6:CMV6"/>
    <mergeCell ref="CMW6:CMY6"/>
    <mergeCell ref="CLP6:CLR6"/>
    <mergeCell ref="CLS6:CLU6"/>
    <mergeCell ref="CLV6:CLX6"/>
    <mergeCell ref="CLY6:CMA6"/>
    <mergeCell ref="CMB6:CMD6"/>
    <mergeCell ref="CME6:CMG6"/>
    <mergeCell ref="CKX6:CKZ6"/>
    <mergeCell ref="CLA6:CLC6"/>
    <mergeCell ref="CLD6:CLF6"/>
    <mergeCell ref="CLG6:CLI6"/>
    <mergeCell ref="CLJ6:CLL6"/>
    <mergeCell ref="CLM6:CLO6"/>
    <mergeCell ref="CKF6:CKH6"/>
    <mergeCell ref="CKI6:CKK6"/>
    <mergeCell ref="CKL6:CKN6"/>
    <mergeCell ref="CKO6:CKQ6"/>
    <mergeCell ref="CKR6:CKT6"/>
    <mergeCell ref="CKU6:CKW6"/>
    <mergeCell ref="CRV6:CRX6"/>
    <mergeCell ref="CRY6:CSA6"/>
    <mergeCell ref="CSB6:CSD6"/>
    <mergeCell ref="CSE6:CSG6"/>
    <mergeCell ref="CSH6:CSJ6"/>
    <mergeCell ref="CSK6:CSM6"/>
    <mergeCell ref="CRD6:CRF6"/>
    <mergeCell ref="CRG6:CRI6"/>
    <mergeCell ref="CRJ6:CRL6"/>
    <mergeCell ref="CRM6:CRO6"/>
    <mergeCell ref="CRP6:CRR6"/>
    <mergeCell ref="CRS6:CRU6"/>
    <mergeCell ref="CQL6:CQN6"/>
    <mergeCell ref="CQO6:CQQ6"/>
    <mergeCell ref="CQR6:CQT6"/>
    <mergeCell ref="CQU6:CQW6"/>
    <mergeCell ref="CQX6:CQZ6"/>
    <mergeCell ref="CRA6:CRC6"/>
    <mergeCell ref="CPT6:CPV6"/>
    <mergeCell ref="CPW6:CPY6"/>
    <mergeCell ref="CPZ6:CQB6"/>
    <mergeCell ref="CQC6:CQE6"/>
    <mergeCell ref="CQF6:CQH6"/>
    <mergeCell ref="CQI6:CQK6"/>
    <mergeCell ref="CPB6:CPD6"/>
    <mergeCell ref="CPE6:CPG6"/>
    <mergeCell ref="CPH6:CPJ6"/>
    <mergeCell ref="CPK6:CPM6"/>
    <mergeCell ref="CPN6:CPP6"/>
    <mergeCell ref="CPQ6:CPS6"/>
    <mergeCell ref="COJ6:COL6"/>
    <mergeCell ref="COM6:COO6"/>
    <mergeCell ref="COP6:COR6"/>
    <mergeCell ref="COS6:COU6"/>
    <mergeCell ref="COV6:COX6"/>
    <mergeCell ref="COY6:CPA6"/>
    <mergeCell ref="CVZ6:CWB6"/>
    <mergeCell ref="CWC6:CWE6"/>
    <mergeCell ref="CWF6:CWH6"/>
    <mergeCell ref="CWI6:CWK6"/>
    <mergeCell ref="CWL6:CWN6"/>
    <mergeCell ref="CWO6:CWQ6"/>
    <mergeCell ref="CVH6:CVJ6"/>
    <mergeCell ref="CVK6:CVM6"/>
    <mergeCell ref="CVN6:CVP6"/>
    <mergeCell ref="CVQ6:CVS6"/>
    <mergeCell ref="CVT6:CVV6"/>
    <mergeCell ref="CVW6:CVY6"/>
    <mergeCell ref="CUP6:CUR6"/>
    <mergeCell ref="CUS6:CUU6"/>
    <mergeCell ref="CUV6:CUX6"/>
    <mergeCell ref="CUY6:CVA6"/>
    <mergeCell ref="CVB6:CVD6"/>
    <mergeCell ref="CVE6:CVG6"/>
    <mergeCell ref="CTX6:CTZ6"/>
    <mergeCell ref="CUA6:CUC6"/>
    <mergeCell ref="CUD6:CUF6"/>
    <mergeCell ref="CUG6:CUI6"/>
    <mergeCell ref="CUJ6:CUL6"/>
    <mergeCell ref="CUM6:CUO6"/>
    <mergeCell ref="CTF6:CTH6"/>
    <mergeCell ref="CTI6:CTK6"/>
    <mergeCell ref="CTL6:CTN6"/>
    <mergeCell ref="CTO6:CTQ6"/>
    <mergeCell ref="CTR6:CTT6"/>
    <mergeCell ref="CTU6:CTW6"/>
    <mergeCell ref="CSN6:CSP6"/>
    <mergeCell ref="CSQ6:CSS6"/>
    <mergeCell ref="CST6:CSV6"/>
    <mergeCell ref="CSW6:CSY6"/>
    <mergeCell ref="CSZ6:CTB6"/>
    <mergeCell ref="CTC6:CTE6"/>
    <mergeCell ref="DAD6:DAF6"/>
    <mergeCell ref="DAG6:DAI6"/>
    <mergeCell ref="DAJ6:DAL6"/>
    <mergeCell ref="DAM6:DAO6"/>
    <mergeCell ref="DAP6:DAR6"/>
    <mergeCell ref="DAS6:DAU6"/>
    <mergeCell ref="CZL6:CZN6"/>
    <mergeCell ref="CZO6:CZQ6"/>
    <mergeCell ref="CZR6:CZT6"/>
    <mergeCell ref="CZU6:CZW6"/>
    <mergeCell ref="CZX6:CZZ6"/>
    <mergeCell ref="DAA6:DAC6"/>
    <mergeCell ref="CYT6:CYV6"/>
    <mergeCell ref="CYW6:CYY6"/>
    <mergeCell ref="CYZ6:CZB6"/>
    <mergeCell ref="CZC6:CZE6"/>
    <mergeCell ref="CZF6:CZH6"/>
    <mergeCell ref="CZI6:CZK6"/>
    <mergeCell ref="CYB6:CYD6"/>
    <mergeCell ref="CYE6:CYG6"/>
    <mergeCell ref="CYH6:CYJ6"/>
    <mergeCell ref="CYK6:CYM6"/>
    <mergeCell ref="CYN6:CYP6"/>
    <mergeCell ref="CYQ6:CYS6"/>
    <mergeCell ref="CXJ6:CXL6"/>
    <mergeCell ref="CXM6:CXO6"/>
    <mergeCell ref="CXP6:CXR6"/>
    <mergeCell ref="CXS6:CXU6"/>
    <mergeCell ref="CXV6:CXX6"/>
    <mergeCell ref="CXY6:CYA6"/>
    <mergeCell ref="CWR6:CWT6"/>
    <mergeCell ref="CWU6:CWW6"/>
    <mergeCell ref="CWX6:CWZ6"/>
    <mergeCell ref="CXA6:CXC6"/>
    <mergeCell ref="CXD6:CXF6"/>
    <mergeCell ref="CXG6:CXI6"/>
    <mergeCell ref="DEH6:DEJ6"/>
    <mergeCell ref="DEK6:DEM6"/>
    <mergeCell ref="DEN6:DEP6"/>
    <mergeCell ref="DEQ6:DES6"/>
    <mergeCell ref="DET6:DEV6"/>
    <mergeCell ref="DEW6:DEY6"/>
    <mergeCell ref="DDP6:DDR6"/>
    <mergeCell ref="DDS6:DDU6"/>
    <mergeCell ref="DDV6:DDX6"/>
    <mergeCell ref="DDY6:DEA6"/>
    <mergeCell ref="DEB6:DED6"/>
    <mergeCell ref="DEE6:DEG6"/>
    <mergeCell ref="DCX6:DCZ6"/>
    <mergeCell ref="DDA6:DDC6"/>
    <mergeCell ref="DDD6:DDF6"/>
    <mergeCell ref="DDG6:DDI6"/>
    <mergeCell ref="DDJ6:DDL6"/>
    <mergeCell ref="DDM6:DDO6"/>
    <mergeCell ref="DCF6:DCH6"/>
    <mergeCell ref="DCI6:DCK6"/>
    <mergeCell ref="DCL6:DCN6"/>
    <mergeCell ref="DCO6:DCQ6"/>
    <mergeCell ref="DCR6:DCT6"/>
    <mergeCell ref="DCU6:DCW6"/>
    <mergeCell ref="DBN6:DBP6"/>
    <mergeCell ref="DBQ6:DBS6"/>
    <mergeCell ref="DBT6:DBV6"/>
    <mergeCell ref="DBW6:DBY6"/>
    <mergeCell ref="DBZ6:DCB6"/>
    <mergeCell ref="DCC6:DCE6"/>
    <mergeCell ref="DAV6:DAX6"/>
    <mergeCell ref="DAY6:DBA6"/>
    <mergeCell ref="DBB6:DBD6"/>
    <mergeCell ref="DBE6:DBG6"/>
    <mergeCell ref="DBH6:DBJ6"/>
    <mergeCell ref="DBK6:DBM6"/>
    <mergeCell ref="DIL6:DIN6"/>
    <mergeCell ref="DIO6:DIQ6"/>
    <mergeCell ref="DIR6:DIT6"/>
    <mergeCell ref="DIU6:DIW6"/>
    <mergeCell ref="DIX6:DIZ6"/>
    <mergeCell ref="DJA6:DJC6"/>
    <mergeCell ref="DHT6:DHV6"/>
    <mergeCell ref="DHW6:DHY6"/>
    <mergeCell ref="DHZ6:DIB6"/>
    <mergeCell ref="DIC6:DIE6"/>
    <mergeCell ref="DIF6:DIH6"/>
    <mergeCell ref="DII6:DIK6"/>
    <mergeCell ref="DHB6:DHD6"/>
    <mergeCell ref="DHE6:DHG6"/>
    <mergeCell ref="DHH6:DHJ6"/>
    <mergeCell ref="DHK6:DHM6"/>
    <mergeCell ref="DHN6:DHP6"/>
    <mergeCell ref="DHQ6:DHS6"/>
    <mergeCell ref="DGJ6:DGL6"/>
    <mergeCell ref="DGM6:DGO6"/>
    <mergeCell ref="DGP6:DGR6"/>
    <mergeCell ref="DGS6:DGU6"/>
    <mergeCell ref="DGV6:DGX6"/>
    <mergeCell ref="DGY6:DHA6"/>
    <mergeCell ref="DFR6:DFT6"/>
    <mergeCell ref="DFU6:DFW6"/>
    <mergeCell ref="DFX6:DFZ6"/>
    <mergeCell ref="DGA6:DGC6"/>
    <mergeCell ref="DGD6:DGF6"/>
    <mergeCell ref="DGG6:DGI6"/>
    <mergeCell ref="DEZ6:DFB6"/>
    <mergeCell ref="DFC6:DFE6"/>
    <mergeCell ref="DFF6:DFH6"/>
    <mergeCell ref="DFI6:DFK6"/>
    <mergeCell ref="DFL6:DFN6"/>
    <mergeCell ref="DFO6:DFQ6"/>
    <mergeCell ref="DMP6:DMR6"/>
    <mergeCell ref="DMS6:DMU6"/>
    <mergeCell ref="DMV6:DMX6"/>
    <mergeCell ref="DMY6:DNA6"/>
    <mergeCell ref="DNB6:DND6"/>
    <mergeCell ref="DNE6:DNG6"/>
    <mergeCell ref="DLX6:DLZ6"/>
    <mergeCell ref="DMA6:DMC6"/>
    <mergeCell ref="DMD6:DMF6"/>
    <mergeCell ref="DMG6:DMI6"/>
    <mergeCell ref="DMJ6:DML6"/>
    <mergeCell ref="DMM6:DMO6"/>
    <mergeCell ref="DLF6:DLH6"/>
    <mergeCell ref="DLI6:DLK6"/>
    <mergeCell ref="DLL6:DLN6"/>
    <mergeCell ref="DLO6:DLQ6"/>
    <mergeCell ref="DLR6:DLT6"/>
    <mergeCell ref="DLU6:DLW6"/>
    <mergeCell ref="DKN6:DKP6"/>
    <mergeCell ref="DKQ6:DKS6"/>
    <mergeCell ref="DKT6:DKV6"/>
    <mergeCell ref="DKW6:DKY6"/>
    <mergeCell ref="DKZ6:DLB6"/>
    <mergeCell ref="DLC6:DLE6"/>
    <mergeCell ref="DJV6:DJX6"/>
    <mergeCell ref="DJY6:DKA6"/>
    <mergeCell ref="DKB6:DKD6"/>
    <mergeCell ref="DKE6:DKG6"/>
    <mergeCell ref="DKH6:DKJ6"/>
    <mergeCell ref="DKK6:DKM6"/>
    <mergeCell ref="DJD6:DJF6"/>
    <mergeCell ref="DJG6:DJI6"/>
    <mergeCell ref="DJJ6:DJL6"/>
    <mergeCell ref="DJM6:DJO6"/>
    <mergeCell ref="DJP6:DJR6"/>
    <mergeCell ref="DJS6:DJU6"/>
    <mergeCell ref="DQT6:DQV6"/>
    <mergeCell ref="DQW6:DQY6"/>
    <mergeCell ref="DQZ6:DRB6"/>
    <mergeCell ref="DRC6:DRE6"/>
    <mergeCell ref="DRF6:DRH6"/>
    <mergeCell ref="DRI6:DRK6"/>
    <mergeCell ref="DQB6:DQD6"/>
    <mergeCell ref="DQE6:DQG6"/>
    <mergeCell ref="DQH6:DQJ6"/>
    <mergeCell ref="DQK6:DQM6"/>
    <mergeCell ref="DQN6:DQP6"/>
    <mergeCell ref="DQQ6:DQS6"/>
    <mergeCell ref="DPJ6:DPL6"/>
    <mergeCell ref="DPM6:DPO6"/>
    <mergeCell ref="DPP6:DPR6"/>
    <mergeCell ref="DPS6:DPU6"/>
    <mergeCell ref="DPV6:DPX6"/>
    <mergeCell ref="DPY6:DQA6"/>
    <mergeCell ref="DOR6:DOT6"/>
    <mergeCell ref="DOU6:DOW6"/>
    <mergeCell ref="DOX6:DOZ6"/>
    <mergeCell ref="DPA6:DPC6"/>
    <mergeCell ref="DPD6:DPF6"/>
    <mergeCell ref="DPG6:DPI6"/>
    <mergeCell ref="DNZ6:DOB6"/>
    <mergeCell ref="DOC6:DOE6"/>
    <mergeCell ref="DOF6:DOH6"/>
    <mergeCell ref="DOI6:DOK6"/>
    <mergeCell ref="DOL6:DON6"/>
    <mergeCell ref="DOO6:DOQ6"/>
    <mergeCell ref="DNH6:DNJ6"/>
    <mergeCell ref="DNK6:DNM6"/>
    <mergeCell ref="DNN6:DNP6"/>
    <mergeCell ref="DNQ6:DNS6"/>
    <mergeCell ref="DNT6:DNV6"/>
    <mergeCell ref="DNW6:DNY6"/>
    <mergeCell ref="DUX6:DUZ6"/>
    <mergeCell ref="DVA6:DVC6"/>
    <mergeCell ref="DVD6:DVF6"/>
    <mergeCell ref="DVG6:DVI6"/>
    <mergeCell ref="DVJ6:DVL6"/>
    <mergeCell ref="DVM6:DVO6"/>
    <mergeCell ref="DUF6:DUH6"/>
    <mergeCell ref="DUI6:DUK6"/>
    <mergeCell ref="DUL6:DUN6"/>
    <mergeCell ref="DUO6:DUQ6"/>
    <mergeCell ref="DUR6:DUT6"/>
    <mergeCell ref="DUU6:DUW6"/>
    <mergeCell ref="DTN6:DTP6"/>
    <mergeCell ref="DTQ6:DTS6"/>
    <mergeCell ref="DTT6:DTV6"/>
    <mergeCell ref="DTW6:DTY6"/>
    <mergeCell ref="DTZ6:DUB6"/>
    <mergeCell ref="DUC6:DUE6"/>
    <mergeCell ref="DSV6:DSX6"/>
    <mergeCell ref="DSY6:DTA6"/>
    <mergeCell ref="DTB6:DTD6"/>
    <mergeCell ref="DTE6:DTG6"/>
    <mergeCell ref="DTH6:DTJ6"/>
    <mergeCell ref="DTK6:DTM6"/>
    <mergeCell ref="DSD6:DSF6"/>
    <mergeCell ref="DSG6:DSI6"/>
    <mergeCell ref="DSJ6:DSL6"/>
    <mergeCell ref="DSM6:DSO6"/>
    <mergeCell ref="DSP6:DSR6"/>
    <mergeCell ref="DSS6:DSU6"/>
    <mergeCell ref="DRL6:DRN6"/>
    <mergeCell ref="DRO6:DRQ6"/>
    <mergeCell ref="DRR6:DRT6"/>
    <mergeCell ref="DRU6:DRW6"/>
    <mergeCell ref="DRX6:DRZ6"/>
    <mergeCell ref="DSA6:DSC6"/>
    <mergeCell ref="DZB6:DZD6"/>
    <mergeCell ref="DZE6:DZG6"/>
    <mergeCell ref="DZH6:DZJ6"/>
    <mergeCell ref="DZK6:DZM6"/>
    <mergeCell ref="DZN6:DZP6"/>
    <mergeCell ref="DZQ6:DZS6"/>
    <mergeCell ref="DYJ6:DYL6"/>
    <mergeCell ref="DYM6:DYO6"/>
    <mergeCell ref="DYP6:DYR6"/>
    <mergeCell ref="DYS6:DYU6"/>
    <mergeCell ref="DYV6:DYX6"/>
    <mergeCell ref="DYY6:DZA6"/>
    <mergeCell ref="DXR6:DXT6"/>
    <mergeCell ref="DXU6:DXW6"/>
    <mergeCell ref="DXX6:DXZ6"/>
    <mergeCell ref="DYA6:DYC6"/>
    <mergeCell ref="DYD6:DYF6"/>
    <mergeCell ref="DYG6:DYI6"/>
    <mergeCell ref="DWZ6:DXB6"/>
    <mergeCell ref="DXC6:DXE6"/>
    <mergeCell ref="DXF6:DXH6"/>
    <mergeCell ref="DXI6:DXK6"/>
    <mergeCell ref="DXL6:DXN6"/>
    <mergeCell ref="DXO6:DXQ6"/>
    <mergeCell ref="DWH6:DWJ6"/>
    <mergeCell ref="DWK6:DWM6"/>
    <mergeCell ref="DWN6:DWP6"/>
    <mergeCell ref="DWQ6:DWS6"/>
    <mergeCell ref="DWT6:DWV6"/>
    <mergeCell ref="DWW6:DWY6"/>
    <mergeCell ref="DVP6:DVR6"/>
    <mergeCell ref="DVS6:DVU6"/>
    <mergeCell ref="DVV6:DVX6"/>
    <mergeCell ref="DVY6:DWA6"/>
    <mergeCell ref="DWB6:DWD6"/>
    <mergeCell ref="DWE6:DWG6"/>
    <mergeCell ref="EDF6:EDH6"/>
    <mergeCell ref="EDI6:EDK6"/>
    <mergeCell ref="EDL6:EDN6"/>
    <mergeCell ref="EDO6:EDQ6"/>
    <mergeCell ref="EDR6:EDT6"/>
    <mergeCell ref="EDU6:EDW6"/>
    <mergeCell ref="ECN6:ECP6"/>
    <mergeCell ref="ECQ6:ECS6"/>
    <mergeCell ref="ECT6:ECV6"/>
    <mergeCell ref="ECW6:ECY6"/>
    <mergeCell ref="ECZ6:EDB6"/>
    <mergeCell ref="EDC6:EDE6"/>
    <mergeCell ref="EBV6:EBX6"/>
    <mergeCell ref="EBY6:ECA6"/>
    <mergeCell ref="ECB6:ECD6"/>
    <mergeCell ref="ECE6:ECG6"/>
    <mergeCell ref="ECH6:ECJ6"/>
    <mergeCell ref="ECK6:ECM6"/>
    <mergeCell ref="EBD6:EBF6"/>
    <mergeCell ref="EBG6:EBI6"/>
    <mergeCell ref="EBJ6:EBL6"/>
    <mergeCell ref="EBM6:EBO6"/>
    <mergeCell ref="EBP6:EBR6"/>
    <mergeCell ref="EBS6:EBU6"/>
    <mergeCell ref="EAL6:EAN6"/>
    <mergeCell ref="EAO6:EAQ6"/>
    <mergeCell ref="EAR6:EAT6"/>
    <mergeCell ref="EAU6:EAW6"/>
    <mergeCell ref="EAX6:EAZ6"/>
    <mergeCell ref="EBA6:EBC6"/>
    <mergeCell ref="DZT6:DZV6"/>
    <mergeCell ref="DZW6:DZY6"/>
    <mergeCell ref="DZZ6:EAB6"/>
    <mergeCell ref="EAC6:EAE6"/>
    <mergeCell ref="EAF6:EAH6"/>
    <mergeCell ref="EAI6:EAK6"/>
    <mergeCell ref="EHJ6:EHL6"/>
    <mergeCell ref="EHM6:EHO6"/>
    <mergeCell ref="EHP6:EHR6"/>
    <mergeCell ref="EHS6:EHU6"/>
    <mergeCell ref="EHV6:EHX6"/>
    <mergeCell ref="EHY6:EIA6"/>
    <mergeCell ref="EGR6:EGT6"/>
    <mergeCell ref="EGU6:EGW6"/>
    <mergeCell ref="EGX6:EGZ6"/>
    <mergeCell ref="EHA6:EHC6"/>
    <mergeCell ref="EHD6:EHF6"/>
    <mergeCell ref="EHG6:EHI6"/>
    <mergeCell ref="EFZ6:EGB6"/>
    <mergeCell ref="EGC6:EGE6"/>
    <mergeCell ref="EGF6:EGH6"/>
    <mergeCell ref="EGI6:EGK6"/>
    <mergeCell ref="EGL6:EGN6"/>
    <mergeCell ref="EGO6:EGQ6"/>
    <mergeCell ref="EFH6:EFJ6"/>
    <mergeCell ref="EFK6:EFM6"/>
    <mergeCell ref="EFN6:EFP6"/>
    <mergeCell ref="EFQ6:EFS6"/>
    <mergeCell ref="EFT6:EFV6"/>
    <mergeCell ref="EFW6:EFY6"/>
    <mergeCell ref="EEP6:EER6"/>
    <mergeCell ref="EES6:EEU6"/>
    <mergeCell ref="EEV6:EEX6"/>
    <mergeCell ref="EEY6:EFA6"/>
    <mergeCell ref="EFB6:EFD6"/>
    <mergeCell ref="EFE6:EFG6"/>
    <mergeCell ref="EDX6:EDZ6"/>
    <mergeCell ref="EEA6:EEC6"/>
    <mergeCell ref="EED6:EEF6"/>
    <mergeCell ref="EEG6:EEI6"/>
    <mergeCell ref="EEJ6:EEL6"/>
    <mergeCell ref="EEM6:EEO6"/>
    <mergeCell ref="ELN6:ELP6"/>
    <mergeCell ref="ELQ6:ELS6"/>
    <mergeCell ref="ELT6:ELV6"/>
    <mergeCell ref="ELW6:ELY6"/>
    <mergeCell ref="ELZ6:EMB6"/>
    <mergeCell ref="EMC6:EME6"/>
    <mergeCell ref="EKV6:EKX6"/>
    <mergeCell ref="EKY6:ELA6"/>
    <mergeCell ref="ELB6:ELD6"/>
    <mergeCell ref="ELE6:ELG6"/>
    <mergeCell ref="ELH6:ELJ6"/>
    <mergeCell ref="ELK6:ELM6"/>
    <mergeCell ref="EKD6:EKF6"/>
    <mergeCell ref="EKG6:EKI6"/>
    <mergeCell ref="EKJ6:EKL6"/>
    <mergeCell ref="EKM6:EKO6"/>
    <mergeCell ref="EKP6:EKR6"/>
    <mergeCell ref="EKS6:EKU6"/>
    <mergeCell ref="EJL6:EJN6"/>
    <mergeCell ref="EJO6:EJQ6"/>
    <mergeCell ref="EJR6:EJT6"/>
    <mergeCell ref="EJU6:EJW6"/>
    <mergeCell ref="EJX6:EJZ6"/>
    <mergeCell ref="EKA6:EKC6"/>
    <mergeCell ref="EIT6:EIV6"/>
    <mergeCell ref="EIW6:EIY6"/>
    <mergeCell ref="EIZ6:EJB6"/>
    <mergeCell ref="EJC6:EJE6"/>
    <mergeCell ref="EJF6:EJH6"/>
    <mergeCell ref="EJI6:EJK6"/>
    <mergeCell ref="EIB6:EID6"/>
    <mergeCell ref="EIE6:EIG6"/>
    <mergeCell ref="EIH6:EIJ6"/>
    <mergeCell ref="EIK6:EIM6"/>
    <mergeCell ref="EIN6:EIP6"/>
    <mergeCell ref="EIQ6:EIS6"/>
    <mergeCell ref="EPR6:EPT6"/>
    <mergeCell ref="EPU6:EPW6"/>
    <mergeCell ref="EPX6:EPZ6"/>
    <mergeCell ref="EQA6:EQC6"/>
    <mergeCell ref="EQD6:EQF6"/>
    <mergeCell ref="EQG6:EQI6"/>
    <mergeCell ref="EOZ6:EPB6"/>
    <mergeCell ref="EPC6:EPE6"/>
    <mergeCell ref="EPF6:EPH6"/>
    <mergeCell ref="EPI6:EPK6"/>
    <mergeCell ref="EPL6:EPN6"/>
    <mergeCell ref="EPO6:EPQ6"/>
    <mergeCell ref="EOH6:EOJ6"/>
    <mergeCell ref="EOK6:EOM6"/>
    <mergeCell ref="EON6:EOP6"/>
    <mergeCell ref="EOQ6:EOS6"/>
    <mergeCell ref="EOT6:EOV6"/>
    <mergeCell ref="EOW6:EOY6"/>
    <mergeCell ref="ENP6:ENR6"/>
    <mergeCell ref="ENS6:ENU6"/>
    <mergeCell ref="ENV6:ENX6"/>
    <mergeCell ref="ENY6:EOA6"/>
    <mergeCell ref="EOB6:EOD6"/>
    <mergeCell ref="EOE6:EOG6"/>
    <mergeCell ref="EMX6:EMZ6"/>
    <mergeCell ref="ENA6:ENC6"/>
    <mergeCell ref="END6:ENF6"/>
    <mergeCell ref="ENG6:ENI6"/>
    <mergeCell ref="ENJ6:ENL6"/>
    <mergeCell ref="ENM6:ENO6"/>
    <mergeCell ref="EMF6:EMH6"/>
    <mergeCell ref="EMI6:EMK6"/>
    <mergeCell ref="EML6:EMN6"/>
    <mergeCell ref="EMO6:EMQ6"/>
    <mergeCell ref="EMR6:EMT6"/>
    <mergeCell ref="EMU6:EMW6"/>
    <mergeCell ref="ETV6:ETX6"/>
    <mergeCell ref="ETY6:EUA6"/>
    <mergeCell ref="EUB6:EUD6"/>
    <mergeCell ref="EUE6:EUG6"/>
    <mergeCell ref="EUH6:EUJ6"/>
    <mergeCell ref="EUK6:EUM6"/>
    <mergeCell ref="ETD6:ETF6"/>
    <mergeCell ref="ETG6:ETI6"/>
    <mergeCell ref="ETJ6:ETL6"/>
    <mergeCell ref="ETM6:ETO6"/>
    <mergeCell ref="ETP6:ETR6"/>
    <mergeCell ref="ETS6:ETU6"/>
    <mergeCell ref="ESL6:ESN6"/>
    <mergeCell ref="ESO6:ESQ6"/>
    <mergeCell ref="ESR6:EST6"/>
    <mergeCell ref="ESU6:ESW6"/>
    <mergeCell ref="ESX6:ESZ6"/>
    <mergeCell ref="ETA6:ETC6"/>
    <mergeCell ref="ERT6:ERV6"/>
    <mergeCell ref="ERW6:ERY6"/>
    <mergeCell ref="ERZ6:ESB6"/>
    <mergeCell ref="ESC6:ESE6"/>
    <mergeCell ref="ESF6:ESH6"/>
    <mergeCell ref="ESI6:ESK6"/>
    <mergeCell ref="ERB6:ERD6"/>
    <mergeCell ref="ERE6:ERG6"/>
    <mergeCell ref="ERH6:ERJ6"/>
    <mergeCell ref="ERK6:ERM6"/>
    <mergeCell ref="ERN6:ERP6"/>
    <mergeCell ref="ERQ6:ERS6"/>
    <mergeCell ref="EQJ6:EQL6"/>
    <mergeCell ref="EQM6:EQO6"/>
    <mergeCell ref="EQP6:EQR6"/>
    <mergeCell ref="EQS6:EQU6"/>
    <mergeCell ref="EQV6:EQX6"/>
    <mergeCell ref="EQY6:ERA6"/>
    <mergeCell ref="EXZ6:EYB6"/>
    <mergeCell ref="EYC6:EYE6"/>
    <mergeCell ref="EYF6:EYH6"/>
    <mergeCell ref="EYI6:EYK6"/>
    <mergeCell ref="EYL6:EYN6"/>
    <mergeCell ref="EYO6:EYQ6"/>
    <mergeCell ref="EXH6:EXJ6"/>
    <mergeCell ref="EXK6:EXM6"/>
    <mergeCell ref="EXN6:EXP6"/>
    <mergeCell ref="EXQ6:EXS6"/>
    <mergeCell ref="EXT6:EXV6"/>
    <mergeCell ref="EXW6:EXY6"/>
    <mergeCell ref="EWP6:EWR6"/>
    <mergeCell ref="EWS6:EWU6"/>
    <mergeCell ref="EWV6:EWX6"/>
    <mergeCell ref="EWY6:EXA6"/>
    <mergeCell ref="EXB6:EXD6"/>
    <mergeCell ref="EXE6:EXG6"/>
    <mergeCell ref="EVX6:EVZ6"/>
    <mergeCell ref="EWA6:EWC6"/>
    <mergeCell ref="EWD6:EWF6"/>
    <mergeCell ref="EWG6:EWI6"/>
    <mergeCell ref="EWJ6:EWL6"/>
    <mergeCell ref="EWM6:EWO6"/>
    <mergeCell ref="EVF6:EVH6"/>
    <mergeCell ref="EVI6:EVK6"/>
    <mergeCell ref="EVL6:EVN6"/>
    <mergeCell ref="EVO6:EVQ6"/>
    <mergeCell ref="EVR6:EVT6"/>
    <mergeCell ref="EVU6:EVW6"/>
    <mergeCell ref="EUN6:EUP6"/>
    <mergeCell ref="EUQ6:EUS6"/>
    <mergeCell ref="EUT6:EUV6"/>
    <mergeCell ref="EUW6:EUY6"/>
    <mergeCell ref="EUZ6:EVB6"/>
    <mergeCell ref="EVC6:EVE6"/>
    <mergeCell ref="FCD6:FCF6"/>
    <mergeCell ref="FCG6:FCI6"/>
    <mergeCell ref="FCJ6:FCL6"/>
    <mergeCell ref="FCM6:FCO6"/>
    <mergeCell ref="FCP6:FCR6"/>
    <mergeCell ref="FCS6:FCU6"/>
    <mergeCell ref="FBL6:FBN6"/>
    <mergeCell ref="FBO6:FBQ6"/>
    <mergeCell ref="FBR6:FBT6"/>
    <mergeCell ref="FBU6:FBW6"/>
    <mergeCell ref="FBX6:FBZ6"/>
    <mergeCell ref="FCA6:FCC6"/>
    <mergeCell ref="FAT6:FAV6"/>
    <mergeCell ref="FAW6:FAY6"/>
    <mergeCell ref="FAZ6:FBB6"/>
    <mergeCell ref="FBC6:FBE6"/>
    <mergeCell ref="FBF6:FBH6"/>
    <mergeCell ref="FBI6:FBK6"/>
    <mergeCell ref="FAB6:FAD6"/>
    <mergeCell ref="FAE6:FAG6"/>
    <mergeCell ref="FAH6:FAJ6"/>
    <mergeCell ref="FAK6:FAM6"/>
    <mergeCell ref="FAN6:FAP6"/>
    <mergeCell ref="FAQ6:FAS6"/>
    <mergeCell ref="EZJ6:EZL6"/>
    <mergeCell ref="EZM6:EZO6"/>
    <mergeCell ref="EZP6:EZR6"/>
    <mergeCell ref="EZS6:EZU6"/>
    <mergeCell ref="EZV6:EZX6"/>
    <mergeCell ref="EZY6:FAA6"/>
    <mergeCell ref="EYR6:EYT6"/>
    <mergeCell ref="EYU6:EYW6"/>
    <mergeCell ref="EYX6:EYZ6"/>
    <mergeCell ref="EZA6:EZC6"/>
    <mergeCell ref="EZD6:EZF6"/>
    <mergeCell ref="EZG6:EZI6"/>
    <mergeCell ref="FGH6:FGJ6"/>
    <mergeCell ref="FGK6:FGM6"/>
    <mergeCell ref="FGN6:FGP6"/>
    <mergeCell ref="FGQ6:FGS6"/>
    <mergeCell ref="FGT6:FGV6"/>
    <mergeCell ref="FGW6:FGY6"/>
    <mergeCell ref="FFP6:FFR6"/>
    <mergeCell ref="FFS6:FFU6"/>
    <mergeCell ref="FFV6:FFX6"/>
    <mergeCell ref="FFY6:FGA6"/>
    <mergeCell ref="FGB6:FGD6"/>
    <mergeCell ref="FGE6:FGG6"/>
    <mergeCell ref="FEX6:FEZ6"/>
    <mergeCell ref="FFA6:FFC6"/>
    <mergeCell ref="FFD6:FFF6"/>
    <mergeCell ref="FFG6:FFI6"/>
    <mergeCell ref="FFJ6:FFL6"/>
    <mergeCell ref="FFM6:FFO6"/>
    <mergeCell ref="FEF6:FEH6"/>
    <mergeCell ref="FEI6:FEK6"/>
    <mergeCell ref="FEL6:FEN6"/>
    <mergeCell ref="FEO6:FEQ6"/>
    <mergeCell ref="FER6:FET6"/>
    <mergeCell ref="FEU6:FEW6"/>
    <mergeCell ref="FDN6:FDP6"/>
    <mergeCell ref="FDQ6:FDS6"/>
    <mergeCell ref="FDT6:FDV6"/>
    <mergeCell ref="FDW6:FDY6"/>
    <mergeCell ref="FDZ6:FEB6"/>
    <mergeCell ref="FEC6:FEE6"/>
    <mergeCell ref="FCV6:FCX6"/>
    <mergeCell ref="FCY6:FDA6"/>
    <mergeCell ref="FDB6:FDD6"/>
    <mergeCell ref="FDE6:FDG6"/>
    <mergeCell ref="FDH6:FDJ6"/>
    <mergeCell ref="FDK6:FDM6"/>
    <mergeCell ref="FKL6:FKN6"/>
    <mergeCell ref="FKO6:FKQ6"/>
    <mergeCell ref="FKR6:FKT6"/>
    <mergeCell ref="FKU6:FKW6"/>
    <mergeCell ref="FKX6:FKZ6"/>
    <mergeCell ref="FLA6:FLC6"/>
    <mergeCell ref="FJT6:FJV6"/>
    <mergeCell ref="FJW6:FJY6"/>
    <mergeCell ref="FJZ6:FKB6"/>
    <mergeCell ref="FKC6:FKE6"/>
    <mergeCell ref="FKF6:FKH6"/>
    <mergeCell ref="FKI6:FKK6"/>
    <mergeCell ref="FJB6:FJD6"/>
    <mergeCell ref="FJE6:FJG6"/>
    <mergeCell ref="FJH6:FJJ6"/>
    <mergeCell ref="FJK6:FJM6"/>
    <mergeCell ref="FJN6:FJP6"/>
    <mergeCell ref="FJQ6:FJS6"/>
    <mergeCell ref="FIJ6:FIL6"/>
    <mergeCell ref="FIM6:FIO6"/>
    <mergeCell ref="FIP6:FIR6"/>
    <mergeCell ref="FIS6:FIU6"/>
    <mergeCell ref="FIV6:FIX6"/>
    <mergeCell ref="FIY6:FJA6"/>
    <mergeCell ref="FHR6:FHT6"/>
    <mergeCell ref="FHU6:FHW6"/>
    <mergeCell ref="FHX6:FHZ6"/>
    <mergeCell ref="FIA6:FIC6"/>
    <mergeCell ref="FID6:FIF6"/>
    <mergeCell ref="FIG6:FII6"/>
    <mergeCell ref="FGZ6:FHB6"/>
    <mergeCell ref="FHC6:FHE6"/>
    <mergeCell ref="FHF6:FHH6"/>
    <mergeCell ref="FHI6:FHK6"/>
    <mergeCell ref="FHL6:FHN6"/>
    <mergeCell ref="FHO6:FHQ6"/>
    <mergeCell ref="FOP6:FOR6"/>
    <mergeCell ref="FOS6:FOU6"/>
    <mergeCell ref="FOV6:FOX6"/>
    <mergeCell ref="FOY6:FPA6"/>
    <mergeCell ref="FPB6:FPD6"/>
    <mergeCell ref="FPE6:FPG6"/>
    <mergeCell ref="FNX6:FNZ6"/>
    <mergeCell ref="FOA6:FOC6"/>
    <mergeCell ref="FOD6:FOF6"/>
    <mergeCell ref="FOG6:FOI6"/>
    <mergeCell ref="FOJ6:FOL6"/>
    <mergeCell ref="FOM6:FOO6"/>
    <mergeCell ref="FNF6:FNH6"/>
    <mergeCell ref="FNI6:FNK6"/>
    <mergeCell ref="FNL6:FNN6"/>
    <mergeCell ref="FNO6:FNQ6"/>
    <mergeCell ref="FNR6:FNT6"/>
    <mergeCell ref="FNU6:FNW6"/>
    <mergeCell ref="FMN6:FMP6"/>
    <mergeCell ref="FMQ6:FMS6"/>
    <mergeCell ref="FMT6:FMV6"/>
    <mergeCell ref="FMW6:FMY6"/>
    <mergeCell ref="FMZ6:FNB6"/>
    <mergeCell ref="FNC6:FNE6"/>
    <mergeCell ref="FLV6:FLX6"/>
    <mergeCell ref="FLY6:FMA6"/>
    <mergeCell ref="FMB6:FMD6"/>
    <mergeCell ref="FME6:FMG6"/>
    <mergeCell ref="FMH6:FMJ6"/>
    <mergeCell ref="FMK6:FMM6"/>
    <mergeCell ref="FLD6:FLF6"/>
    <mergeCell ref="FLG6:FLI6"/>
    <mergeCell ref="FLJ6:FLL6"/>
    <mergeCell ref="FLM6:FLO6"/>
    <mergeCell ref="FLP6:FLR6"/>
    <mergeCell ref="FLS6:FLU6"/>
    <mergeCell ref="FST6:FSV6"/>
    <mergeCell ref="FSW6:FSY6"/>
    <mergeCell ref="FSZ6:FTB6"/>
    <mergeCell ref="FTC6:FTE6"/>
    <mergeCell ref="FTF6:FTH6"/>
    <mergeCell ref="FTI6:FTK6"/>
    <mergeCell ref="FSB6:FSD6"/>
    <mergeCell ref="FSE6:FSG6"/>
    <mergeCell ref="FSH6:FSJ6"/>
    <mergeCell ref="FSK6:FSM6"/>
    <mergeCell ref="FSN6:FSP6"/>
    <mergeCell ref="FSQ6:FSS6"/>
    <mergeCell ref="FRJ6:FRL6"/>
    <mergeCell ref="FRM6:FRO6"/>
    <mergeCell ref="FRP6:FRR6"/>
    <mergeCell ref="FRS6:FRU6"/>
    <mergeCell ref="FRV6:FRX6"/>
    <mergeCell ref="FRY6:FSA6"/>
    <mergeCell ref="FQR6:FQT6"/>
    <mergeCell ref="FQU6:FQW6"/>
    <mergeCell ref="FQX6:FQZ6"/>
    <mergeCell ref="FRA6:FRC6"/>
    <mergeCell ref="FRD6:FRF6"/>
    <mergeCell ref="FRG6:FRI6"/>
    <mergeCell ref="FPZ6:FQB6"/>
    <mergeCell ref="FQC6:FQE6"/>
    <mergeCell ref="FQF6:FQH6"/>
    <mergeCell ref="FQI6:FQK6"/>
    <mergeCell ref="FQL6:FQN6"/>
    <mergeCell ref="FQO6:FQQ6"/>
    <mergeCell ref="FPH6:FPJ6"/>
    <mergeCell ref="FPK6:FPM6"/>
    <mergeCell ref="FPN6:FPP6"/>
    <mergeCell ref="FPQ6:FPS6"/>
    <mergeCell ref="FPT6:FPV6"/>
    <mergeCell ref="FPW6:FPY6"/>
    <mergeCell ref="FWX6:FWZ6"/>
    <mergeCell ref="FXA6:FXC6"/>
    <mergeCell ref="FXD6:FXF6"/>
    <mergeCell ref="FXG6:FXI6"/>
    <mergeCell ref="FXJ6:FXL6"/>
    <mergeCell ref="FXM6:FXO6"/>
    <mergeCell ref="FWF6:FWH6"/>
    <mergeCell ref="FWI6:FWK6"/>
    <mergeCell ref="FWL6:FWN6"/>
    <mergeCell ref="FWO6:FWQ6"/>
    <mergeCell ref="FWR6:FWT6"/>
    <mergeCell ref="FWU6:FWW6"/>
    <mergeCell ref="FVN6:FVP6"/>
    <mergeCell ref="FVQ6:FVS6"/>
    <mergeCell ref="FVT6:FVV6"/>
    <mergeCell ref="FVW6:FVY6"/>
    <mergeCell ref="FVZ6:FWB6"/>
    <mergeCell ref="FWC6:FWE6"/>
    <mergeCell ref="FUV6:FUX6"/>
    <mergeCell ref="FUY6:FVA6"/>
    <mergeCell ref="FVB6:FVD6"/>
    <mergeCell ref="FVE6:FVG6"/>
    <mergeCell ref="FVH6:FVJ6"/>
    <mergeCell ref="FVK6:FVM6"/>
    <mergeCell ref="FUD6:FUF6"/>
    <mergeCell ref="FUG6:FUI6"/>
    <mergeCell ref="FUJ6:FUL6"/>
    <mergeCell ref="FUM6:FUO6"/>
    <mergeCell ref="FUP6:FUR6"/>
    <mergeCell ref="FUS6:FUU6"/>
    <mergeCell ref="FTL6:FTN6"/>
    <mergeCell ref="FTO6:FTQ6"/>
    <mergeCell ref="FTR6:FTT6"/>
    <mergeCell ref="FTU6:FTW6"/>
    <mergeCell ref="FTX6:FTZ6"/>
    <mergeCell ref="FUA6:FUC6"/>
    <mergeCell ref="GBB6:GBD6"/>
    <mergeCell ref="GBE6:GBG6"/>
    <mergeCell ref="GBH6:GBJ6"/>
    <mergeCell ref="GBK6:GBM6"/>
    <mergeCell ref="GBN6:GBP6"/>
    <mergeCell ref="GBQ6:GBS6"/>
    <mergeCell ref="GAJ6:GAL6"/>
    <mergeCell ref="GAM6:GAO6"/>
    <mergeCell ref="GAP6:GAR6"/>
    <mergeCell ref="GAS6:GAU6"/>
    <mergeCell ref="GAV6:GAX6"/>
    <mergeCell ref="GAY6:GBA6"/>
    <mergeCell ref="FZR6:FZT6"/>
    <mergeCell ref="FZU6:FZW6"/>
    <mergeCell ref="FZX6:FZZ6"/>
    <mergeCell ref="GAA6:GAC6"/>
    <mergeCell ref="GAD6:GAF6"/>
    <mergeCell ref="GAG6:GAI6"/>
    <mergeCell ref="FYZ6:FZB6"/>
    <mergeCell ref="FZC6:FZE6"/>
    <mergeCell ref="FZF6:FZH6"/>
    <mergeCell ref="FZI6:FZK6"/>
    <mergeCell ref="FZL6:FZN6"/>
    <mergeCell ref="FZO6:FZQ6"/>
    <mergeCell ref="FYH6:FYJ6"/>
    <mergeCell ref="FYK6:FYM6"/>
    <mergeCell ref="FYN6:FYP6"/>
    <mergeCell ref="FYQ6:FYS6"/>
    <mergeCell ref="FYT6:FYV6"/>
    <mergeCell ref="FYW6:FYY6"/>
    <mergeCell ref="FXP6:FXR6"/>
    <mergeCell ref="FXS6:FXU6"/>
    <mergeCell ref="FXV6:FXX6"/>
    <mergeCell ref="FXY6:FYA6"/>
    <mergeCell ref="FYB6:FYD6"/>
    <mergeCell ref="FYE6:FYG6"/>
    <mergeCell ref="GFF6:GFH6"/>
    <mergeCell ref="GFI6:GFK6"/>
    <mergeCell ref="GFL6:GFN6"/>
    <mergeCell ref="GFO6:GFQ6"/>
    <mergeCell ref="GFR6:GFT6"/>
    <mergeCell ref="GFU6:GFW6"/>
    <mergeCell ref="GEN6:GEP6"/>
    <mergeCell ref="GEQ6:GES6"/>
    <mergeCell ref="GET6:GEV6"/>
    <mergeCell ref="GEW6:GEY6"/>
    <mergeCell ref="GEZ6:GFB6"/>
    <mergeCell ref="GFC6:GFE6"/>
    <mergeCell ref="GDV6:GDX6"/>
    <mergeCell ref="GDY6:GEA6"/>
    <mergeCell ref="GEB6:GED6"/>
    <mergeCell ref="GEE6:GEG6"/>
    <mergeCell ref="GEH6:GEJ6"/>
    <mergeCell ref="GEK6:GEM6"/>
    <mergeCell ref="GDD6:GDF6"/>
    <mergeCell ref="GDG6:GDI6"/>
    <mergeCell ref="GDJ6:GDL6"/>
    <mergeCell ref="GDM6:GDO6"/>
    <mergeCell ref="GDP6:GDR6"/>
    <mergeCell ref="GDS6:GDU6"/>
    <mergeCell ref="GCL6:GCN6"/>
    <mergeCell ref="GCO6:GCQ6"/>
    <mergeCell ref="GCR6:GCT6"/>
    <mergeCell ref="GCU6:GCW6"/>
    <mergeCell ref="GCX6:GCZ6"/>
    <mergeCell ref="GDA6:GDC6"/>
    <mergeCell ref="GBT6:GBV6"/>
    <mergeCell ref="GBW6:GBY6"/>
    <mergeCell ref="GBZ6:GCB6"/>
    <mergeCell ref="GCC6:GCE6"/>
    <mergeCell ref="GCF6:GCH6"/>
    <mergeCell ref="GCI6:GCK6"/>
    <mergeCell ref="GJJ6:GJL6"/>
    <mergeCell ref="GJM6:GJO6"/>
    <mergeCell ref="GJP6:GJR6"/>
    <mergeCell ref="GJS6:GJU6"/>
    <mergeCell ref="GJV6:GJX6"/>
    <mergeCell ref="GJY6:GKA6"/>
    <mergeCell ref="GIR6:GIT6"/>
    <mergeCell ref="GIU6:GIW6"/>
    <mergeCell ref="GIX6:GIZ6"/>
    <mergeCell ref="GJA6:GJC6"/>
    <mergeCell ref="GJD6:GJF6"/>
    <mergeCell ref="GJG6:GJI6"/>
    <mergeCell ref="GHZ6:GIB6"/>
    <mergeCell ref="GIC6:GIE6"/>
    <mergeCell ref="GIF6:GIH6"/>
    <mergeCell ref="GII6:GIK6"/>
    <mergeCell ref="GIL6:GIN6"/>
    <mergeCell ref="GIO6:GIQ6"/>
    <mergeCell ref="GHH6:GHJ6"/>
    <mergeCell ref="GHK6:GHM6"/>
    <mergeCell ref="GHN6:GHP6"/>
    <mergeCell ref="GHQ6:GHS6"/>
    <mergeCell ref="GHT6:GHV6"/>
    <mergeCell ref="GHW6:GHY6"/>
    <mergeCell ref="GGP6:GGR6"/>
    <mergeCell ref="GGS6:GGU6"/>
    <mergeCell ref="GGV6:GGX6"/>
    <mergeCell ref="GGY6:GHA6"/>
    <mergeCell ref="GHB6:GHD6"/>
    <mergeCell ref="GHE6:GHG6"/>
    <mergeCell ref="GFX6:GFZ6"/>
    <mergeCell ref="GGA6:GGC6"/>
    <mergeCell ref="GGD6:GGF6"/>
    <mergeCell ref="GGG6:GGI6"/>
    <mergeCell ref="GGJ6:GGL6"/>
    <mergeCell ref="GGM6:GGO6"/>
    <mergeCell ref="GNN6:GNP6"/>
    <mergeCell ref="GNQ6:GNS6"/>
    <mergeCell ref="GNT6:GNV6"/>
    <mergeCell ref="GNW6:GNY6"/>
    <mergeCell ref="GNZ6:GOB6"/>
    <mergeCell ref="GOC6:GOE6"/>
    <mergeCell ref="GMV6:GMX6"/>
    <mergeCell ref="GMY6:GNA6"/>
    <mergeCell ref="GNB6:GND6"/>
    <mergeCell ref="GNE6:GNG6"/>
    <mergeCell ref="GNH6:GNJ6"/>
    <mergeCell ref="GNK6:GNM6"/>
    <mergeCell ref="GMD6:GMF6"/>
    <mergeCell ref="GMG6:GMI6"/>
    <mergeCell ref="GMJ6:GML6"/>
    <mergeCell ref="GMM6:GMO6"/>
    <mergeCell ref="GMP6:GMR6"/>
    <mergeCell ref="GMS6:GMU6"/>
    <mergeCell ref="GLL6:GLN6"/>
    <mergeCell ref="GLO6:GLQ6"/>
    <mergeCell ref="GLR6:GLT6"/>
    <mergeCell ref="GLU6:GLW6"/>
    <mergeCell ref="GLX6:GLZ6"/>
    <mergeCell ref="GMA6:GMC6"/>
    <mergeCell ref="GKT6:GKV6"/>
    <mergeCell ref="GKW6:GKY6"/>
    <mergeCell ref="GKZ6:GLB6"/>
    <mergeCell ref="GLC6:GLE6"/>
    <mergeCell ref="GLF6:GLH6"/>
    <mergeCell ref="GLI6:GLK6"/>
    <mergeCell ref="GKB6:GKD6"/>
    <mergeCell ref="GKE6:GKG6"/>
    <mergeCell ref="GKH6:GKJ6"/>
    <mergeCell ref="GKK6:GKM6"/>
    <mergeCell ref="GKN6:GKP6"/>
    <mergeCell ref="GKQ6:GKS6"/>
    <mergeCell ref="GRR6:GRT6"/>
    <mergeCell ref="GRU6:GRW6"/>
    <mergeCell ref="GRX6:GRZ6"/>
    <mergeCell ref="GSA6:GSC6"/>
    <mergeCell ref="GSD6:GSF6"/>
    <mergeCell ref="GSG6:GSI6"/>
    <mergeCell ref="GQZ6:GRB6"/>
    <mergeCell ref="GRC6:GRE6"/>
    <mergeCell ref="GRF6:GRH6"/>
    <mergeCell ref="GRI6:GRK6"/>
    <mergeCell ref="GRL6:GRN6"/>
    <mergeCell ref="GRO6:GRQ6"/>
    <mergeCell ref="GQH6:GQJ6"/>
    <mergeCell ref="GQK6:GQM6"/>
    <mergeCell ref="GQN6:GQP6"/>
    <mergeCell ref="GQQ6:GQS6"/>
    <mergeCell ref="GQT6:GQV6"/>
    <mergeCell ref="GQW6:GQY6"/>
    <mergeCell ref="GPP6:GPR6"/>
    <mergeCell ref="GPS6:GPU6"/>
    <mergeCell ref="GPV6:GPX6"/>
    <mergeCell ref="GPY6:GQA6"/>
    <mergeCell ref="GQB6:GQD6"/>
    <mergeCell ref="GQE6:GQG6"/>
    <mergeCell ref="GOX6:GOZ6"/>
    <mergeCell ref="GPA6:GPC6"/>
    <mergeCell ref="GPD6:GPF6"/>
    <mergeCell ref="GPG6:GPI6"/>
    <mergeCell ref="GPJ6:GPL6"/>
    <mergeCell ref="GPM6:GPO6"/>
    <mergeCell ref="GOF6:GOH6"/>
    <mergeCell ref="GOI6:GOK6"/>
    <mergeCell ref="GOL6:GON6"/>
    <mergeCell ref="GOO6:GOQ6"/>
    <mergeCell ref="GOR6:GOT6"/>
    <mergeCell ref="GOU6:GOW6"/>
    <mergeCell ref="GVV6:GVX6"/>
    <mergeCell ref="GVY6:GWA6"/>
    <mergeCell ref="GWB6:GWD6"/>
    <mergeCell ref="GWE6:GWG6"/>
    <mergeCell ref="GWH6:GWJ6"/>
    <mergeCell ref="GWK6:GWM6"/>
    <mergeCell ref="GVD6:GVF6"/>
    <mergeCell ref="GVG6:GVI6"/>
    <mergeCell ref="GVJ6:GVL6"/>
    <mergeCell ref="GVM6:GVO6"/>
    <mergeCell ref="GVP6:GVR6"/>
    <mergeCell ref="GVS6:GVU6"/>
    <mergeCell ref="GUL6:GUN6"/>
    <mergeCell ref="GUO6:GUQ6"/>
    <mergeCell ref="GUR6:GUT6"/>
    <mergeCell ref="GUU6:GUW6"/>
    <mergeCell ref="GUX6:GUZ6"/>
    <mergeCell ref="GVA6:GVC6"/>
    <mergeCell ref="GTT6:GTV6"/>
    <mergeCell ref="GTW6:GTY6"/>
    <mergeCell ref="GTZ6:GUB6"/>
    <mergeCell ref="GUC6:GUE6"/>
    <mergeCell ref="GUF6:GUH6"/>
    <mergeCell ref="GUI6:GUK6"/>
    <mergeCell ref="GTB6:GTD6"/>
    <mergeCell ref="GTE6:GTG6"/>
    <mergeCell ref="GTH6:GTJ6"/>
    <mergeCell ref="GTK6:GTM6"/>
    <mergeCell ref="GTN6:GTP6"/>
    <mergeCell ref="GTQ6:GTS6"/>
    <mergeCell ref="GSJ6:GSL6"/>
    <mergeCell ref="GSM6:GSO6"/>
    <mergeCell ref="GSP6:GSR6"/>
    <mergeCell ref="GSS6:GSU6"/>
    <mergeCell ref="GSV6:GSX6"/>
    <mergeCell ref="GSY6:GTA6"/>
    <mergeCell ref="GZZ6:HAB6"/>
    <mergeCell ref="HAC6:HAE6"/>
    <mergeCell ref="HAF6:HAH6"/>
    <mergeCell ref="HAI6:HAK6"/>
    <mergeCell ref="HAL6:HAN6"/>
    <mergeCell ref="HAO6:HAQ6"/>
    <mergeCell ref="GZH6:GZJ6"/>
    <mergeCell ref="GZK6:GZM6"/>
    <mergeCell ref="GZN6:GZP6"/>
    <mergeCell ref="GZQ6:GZS6"/>
    <mergeCell ref="GZT6:GZV6"/>
    <mergeCell ref="GZW6:GZY6"/>
    <mergeCell ref="GYP6:GYR6"/>
    <mergeCell ref="GYS6:GYU6"/>
    <mergeCell ref="GYV6:GYX6"/>
    <mergeCell ref="GYY6:GZA6"/>
    <mergeCell ref="GZB6:GZD6"/>
    <mergeCell ref="GZE6:GZG6"/>
    <mergeCell ref="GXX6:GXZ6"/>
    <mergeCell ref="GYA6:GYC6"/>
    <mergeCell ref="GYD6:GYF6"/>
    <mergeCell ref="GYG6:GYI6"/>
    <mergeCell ref="GYJ6:GYL6"/>
    <mergeCell ref="GYM6:GYO6"/>
    <mergeCell ref="GXF6:GXH6"/>
    <mergeCell ref="GXI6:GXK6"/>
    <mergeCell ref="GXL6:GXN6"/>
    <mergeCell ref="GXO6:GXQ6"/>
    <mergeCell ref="GXR6:GXT6"/>
    <mergeCell ref="GXU6:GXW6"/>
    <mergeCell ref="GWN6:GWP6"/>
    <mergeCell ref="GWQ6:GWS6"/>
    <mergeCell ref="GWT6:GWV6"/>
    <mergeCell ref="GWW6:GWY6"/>
    <mergeCell ref="GWZ6:GXB6"/>
    <mergeCell ref="GXC6:GXE6"/>
    <mergeCell ref="HED6:HEF6"/>
    <mergeCell ref="HEG6:HEI6"/>
    <mergeCell ref="HEJ6:HEL6"/>
    <mergeCell ref="HEM6:HEO6"/>
    <mergeCell ref="HEP6:HER6"/>
    <mergeCell ref="HES6:HEU6"/>
    <mergeCell ref="HDL6:HDN6"/>
    <mergeCell ref="HDO6:HDQ6"/>
    <mergeCell ref="HDR6:HDT6"/>
    <mergeCell ref="HDU6:HDW6"/>
    <mergeCell ref="HDX6:HDZ6"/>
    <mergeCell ref="HEA6:HEC6"/>
    <mergeCell ref="HCT6:HCV6"/>
    <mergeCell ref="HCW6:HCY6"/>
    <mergeCell ref="HCZ6:HDB6"/>
    <mergeCell ref="HDC6:HDE6"/>
    <mergeCell ref="HDF6:HDH6"/>
    <mergeCell ref="HDI6:HDK6"/>
    <mergeCell ref="HCB6:HCD6"/>
    <mergeCell ref="HCE6:HCG6"/>
    <mergeCell ref="HCH6:HCJ6"/>
    <mergeCell ref="HCK6:HCM6"/>
    <mergeCell ref="HCN6:HCP6"/>
    <mergeCell ref="HCQ6:HCS6"/>
    <mergeCell ref="HBJ6:HBL6"/>
    <mergeCell ref="HBM6:HBO6"/>
    <mergeCell ref="HBP6:HBR6"/>
    <mergeCell ref="HBS6:HBU6"/>
    <mergeCell ref="HBV6:HBX6"/>
    <mergeCell ref="HBY6:HCA6"/>
    <mergeCell ref="HAR6:HAT6"/>
    <mergeCell ref="HAU6:HAW6"/>
    <mergeCell ref="HAX6:HAZ6"/>
    <mergeCell ref="HBA6:HBC6"/>
    <mergeCell ref="HBD6:HBF6"/>
    <mergeCell ref="HBG6:HBI6"/>
    <mergeCell ref="HIH6:HIJ6"/>
    <mergeCell ref="HIK6:HIM6"/>
    <mergeCell ref="HIN6:HIP6"/>
    <mergeCell ref="HIQ6:HIS6"/>
    <mergeCell ref="HIT6:HIV6"/>
    <mergeCell ref="HIW6:HIY6"/>
    <mergeCell ref="HHP6:HHR6"/>
    <mergeCell ref="HHS6:HHU6"/>
    <mergeCell ref="HHV6:HHX6"/>
    <mergeCell ref="HHY6:HIA6"/>
    <mergeCell ref="HIB6:HID6"/>
    <mergeCell ref="HIE6:HIG6"/>
    <mergeCell ref="HGX6:HGZ6"/>
    <mergeCell ref="HHA6:HHC6"/>
    <mergeCell ref="HHD6:HHF6"/>
    <mergeCell ref="HHG6:HHI6"/>
    <mergeCell ref="HHJ6:HHL6"/>
    <mergeCell ref="HHM6:HHO6"/>
    <mergeCell ref="HGF6:HGH6"/>
    <mergeCell ref="HGI6:HGK6"/>
    <mergeCell ref="HGL6:HGN6"/>
    <mergeCell ref="HGO6:HGQ6"/>
    <mergeCell ref="HGR6:HGT6"/>
    <mergeCell ref="HGU6:HGW6"/>
    <mergeCell ref="HFN6:HFP6"/>
    <mergeCell ref="HFQ6:HFS6"/>
    <mergeCell ref="HFT6:HFV6"/>
    <mergeCell ref="HFW6:HFY6"/>
    <mergeCell ref="HFZ6:HGB6"/>
    <mergeCell ref="HGC6:HGE6"/>
    <mergeCell ref="HEV6:HEX6"/>
    <mergeCell ref="HEY6:HFA6"/>
    <mergeCell ref="HFB6:HFD6"/>
    <mergeCell ref="HFE6:HFG6"/>
    <mergeCell ref="HFH6:HFJ6"/>
    <mergeCell ref="HFK6:HFM6"/>
    <mergeCell ref="HML6:HMN6"/>
    <mergeCell ref="HMO6:HMQ6"/>
    <mergeCell ref="HMR6:HMT6"/>
    <mergeCell ref="HMU6:HMW6"/>
    <mergeCell ref="HMX6:HMZ6"/>
    <mergeCell ref="HNA6:HNC6"/>
    <mergeCell ref="HLT6:HLV6"/>
    <mergeCell ref="HLW6:HLY6"/>
    <mergeCell ref="HLZ6:HMB6"/>
    <mergeCell ref="HMC6:HME6"/>
    <mergeCell ref="HMF6:HMH6"/>
    <mergeCell ref="HMI6:HMK6"/>
    <mergeCell ref="HLB6:HLD6"/>
    <mergeCell ref="HLE6:HLG6"/>
    <mergeCell ref="HLH6:HLJ6"/>
    <mergeCell ref="HLK6:HLM6"/>
    <mergeCell ref="HLN6:HLP6"/>
    <mergeCell ref="HLQ6:HLS6"/>
    <mergeCell ref="HKJ6:HKL6"/>
    <mergeCell ref="HKM6:HKO6"/>
    <mergeCell ref="HKP6:HKR6"/>
    <mergeCell ref="HKS6:HKU6"/>
    <mergeCell ref="HKV6:HKX6"/>
    <mergeCell ref="HKY6:HLA6"/>
    <mergeCell ref="HJR6:HJT6"/>
    <mergeCell ref="HJU6:HJW6"/>
    <mergeCell ref="HJX6:HJZ6"/>
    <mergeCell ref="HKA6:HKC6"/>
    <mergeCell ref="HKD6:HKF6"/>
    <mergeCell ref="HKG6:HKI6"/>
    <mergeCell ref="HIZ6:HJB6"/>
    <mergeCell ref="HJC6:HJE6"/>
    <mergeCell ref="HJF6:HJH6"/>
    <mergeCell ref="HJI6:HJK6"/>
    <mergeCell ref="HJL6:HJN6"/>
    <mergeCell ref="HJO6:HJQ6"/>
    <mergeCell ref="HQP6:HQR6"/>
    <mergeCell ref="HQS6:HQU6"/>
    <mergeCell ref="HQV6:HQX6"/>
    <mergeCell ref="HQY6:HRA6"/>
    <mergeCell ref="HRB6:HRD6"/>
    <mergeCell ref="HRE6:HRG6"/>
    <mergeCell ref="HPX6:HPZ6"/>
    <mergeCell ref="HQA6:HQC6"/>
    <mergeCell ref="HQD6:HQF6"/>
    <mergeCell ref="HQG6:HQI6"/>
    <mergeCell ref="HQJ6:HQL6"/>
    <mergeCell ref="HQM6:HQO6"/>
    <mergeCell ref="HPF6:HPH6"/>
    <mergeCell ref="HPI6:HPK6"/>
    <mergeCell ref="HPL6:HPN6"/>
    <mergeCell ref="HPO6:HPQ6"/>
    <mergeCell ref="HPR6:HPT6"/>
    <mergeCell ref="HPU6:HPW6"/>
    <mergeCell ref="HON6:HOP6"/>
    <mergeCell ref="HOQ6:HOS6"/>
    <mergeCell ref="HOT6:HOV6"/>
    <mergeCell ref="HOW6:HOY6"/>
    <mergeCell ref="HOZ6:HPB6"/>
    <mergeCell ref="HPC6:HPE6"/>
    <mergeCell ref="HNV6:HNX6"/>
    <mergeCell ref="HNY6:HOA6"/>
    <mergeCell ref="HOB6:HOD6"/>
    <mergeCell ref="HOE6:HOG6"/>
    <mergeCell ref="HOH6:HOJ6"/>
    <mergeCell ref="HOK6:HOM6"/>
    <mergeCell ref="HND6:HNF6"/>
    <mergeCell ref="HNG6:HNI6"/>
    <mergeCell ref="HNJ6:HNL6"/>
    <mergeCell ref="HNM6:HNO6"/>
    <mergeCell ref="HNP6:HNR6"/>
    <mergeCell ref="HNS6:HNU6"/>
    <mergeCell ref="HUT6:HUV6"/>
    <mergeCell ref="HUW6:HUY6"/>
    <mergeCell ref="HUZ6:HVB6"/>
    <mergeCell ref="HVC6:HVE6"/>
    <mergeCell ref="HVF6:HVH6"/>
    <mergeCell ref="HVI6:HVK6"/>
    <mergeCell ref="HUB6:HUD6"/>
    <mergeCell ref="HUE6:HUG6"/>
    <mergeCell ref="HUH6:HUJ6"/>
    <mergeCell ref="HUK6:HUM6"/>
    <mergeCell ref="HUN6:HUP6"/>
    <mergeCell ref="HUQ6:HUS6"/>
    <mergeCell ref="HTJ6:HTL6"/>
    <mergeCell ref="HTM6:HTO6"/>
    <mergeCell ref="HTP6:HTR6"/>
    <mergeCell ref="HTS6:HTU6"/>
    <mergeCell ref="HTV6:HTX6"/>
    <mergeCell ref="HTY6:HUA6"/>
    <mergeCell ref="HSR6:HST6"/>
    <mergeCell ref="HSU6:HSW6"/>
    <mergeCell ref="HSX6:HSZ6"/>
    <mergeCell ref="HTA6:HTC6"/>
    <mergeCell ref="HTD6:HTF6"/>
    <mergeCell ref="HTG6:HTI6"/>
    <mergeCell ref="HRZ6:HSB6"/>
    <mergeCell ref="HSC6:HSE6"/>
    <mergeCell ref="HSF6:HSH6"/>
    <mergeCell ref="HSI6:HSK6"/>
    <mergeCell ref="HSL6:HSN6"/>
    <mergeCell ref="HSO6:HSQ6"/>
    <mergeCell ref="HRH6:HRJ6"/>
    <mergeCell ref="HRK6:HRM6"/>
    <mergeCell ref="HRN6:HRP6"/>
    <mergeCell ref="HRQ6:HRS6"/>
    <mergeCell ref="HRT6:HRV6"/>
    <mergeCell ref="HRW6:HRY6"/>
    <mergeCell ref="HYX6:HYZ6"/>
    <mergeCell ref="HZA6:HZC6"/>
    <mergeCell ref="HZD6:HZF6"/>
    <mergeCell ref="HZG6:HZI6"/>
    <mergeCell ref="HZJ6:HZL6"/>
    <mergeCell ref="HZM6:HZO6"/>
    <mergeCell ref="HYF6:HYH6"/>
    <mergeCell ref="HYI6:HYK6"/>
    <mergeCell ref="HYL6:HYN6"/>
    <mergeCell ref="HYO6:HYQ6"/>
    <mergeCell ref="HYR6:HYT6"/>
    <mergeCell ref="HYU6:HYW6"/>
    <mergeCell ref="HXN6:HXP6"/>
    <mergeCell ref="HXQ6:HXS6"/>
    <mergeCell ref="HXT6:HXV6"/>
    <mergeCell ref="HXW6:HXY6"/>
    <mergeCell ref="HXZ6:HYB6"/>
    <mergeCell ref="HYC6:HYE6"/>
    <mergeCell ref="HWV6:HWX6"/>
    <mergeCell ref="HWY6:HXA6"/>
    <mergeCell ref="HXB6:HXD6"/>
    <mergeCell ref="HXE6:HXG6"/>
    <mergeCell ref="HXH6:HXJ6"/>
    <mergeCell ref="HXK6:HXM6"/>
    <mergeCell ref="HWD6:HWF6"/>
    <mergeCell ref="HWG6:HWI6"/>
    <mergeCell ref="HWJ6:HWL6"/>
    <mergeCell ref="HWM6:HWO6"/>
    <mergeCell ref="HWP6:HWR6"/>
    <mergeCell ref="HWS6:HWU6"/>
    <mergeCell ref="HVL6:HVN6"/>
    <mergeCell ref="HVO6:HVQ6"/>
    <mergeCell ref="HVR6:HVT6"/>
    <mergeCell ref="HVU6:HVW6"/>
    <mergeCell ref="HVX6:HVZ6"/>
    <mergeCell ref="HWA6:HWC6"/>
    <mergeCell ref="IDB6:IDD6"/>
    <mergeCell ref="IDE6:IDG6"/>
    <mergeCell ref="IDH6:IDJ6"/>
    <mergeCell ref="IDK6:IDM6"/>
    <mergeCell ref="IDN6:IDP6"/>
    <mergeCell ref="IDQ6:IDS6"/>
    <mergeCell ref="ICJ6:ICL6"/>
    <mergeCell ref="ICM6:ICO6"/>
    <mergeCell ref="ICP6:ICR6"/>
    <mergeCell ref="ICS6:ICU6"/>
    <mergeCell ref="ICV6:ICX6"/>
    <mergeCell ref="ICY6:IDA6"/>
    <mergeCell ref="IBR6:IBT6"/>
    <mergeCell ref="IBU6:IBW6"/>
    <mergeCell ref="IBX6:IBZ6"/>
    <mergeCell ref="ICA6:ICC6"/>
    <mergeCell ref="ICD6:ICF6"/>
    <mergeCell ref="ICG6:ICI6"/>
    <mergeCell ref="IAZ6:IBB6"/>
    <mergeCell ref="IBC6:IBE6"/>
    <mergeCell ref="IBF6:IBH6"/>
    <mergeCell ref="IBI6:IBK6"/>
    <mergeCell ref="IBL6:IBN6"/>
    <mergeCell ref="IBO6:IBQ6"/>
    <mergeCell ref="IAH6:IAJ6"/>
    <mergeCell ref="IAK6:IAM6"/>
    <mergeCell ref="IAN6:IAP6"/>
    <mergeCell ref="IAQ6:IAS6"/>
    <mergeCell ref="IAT6:IAV6"/>
    <mergeCell ref="IAW6:IAY6"/>
    <mergeCell ref="HZP6:HZR6"/>
    <mergeCell ref="HZS6:HZU6"/>
    <mergeCell ref="HZV6:HZX6"/>
    <mergeCell ref="HZY6:IAA6"/>
    <mergeCell ref="IAB6:IAD6"/>
    <mergeCell ref="IAE6:IAG6"/>
    <mergeCell ref="IHF6:IHH6"/>
    <mergeCell ref="IHI6:IHK6"/>
    <mergeCell ref="IHL6:IHN6"/>
    <mergeCell ref="IHO6:IHQ6"/>
    <mergeCell ref="IHR6:IHT6"/>
    <mergeCell ref="IHU6:IHW6"/>
    <mergeCell ref="IGN6:IGP6"/>
    <mergeCell ref="IGQ6:IGS6"/>
    <mergeCell ref="IGT6:IGV6"/>
    <mergeCell ref="IGW6:IGY6"/>
    <mergeCell ref="IGZ6:IHB6"/>
    <mergeCell ref="IHC6:IHE6"/>
    <mergeCell ref="IFV6:IFX6"/>
    <mergeCell ref="IFY6:IGA6"/>
    <mergeCell ref="IGB6:IGD6"/>
    <mergeCell ref="IGE6:IGG6"/>
    <mergeCell ref="IGH6:IGJ6"/>
    <mergeCell ref="IGK6:IGM6"/>
    <mergeCell ref="IFD6:IFF6"/>
    <mergeCell ref="IFG6:IFI6"/>
    <mergeCell ref="IFJ6:IFL6"/>
    <mergeCell ref="IFM6:IFO6"/>
    <mergeCell ref="IFP6:IFR6"/>
    <mergeCell ref="IFS6:IFU6"/>
    <mergeCell ref="IEL6:IEN6"/>
    <mergeCell ref="IEO6:IEQ6"/>
    <mergeCell ref="IER6:IET6"/>
    <mergeCell ref="IEU6:IEW6"/>
    <mergeCell ref="IEX6:IEZ6"/>
    <mergeCell ref="IFA6:IFC6"/>
    <mergeCell ref="IDT6:IDV6"/>
    <mergeCell ref="IDW6:IDY6"/>
    <mergeCell ref="IDZ6:IEB6"/>
    <mergeCell ref="IEC6:IEE6"/>
    <mergeCell ref="IEF6:IEH6"/>
    <mergeCell ref="IEI6:IEK6"/>
    <mergeCell ref="ILJ6:ILL6"/>
    <mergeCell ref="ILM6:ILO6"/>
    <mergeCell ref="ILP6:ILR6"/>
    <mergeCell ref="ILS6:ILU6"/>
    <mergeCell ref="ILV6:ILX6"/>
    <mergeCell ref="ILY6:IMA6"/>
    <mergeCell ref="IKR6:IKT6"/>
    <mergeCell ref="IKU6:IKW6"/>
    <mergeCell ref="IKX6:IKZ6"/>
    <mergeCell ref="ILA6:ILC6"/>
    <mergeCell ref="ILD6:ILF6"/>
    <mergeCell ref="ILG6:ILI6"/>
    <mergeCell ref="IJZ6:IKB6"/>
    <mergeCell ref="IKC6:IKE6"/>
    <mergeCell ref="IKF6:IKH6"/>
    <mergeCell ref="IKI6:IKK6"/>
    <mergeCell ref="IKL6:IKN6"/>
    <mergeCell ref="IKO6:IKQ6"/>
    <mergeCell ref="IJH6:IJJ6"/>
    <mergeCell ref="IJK6:IJM6"/>
    <mergeCell ref="IJN6:IJP6"/>
    <mergeCell ref="IJQ6:IJS6"/>
    <mergeCell ref="IJT6:IJV6"/>
    <mergeCell ref="IJW6:IJY6"/>
    <mergeCell ref="IIP6:IIR6"/>
    <mergeCell ref="IIS6:IIU6"/>
    <mergeCell ref="IIV6:IIX6"/>
    <mergeCell ref="IIY6:IJA6"/>
    <mergeCell ref="IJB6:IJD6"/>
    <mergeCell ref="IJE6:IJG6"/>
    <mergeCell ref="IHX6:IHZ6"/>
    <mergeCell ref="IIA6:IIC6"/>
    <mergeCell ref="IID6:IIF6"/>
    <mergeCell ref="IIG6:III6"/>
    <mergeCell ref="IIJ6:IIL6"/>
    <mergeCell ref="IIM6:IIO6"/>
    <mergeCell ref="IPN6:IPP6"/>
    <mergeCell ref="IPQ6:IPS6"/>
    <mergeCell ref="IPT6:IPV6"/>
    <mergeCell ref="IPW6:IPY6"/>
    <mergeCell ref="IPZ6:IQB6"/>
    <mergeCell ref="IQC6:IQE6"/>
    <mergeCell ref="IOV6:IOX6"/>
    <mergeCell ref="IOY6:IPA6"/>
    <mergeCell ref="IPB6:IPD6"/>
    <mergeCell ref="IPE6:IPG6"/>
    <mergeCell ref="IPH6:IPJ6"/>
    <mergeCell ref="IPK6:IPM6"/>
    <mergeCell ref="IOD6:IOF6"/>
    <mergeCell ref="IOG6:IOI6"/>
    <mergeCell ref="IOJ6:IOL6"/>
    <mergeCell ref="IOM6:IOO6"/>
    <mergeCell ref="IOP6:IOR6"/>
    <mergeCell ref="IOS6:IOU6"/>
    <mergeCell ref="INL6:INN6"/>
    <mergeCell ref="INO6:INQ6"/>
    <mergeCell ref="INR6:INT6"/>
    <mergeCell ref="INU6:INW6"/>
    <mergeCell ref="INX6:INZ6"/>
    <mergeCell ref="IOA6:IOC6"/>
    <mergeCell ref="IMT6:IMV6"/>
    <mergeCell ref="IMW6:IMY6"/>
    <mergeCell ref="IMZ6:INB6"/>
    <mergeCell ref="INC6:INE6"/>
    <mergeCell ref="INF6:INH6"/>
    <mergeCell ref="INI6:INK6"/>
    <mergeCell ref="IMB6:IMD6"/>
    <mergeCell ref="IME6:IMG6"/>
    <mergeCell ref="IMH6:IMJ6"/>
    <mergeCell ref="IMK6:IMM6"/>
    <mergeCell ref="IMN6:IMP6"/>
    <mergeCell ref="IMQ6:IMS6"/>
    <mergeCell ref="ITR6:ITT6"/>
    <mergeCell ref="ITU6:ITW6"/>
    <mergeCell ref="ITX6:ITZ6"/>
    <mergeCell ref="IUA6:IUC6"/>
    <mergeCell ref="IUD6:IUF6"/>
    <mergeCell ref="IUG6:IUI6"/>
    <mergeCell ref="ISZ6:ITB6"/>
    <mergeCell ref="ITC6:ITE6"/>
    <mergeCell ref="ITF6:ITH6"/>
    <mergeCell ref="ITI6:ITK6"/>
    <mergeCell ref="ITL6:ITN6"/>
    <mergeCell ref="ITO6:ITQ6"/>
    <mergeCell ref="ISH6:ISJ6"/>
    <mergeCell ref="ISK6:ISM6"/>
    <mergeCell ref="ISN6:ISP6"/>
    <mergeCell ref="ISQ6:ISS6"/>
    <mergeCell ref="IST6:ISV6"/>
    <mergeCell ref="ISW6:ISY6"/>
    <mergeCell ref="IRP6:IRR6"/>
    <mergeCell ref="IRS6:IRU6"/>
    <mergeCell ref="IRV6:IRX6"/>
    <mergeCell ref="IRY6:ISA6"/>
    <mergeCell ref="ISB6:ISD6"/>
    <mergeCell ref="ISE6:ISG6"/>
    <mergeCell ref="IQX6:IQZ6"/>
    <mergeCell ref="IRA6:IRC6"/>
    <mergeCell ref="IRD6:IRF6"/>
    <mergeCell ref="IRG6:IRI6"/>
    <mergeCell ref="IRJ6:IRL6"/>
    <mergeCell ref="IRM6:IRO6"/>
    <mergeCell ref="IQF6:IQH6"/>
    <mergeCell ref="IQI6:IQK6"/>
    <mergeCell ref="IQL6:IQN6"/>
    <mergeCell ref="IQO6:IQQ6"/>
    <mergeCell ref="IQR6:IQT6"/>
    <mergeCell ref="IQU6:IQW6"/>
    <mergeCell ref="IXV6:IXX6"/>
    <mergeCell ref="IXY6:IYA6"/>
    <mergeCell ref="IYB6:IYD6"/>
    <mergeCell ref="IYE6:IYG6"/>
    <mergeCell ref="IYH6:IYJ6"/>
    <mergeCell ref="IYK6:IYM6"/>
    <mergeCell ref="IXD6:IXF6"/>
    <mergeCell ref="IXG6:IXI6"/>
    <mergeCell ref="IXJ6:IXL6"/>
    <mergeCell ref="IXM6:IXO6"/>
    <mergeCell ref="IXP6:IXR6"/>
    <mergeCell ref="IXS6:IXU6"/>
    <mergeCell ref="IWL6:IWN6"/>
    <mergeCell ref="IWO6:IWQ6"/>
    <mergeCell ref="IWR6:IWT6"/>
    <mergeCell ref="IWU6:IWW6"/>
    <mergeCell ref="IWX6:IWZ6"/>
    <mergeCell ref="IXA6:IXC6"/>
    <mergeCell ref="IVT6:IVV6"/>
    <mergeCell ref="IVW6:IVY6"/>
    <mergeCell ref="IVZ6:IWB6"/>
    <mergeCell ref="IWC6:IWE6"/>
    <mergeCell ref="IWF6:IWH6"/>
    <mergeCell ref="IWI6:IWK6"/>
    <mergeCell ref="IVB6:IVD6"/>
    <mergeCell ref="IVE6:IVG6"/>
    <mergeCell ref="IVH6:IVJ6"/>
    <mergeCell ref="IVK6:IVM6"/>
    <mergeCell ref="IVN6:IVP6"/>
    <mergeCell ref="IVQ6:IVS6"/>
    <mergeCell ref="IUJ6:IUL6"/>
    <mergeCell ref="IUM6:IUO6"/>
    <mergeCell ref="IUP6:IUR6"/>
    <mergeCell ref="IUS6:IUU6"/>
    <mergeCell ref="IUV6:IUX6"/>
    <mergeCell ref="IUY6:IVA6"/>
    <mergeCell ref="JBZ6:JCB6"/>
    <mergeCell ref="JCC6:JCE6"/>
    <mergeCell ref="JCF6:JCH6"/>
    <mergeCell ref="JCI6:JCK6"/>
    <mergeCell ref="JCL6:JCN6"/>
    <mergeCell ref="JCO6:JCQ6"/>
    <mergeCell ref="JBH6:JBJ6"/>
    <mergeCell ref="JBK6:JBM6"/>
    <mergeCell ref="JBN6:JBP6"/>
    <mergeCell ref="JBQ6:JBS6"/>
    <mergeCell ref="JBT6:JBV6"/>
    <mergeCell ref="JBW6:JBY6"/>
    <mergeCell ref="JAP6:JAR6"/>
    <mergeCell ref="JAS6:JAU6"/>
    <mergeCell ref="JAV6:JAX6"/>
    <mergeCell ref="JAY6:JBA6"/>
    <mergeCell ref="JBB6:JBD6"/>
    <mergeCell ref="JBE6:JBG6"/>
    <mergeCell ref="IZX6:IZZ6"/>
    <mergeCell ref="JAA6:JAC6"/>
    <mergeCell ref="JAD6:JAF6"/>
    <mergeCell ref="JAG6:JAI6"/>
    <mergeCell ref="JAJ6:JAL6"/>
    <mergeCell ref="JAM6:JAO6"/>
    <mergeCell ref="IZF6:IZH6"/>
    <mergeCell ref="IZI6:IZK6"/>
    <mergeCell ref="IZL6:IZN6"/>
    <mergeCell ref="IZO6:IZQ6"/>
    <mergeCell ref="IZR6:IZT6"/>
    <mergeCell ref="IZU6:IZW6"/>
    <mergeCell ref="IYN6:IYP6"/>
    <mergeCell ref="IYQ6:IYS6"/>
    <mergeCell ref="IYT6:IYV6"/>
    <mergeCell ref="IYW6:IYY6"/>
    <mergeCell ref="IYZ6:IZB6"/>
    <mergeCell ref="IZC6:IZE6"/>
    <mergeCell ref="JGD6:JGF6"/>
    <mergeCell ref="JGG6:JGI6"/>
    <mergeCell ref="JGJ6:JGL6"/>
    <mergeCell ref="JGM6:JGO6"/>
    <mergeCell ref="JGP6:JGR6"/>
    <mergeCell ref="JGS6:JGU6"/>
    <mergeCell ref="JFL6:JFN6"/>
    <mergeCell ref="JFO6:JFQ6"/>
    <mergeCell ref="JFR6:JFT6"/>
    <mergeCell ref="JFU6:JFW6"/>
    <mergeCell ref="JFX6:JFZ6"/>
    <mergeCell ref="JGA6:JGC6"/>
    <mergeCell ref="JET6:JEV6"/>
    <mergeCell ref="JEW6:JEY6"/>
    <mergeCell ref="JEZ6:JFB6"/>
    <mergeCell ref="JFC6:JFE6"/>
    <mergeCell ref="JFF6:JFH6"/>
    <mergeCell ref="JFI6:JFK6"/>
    <mergeCell ref="JEB6:JED6"/>
    <mergeCell ref="JEE6:JEG6"/>
    <mergeCell ref="JEH6:JEJ6"/>
    <mergeCell ref="JEK6:JEM6"/>
    <mergeCell ref="JEN6:JEP6"/>
    <mergeCell ref="JEQ6:JES6"/>
    <mergeCell ref="JDJ6:JDL6"/>
    <mergeCell ref="JDM6:JDO6"/>
    <mergeCell ref="JDP6:JDR6"/>
    <mergeCell ref="JDS6:JDU6"/>
    <mergeCell ref="JDV6:JDX6"/>
    <mergeCell ref="JDY6:JEA6"/>
    <mergeCell ref="JCR6:JCT6"/>
    <mergeCell ref="JCU6:JCW6"/>
    <mergeCell ref="JCX6:JCZ6"/>
    <mergeCell ref="JDA6:JDC6"/>
    <mergeCell ref="JDD6:JDF6"/>
    <mergeCell ref="JDG6:JDI6"/>
    <mergeCell ref="JKH6:JKJ6"/>
    <mergeCell ref="JKK6:JKM6"/>
    <mergeCell ref="JKN6:JKP6"/>
    <mergeCell ref="JKQ6:JKS6"/>
    <mergeCell ref="JKT6:JKV6"/>
    <mergeCell ref="JKW6:JKY6"/>
    <mergeCell ref="JJP6:JJR6"/>
    <mergeCell ref="JJS6:JJU6"/>
    <mergeCell ref="JJV6:JJX6"/>
    <mergeCell ref="JJY6:JKA6"/>
    <mergeCell ref="JKB6:JKD6"/>
    <mergeCell ref="JKE6:JKG6"/>
    <mergeCell ref="JIX6:JIZ6"/>
    <mergeCell ref="JJA6:JJC6"/>
    <mergeCell ref="JJD6:JJF6"/>
    <mergeCell ref="JJG6:JJI6"/>
    <mergeCell ref="JJJ6:JJL6"/>
    <mergeCell ref="JJM6:JJO6"/>
    <mergeCell ref="JIF6:JIH6"/>
    <mergeCell ref="JII6:JIK6"/>
    <mergeCell ref="JIL6:JIN6"/>
    <mergeCell ref="JIO6:JIQ6"/>
    <mergeCell ref="JIR6:JIT6"/>
    <mergeCell ref="JIU6:JIW6"/>
    <mergeCell ref="JHN6:JHP6"/>
    <mergeCell ref="JHQ6:JHS6"/>
    <mergeCell ref="JHT6:JHV6"/>
    <mergeCell ref="JHW6:JHY6"/>
    <mergeCell ref="JHZ6:JIB6"/>
    <mergeCell ref="JIC6:JIE6"/>
    <mergeCell ref="JGV6:JGX6"/>
    <mergeCell ref="JGY6:JHA6"/>
    <mergeCell ref="JHB6:JHD6"/>
    <mergeCell ref="JHE6:JHG6"/>
    <mergeCell ref="JHH6:JHJ6"/>
    <mergeCell ref="JHK6:JHM6"/>
    <mergeCell ref="JOL6:JON6"/>
    <mergeCell ref="JOO6:JOQ6"/>
    <mergeCell ref="JOR6:JOT6"/>
    <mergeCell ref="JOU6:JOW6"/>
    <mergeCell ref="JOX6:JOZ6"/>
    <mergeCell ref="JPA6:JPC6"/>
    <mergeCell ref="JNT6:JNV6"/>
    <mergeCell ref="JNW6:JNY6"/>
    <mergeCell ref="JNZ6:JOB6"/>
    <mergeCell ref="JOC6:JOE6"/>
    <mergeCell ref="JOF6:JOH6"/>
    <mergeCell ref="JOI6:JOK6"/>
    <mergeCell ref="JNB6:JND6"/>
    <mergeCell ref="JNE6:JNG6"/>
    <mergeCell ref="JNH6:JNJ6"/>
    <mergeCell ref="JNK6:JNM6"/>
    <mergeCell ref="JNN6:JNP6"/>
    <mergeCell ref="JNQ6:JNS6"/>
    <mergeCell ref="JMJ6:JML6"/>
    <mergeCell ref="JMM6:JMO6"/>
    <mergeCell ref="JMP6:JMR6"/>
    <mergeCell ref="JMS6:JMU6"/>
    <mergeCell ref="JMV6:JMX6"/>
    <mergeCell ref="JMY6:JNA6"/>
    <mergeCell ref="JLR6:JLT6"/>
    <mergeCell ref="JLU6:JLW6"/>
    <mergeCell ref="JLX6:JLZ6"/>
    <mergeCell ref="JMA6:JMC6"/>
    <mergeCell ref="JMD6:JMF6"/>
    <mergeCell ref="JMG6:JMI6"/>
    <mergeCell ref="JKZ6:JLB6"/>
    <mergeCell ref="JLC6:JLE6"/>
    <mergeCell ref="JLF6:JLH6"/>
    <mergeCell ref="JLI6:JLK6"/>
    <mergeCell ref="JLL6:JLN6"/>
    <mergeCell ref="JLO6:JLQ6"/>
    <mergeCell ref="JSP6:JSR6"/>
    <mergeCell ref="JSS6:JSU6"/>
    <mergeCell ref="JSV6:JSX6"/>
    <mergeCell ref="JSY6:JTA6"/>
    <mergeCell ref="JTB6:JTD6"/>
    <mergeCell ref="JTE6:JTG6"/>
    <mergeCell ref="JRX6:JRZ6"/>
    <mergeCell ref="JSA6:JSC6"/>
    <mergeCell ref="JSD6:JSF6"/>
    <mergeCell ref="JSG6:JSI6"/>
    <mergeCell ref="JSJ6:JSL6"/>
    <mergeCell ref="JSM6:JSO6"/>
    <mergeCell ref="JRF6:JRH6"/>
    <mergeCell ref="JRI6:JRK6"/>
    <mergeCell ref="JRL6:JRN6"/>
    <mergeCell ref="JRO6:JRQ6"/>
    <mergeCell ref="JRR6:JRT6"/>
    <mergeCell ref="JRU6:JRW6"/>
    <mergeCell ref="JQN6:JQP6"/>
    <mergeCell ref="JQQ6:JQS6"/>
    <mergeCell ref="JQT6:JQV6"/>
    <mergeCell ref="JQW6:JQY6"/>
    <mergeCell ref="JQZ6:JRB6"/>
    <mergeCell ref="JRC6:JRE6"/>
    <mergeCell ref="JPV6:JPX6"/>
    <mergeCell ref="JPY6:JQA6"/>
    <mergeCell ref="JQB6:JQD6"/>
    <mergeCell ref="JQE6:JQG6"/>
    <mergeCell ref="JQH6:JQJ6"/>
    <mergeCell ref="JQK6:JQM6"/>
    <mergeCell ref="JPD6:JPF6"/>
    <mergeCell ref="JPG6:JPI6"/>
    <mergeCell ref="JPJ6:JPL6"/>
    <mergeCell ref="JPM6:JPO6"/>
    <mergeCell ref="JPP6:JPR6"/>
    <mergeCell ref="JPS6:JPU6"/>
    <mergeCell ref="JWT6:JWV6"/>
    <mergeCell ref="JWW6:JWY6"/>
    <mergeCell ref="JWZ6:JXB6"/>
    <mergeCell ref="JXC6:JXE6"/>
    <mergeCell ref="JXF6:JXH6"/>
    <mergeCell ref="JXI6:JXK6"/>
    <mergeCell ref="JWB6:JWD6"/>
    <mergeCell ref="JWE6:JWG6"/>
    <mergeCell ref="JWH6:JWJ6"/>
    <mergeCell ref="JWK6:JWM6"/>
    <mergeCell ref="JWN6:JWP6"/>
    <mergeCell ref="JWQ6:JWS6"/>
    <mergeCell ref="JVJ6:JVL6"/>
    <mergeCell ref="JVM6:JVO6"/>
    <mergeCell ref="JVP6:JVR6"/>
    <mergeCell ref="JVS6:JVU6"/>
    <mergeCell ref="JVV6:JVX6"/>
    <mergeCell ref="JVY6:JWA6"/>
    <mergeCell ref="JUR6:JUT6"/>
    <mergeCell ref="JUU6:JUW6"/>
    <mergeCell ref="JUX6:JUZ6"/>
    <mergeCell ref="JVA6:JVC6"/>
    <mergeCell ref="JVD6:JVF6"/>
    <mergeCell ref="JVG6:JVI6"/>
    <mergeCell ref="JTZ6:JUB6"/>
    <mergeCell ref="JUC6:JUE6"/>
    <mergeCell ref="JUF6:JUH6"/>
    <mergeCell ref="JUI6:JUK6"/>
    <mergeCell ref="JUL6:JUN6"/>
    <mergeCell ref="JUO6:JUQ6"/>
    <mergeCell ref="JTH6:JTJ6"/>
    <mergeCell ref="JTK6:JTM6"/>
    <mergeCell ref="JTN6:JTP6"/>
    <mergeCell ref="JTQ6:JTS6"/>
    <mergeCell ref="JTT6:JTV6"/>
    <mergeCell ref="JTW6:JTY6"/>
    <mergeCell ref="KAX6:KAZ6"/>
    <mergeCell ref="KBA6:KBC6"/>
    <mergeCell ref="KBD6:KBF6"/>
    <mergeCell ref="KBG6:KBI6"/>
    <mergeCell ref="KBJ6:KBL6"/>
    <mergeCell ref="KBM6:KBO6"/>
    <mergeCell ref="KAF6:KAH6"/>
    <mergeCell ref="KAI6:KAK6"/>
    <mergeCell ref="KAL6:KAN6"/>
    <mergeCell ref="KAO6:KAQ6"/>
    <mergeCell ref="KAR6:KAT6"/>
    <mergeCell ref="KAU6:KAW6"/>
    <mergeCell ref="JZN6:JZP6"/>
    <mergeCell ref="JZQ6:JZS6"/>
    <mergeCell ref="JZT6:JZV6"/>
    <mergeCell ref="JZW6:JZY6"/>
    <mergeCell ref="JZZ6:KAB6"/>
    <mergeCell ref="KAC6:KAE6"/>
    <mergeCell ref="JYV6:JYX6"/>
    <mergeCell ref="JYY6:JZA6"/>
    <mergeCell ref="JZB6:JZD6"/>
    <mergeCell ref="JZE6:JZG6"/>
    <mergeCell ref="JZH6:JZJ6"/>
    <mergeCell ref="JZK6:JZM6"/>
    <mergeCell ref="JYD6:JYF6"/>
    <mergeCell ref="JYG6:JYI6"/>
    <mergeCell ref="JYJ6:JYL6"/>
    <mergeCell ref="JYM6:JYO6"/>
    <mergeCell ref="JYP6:JYR6"/>
    <mergeCell ref="JYS6:JYU6"/>
    <mergeCell ref="JXL6:JXN6"/>
    <mergeCell ref="JXO6:JXQ6"/>
    <mergeCell ref="JXR6:JXT6"/>
    <mergeCell ref="JXU6:JXW6"/>
    <mergeCell ref="JXX6:JXZ6"/>
    <mergeCell ref="JYA6:JYC6"/>
    <mergeCell ref="KFB6:KFD6"/>
    <mergeCell ref="KFE6:KFG6"/>
    <mergeCell ref="KFH6:KFJ6"/>
    <mergeCell ref="KFK6:KFM6"/>
    <mergeCell ref="KFN6:KFP6"/>
    <mergeCell ref="KFQ6:KFS6"/>
    <mergeCell ref="KEJ6:KEL6"/>
    <mergeCell ref="KEM6:KEO6"/>
    <mergeCell ref="KEP6:KER6"/>
    <mergeCell ref="KES6:KEU6"/>
    <mergeCell ref="KEV6:KEX6"/>
    <mergeCell ref="KEY6:KFA6"/>
    <mergeCell ref="KDR6:KDT6"/>
    <mergeCell ref="KDU6:KDW6"/>
    <mergeCell ref="KDX6:KDZ6"/>
    <mergeCell ref="KEA6:KEC6"/>
    <mergeCell ref="KED6:KEF6"/>
    <mergeCell ref="KEG6:KEI6"/>
    <mergeCell ref="KCZ6:KDB6"/>
    <mergeCell ref="KDC6:KDE6"/>
    <mergeCell ref="KDF6:KDH6"/>
    <mergeCell ref="KDI6:KDK6"/>
    <mergeCell ref="KDL6:KDN6"/>
    <mergeCell ref="KDO6:KDQ6"/>
    <mergeCell ref="KCH6:KCJ6"/>
    <mergeCell ref="KCK6:KCM6"/>
    <mergeCell ref="KCN6:KCP6"/>
    <mergeCell ref="KCQ6:KCS6"/>
    <mergeCell ref="KCT6:KCV6"/>
    <mergeCell ref="KCW6:KCY6"/>
    <mergeCell ref="KBP6:KBR6"/>
    <mergeCell ref="KBS6:KBU6"/>
    <mergeCell ref="KBV6:KBX6"/>
    <mergeCell ref="KBY6:KCA6"/>
    <mergeCell ref="KCB6:KCD6"/>
    <mergeCell ref="KCE6:KCG6"/>
    <mergeCell ref="KJF6:KJH6"/>
    <mergeCell ref="KJI6:KJK6"/>
    <mergeCell ref="KJL6:KJN6"/>
    <mergeCell ref="KJO6:KJQ6"/>
    <mergeCell ref="KJR6:KJT6"/>
    <mergeCell ref="KJU6:KJW6"/>
    <mergeCell ref="KIN6:KIP6"/>
    <mergeCell ref="KIQ6:KIS6"/>
    <mergeCell ref="KIT6:KIV6"/>
    <mergeCell ref="KIW6:KIY6"/>
    <mergeCell ref="KIZ6:KJB6"/>
    <mergeCell ref="KJC6:KJE6"/>
    <mergeCell ref="KHV6:KHX6"/>
    <mergeCell ref="KHY6:KIA6"/>
    <mergeCell ref="KIB6:KID6"/>
    <mergeCell ref="KIE6:KIG6"/>
    <mergeCell ref="KIH6:KIJ6"/>
    <mergeCell ref="KIK6:KIM6"/>
    <mergeCell ref="KHD6:KHF6"/>
    <mergeCell ref="KHG6:KHI6"/>
    <mergeCell ref="KHJ6:KHL6"/>
    <mergeCell ref="KHM6:KHO6"/>
    <mergeCell ref="KHP6:KHR6"/>
    <mergeCell ref="KHS6:KHU6"/>
    <mergeCell ref="KGL6:KGN6"/>
    <mergeCell ref="KGO6:KGQ6"/>
    <mergeCell ref="KGR6:KGT6"/>
    <mergeCell ref="KGU6:KGW6"/>
    <mergeCell ref="KGX6:KGZ6"/>
    <mergeCell ref="KHA6:KHC6"/>
    <mergeCell ref="KFT6:KFV6"/>
    <mergeCell ref="KFW6:KFY6"/>
    <mergeCell ref="KFZ6:KGB6"/>
    <mergeCell ref="KGC6:KGE6"/>
    <mergeCell ref="KGF6:KGH6"/>
    <mergeCell ref="KGI6:KGK6"/>
    <mergeCell ref="KNJ6:KNL6"/>
    <mergeCell ref="KNM6:KNO6"/>
    <mergeCell ref="KNP6:KNR6"/>
    <mergeCell ref="KNS6:KNU6"/>
    <mergeCell ref="KNV6:KNX6"/>
    <mergeCell ref="KNY6:KOA6"/>
    <mergeCell ref="KMR6:KMT6"/>
    <mergeCell ref="KMU6:KMW6"/>
    <mergeCell ref="KMX6:KMZ6"/>
    <mergeCell ref="KNA6:KNC6"/>
    <mergeCell ref="KND6:KNF6"/>
    <mergeCell ref="KNG6:KNI6"/>
    <mergeCell ref="KLZ6:KMB6"/>
    <mergeCell ref="KMC6:KME6"/>
    <mergeCell ref="KMF6:KMH6"/>
    <mergeCell ref="KMI6:KMK6"/>
    <mergeCell ref="KML6:KMN6"/>
    <mergeCell ref="KMO6:KMQ6"/>
    <mergeCell ref="KLH6:KLJ6"/>
    <mergeCell ref="KLK6:KLM6"/>
    <mergeCell ref="KLN6:KLP6"/>
    <mergeCell ref="KLQ6:KLS6"/>
    <mergeCell ref="KLT6:KLV6"/>
    <mergeCell ref="KLW6:KLY6"/>
    <mergeCell ref="KKP6:KKR6"/>
    <mergeCell ref="KKS6:KKU6"/>
    <mergeCell ref="KKV6:KKX6"/>
    <mergeCell ref="KKY6:KLA6"/>
    <mergeCell ref="KLB6:KLD6"/>
    <mergeCell ref="KLE6:KLG6"/>
    <mergeCell ref="KJX6:KJZ6"/>
    <mergeCell ref="KKA6:KKC6"/>
    <mergeCell ref="KKD6:KKF6"/>
    <mergeCell ref="KKG6:KKI6"/>
    <mergeCell ref="KKJ6:KKL6"/>
    <mergeCell ref="KKM6:KKO6"/>
    <mergeCell ref="KRN6:KRP6"/>
    <mergeCell ref="KRQ6:KRS6"/>
    <mergeCell ref="KRT6:KRV6"/>
    <mergeCell ref="KRW6:KRY6"/>
    <mergeCell ref="KRZ6:KSB6"/>
    <mergeCell ref="KSC6:KSE6"/>
    <mergeCell ref="KQV6:KQX6"/>
    <mergeCell ref="KQY6:KRA6"/>
    <mergeCell ref="KRB6:KRD6"/>
    <mergeCell ref="KRE6:KRG6"/>
    <mergeCell ref="KRH6:KRJ6"/>
    <mergeCell ref="KRK6:KRM6"/>
    <mergeCell ref="KQD6:KQF6"/>
    <mergeCell ref="KQG6:KQI6"/>
    <mergeCell ref="KQJ6:KQL6"/>
    <mergeCell ref="KQM6:KQO6"/>
    <mergeCell ref="KQP6:KQR6"/>
    <mergeCell ref="KQS6:KQU6"/>
    <mergeCell ref="KPL6:KPN6"/>
    <mergeCell ref="KPO6:KPQ6"/>
    <mergeCell ref="KPR6:KPT6"/>
    <mergeCell ref="KPU6:KPW6"/>
    <mergeCell ref="KPX6:KPZ6"/>
    <mergeCell ref="KQA6:KQC6"/>
    <mergeCell ref="KOT6:KOV6"/>
    <mergeCell ref="KOW6:KOY6"/>
    <mergeCell ref="KOZ6:KPB6"/>
    <mergeCell ref="KPC6:KPE6"/>
    <mergeCell ref="KPF6:KPH6"/>
    <mergeCell ref="KPI6:KPK6"/>
    <mergeCell ref="KOB6:KOD6"/>
    <mergeCell ref="KOE6:KOG6"/>
    <mergeCell ref="KOH6:KOJ6"/>
    <mergeCell ref="KOK6:KOM6"/>
    <mergeCell ref="KON6:KOP6"/>
    <mergeCell ref="KOQ6:KOS6"/>
    <mergeCell ref="KVR6:KVT6"/>
    <mergeCell ref="KVU6:KVW6"/>
    <mergeCell ref="KVX6:KVZ6"/>
    <mergeCell ref="KWA6:KWC6"/>
    <mergeCell ref="KWD6:KWF6"/>
    <mergeCell ref="KWG6:KWI6"/>
    <mergeCell ref="KUZ6:KVB6"/>
    <mergeCell ref="KVC6:KVE6"/>
    <mergeCell ref="KVF6:KVH6"/>
    <mergeCell ref="KVI6:KVK6"/>
    <mergeCell ref="KVL6:KVN6"/>
    <mergeCell ref="KVO6:KVQ6"/>
    <mergeCell ref="KUH6:KUJ6"/>
    <mergeCell ref="KUK6:KUM6"/>
    <mergeCell ref="KUN6:KUP6"/>
    <mergeCell ref="KUQ6:KUS6"/>
    <mergeCell ref="KUT6:KUV6"/>
    <mergeCell ref="KUW6:KUY6"/>
    <mergeCell ref="KTP6:KTR6"/>
    <mergeCell ref="KTS6:KTU6"/>
    <mergeCell ref="KTV6:KTX6"/>
    <mergeCell ref="KTY6:KUA6"/>
    <mergeCell ref="KUB6:KUD6"/>
    <mergeCell ref="KUE6:KUG6"/>
    <mergeCell ref="KSX6:KSZ6"/>
    <mergeCell ref="KTA6:KTC6"/>
    <mergeCell ref="KTD6:KTF6"/>
    <mergeCell ref="KTG6:KTI6"/>
    <mergeCell ref="KTJ6:KTL6"/>
    <mergeCell ref="KTM6:KTO6"/>
    <mergeCell ref="KSF6:KSH6"/>
    <mergeCell ref="KSI6:KSK6"/>
    <mergeCell ref="KSL6:KSN6"/>
    <mergeCell ref="KSO6:KSQ6"/>
    <mergeCell ref="KSR6:KST6"/>
    <mergeCell ref="KSU6:KSW6"/>
    <mergeCell ref="KZV6:KZX6"/>
    <mergeCell ref="KZY6:LAA6"/>
    <mergeCell ref="LAB6:LAD6"/>
    <mergeCell ref="LAE6:LAG6"/>
    <mergeCell ref="LAH6:LAJ6"/>
    <mergeCell ref="LAK6:LAM6"/>
    <mergeCell ref="KZD6:KZF6"/>
    <mergeCell ref="KZG6:KZI6"/>
    <mergeCell ref="KZJ6:KZL6"/>
    <mergeCell ref="KZM6:KZO6"/>
    <mergeCell ref="KZP6:KZR6"/>
    <mergeCell ref="KZS6:KZU6"/>
    <mergeCell ref="KYL6:KYN6"/>
    <mergeCell ref="KYO6:KYQ6"/>
    <mergeCell ref="KYR6:KYT6"/>
    <mergeCell ref="KYU6:KYW6"/>
    <mergeCell ref="KYX6:KYZ6"/>
    <mergeCell ref="KZA6:KZC6"/>
    <mergeCell ref="KXT6:KXV6"/>
    <mergeCell ref="KXW6:KXY6"/>
    <mergeCell ref="KXZ6:KYB6"/>
    <mergeCell ref="KYC6:KYE6"/>
    <mergeCell ref="KYF6:KYH6"/>
    <mergeCell ref="KYI6:KYK6"/>
    <mergeCell ref="KXB6:KXD6"/>
    <mergeCell ref="KXE6:KXG6"/>
    <mergeCell ref="KXH6:KXJ6"/>
    <mergeCell ref="KXK6:KXM6"/>
    <mergeCell ref="KXN6:KXP6"/>
    <mergeCell ref="KXQ6:KXS6"/>
    <mergeCell ref="KWJ6:KWL6"/>
    <mergeCell ref="KWM6:KWO6"/>
    <mergeCell ref="KWP6:KWR6"/>
    <mergeCell ref="KWS6:KWU6"/>
    <mergeCell ref="KWV6:KWX6"/>
    <mergeCell ref="KWY6:KXA6"/>
    <mergeCell ref="LDZ6:LEB6"/>
    <mergeCell ref="LEC6:LEE6"/>
    <mergeCell ref="LEF6:LEH6"/>
    <mergeCell ref="LEI6:LEK6"/>
    <mergeCell ref="LEL6:LEN6"/>
    <mergeCell ref="LEO6:LEQ6"/>
    <mergeCell ref="LDH6:LDJ6"/>
    <mergeCell ref="LDK6:LDM6"/>
    <mergeCell ref="LDN6:LDP6"/>
    <mergeCell ref="LDQ6:LDS6"/>
    <mergeCell ref="LDT6:LDV6"/>
    <mergeCell ref="LDW6:LDY6"/>
    <mergeCell ref="LCP6:LCR6"/>
    <mergeCell ref="LCS6:LCU6"/>
    <mergeCell ref="LCV6:LCX6"/>
    <mergeCell ref="LCY6:LDA6"/>
    <mergeCell ref="LDB6:LDD6"/>
    <mergeCell ref="LDE6:LDG6"/>
    <mergeCell ref="LBX6:LBZ6"/>
    <mergeCell ref="LCA6:LCC6"/>
    <mergeCell ref="LCD6:LCF6"/>
    <mergeCell ref="LCG6:LCI6"/>
    <mergeCell ref="LCJ6:LCL6"/>
    <mergeCell ref="LCM6:LCO6"/>
    <mergeCell ref="LBF6:LBH6"/>
    <mergeCell ref="LBI6:LBK6"/>
    <mergeCell ref="LBL6:LBN6"/>
    <mergeCell ref="LBO6:LBQ6"/>
    <mergeCell ref="LBR6:LBT6"/>
    <mergeCell ref="LBU6:LBW6"/>
    <mergeCell ref="LAN6:LAP6"/>
    <mergeCell ref="LAQ6:LAS6"/>
    <mergeCell ref="LAT6:LAV6"/>
    <mergeCell ref="LAW6:LAY6"/>
    <mergeCell ref="LAZ6:LBB6"/>
    <mergeCell ref="LBC6:LBE6"/>
    <mergeCell ref="LID6:LIF6"/>
    <mergeCell ref="LIG6:LII6"/>
    <mergeCell ref="LIJ6:LIL6"/>
    <mergeCell ref="LIM6:LIO6"/>
    <mergeCell ref="LIP6:LIR6"/>
    <mergeCell ref="LIS6:LIU6"/>
    <mergeCell ref="LHL6:LHN6"/>
    <mergeCell ref="LHO6:LHQ6"/>
    <mergeCell ref="LHR6:LHT6"/>
    <mergeCell ref="LHU6:LHW6"/>
    <mergeCell ref="LHX6:LHZ6"/>
    <mergeCell ref="LIA6:LIC6"/>
    <mergeCell ref="LGT6:LGV6"/>
    <mergeCell ref="LGW6:LGY6"/>
    <mergeCell ref="LGZ6:LHB6"/>
    <mergeCell ref="LHC6:LHE6"/>
    <mergeCell ref="LHF6:LHH6"/>
    <mergeCell ref="LHI6:LHK6"/>
    <mergeCell ref="LGB6:LGD6"/>
    <mergeCell ref="LGE6:LGG6"/>
    <mergeCell ref="LGH6:LGJ6"/>
    <mergeCell ref="LGK6:LGM6"/>
    <mergeCell ref="LGN6:LGP6"/>
    <mergeCell ref="LGQ6:LGS6"/>
    <mergeCell ref="LFJ6:LFL6"/>
    <mergeCell ref="LFM6:LFO6"/>
    <mergeCell ref="LFP6:LFR6"/>
    <mergeCell ref="LFS6:LFU6"/>
    <mergeCell ref="LFV6:LFX6"/>
    <mergeCell ref="LFY6:LGA6"/>
    <mergeCell ref="LER6:LET6"/>
    <mergeCell ref="LEU6:LEW6"/>
    <mergeCell ref="LEX6:LEZ6"/>
    <mergeCell ref="LFA6:LFC6"/>
    <mergeCell ref="LFD6:LFF6"/>
    <mergeCell ref="LFG6:LFI6"/>
    <mergeCell ref="LMH6:LMJ6"/>
    <mergeCell ref="LMK6:LMM6"/>
    <mergeCell ref="LMN6:LMP6"/>
    <mergeCell ref="LMQ6:LMS6"/>
    <mergeCell ref="LMT6:LMV6"/>
    <mergeCell ref="LMW6:LMY6"/>
    <mergeCell ref="LLP6:LLR6"/>
    <mergeCell ref="LLS6:LLU6"/>
    <mergeCell ref="LLV6:LLX6"/>
    <mergeCell ref="LLY6:LMA6"/>
    <mergeCell ref="LMB6:LMD6"/>
    <mergeCell ref="LME6:LMG6"/>
    <mergeCell ref="LKX6:LKZ6"/>
    <mergeCell ref="LLA6:LLC6"/>
    <mergeCell ref="LLD6:LLF6"/>
    <mergeCell ref="LLG6:LLI6"/>
    <mergeCell ref="LLJ6:LLL6"/>
    <mergeCell ref="LLM6:LLO6"/>
    <mergeCell ref="LKF6:LKH6"/>
    <mergeCell ref="LKI6:LKK6"/>
    <mergeCell ref="LKL6:LKN6"/>
    <mergeCell ref="LKO6:LKQ6"/>
    <mergeCell ref="LKR6:LKT6"/>
    <mergeCell ref="LKU6:LKW6"/>
    <mergeCell ref="LJN6:LJP6"/>
    <mergeCell ref="LJQ6:LJS6"/>
    <mergeCell ref="LJT6:LJV6"/>
    <mergeCell ref="LJW6:LJY6"/>
    <mergeCell ref="LJZ6:LKB6"/>
    <mergeCell ref="LKC6:LKE6"/>
    <mergeCell ref="LIV6:LIX6"/>
    <mergeCell ref="LIY6:LJA6"/>
    <mergeCell ref="LJB6:LJD6"/>
    <mergeCell ref="LJE6:LJG6"/>
    <mergeCell ref="LJH6:LJJ6"/>
    <mergeCell ref="LJK6:LJM6"/>
    <mergeCell ref="LQL6:LQN6"/>
    <mergeCell ref="LQO6:LQQ6"/>
    <mergeCell ref="LQR6:LQT6"/>
    <mergeCell ref="LQU6:LQW6"/>
    <mergeCell ref="LQX6:LQZ6"/>
    <mergeCell ref="LRA6:LRC6"/>
    <mergeCell ref="LPT6:LPV6"/>
    <mergeCell ref="LPW6:LPY6"/>
    <mergeCell ref="LPZ6:LQB6"/>
    <mergeCell ref="LQC6:LQE6"/>
    <mergeCell ref="LQF6:LQH6"/>
    <mergeCell ref="LQI6:LQK6"/>
    <mergeCell ref="LPB6:LPD6"/>
    <mergeCell ref="LPE6:LPG6"/>
    <mergeCell ref="LPH6:LPJ6"/>
    <mergeCell ref="LPK6:LPM6"/>
    <mergeCell ref="LPN6:LPP6"/>
    <mergeCell ref="LPQ6:LPS6"/>
    <mergeCell ref="LOJ6:LOL6"/>
    <mergeCell ref="LOM6:LOO6"/>
    <mergeCell ref="LOP6:LOR6"/>
    <mergeCell ref="LOS6:LOU6"/>
    <mergeCell ref="LOV6:LOX6"/>
    <mergeCell ref="LOY6:LPA6"/>
    <mergeCell ref="LNR6:LNT6"/>
    <mergeCell ref="LNU6:LNW6"/>
    <mergeCell ref="LNX6:LNZ6"/>
    <mergeCell ref="LOA6:LOC6"/>
    <mergeCell ref="LOD6:LOF6"/>
    <mergeCell ref="LOG6:LOI6"/>
    <mergeCell ref="LMZ6:LNB6"/>
    <mergeCell ref="LNC6:LNE6"/>
    <mergeCell ref="LNF6:LNH6"/>
    <mergeCell ref="LNI6:LNK6"/>
    <mergeCell ref="LNL6:LNN6"/>
    <mergeCell ref="LNO6:LNQ6"/>
    <mergeCell ref="LUP6:LUR6"/>
    <mergeCell ref="LUS6:LUU6"/>
    <mergeCell ref="LUV6:LUX6"/>
    <mergeCell ref="LUY6:LVA6"/>
    <mergeCell ref="LVB6:LVD6"/>
    <mergeCell ref="LVE6:LVG6"/>
    <mergeCell ref="LTX6:LTZ6"/>
    <mergeCell ref="LUA6:LUC6"/>
    <mergeCell ref="LUD6:LUF6"/>
    <mergeCell ref="LUG6:LUI6"/>
    <mergeCell ref="LUJ6:LUL6"/>
    <mergeCell ref="LUM6:LUO6"/>
    <mergeCell ref="LTF6:LTH6"/>
    <mergeCell ref="LTI6:LTK6"/>
    <mergeCell ref="LTL6:LTN6"/>
    <mergeCell ref="LTO6:LTQ6"/>
    <mergeCell ref="LTR6:LTT6"/>
    <mergeCell ref="LTU6:LTW6"/>
    <mergeCell ref="LSN6:LSP6"/>
    <mergeCell ref="LSQ6:LSS6"/>
    <mergeCell ref="LST6:LSV6"/>
    <mergeCell ref="LSW6:LSY6"/>
    <mergeCell ref="LSZ6:LTB6"/>
    <mergeCell ref="LTC6:LTE6"/>
    <mergeCell ref="LRV6:LRX6"/>
    <mergeCell ref="LRY6:LSA6"/>
    <mergeCell ref="LSB6:LSD6"/>
    <mergeCell ref="LSE6:LSG6"/>
    <mergeCell ref="LSH6:LSJ6"/>
    <mergeCell ref="LSK6:LSM6"/>
    <mergeCell ref="LRD6:LRF6"/>
    <mergeCell ref="LRG6:LRI6"/>
    <mergeCell ref="LRJ6:LRL6"/>
    <mergeCell ref="LRM6:LRO6"/>
    <mergeCell ref="LRP6:LRR6"/>
    <mergeCell ref="LRS6:LRU6"/>
    <mergeCell ref="LYT6:LYV6"/>
    <mergeCell ref="LYW6:LYY6"/>
    <mergeCell ref="LYZ6:LZB6"/>
    <mergeCell ref="LZC6:LZE6"/>
    <mergeCell ref="LZF6:LZH6"/>
    <mergeCell ref="LZI6:LZK6"/>
    <mergeCell ref="LYB6:LYD6"/>
    <mergeCell ref="LYE6:LYG6"/>
    <mergeCell ref="LYH6:LYJ6"/>
    <mergeCell ref="LYK6:LYM6"/>
    <mergeCell ref="LYN6:LYP6"/>
    <mergeCell ref="LYQ6:LYS6"/>
    <mergeCell ref="LXJ6:LXL6"/>
    <mergeCell ref="LXM6:LXO6"/>
    <mergeCell ref="LXP6:LXR6"/>
    <mergeCell ref="LXS6:LXU6"/>
    <mergeCell ref="LXV6:LXX6"/>
    <mergeCell ref="LXY6:LYA6"/>
    <mergeCell ref="LWR6:LWT6"/>
    <mergeCell ref="LWU6:LWW6"/>
    <mergeCell ref="LWX6:LWZ6"/>
    <mergeCell ref="LXA6:LXC6"/>
    <mergeCell ref="LXD6:LXF6"/>
    <mergeCell ref="LXG6:LXI6"/>
    <mergeCell ref="LVZ6:LWB6"/>
    <mergeCell ref="LWC6:LWE6"/>
    <mergeCell ref="LWF6:LWH6"/>
    <mergeCell ref="LWI6:LWK6"/>
    <mergeCell ref="LWL6:LWN6"/>
    <mergeCell ref="LWO6:LWQ6"/>
    <mergeCell ref="LVH6:LVJ6"/>
    <mergeCell ref="LVK6:LVM6"/>
    <mergeCell ref="LVN6:LVP6"/>
    <mergeCell ref="LVQ6:LVS6"/>
    <mergeCell ref="LVT6:LVV6"/>
    <mergeCell ref="LVW6:LVY6"/>
    <mergeCell ref="MCX6:MCZ6"/>
    <mergeCell ref="MDA6:MDC6"/>
    <mergeCell ref="MDD6:MDF6"/>
    <mergeCell ref="MDG6:MDI6"/>
    <mergeCell ref="MDJ6:MDL6"/>
    <mergeCell ref="MDM6:MDO6"/>
    <mergeCell ref="MCF6:MCH6"/>
    <mergeCell ref="MCI6:MCK6"/>
    <mergeCell ref="MCL6:MCN6"/>
    <mergeCell ref="MCO6:MCQ6"/>
    <mergeCell ref="MCR6:MCT6"/>
    <mergeCell ref="MCU6:MCW6"/>
    <mergeCell ref="MBN6:MBP6"/>
    <mergeCell ref="MBQ6:MBS6"/>
    <mergeCell ref="MBT6:MBV6"/>
    <mergeCell ref="MBW6:MBY6"/>
    <mergeCell ref="MBZ6:MCB6"/>
    <mergeCell ref="MCC6:MCE6"/>
    <mergeCell ref="MAV6:MAX6"/>
    <mergeCell ref="MAY6:MBA6"/>
    <mergeCell ref="MBB6:MBD6"/>
    <mergeCell ref="MBE6:MBG6"/>
    <mergeCell ref="MBH6:MBJ6"/>
    <mergeCell ref="MBK6:MBM6"/>
    <mergeCell ref="MAD6:MAF6"/>
    <mergeCell ref="MAG6:MAI6"/>
    <mergeCell ref="MAJ6:MAL6"/>
    <mergeCell ref="MAM6:MAO6"/>
    <mergeCell ref="MAP6:MAR6"/>
    <mergeCell ref="MAS6:MAU6"/>
    <mergeCell ref="LZL6:LZN6"/>
    <mergeCell ref="LZO6:LZQ6"/>
    <mergeCell ref="LZR6:LZT6"/>
    <mergeCell ref="LZU6:LZW6"/>
    <mergeCell ref="LZX6:LZZ6"/>
    <mergeCell ref="MAA6:MAC6"/>
    <mergeCell ref="MHB6:MHD6"/>
    <mergeCell ref="MHE6:MHG6"/>
    <mergeCell ref="MHH6:MHJ6"/>
    <mergeCell ref="MHK6:MHM6"/>
    <mergeCell ref="MHN6:MHP6"/>
    <mergeCell ref="MHQ6:MHS6"/>
    <mergeCell ref="MGJ6:MGL6"/>
    <mergeCell ref="MGM6:MGO6"/>
    <mergeCell ref="MGP6:MGR6"/>
    <mergeCell ref="MGS6:MGU6"/>
    <mergeCell ref="MGV6:MGX6"/>
    <mergeCell ref="MGY6:MHA6"/>
    <mergeCell ref="MFR6:MFT6"/>
    <mergeCell ref="MFU6:MFW6"/>
    <mergeCell ref="MFX6:MFZ6"/>
    <mergeCell ref="MGA6:MGC6"/>
    <mergeCell ref="MGD6:MGF6"/>
    <mergeCell ref="MGG6:MGI6"/>
    <mergeCell ref="MEZ6:MFB6"/>
    <mergeCell ref="MFC6:MFE6"/>
    <mergeCell ref="MFF6:MFH6"/>
    <mergeCell ref="MFI6:MFK6"/>
    <mergeCell ref="MFL6:MFN6"/>
    <mergeCell ref="MFO6:MFQ6"/>
    <mergeCell ref="MEH6:MEJ6"/>
    <mergeCell ref="MEK6:MEM6"/>
    <mergeCell ref="MEN6:MEP6"/>
    <mergeCell ref="MEQ6:MES6"/>
    <mergeCell ref="MET6:MEV6"/>
    <mergeCell ref="MEW6:MEY6"/>
    <mergeCell ref="MDP6:MDR6"/>
    <mergeCell ref="MDS6:MDU6"/>
    <mergeCell ref="MDV6:MDX6"/>
    <mergeCell ref="MDY6:MEA6"/>
    <mergeCell ref="MEB6:MED6"/>
    <mergeCell ref="MEE6:MEG6"/>
    <mergeCell ref="MLF6:MLH6"/>
    <mergeCell ref="MLI6:MLK6"/>
    <mergeCell ref="MLL6:MLN6"/>
    <mergeCell ref="MLO6:MLQ6"/>
    <mergeCell ref="MLR6:MLT6"/>
    <mergeCell ref="MLU6:MLW6"/>
    <mergeCell ref="MKN6:MKP6"/>
    <mergeCell ref="MKQ6:MKS6"/>
    <mergeCell ref="MKT6:MKV6"/>
    <mergeCell ref="MKW6:MKY6"/>
    <mergeCell ref="MKZ6:MLB6"/>
    <mergeCell ref="MLC6:MLE6"/>
    <mergeCell ref="MJV6:MJX6"/>
    <mergeCell ref="MJY6:MKA6"/>
    <mergeCell ref="MKB6:MKD6"/>
    <mergeCell ref="MKE6:MKG6"/>
    <mergeCell ref="MKH6:MKJ6"/>
    <mergeCell ref="MKK6:MKM6"/>
    <mergeCell ref="MJD6:MJF6"/>
    <mergeCell ref="MJG6:MJI6"/>
    <mergeCell ref="MJJ6:MJL6"/>
    <mergeCell ref="MJM6:MJO6"/>
    <mergeCell ref="MJP6:MJR6"/>
    <mergeCell ref="MJS6:MJU6"/>
    <mergeCell ref="MIL6:MIN6"/>
    <mergeCell ref="MIO6:MIQ6"/>
    <mergeCell ref="MIR6:MIT6"/>
    <mergeCell ref="MIU6:MIW6"/>
    <mergeCell ref="MIX6:MIZ6"/>
    <mergeCell ref="MJA6:MJC6"/>
    <mergeCell ref="MHT6:MHV6"/>
    <mergeCell ref="MHW6:MHY6"/>
    <mergeCell ref="MHZ6:MIB6"/>
    <mergeCell ref="MIC6:MIE6"/>
    <mergeCell ref="MIF6:MIH6"/>
    <mergeCell ref="MII6:MIK6"/>
    <mergeCell ref="MPJ6:MPL6"/>
    <mergeCell ref="MPM6:MPO6"/>
    <mergeCell ref="MPP6:MPR6"/>
    <mergeCell ref="MPS6:MPU6"/>
    <mergeCell ref="MPV6:MPX6"/>
    <mergeCell ref="MPY6:MQA6"/>
    <mergeCell ref="MOR6:MOT6"/>
    <mergeCell ref="MOU6:MOW6"/>
    <mergeCell ref="MOX6:MOZ6"/>
    <mergeCell ref="MPA6:MPC6"/>
    <mergeCell ref="MPD6:MPF6"/>
    <mergeCell ref="MPG6:MPI6"/>
    <mergeCell ref="MNZ6:MOB6"/>
    <mergeCell ref="MOC6:MOE6"/>
    <mergeCell ref="MOF6:MOH6"/>
    <mergeCell ref="MOI6:MOK6"/>
    <mergeCell ref="MOL6:MON6"/>
    <mergeCell ref="MOO6:MOQ6"/>
    <mergeCell ref="MNH6:MNJ6"/>
    <mergeCell ref="MNK6:MNM6"/>
    <mergeCell ref="MNN6:MNP6"/>
    <mergeCell ref="MNQ6:MNS6"/>
    <mergeCell ref="MNT6:MNV6"/>
    <mergeCell ref="MNW6:MNY6"/>
    <mergeCell ref="MMP6:MMR6"/>
    <mergeCell ref="MMS6:MMU6"/>
    <mergeCell ref="MMV6:MMX6"/>
    <mergeCell ref="MMY6:MNA6"/>
    <mergeCell ref="MNB6:MND6"/>
    <mergeCell ref="MNE6:MNG6"/>
    <mergeCell ref="MLX6:MLZ6"/>
    <mergeCell ref="MMA6:MMC6"/>
    <mergeCell ref="MMD6:MMF6"/>
    <mergeCell ref="MMG6:MMI6"/>
    <mergeCell ref="MMJ6:MML6"/>
    <mergeCell ref="MMM6:MMO6"/>
    <mergeCell ref="MTN6:MTP6"/>
    <mergeCell ref="MTQ6:MTS6"/>
    <mergeCell ref="MTT6:MTV6"/>
    <mergeCell ref="MTW6:MTY6"/>
    <mergeCell ref="MTZ6:MUB6"/>
    <mergeCell ref="MUC6:MUE6"/>
    <mergeCell ref="MSV6:MSX6"/>
    <mergeCell ref="MSY6:MTA6"/>
    <mergeCell ref="MTB6:MTD6"/>
    <mergeCell ref="MTE6:MTG6"/>
    <mergeCell ref="MTH6:MTJ6"/>
    <mergeCell ref="MTK6:MTM6"/>
    <mergeCell ref="MSD6:MSF6"/>
    <mergeCell ref="MSG6:MSI6"/>
    <mergeCell ref="MSJ6:MSL6"/>
    <mergeCell ref="MSM6:MSO6"/>
    <mergeCell ref="MSP6:MSR6"/>
    <mergeCell ref="MSS6:MSU6"/>
    <mergeCell ref="MRL6:MRN6"/>
    <mergeCell ref="MRO6:MRQ6"/>
    <mergeCell ref="MRR6:MRT6"/>
    <mergeCell ref="MRU6:MRW6"/>
    <mergeCell ref="MRX6:MRZ6"/>
    <mergeCell ref="MSA6:MSC6"/>
    <mergeCell ref="MQT6:MQV6"/>
    <mergeCell ref="MQW6:MQY6"/>
    <mergeCell ref="MQZ6:MRB6"/>
    <mergeCell ref="MRC6:MRE6"/>
    <mergeCell ref="MRF6:MRH6"/>
    <mergeCell ref="MRI6:MRK6"/>
    <mergeCell ref="MQB6:MQD6"/>
    <mergeCell ref="MQE6:MQG6"/>
    <mergeCell ref="MQH6:MQJ6"/>
    <mergeCell ref="MQK6:MQM6"/>
    <mergeCell ref="MQN6:MQP6"/>
    <mergeCell ref="MQQ6:MQS6"/>
    <mergeCell ref="MXR6:MXT6"/>
    <mergeCell ref="MXU6:MXW6"/>
    <mergeCell ref="MXX6:MXZ6"/>
    <mergeCell ref="MYA6:MYC6"/>
    <mergeCell ref="MYD6:MYF6"/>
    <mergeCell ref="MYG6:MYI6"/>
    <mergeCell ref="MWZ6:MXB6"/>
    <mergeCell ref="MXC6:MXE6"/>
    <mergeCell ref="MXF6:MXH6"/>
    <mergeCell ref="MXI6:MXK6"/>
    <mergeCell ref="MXL6:MXN6"/>
    <mergeCell ref="MXO6:MXQ6"/>
    <mergeCell ref="MWH6:MWJ6"/>
    <mergeCell ref="MWK6:MWM6"/>
    <mergeCell ref="MWN6:MWP6"/>
    <mergeCell ref="MWQ6:MWS6"/>
    <mergeCell ref="MWT6:MWV6"/>
    <mergeCell ref="MWW6:MWY6"/>
    <mergeCell ref="MVP6:MVR6"/>
    <mergeCell ref="MVS6:MVU6"/>
    <mergeCell ref="MVV6:MVX6"/>
    <mergeCell ref="MVY6:MWA6"/>
    <mergeCell ref="MWB6:MWD6"/>
    <mergeCell ref="MWE6:MWG6"/>
    <mergeCell ref="MUX6:MUZ6"/>
    <mergeCell ref="MVA6:MVC6"/>
    <mergeCell ref="MVD6:MVF6"/>
    <mergeCell ref="MVG6:MVI6"/>
    <mergeCell ref="MVJ6:MVL6"/>
    <mergeCell ref="MVM6:MVO6"/>
    <mergeCell ref="MUF6:MUH6"/>
    <mergeCell ref="MUI6:MUK6"/>
    <mergeCell ref="MUL6:MUN6"/>
    <mergeCell ref="MUO6:MUQ6"/>
    <mergeCell ref="MUR6:MUT6"/>
    <mergeCell ref="MUU6:MUW6"/>
    <mergeCell ref="NBV6:NBX6"/>
    <mergeCell ref="NBY6:NCA6"/>
    <mergeCell ref="NCB6:NCD6"/>
    <mergeCell ref="NCE6:NCG6"/>
    <mergeCell ref="NCH6:NCJ6"/>
    <mergeCell ref="NCK6:NCM6"/>
    <mergeCell ref="NBD6:NBF6"/>
    <mergeCell ref="NBG6:NBI6"/>
    <mergeCell ref="NBJ6:NBL6"/>
    <mergeCell ref="NBM6:NBO6"/>
    <mergeCell ref="NBP6:NBR6"/>
    <mergeCell ref="NBS6:NBU6"/>
    <mergeCell ref="NAL6:NAN6"/>
    <mergeCell ref="NAO6:NAQ6"/>
    <mergeCell ref="NAR6:NAT6"/>
    <mergeCell ref="NAU6:NAW6"/>
    <mergeCell ref="NAX6:NAZ6"/>
    <mergeCell ref="NBA6:NBC6"/>
    <mergeCell ref="MZT6:MZV6"/>
    <mergeCell ref="MZW6:MZY6"/>
    <mergeCell ref="MZZ6:NAB6"/>
    <mergeCell ref="NAC6:NAE6"/>
    <mergeCell ref="NAF6:NAH6"/>
    <mergeCell ref="NAI6:NAK6"/>
    <mergeCell ref="MZB6:MZD6"/>
    <mergeCell ref="MZE6:MZG6"/>
    <mergeCell ref="MZH6:MZJ6"/>
    <mergeCell ref="MZK6:MZM6"/>
    <mergeCell ref="MZN6:MZP6"/>
    <mergeCell ref="MZQ6:MZS6"/>
    <mergeCell ref="MYJ6:MYL6"/>
    <mergeCell ref="MYM6:MYO6"/>
    <mergeCell ref="MYP6:MYR6"/>
    <mergeCell ref="MYS6:MYU6"/>
    <mergeCell ref="MYV6:MYX6"/>
    <mergeCell ref="MYY6:MZA6"/>
    <mergeCell ref="NFZ6:NGB6"/>
    <mergeCell ref="NGC6:NGE6"/>
    <mergeCell ref="NGF6:NGH6"/>
    <mergeCell ref="NGI6:NGK6"/>
    <mergeCell ref="NGL6:NGN6"/>
    <mergeCell ref="NGO6:NGQ6"/>
    <mergeCell ref="NFH6:NFJ6"/>
    <mergeCell ref="NFK6:NFM6"/>
    <mergeCell ref="NFN6:NFP6"/>
    <mergeCell ref="NFQ6:NFS6"/>
    <mergeCell ref="NFT6:NFV6"/>
    <mergeCell ref="NFW6:NFY6"/>
    <mergeCell ref="NEP6:NER6"/>
    <mergeCell ref="NES6:NEU6"/>
    <mergeCell ref="NEV6:NEX6"/>
    <mergeCell ref="NEY6:NFA6"/>
    <mergeCell ref="NFB6:NFD6"/>
    <mergeCell ref="NFE6:NFG6"/>
    <mergeCell ref="NDX6:NDZ6"/>
    <mergeCell ref="NEA6:NEC6"/>
    <mergeCell ref="NED6:NEF6"/>
    <mergeCell ref="NEG6:NEI6"/>
    <mergeCell ref="NEJ6:NEL6"/>
    <mergeCell ref="NEM6:NEO6"/>
    <mergeCell ref="NDF6:NDH6"/>
    <mergeCell ref="NDI6:NDK6"/>
    <mergeCell ref="NDL6:NDN6"/>
    <mergeCell ref="NDO6:NDQ6"/>
    <mergeCell ref="NDR6:NDT6"/>
    <mergeCell ref="NDU6:NDW6"/>
    <mergeCell ref="NCN6:NCP6"/>
    <mergeCell ref="NCQ6:NCS6"/>
    <mergeCell ref="NCT6:NCV6"/>
    <mergeCell ref="NCW6:NCY6"/>
    <mergeCell ref="NCZ6:NDB6"/>
    <mergeCell ref="NDC6:NDE6"/>
    <mergeCell ref="NKD6:NKF6"/>
    <mergeCell ref="NKG6:NKI6"/>
    <mergeCell ref="NKJ6:NKL6"/>
    <mergeCell ref="NKM6:NKO6"/>
    <mergeCell ref="NKP6:NKR6"/>
    <mergeCell ref="NKS6:NKU6"/>
    <mergeCell ref="NJL6:NJN6"/>
    <mergeCell ref="NJO6:NJQ6"/>
    <mergeCell ref="NJR6:NJT6"/>
    <mergeCell ref="NJU6:NJW6"/>
    <mergeCell ref="NJX6:NJZ6"/>
    <mergeCell ref="NKA6:NKC6"/>
    <mergeCell ref="NIT6:NIV6"/>
    <mergeCell ref="NIW6:NIY6"/>
    <mergeCell ref="NIZ6:NJB6"/>
    <mergeCell ref="NJC6:NJE6"/>
    <mergeCell ref="NJF6:NJH6"/>
    <mergeCell ref="NJI6:NJK6"/>
    <mergeCell ref="NIB6:NID6"/>
    <mergeCell ref="NIE6:NIG6"/>
    <mergeCell ref="NIH6:NIJ6"/>
    <mergeCell ref="NIK6:NIM6"/>
    <mergeCell ref="NIN6:NIP6"/>
    <mergeCell ref="NIQ6:NIS6"/>
    <mergeCell ref="NHJ6:NHL6"/>
    <mergeCell ref="NHM6:NHO6"/>
    <mergeCell ref="NHP6:NHR6"/>
    <mergeCell ref="NHS6:NHU6"/>
    <mergeCell ref="NHV6:NHX6"/>
    <mergeCell ref="NHY6:NIA6"/>
    <mergeCell ref="NGR6:NGT6"/>
    <mergeCell ref="NGU6:NGW6"/>
    <mergeCell ref="NGX6:NGZ6"/>
    <mergeCell ref="NHA6:NHC6"/>
    <mergeCell ref="NHD6:NHF6"/>
    <mergeCell ref="NHG6:NHI6"/>
    <mergeCell ref="NOH6:NOJ6"/>
    <mergeCell ref="NOK6:NOM6"/>
    <mergeCell ref="NON6:NOP6"/>
    <mergeCell ref="NOQ6:NOS6"/>
    <mergeCell ref="NOT6:NOV6"/>
    <mergeCell ref="NOW6:NOY6"/>
    <mergeCell ref="NNP6:NNR6"/>
    <mergeCell ref="NNS6:NNU6"/>
    <mergeCell ref="NNV6:NNX6"/>
    <mergeCell ref="NNY6:NOA6"/>
    <mergeCell ref="NOB6:NOD6"/>
    <mergeCell ref="NOE6:NOG6"/>
    <mergeCell ref="NMX6:NMZ6"/>
    <mergeCell ref="NNA6:NNC6"/>
    <mergeCell ref="NND6:NNF6"/>
    <mergeCell ref="NNG6:NNI6"/>
    <mergeCell ref="NNJ6:NNL6"/>
    <mergeCell ref="NNM6:NNO6"/>
    <mergeCell ref="NMF6:NMH6"/>
    <mergeCell ref="NMI6:NMK6"/>
    <mergeCell ref="NML6:NMN6"/>
    <mergeCell ref="NMO6:NMQ6"/>
    <mergeCell ref="NMR6:NMT6"/>
    <mergeCell ref="NMU6:NMW6"/>
    <mergeCell ref="NLN6:NLP6"/>
    <mergeCell ref="NLQ6:NLS6"/>
    <mergeCell ref="NLT6:NLV6"/>
    <mergeCell ref="NLW6:NLY6"/>
    <mergeCell ref="NLZ6:NMB6"/>
    <mergeCell ref="NMC6:NME6"/>
    <mergeCell ref="NKV6:NKX6"/>
    <mergeCell ref="NKY6:NLA6"/>
    <mergeCell ref="NLB6:NLD6"/>
    <mergeCell ref="NLE6:NLG6"/>
    <mergeCell ref="NLH6:NLJ6"/>
    <mergeCell ref="NLK6:NLM6"/>
    <mergeCell ref="NSL6:NSN6"/>
    <mergeCell ref="NSO6:NSQ6"/>
    <mergeCell ref="NSR6:NST6"/>
    <mergeCell ref="NSU6:NSW6"/>
    <mergeCell ref="NSX6:NSZ6"/>
    <mergeCell ref="NTA6:NTC6"/>
    <mergeCell ref="NRT6:NRV6"/>
    <mergeCell ref="NRW6:NRY6"/>
    <mergeCell ref="NRZ6:NSB6"/>
    <mergeCell ref="NSC6:NSE6"/>
    <mergeCell ref="NSF6:NSH6"/>
    <mergeCell ref="NSI6:NSK6"/>
    <mergeCell ref="NRB6:NRD6"/>
    <mergeCell ref="NRE6:NRG6"/>
    <mergeCell ref="NRH6:NRJ6"/>
    <mergeCell ref="NRK6:NRM6"/>
    <mergeCell ref="NRN6:NRP6"/>
    <mergeCell ref="NRQ6:NRS6"/>
    <mergeCell ref="NQJ6:NQL6"/>
    <mergeCell ref="NQM6:NQO6"/>
    <mergeCell ref="NQP6:NQR6"/>
    <mergeCell ref="NQS6:NQU6"/>
    <mergeCell ref="NQV6:NQX6"/>
    <mergeCell ref="NQY6:NRA6"/>
    <mergeCell ref="NPR6:NPT6"/>
    <mergeCell ref="NPU6:NPW6"/>
    <mergeCell ref="NPX6:NPZ6"/>
    <mergeCell ref="NQA6:NQC6"/>
    <mergeCell ref="NQD6:NQF6"/>
    <mergeCell ref="NQG6:NQI6"/>
    <mergeCell ref="NOZ6:NPB6"/>
    <mergeCell ref="NPC6:NPE6"/>
    <mergeCell ref="NPF6:NPH6"/>
    <mergeCell ref="NPI6:NPK6"/>
    <mergeCell ref="NPL6:NPN6"/>
    <mergeCell ref="NPO6:NPQ6"/>
    <mergeCell ref="NWP6:NWR6"/>
    <mergeCell ref="NWS6:NWU6"/>
    <mergeCell ref="NWV6:NWX6"/>
    <mergeCell ref="NWY6:NXA6"/>
    <mergeCell ref="NXB6:NXD6"/>
    <mergeCell ref="NXE6:NXG6"/>
    <mergeCell ref="NVX6:NVZ6"/>
    <mergeCell ref="NWA6:NWC6"/>
    <mergeCell ref="NWD6:NWF6"/>
    <mergeCell ref="NWG6:NWI6"/>
    <mergeCell ref="NWJ6:NWL6"/>
    <mergeCell ref="NWM6:NWO6"/>
    <mergeCell ref="NVF6:NVH6"/>
    <mergeCell ref="NVI6:NVK6"/>
    <mergeCell ref="NVL6:NVN6"/>
    <mergeCell ref="NVO6:NVQ6"/>
    <mergeCell ref="NVR6:NVT6"/>
    <mergeCell ref="NVU6:NVW6"/>
    <mergeCell ref="NUN6:NUP6"/>
    <mergeCell ref="NUQ6:NUS6"/>
    <mergeCell ref="NUT6:NUV6"/>
    <mergeCell ref="NUW6:NUY6"/>
    <mergeCell ref="NUZ6:NVB6"/>
    <mergeCell ref="NVC6:NVE6"/>
    <mergeCell ref="NTV6:NTX6"/>
    <mergeCell ref="NTY6:NUA6"/>
    <mergeCell ref="NUB6:NUD6"/>
    <mergeCell ref="NUE6:NUG6"/>
    <mergeCell ref="NUH6:NUJ6"/>
    <mergeCell ref="NUK6:NUM6"/>
    <mergeCell ref="NTD6:NTF6"/>
    <mergeCell ref="NTG6:NTI6"/>
    <mergeCell ref="NTJ6:NTL6"/>
    <mergeCell ref="NTM6:NTO6"/>
    <mergeCell ref="NTP6:NTR6"/>
    <mergeCell ref="NTS6:NTU6"/>
    <mergeCell ref="OAT6:OAV6"/>
    <mergeCell ref="OAW6:OAY6"/>
    <mergeCell ref="OAZ6:OBB6"/>
    <mergeCell ref="OBC6:OBE6"/>
    <mergeCell ref="OBF6:OBH6"/>
    <mergeCell ref="OBI6:OBK6"/>
    <mergeCell ref="OAB6:OAD6"/>
    <mergeCell ref="OAE6:OAG6"/>
    <mergeCell ref="OAH6:OAJ6"/>
    <mergeCell ref="OAK6:OAM6"/>
    <mergeCell ref="OAN6:OAP6"/>
    <mergeCell ref="OAQ6:OAS6"/>
    <mergeCell ref="NZJ6:NZL6"/>
    <mergeCell ref="NZM6:NZO6"/>
    <mergeCell ref="NZP6:NZR6"/>
    <mergeCell ref="NZS6:NZU6"/>
    <mergeCell ref="NZV6:NZX6"/>
    <mergeCell ref="NZY6:OAA6"/>
    <mergeCell ref="NYR6:NYT6"/>
    <mergeCell ref="NYU6:NYW6"/>
    <mergeCell ref="NYX6:NYZ6"/>
    <mergeCell ref="NZA6:NZC6"/>
    <mergeCell ref="NZD6:NZF6"/>
    <mergeCell ref="NZG6:NZI6"/>
    <mergeCell ref="NXZ6:NYB6"/>
    <mergeCell ref="NYC6:NYE6"/>
    <mergeCell ref="NYF6:NYH6"/>
    <mergeCell ref="NYI6:NYK6"/>
    <mergeCell ref="NYL6:NYN6"/>
    <mergeCell ref="NYO6:NYQ6"/>
    <mergeCell ref="NXH6:NXJ6"/>
    <mergeCell ref="NXK6:NXM6"/>
    <mergeCell ref="NXN6:NXP6"/>
    <mergeCell ref="NXQ6:NXS6"/>
    <mergeCell ref="NXT6:NXV6"/>
    <mergeCell ref="NXW6:NXY6"/>
    <mergeCell ref="OEX6:OEZ6"/>
    <mergeCell ref="OFA6:OFC6"/>
    <mergeCell ref="OFD6:OFF6"/>
    <mergeCell ref="OFG6:OFI6"/>
    <mergeCell ref="OFJ6:OFL6"/>
    <mergeCell ref="OFM6:OFO6"/>
    <mergeCell ref="OEF6:OEH6"/>
    <mergeCell ref="OEI6:OEK6"/>
    <mergeCell ref="OEL6:OEN6"/>
    <mergeCell ref="OEO6:OEQ6"/>
    <mergeCell ref="OER6:OET6"/>
    <mergeCell ref="OEU6:OEW6"/>
    <mergeCell ref="ODN6:ODP6"/>
    <mergeCell ref="ODQ6:ODS6"/>
    <mergeCell ref="ODT6:ODV6"/>
    <mergeCell ref="ODW6:ODY6"/>
    <mergeCell ref="ODZ6:OEB6"/>
    <mergeCell ref="OEC6:OEE6"/>
    <mergeCell ref="OCV6:OCX6"/>
    <mergeCell ref="OCY6:ODA6"/>
    <mergeCell ref="ODB6:ODD6"/>
    <mergeCell ref="ODE6:ODG6"/>
    <mergeCell ref="ODH6:ODJ6"/>
    <mergeCell ref="ODK6:ODM6"/>
    <mergeCell ref="OCD6:OCF6"/>
    <mergeCell ref="OCG6:OCI6"/>
    <mergeCell ref="OCJ6:OCL6"/>
    <mergeCell ref="OCM6:OCO6"/>
    <mergeCell ref="OCP6:OCR6"/>
    <mergeCell ref="OCS6:OCU6"/>
    <mergeCell ref="OBL6:OBN6"/>
    <mergeCell ref="OBO6:OBQ6"/>
    <mergeCell ref="OBR6:OBT6"/>
    <mergeCell ref="OBU6:OBW6"/>
    <mergeCell ref="OBX6:OBZ6"/>
    <mergeCell ref="OCA6:OCC6"/>
    <mergeCell ref="OJB6:OJD6"/>
    <mergeCell ref="OJE6:OJG6"/>
    <mergeCell ref="OJH6:OJJ6"/>
    <mergeCell ref="OJK6:OJM6"/>
    <mergeCell ref="OJN6:OJP6"/>
    <mergeCell ref="OJQ6:OJS6"/>
    <mergeCell ref="OIJ6:OIL6"/>
    <mergeCell ref="OIM6:OIO6"/>
    <mergeCell ref="OIP6:OIR6"/>
    <mergeCell ref="OIS6:OIU6"/>
    <mergeCell ref="OIV6:OIX6"/>
    <mergeCell ref="OIY6:OJA6"/>
    <mergeCell ref="OHR6:OHT6"/>
    <mergeCell ref="OHU6:OHW6"/>
    <mergeCell ref="OHX6:OHZ6"/>
    <mergeCell ref="OIA6:OIC6"/>
    <mergeCell ref="OID6:OIF6"/>
    <mergeCell ref="OIG6:OII6"/>
    <mergeCell ref="OGZ6:OHB6"/>
    <mergeCell ref="OHC6:OHE6"/>
    <mergeCell ref="OHF6:OHH6"/>
    <mergeCell ref="OHI6:OHK6"/>
    <mergeCell ref="OHL6:OHN6"/>
    <mergeCell ref="OHO6:OHQ6"/>
    <mergeCell ref="OGH6:OGJ6"/>
    <mergeCell ref="OGK6:OGM6"/>
    <mergeCell ref="OGN6:OGP6"/>
    <mergeCell ref="OGQ6:OGS6"/>
    <mergeCell ref="OGT6:OGV6"/>
    <mergeCell ref="OGW6:OGY6"/>
    <mergeCell ref="OFP6:OFR6"/>
    <mergeCell ref="OFS6:OFU6"/>
    <mergeCell ref="OFV6:OFX6"/>
    <mergeCell ref="OFY6:OGA6"/>
    <mergeCell ref="OGB6:OGD6"/>
    <mergeCell ref="OGE6:OGG6"/>
    <mergeCell ref="ONF6:ONH6"/>
    <mergeCell ref="ONI6:ONK6"/>
    <mergeCell ref="ONL6:ONN6"/>
    <mergeCell ref="ONO6:ONQ6"/>
    <mergeCell ref="ONR6:ONT6"/>
    <mergeCell ref="ONU6:ONW6"/>
    <mergeCell ref="OMN6:OMP6"/>
    <mergeCell ref="OMQ6:OMS6"/>
    <mergeCell ref="OMT6:OMV6"/>
    <mergeCell ref="OMW6:OMY6"/>
    <mergeCell ref="OMZ6:ONB6"/>
    <mergeCell ref="ONC6:ONE6"/>
    <mergeCell ref="OLV6:OLX6"/>
    <mergeCell ref="OLY6:OMA6"/>
    <mergeCell ref="OMB6:OMD6"/>
    <mergeCell ref="OME6:OMG6"/>
    <mergeCell ref="OMH6:OMJ6"/>
    <mergeCell ref="OMK6:OMM6"/>
    <mergeCell ref="OLD6:OLF6"/>
    <mergeCell ref="OLG6:OLI6"/>
    <mergeCell ref="OLJ6:OLL6"/>
    <mergeCell ref="OLM6:OLO6"/>
    <mergeCell ref="OLP6:OLR6"/>
    <mergeCell ref="OLS6:OLU6"/>
    <mergeCell ref="OKL6:OKN6"/>
    <mergeCell ref="OKO6:OKQ6"/>
    <mergeCell ref="OKR6:OKT6"/>
    <mergeCell ref="OKU6:OKW6"/>
    <mergeCell ref="OKX6:OKZ6"/>
    <mergeCell ref="OLA6:OLC6"/>
    <mergeCell ref="OJT6:OJV6"/>
    <mergeCell ref="OJW6:OJY6"/>
    <mergeCell ref="OJZ6:OKB6"/>
    <mergeCell ref="OKC6:OKE6"/>
    <mergeCell ref="OKF6:OKH6"/>
    <mergeCell ref="OKI6:OKK6"/>
    <mergeCell ref="ORJ6:ORL6"/>
    <mergeCell ref="ORM6:ORO6"/>
    <mergeCell ref="ORP6:ORR6"/>
    <mergeCell ref="ORS6:ORU6"/>
    <mergeCell ref="ORV6:ORX6"/>
    <mergeCell ref="ORY6:OSA6"/>
    <mergeCell ref="OQR6:OQT6"/>
    <mergeCell ref="OQU6:OQW6"/>
    <mergeCell ref="OQX6:OQZ6"/>
    <mergeCell ref="ORA6:ORC6"/>
    <mergeCell ref="ORD6:ORF6"/>
    <mergeCell ref="ORG6:ORI6"/>
    <mergeCell ref="OPZ6:OQB6"/>
    <mergeCell ref="OQC6:OQE6"/>
    <mergeCell ref="OQF6:OQH6"/>
    <mergeCell ref="OQI6:OQK6"/>
    <mergeCell ref="OQL6:OQN6"/>
    <mergeCell ref="OQO6:OQQ6"/>
    <mergeCell ref="OPH6:OPJ6"/>
    <mergeCell ref="OPK6:OPM6"/>
    <mergeCell ref="OPN6:OPP6"/>
    <mergeCell ref="OPQ6:OPS6"/>
    <mergeCell ref="OPT6:OPV6"/>
    <mergeCell ref="OPW6:OPY6"/>
    <mergeCell ref="OOP6:OOR6"/>
    <mergeCell ref="OOS6:OOU6"/>
    <mergeCell ref="OOV6:OOX6"/>
    <mergeCell ref="OOY6:OPA6"/>
    <mergeCell ref="OPB6:OPD6"/>
    <mergeCell ref="OPE6:OPG6"/>
    <mergeCell ref="ONX6:ONZ6"/>
    <mergeCell ref="OOA6:OOC6"/>
    <mergeCell ref="OOD6:OOF6"/>
    <mergeCell ref="OOG6:OOI6"/>
    <mergeCell ref="OOJ6:OOL6"/>
    <mergeCell ref="OOM6:OOO6"/>
    <mergeCell ref="OVN6:OVP6"/>
    <mergeCell ref="OVQ6:OVS6"/>
    <mergeCell ref="OVT6:OVV6"/>
    <mergeCell ref="OVW6:OVY6"/>
    <mergeCell ref="OVZ6:OWB6"/>
    <mergeCell ref="OWC6:OWE6"/>
    <mergeCell ref="OUV6:OUX6"/>
    <mergeCell ref="OUY6:OVA6"/>
    <mergeCell ref="OVB6:OVD6"/>
    <mergeCell ref="OVE6:OVG6"/>
    <mergeCell ref="OVH6:OVJ6"/>
    <mergeCell ref="OVK6:OVM6"/>
    <mergeCell ref="OUD6:OUF6"/>
    <mergeCell ref="OUG6:OUI6"/>
    <mergeCell ref="OUJ6:OUL6"/>
    <mergeCell ref="OUM6:OUO6"/>
    <mergeCell ref="OUP6:OUR6"/>
    <mergeCell ref="OUS6:OUU6"/>
    <mergeCell ref="OTL6:OTN6"/>
    <mergeCell ref="OTO6:OTQ6"/>
    <mergeCell ref="OTR6:OTT6"/>
    <mergeCell ref="OTU6:OTW6"/>
    <mergeCell ref="OTX6:OTZ6"/>
    <mergeCell ref="OUA6:OUC6"/>
    <mergeCell ref="OST6:OSV6"/>
    <mergeCell ref="OSW6:OSY6"/>
    <mergeCell ref="OSZ6:OTB6"/>
    <mergeCell ref="OTC6:OTE6"/>
    <mergeCell ref="OTF6:OTH6"/>
    <mergeCell ref="OTI6:OTK6"/>
    <mergeCell ref="OSB6:OSD6"/>
    <mergeCell ref="OSE6:OSG6"/>
    <mergeCell ref="OSH6:OSJ6"/>
    <mergeCell ref="OSK6:OSM6"/>
    <mergeCell ref="OSN6:OSP6"/>
    <mergeCell ref="OSQ6:OSS6"/>
    <mergeCell ref="OZR6:OZT6"/>
    <mergeCell ref="OZU6:OZW6"/>
    <mergeCell ref="OZX6:OZZ6"/>
    <mergeCell ref="PAA6:PAC6"/>
    <mergeCell ref="PAD6:PAF6"/>
    <mergeCell ref="PAG6:PAI6"/>
    <mergeCell ref="OYZ6:OZB6"/>
    <mergeCell ref="OZC6:OZE6"/>
    <mergeCell ref="OZF6:OZH6"/>
    <mergeCell ref="OZI6:OZK6"/>
    <mergeCell ref="OZL6:OZN6"/>
    <mergeCell ref="OZO6:OZQ6"/>
    <mergeCell ref="OYH6:OYJ6"/>
    <mergeCell ref="OYK6:OYM6"/>
    <mergeCell ref="OYN6:OYP6"/>
    <mergeCell ref="OYQ6:OYS6"/>
    <mergeCell ref="OYT6:OYV6"/>
    <mergeCell ref="OYW6:OYY6"/>
    <mergeCell ref="OXP6:OXR6"/>
    <mergeCell ref="OXS6:OXU6"/>
    <mergeCell ref="OXV6:OXX6"/>
    <mergeCell ref="OXY6:OYA6"/>
    <mergeCell ref="OYB6:OYD6"/>
    <mergeCell ref="OYE6:OYG6"/>
    <mergeCell ref="OWX6:OWZ6"/>
    <mergeCell ref="OXA6:OXC6"/>
    <mergeCell ref="OXD6:OXF6"/>
    <mergeCell ref="OXG6:OXI6"/>
    <mergeCell ref="OXJ6:OXL6"/>
    <mergeCell ref="OXM6:OXO6"/>
    <mergeCell ref="OWF6:OWH6"/>
    <mergeCell ref="OWI6:OWK6"/>
    <mergeCell ref="OWL6:OWN6"/>
    <mergeCell ref="OWO6:OWQ6"/>
    <mergeCell ref="OWR6:OWT6"/>
    <mergeCell ref="OWU6:OWW6"/>
    <mergeCell ref="PDV6:PDX6"/>
    <mergeCell ref="PDY6:PEA6"/>
    <mergeCell ref="PEB6:PED6"/>
    <mergeCell ref="PEE6:PEG6"/>
    <mergeCell ref="PEH6:PEJ6"/>
    <mergeCell ref="PEK6:PEM6"/>
    <mergeCell ref="PDD6:PDF6"/>
    <mergeCell ref="PDG6:PDI6"/>
    <mergeCell ref="PDJ6:PDL6"/>
    <mergeCell ref="PDM6:PDO6"/>
    <mergeCell ref="PDP6:PDR6"/>
    <mergeCell ref="PDS6:PDU6"/>
    <mergeCell ref="PCL6:PCN6"/>
    <mergeCell ref="PCO6:PCQ6"/>
    <mergeCell ref="PCR6:PCT6"/>
    <mergeCell ref="PCU6:PCW6"/>
    <mergeCell ref="PCX6:PCZ6"/>
    <mergeCell ref="PDA6:PDC6"/>
    <mergeCell ref="PBT6:PBV6"/>
    <mergeCell ref="PBW6:PBY6"/>
    <mergeCell ref="PBZ6:PCB6"/>
    <mergeCell ref="PCC6:PCE6"/>
    <mergeCell ref="PCF6:PCH6"/>
    <mergeCell ref="PCI6:PCK6"/>
    <mergeCell ref="PBB6:PBD6"/>
    <mergeCell ref="PBE6:PBG6"/>
    <mergeCell ref="PBH6:PBJ6"/>
    <mergeCell ref="PBK6:PBM6"/>
    <mergeCell ref="PBN6:PBP6"/>
    <mergeCell ref="PBQ6:PBS6"/>
    <mergeCell ref="PAJ6:PAL6"/>
    <mergeCell ref="PAM6:PAO6"/>
    <mergeCell ref="PAP6:PAR6"/>
    <mergeCell ref="PAS6:PAU6"/>
    <mergeCell ref="PAV6:PAX6"/>
    <mergeCell ref="PAY6:PBA6"/>
    <mergeCell ref="PHZ6:PIB6"/>
    <mergeCell ref="PIC6:PIE6"/>
    <mergeCell ref="PIF6:PIH6"/>
    <mergeCell ref="PII6:PIK6"/>
    <mergeCell ref="PIL6:PIN6"/>
    <mergeCell ref="PIO6:PIQ6"/>
    <mergeCell ref="PHH6:PHJ6"/>
    <mergeCell ref="PHK6:PHM6"/>
    <mergeCell ref="PHN6:PHP6"/>
    <mergeCell ref="PHQ6:PHS6"/>
    <mergeCell ref="PHT6:PHV6"/>
    <mergeCell ref="PHW6:PHY6"/>
    <mergeCell ref="PGP6:PGR6"/>
    <mergeCell ref="PGS6:PGU6"/>
    <mergeCell ref="PGV6:PGX6"/>
    <mergeCell ref="PGY6:PHA6"/>
    <mergeCell ref="PHB6:PHD6"/>
    <mergeCell ref="PHE6:PHG6"/>
    <mergeCell ref="PFX6:PFZ6"/>
    <mergeCell ref="PGA6:PGC6"/>
    <mergeCell ref="PGD6:PGF6"/>
    <mergeCell ref="PGG6:PGI6"/>
    <mergeCell ref="PGJ6:PGL6"/>
    <mergeCell ref="PGM6:PGO6"/>
    <mergeCell ref="PFF6:PFH6"/>
    <mergeCell ref="PFI6:PFK6"/>
    <mergeCell ref="PFL6:PFN6"/>
    <mergeCell ref="PFO6:PFQ6"/>
    <mergeCell ref="PFR6:PFT6"/>
    <mergeCell ref="PFU6:PFW6"/>
    <mergeCell ref="PEN6:PEP6"/>
    <mergeCell ref="PEQ6:PES6"/>
    <mergeCell ref="PET6:PEV6"/>
    <mergeCell ref="PEW6:PEY6"/>
    <mergeCell ref="PEZ6:PFB6"/>
    <mergeCell ref="PFC6:PFE6"/>
    <mergeCell ref="PMD6:PMF6"/>
    <mergeCell ref="PMG6:PMI6"/>
    <mergeCell ref="PMJ6:PML6"/>
    <mergeCell ref="PMM6:PMO6"/>
    <mergeCell ref="PMP6:PMR6"/>
    <mergeCell ref="PMS6:PMU6"/>
    <mergeCell ref="PLL6:PLN6"/>
    <mergeCell ref="PLO6:PLQ6"/>
    <mergeCell ref="PLR6:PLT6"/>
    <mergeCell ref="PLU6:PLW6"/>
    <mergeCell ref="PLX6:PLZ6"/>
    <mergeCell ref="PMA6:PMC6"/>
    <mergeCell ref="PKT6:PKV6"/>
    <mergeCell ref="PKW6:PKY6"/>
    <mergeCell ref="PKZ6:PLB6"/>
    <mergeCell ref="PLC6:PLE6"/>
    <mergeCell ref="PLF6:PLH6"/>
    <mergeCell ref="PLI6:PLK6"/>
    <mergeCell ref="PKB6:PKD6"/>
    <mergeCell ref="PKE6:PKG6"/>
    <mergeCell ref="PKH6:PKJ6"/>
    <mergeCell ref="PKK6:PKM6"/>
    <mergeCell ref="PKN6:PKP6"/>
    <mergeCell ref="PKQ6:PKS6"/>
    <mergeCell ref="PJJ6:PJL6"/>
    <mergeCell ref="PJM6:PJO6"/>
    <mergeCell ref="PJP6:PJR6"/>
    <mergeCell ref="PJS6:PJU6"/>
    <mergeCell ref="PJV6:PJX6"/>
    <mergeCell ref="PJY6:PKA6"/>
    <mergeCell ref="PIR6:PIT6"/>
    <mergeCell ref="PIU6:PIW6"/>
    <mergeCell ref="PIX6:PIZ6"/>
    <mergeCell ref="PJA6:PJC6"/>
    <mergeCell ref="PJD6:PJF6"/>
    <mergeCell ref="PJG6:PJI6"/>
    <mergeCell ref="PQH6:PQJ6"/>
    <mergeCell ref="PQK6:PQM6"/>
    <mergeCell ref="PQN6:PQP6"/>
    <mergeCell ref="PQQ6:PQS6"/>
    <mergeCell ref="PQT6:PQV6"/>
    <mergeCell ref="PQW6:PQY6"/>
    <mergeCell ref="PPP6:PPR6"/>
    <mergeCell ref="PPS6:PPU6"/>
    <mergeCell ref="PPV6:PPX6"/>
    <mergeCell ref="PPY6:PQA6"/>
    <mergeCell ref="PQB6:PQD6"/>
    <mergeCell ref="PQE6:PQG6"/>
    <mergeCell ref="POX6:POZ6"/>
    <mergeCell ref="PPA6:PPC6"/>
    <mergeCell ref="PPD6:PPF6"/>
    <mergeCell ref="PPG6:PPI6"/>
    <mergeCell ref="PPJ6:PPL6"/>
    <mergeCell ref="PPM6:PPO6"/>
    <mergeCell ref="POF6:POH6"/>
    <mergeCell ref="POI6:POK6"/>
    <mergeCell ref="POL6:PON6"/>
    <mergeCell ref="POO6:POQ6"/>
    <mergeCell ref="POR6:POT6"/>
    <mergeCell ref="POU6:POW6"/>
    <mergeCell ref="PNN6:PNP6"/>
    <mergeCell ref="PNQ6:PNS6"/>
    <mergeCell ref="PNT6:PNV6"/>
    <mergeCell ref="PNW6:PNY6"/>
    <mergeCell ref="PNZ6:POB6"/>
    <mergeCell ref="POC6:POE6"/>
    <mergeCell ref="PMV6:PMX6"/>
    <mergeCell ref="PMY6:PNA6"/>
    <mergeCell ref="PNB6:PND6"/>
    <mergeCell ref="PNE6:PNG6"/>
    <mergeCell ref="PNH6:PNJ6"/>
    <mergeCell ref="PNK6:PNM6"/>
    <mergeCell ref="PUL6:PUN6"/>
    <mergeCell ref="PUO6:PUQ6"/>
    <mergeCell ref="PUR6:PUT6"/>
    <mergeCell ref="PUU6:PUW6"/>
    <mergeCell ref="PUX6:PUZ6"/>
    <mergeCell ref="PVA6:PVC6"/>
    <mergeCell ref="PTT6:PTV6"/>
    <mergeCell ref="PTW6:PTY6"/>
    <mergeCell ref="PTZ6:PUB6"/>
    <mergeCell ref="PUC6:PUE6"/>
    <mergeCell ref="PUF6:PUH6"/>
    <mergeCell ref="PUI6:PUK6"/>
    <mergeCell ref="PTB6:PTD6"/>
    <mergeCell ref="PTE6:PTG6"/>
    <mergeCell ref="PTH6:PTJ6"/>
    <mergeCell ref="PTK6:PTM6"/>
    <mergeCell ref="PTN6:PTP6"/>
    <mergeCell ref="PTQ6:PTS6"/>
    <mergeCell ref="PSJ6:PSL6"/>
    <mergeCell ref="PSM6:PSO6"/>
    <mergeCell ref="PSP6:PSR6"/>
    <mergeCell ref="PSS6:PSU6"/>
    <mergeCell ref="PSV6:PSX6"/>
    <mergeCell ref="PSY6:PTA6"/>
    <mergeCell ref="PRR6:PRT6"/>
    <mergeCell ref="PRU6:PRW6"/>
    <mergeCell ref="PRX6:PRZ6"/>
    <mergeCell ref="PSA6:PSC6"/>
    <mergeCell ref="PSD6:PSF6"/>
    <mergeCell ref="PSG6:PSI6"/>
    <mergeCell ref="PQZ6:PRB6"/>
    <mergeCell ref="PRC6:PRE6"/>
    <mergeCell ref="PRF6:PRH6"/>
    <mergeCell ref="PRI6:PRK6"/>
    <mergeCell ref="PRL6:PRN6"/>
    <mergeCell ref="PRO6:PRQ6"/>
    <mergeCell ref="PYP6:PYR6"/>
    <mergeCell ref="PYS6:PYU6"/>
    <mergeCell ref="PYV6:PYX6"/>
    <mergeCell ref="PYY6:PZA6"/>
    <mergeCell ref="PZB6:PZD6"/>
    <mergeCell ref="PZE6:PZG6"/>
    <mergeCell ref="PXX6:PXZ6"/>
    <mergeCell ref="PYA6:PYC6"/>
    <mergeCell ref="PYD6:PYF6"/>
    <mergeCell ref="PYG6:PYI6"/>
    <mergeCell ref="PYJ6:PYL6"/>
    <mergeCell ref="PYM6:PYO6"/>
    <mergeCell ref="PXF6:PXH6"/>
    <mergeCell ref="PXI6:PXK6"/>
    <mergeCell ref="PXL6:PXN6"/>
    <mergeCell ref="PXO6:PXQ6"/>
    <mergeCell ref="PXR6:PXT6"/>
    <mergeCell ref="PXU6:PXW6"/>
    <mergeCell ref="PWN6:PWP6"/>
    <mergeCell ref="PWQ6:PWS6"/>
    <mergeCell ref="PWT6:PWV6"/>
    <mergeCell ref="PWW6:PWY6"/>
    <mergeCell ref="PWZ6:PXB6"/>
    <mergeCell ref="PXC6:PXE6"/>
    <mergeCell ref="PVV6:PVX6"/>
    <mergeCell ref="PVY6:PWA6"/>
    <mergeCell ref="PWB6:PWD6"/>
    <mergeCell ref="PWE6:PWG6"/>
    <mergeCell ref="PWH6:PWJ6"/>
    <mergeCell ref="PWK6:PWM6"/>
    <mergeCell ref="PVD6:PVF6"/>
    <mergeCell ref="PVG6:PVI6"/>
    <mergeCell ref="PVJ6:PVL6"/>
    <mergeCell ref="PVM6:PVO6"/>
    <mergeCell ref="PVP6:PVR6"/>
    <mergeCell ref="PVS6:PVU6"/>
    <mergeCell ref="QCT6:QCV6"/>
    <mergeCell ref="QCW6:QCY6"/>
    <mergeCell ref="QCZ6:QDB6"/>
    <mergeCell ref="QDC6:QDE6"/>
    <mergeCell ref="QDF6:QDH6"/>
    <mergeCell ref="QDI6:QDK6"/>
    <mergeCell ref="QCB6:QCD6"/>
    <mergeCell ref="QCE6:QCG6"/>
    <mergeCell ref="QCH6:QCJ6"/>
    <mergeCell ref="QCK6:QCM6"/>
    <mergeCell ref="QCN6:QCP6"/>
    <mergeCell ref="QCQ6:QCS6"/>
    <mergeCell ref="QBJ6:QBL6"/>
    <mergeCell ref="QBM6:QBO6"/>
    <mergeCell ref="QBP6:QBR6"/>
    <mergeCell ref="QBS6:QBU6"/>
    <mergeCell ref="QBV6:QBX6"/>
    <mergeCell ref="QBY6:QCA6"/>
    <mergeCell ref="QAR6:QAT6"/>
    <mergeCell ref="QAU6:QAW6"/>
    <mergeCell ref="QAX6:QAZ6"/>
    <mergeCell ref="QBA6:QBC6"/>
    <mergeCell ref="QBD6:QBF6"/>
    <mergeCell ref="QBG6:QBI6"/>
    <mergeCell ref="PZZ6:QAB6"/>
    <mergeCell ref="QAC6:QAE6"/>
    <mergeCell ref="QAF6:QAH6"/>
    <mergeCell ref="QAI6:QAK6"/>
    <mergeCell ref="QAL6:QAN6"/>
    <mergeCell ref="QAO6:QAQ6"/>
    <mergeCell ref="PZH6:PZJ6"/>
    <mergeCell ref="PZK6:PZM6"/>
    <mergeCell ref="PZN6:PZP6"/>
    <mergeCell ref="PZQ6:PZS6"/>
    <mergeCell ref="PZT6:PZV6"/>
    <mergeCell ref="PZW6:PZY6"/>
    <mergeCell ref="QGX6:QGZ6"/>
    <mergeCell ref="QHA6:QHC6"/>
    <mergeCell ref="QHD6:QHF6"/>
    <mergeCell ref="QHG6:QHI6"/>
    <mergeCell ref="QHJ6:QHL6"/>
    <mergeCell ref="QHM6:QHO6"/>
    <mergeCell ref="QGF6:QGH6"/>
    <mergeCell ref="QGI6:QGK6"/>
    <mergeCell ref="QGL6:QGN6"/>
    <mergeCell ref="QGO6:QGQ6"/>
    <mergeCell ref="QGR6:QGT6"/>
    <mergeCell ref="QGU6:QGW6"/>
    <mergeCell ref="QFN6:QFP6"/>
    <mergeCell ref="QFQ6:QFS6"/>
    <mergeCell ref="QFT6:QFV6"/>
    <mergeCell ref="QFW6:QFY6"/>
    <mergeCell ref="QFZ6:QGB6"/>
    <mergeCell ref="QGC6:QGE6"/>
    <mergeCell ref="QEV6:QEX6"/>
    <mergeCell ref="QEY6:QFA6"/>
    <mergeCell ref="QFB6:QFD6"/>
    <mergeCell ref="QFE6:QFG6"/>
    <mergeCell ref="QFH6:QFJ6"/>
    <mergeCell ref="QFK6:QFM6"/>
    <mergeCell ref="QED6:QEF6"/>
    <mergeCell ref="QEG6:QEI6"/>
    <mergeCell ref="QEJ6:QEL6"/>
    <mergeCell ref="QEM6:QEO6"/>
    <mergeCell ref="QEP6:QER6"/>
    <mergeCell ref="QES6:QEU6"/>
    <mergeCell ref="QDL6:QDN6"/>
    <mergeCell ref="QDO6:QDQ6"/>
    <mergeCell ref="QDR6:QDT6"/>
    <mergeCell ref="QDU6:QDW6"/>
    <mergeCell ref="QDX6:QDZ6"/>
    <mergeCell ref="QEA6:QEC6"/>
    <mergeCell ref="QLB6:QLD6"/>
    <mergeCell ref="QLE6:QLG6"/>
    <mergeCell ref="QLH6:QLJ6"/>
    <mergeCell ref="QLK6:QLM6"/>
    <mergeCell ref="QLN6:QLP6"/>
    <mergeCell ref="QLQ6:QLS6"/>
    <mergeCell ref="QKJ6:QKL6"/>
    <mergeCell ref="QKM6:QKO6"/>
    <mergeCell ref="QKP6:QKR6"/>
    <mergeCell ref="QKS6:QKU6"/>
    <mergeCell ref="QKV6:QKX6"/>
    <mergeCell ref="QKY6:QLA6"/>
    <mergeCell ref="QJR6:QJT6"/>
    <mergeCell ref="QJU6:QJW6"/>
    <mergeCell ref="QJX6:QJZ6"/>
    <mergeCell ref="QKA6:QKC6"/>
    <mergeCell ref="QKD6:QKF6"/>
    <mergeCell ref="QKG6:QKI6"/>
    <mergeCell ref="QIZ6:QJB6"/>
    <mergeCell ref="QJC6:QJE6"/>
    <mergeCell ref="QJF6:QJH6"/>
    <mergeCell ref="QJI6:QJK6"/>
    <mergeCell ref="QJL6:QJN6"/>
    <mergeCell ref="QJO6:QJQ6"/>
    <mergeCell ref="QIH6:QIJ6"/>
    <mergeCell ref="QIK6:QIM6"/>
    <mergeCell ref="QIN6:QIP6"/>
    <mergeCell ref="QIQ6:QIS6"/>
    <mergeCell ref="QIT6:QIV6"/>
    <mergeCell ref="QIW6:QIY6"/>
    <mergeCell ref="QHP6:QHR6"/>
    <mergeCell ref="QHS6:QHU6"/>
    <mergeCell ref="QHV6:QHX6"/>
    <mergeCell ref="QHY6:QIA6"/>
    <mergeCell ref="QIB6:QID6"/>
    <mergeCell ref="QIE6:QIG6"/>
    <mergeCell ref="QPF6:QPH6"/>
    <mergeCell ref="QPI6:QPK6"/>
    <mergeCell ref="QPL6:QPN6"/>
    <mergeCell ref="QPO6:QPQ6"/>
    <mergeCell ref="QPR6:QPT6"/>
    <mergeCell ref="QPU6:QPW6"/>
    <mergeCell ref="QON6:QOP6"/>
    <mergeCell ref="QOQ6:QOS6"/>
    <mergeCell ref="QOT6:QOV6"/>
    <mergeCell ref="QOW6:QOY6"/>
    <mergeCell ref="QOZ6:QPB6"/>
    <mergeCell ref="QPC6:QPE6"/>
    <mergeCell ref="QNV6:QNX6"/>
    <mergeCell ref="QNY6:QOA6"/>
    <mergeCell ref="QOB6:QOD6"/>
    <mergeCell ref="QOE6:QOG6"/>
    <mergeCell ref="QOH6:QOJ6"/>
    <mergeCell ref="QOK6:QOM6"/>
    <mergeCell ref="QND6:QNF6"/>
    <mergeCell ref="QNG6:QNI6"/>
    <mergeCell ref="QNJ6:QNL6"/>
    <mergeCell ref="QNM6:QNO6"/>
    <mergeCell ref="QNP6:QNR6"/>
    <mergeCell ref="QNS6:QNU6"/>
    <mergeCell ref="QML6:QMN6"/>
    <mergeCell ref="QMO6:QMQ6"/>
    <mergeCell ref="QMR6:QMT6"/>
    <mergeCell ref="QMU6:QMW6"/>
    <mergeCell ref="QMX6:QMZ6"/>
    <mergeCell ref="QNA6:QNC6"/>
    <mergeCell ref="QLT6:QLV6"/>
    <mergeCell ref="QLW6:QLY6"/>
    <mergeCell ref="QLZ6:QMB6"/>
    <mergeCell ref="QMC6:QME6"/>
    <mergeCell ref="QMF6:QMH6"/>
    <mergeCell ref="QMI6:QMK6"/>
    <mergeCell ref="QTJ6:QTL6"/>
    <mergeCell ref="QTM6:QTO6"/>
    <mergeCell ref="QTP6:QTR6"/>
    <mergeCell ref="QTS6:QTU6"/>
    <mergeCell ref="QTV6:QTX6"/>
    <mergeCell ref="QTY6:QUA6"/>
    <mergeCell ref="QSR6:QST6"/>
    <mergeCell ref="QSU6:QSW6"/>
    <mergeCell ref="QSX6:QSZ6"/>
    <mergeCell ref="QTA6:QTC6"/>
    <mergeCell ref="QTD6:QTF6"/>
    <mergeCell ref="QTG6:QTI6"/>
    <mergeCell ref="QRZ6:QSB6"/>
    <mergeCell ref="QSC6:QSE6"/>
    <mergeCell ref="QSF6:QSH6"/>
    <mergeCell ref="QSI6:QSK6"/>
    <mergeCell ref="QSL6:QSN6"/>
    <mergeCell ref="QSO6:QSQ6"/>
    <mergeCell ref="QRH6:QRJ6"/>
    <mergeCell ref="QRK6:QRM6"/>
    <mergeCell ref="QRN6:QRP6"/>
    <mergeCell ref="QRQ6:QRS6"/>
    <mergeCell ref="QRT6:QRV6"/>
    <mergeCell ref="QRW6:QRY6"/>
    <mergeCell ref="QQP6:QQR6"/>
    <mergeCell ref="QQS6:QQU6"/>
    <mergeCell ref="QQV6:QQX6"/>
    <mergeCell ref="QQY6:QRA6"/>
    <mergeCell ref="QRB6:QRD6"/>
    <mergeCell ref="QRE6:QRG6"/>
    <mergeCell ref="QPX6:QPZ6"/>
    <mergeCell ref="QQA6:QQC6"/>
    <mergeCell ref="QQD6:QQF6"/>
    <mergeCell ref="QQG6:QQI6"/>
    <mergeCell ref="QQJ6:QQL6"/>
    <mergeCell ref="QQM6:QQO6"/>
    <mergeCell ref="QXN6:QXP6"/>
    <mergeCell ref="QXQ6:QXS6"/>
    <mergeCell ref="QXT6:QXV6"/>
    <mergeCell ref="QXW6:QXY6"/>
    <mergeCell ref="QXZ6:QYB6"/>
    <mergeCell ref="QYC6:QYE6"/>
    <mergeCell ref="QWV6:QWX6"/>
    <mergeCell ref="QWY6:QXA6"/>
    <mergeCell ref="QXB6:QXD6"/>
    <mergeCell ref="QXE6:QXG6"/>
    <mergeCell ref="QXH6:QXJ6"/>
    <mergeCell ref="QXK6:QXM6"/>
    <mergeCell ref="QWD6:QWF6"/>
    <mergeCell ref="QWG6:QWI6"/>
    <mergeCell ref="QWJ6:QWL6"/>
    <mergeCell ref="QWM6:QWO6"/>
    <mergeCell ref="QWP6:QWR6"/>
    <mergeCell ref="QWS6:QWU6"/>
    <mergeCell ref="QVL6:QVN6"/>
    <mergeCell ref="QVO6:QVQ6"/>
    <mergeCell ref="QVR6:QVT6"/>
    <mergeCell ref="QVU6:QVW6"/>
    <mergeCell ref="QVX6:QVZ6"/>
    <mergeCell ref="QWA6:QWC6"/>
    <mergeCell ref="QUT6:QUV6"/>
    <mergeCell ref="QUW6:QUY6"/>
    <mergeCell ref="QUZ6:QVB6"/>
    <mergeCell ref="QVC6:QVE6"/>
    <mergeCell ref="QVF6:QVH6"/>
    <mergeCell ref="QVI6:QVK6"/>
    <mergeCell ref="QUB6:QUD6"/>
    <mergeCell ref="QUE6:QUG6"/>
    <mergeCell ref="QUH6:QUJ6"/>
    <mergeCell ref="QUK6:QUM6"/>
    <mergeCell ref="QUN6:QUP6"/>
    <mergeCell ref="QUQ6:QUS6"/>
    <mergeCell ref="RBR6:RBT6"/>
    <mergeCell ref="RBU6:RBW6"/>
    <mergeCell ref="RBX6:RBZ6"/>
    <mergeCell ref="RCA6:RCC6"/>
    <mergeCell ref="RCD6:RCF6"/>
    <mergeCell ref="RCG6:RCI6"/>
    <mergeCell ref="RAZ6:RBB6"/>
    <mergeCell ref="RBC6:RBE6"/>
    <mergeCell ref="RBF6:RBH6"/>
    <mergeCell ref="RBI6:RBK6"/>
    <mergeCell ref="RBL6:RBN6"/>
    <mergeCell ref="RBO6:RBQ6"/>
    <mergeCell ref="RAH6:RAJ6"/>
    <mergeCell ref="RAK6:RAM6"/>
    <mergeCell ref="RAN6:RAP6"/>
    <mergeCell ref="RAQ6:RAS6"/>
    <mergeCell ref="RAT6:RAV6"/>
    <mergeCell ref="RAW6:RAY6"/>
    <mergeCell ref="QZP6:QZR6"/>
    <mergeCell ref="QZS6:QZU6"/>
    <mergeCell ref="QZV6:QZX6"/>
    <mergeCell ref="QZY6:RAA6"/>
    <mergeCell ref="RAB6:RAD6"/>
    <mergeCell ref="RAE6:RAG6"/>
    <mergeCell ref="QYX6:QYZ6"/>
    <mergeCell ref="QZA6:QZC6"/>
    <mergeCell ref="QZD6:QZF6"/>
    <mergeCell ref="QZG6:QZI6"/>
    <mergeCell ref="QZJ6:QZL6"/>
    <mergeCell ref="QZM6:QZO6"/>
    <mergeCell ref="QYF6:QYH6"/>
    <mergeCell ref="QYI6:QYK6"/>
    <mergeCell ref="QYL6:QYN6"/>
    <mergeCell ref="QYO6:QYQ6"/>
    <mergeCell ref="QYR6:QYT6"/>
    <mergeCell ref="QYU6:QYW6"/>
    <mergeCell ref="RFV6:RFX6"/>
    <mergeCell ref="RFY6:RGA6"/>
    <mergeCell ref="RGB6:RGD6"/>
    <mergeCell ref="RGE6:RGG6"/>
    <mergeCell ref="RGH6:RGJ6"/>
    <mergeCell ref="RGK6:RGM6"/>
    <mergeCell ref="RFD6:RFF6"/>
    <mergeCell ref="RFG6:RFI6"/>
    <mergeCell ref="RFJ6:RFL6"/>
    <mergeCell ref="RFM6:RFO6"/>
    <mergeCell ref="RFP6:RFR6"/>
    <mergeCell ref="RFS6:RFU6"/>
    <mergeCell ref="REL6:REN6"/>
    <mergeCell ref="REO6:REQ6"/>
    <mergeCell ref="RER6:RET6"/>
    <mergeCell ref="REU6:REW6"/>
    <mergeCell ref="REX6:REZ6"/>
    <mergeCell ref="RFA6:RFC6"/>
    <mergeCell ref="RDT6:RDV6"/>
    <mergeCell ref="RDW6:RDY6"/>
    <mergeCell ref="RDZ6:REB6"/>
    <mergeCell ref="REC6:REE6"/>
    <mergeCell ref="REF6:REH6"/>
    <mergeCell ref="REI6:REK6"/>
    <mergeCell ref="RDB6:RDD6"/>
    <mergeCell ref="RDE6:RDG6"/>
    <mergeCell ref="RDH6:RDJ6"/>
    <mergeCell ref="RDK6:RDM6"/>
    <mergeCell ref="RDN6:RDP6"/>
    <mergeCell ref="RDQ6:RDS6"/>
    <mergeCell ref="RCJ6:RCL6"/>
    <mergeCell ref="RCM6:RCO6"/>
    <mergeCell ref="RCP6:RCR6"/>
    <mergeCell ref="RCS6:RCU6"/>
    <mergeCell ref="RCV6:RCX6"/>
    <mergeCell ref="RCY6:RDA6"/>
    <mergeCell ref="RJZ6:RKB6"/>
    <mergeCell ref="RKC6:RKE6"/>
    <mergeCell ref="RKF6:RKH6"/>
    <mergeCell ref="RKI6:RKK6"/>
    <mergeCell ref="RKL6:RKN6"/>
    <mergeCell ref="RKO6:RKQ6"/>
    <mergeCell ref="RJH6:RJJ6"/>
    <mergeCell ref="RJK6:RJM6"/>
    <mergeCell ref="RJN6:RJP6"/>
    <mergeCell ref="RJQ6:RJS6"/>
    <mergeCell ref="RJT6:RJV6"/>
    <mergeCell ref="RJW6:RJY6"/>
    <mergeCell ref="RIP6:RIR6"/>
    <mergeCell ref="RIS6:RIU6"/>
    <mergeCell ref="RIV6:RIX6"/>
    <mergeCell ref="RIY6:RJA6"/>
    <mergeCell ref="RJB6:RJD6"/>
    <mergeCell ref="RJE6:RJG6"/>
    <mergeCell ref="RHX6:RHZ6"/>
    <mergeCell ref="RIA6:RIC6"/>
    <mergeCell ref="RID6:RIF6"/>
    <mergeCell ref="RIG6:RII6"/>
    <mergeCell ref="RIJ6:RIL6"/>
    <mergeCell ref="RIM6:RIO6"/>
    <mergeCell ref="RHF6:RHH6"/>
    <mergeCell ref="RHI6:RHK6"/>
    <mergeCell ref="RHL6:RHN6"/>
    <mergeCell ref="RHO6:RHQ6"/>
    <mergeCell ref="RHR6:RHT6"/>
    <mergeCell ref="RHU6:RHW6"/>
    <mergeCell ref="RGN6:RGP6"/>
    <mergeCell ref="RGQ6:RGS6"/>
    <mergeCell ref="RGT6:RGV6"/>
    <mergeCell ref="RGW6:RGY6"/>
    <mergeCell ref="RGZ6:RHB6"/>
    <mergeCell ref="RHC6:RHE6"/>
    <mergeCell ref="ROD6:ROF6"/>
    <mergeCell ref="ROG6:ROI6"/>
    <mergeCell ref="ROJ6:ROL6"/>
    <mergeCell ref="ROM6:ROO6"/>
    <mergeCell ref="ROP6:ROR6"/>
    <mergeCell ref="ROS6:ROU6"/>
    <mergeCell ref="RNL6:RNN6"/>
    <mergeCell ref="RNO6:RNQ6"/>
    <mergeCell ref="RNR6:RNT6"/>
    <mergeCell ref="RNU6:RNW6"/>
    <mergeCell ref="RNX6:RNZ6"/>
    <mergeCell ref="ROA6:ROC6"/>
    <mergeCell ref="RMT6:RMV6"/>
    <mergeCell ref="RMW6:RMY6"/>
    <mergeCell ref="RMZ6:RNB6"/>
    <mergeCell ref="RNC6:RNE6"/>
    <mergeCell ref="RNF6:RNH6"/>
    <mergeCell ref="RNI6:RNK6"/>
    <mergeCell ref="RMB6:RMD6"/>
    <mergeCell ref="RME6:RMG6"/>
    <mergeCell ref="RMH6:RMJ6"/>
    <mergeCell ref="RMK6:RMM6"/>
    <mergeCell ref="RMN6:RMP6"/>
    <mergeCell ref="RMQ6:RMS6"/>
    <mergeCell ref="RLJ6:RLL6"/>
    <mergeCell ref="RLM6:RLO6"/>
    <mergeCell ref="RLP6:RLR6"/>
    <mergeCell ref="RLS6:RLU6"/>
    <mergeCell ref="RLV6:RLX6"/>
    <mergeCell ref="RLY6:RMA6"/>
    <mergeCell ref="RKR6:RKT6"/>
    <mergeCell ref="RKU6:RKW6"/>
    <mergeCell ref="RKX6:RKZ6"/>
    <mergeCell ref="RLA6:RLC6"/>
    <mergeCell ref="RLD6:RLF6"/>
    <mergeCell ref="RLG6:RLI6"/>
    <mergeCell ref="RSH6:RSJ6"/>
    <mergeCell ref="RSK6:RSM6"/>
    <mergeCell ref="RSN6:RSP6"/>
    <mergeCell ref="RSQ6:RSS6"/>
    <mergeCell ref="RST6:RSV6"/>
    <mergeCell ref="RSW6:RSY6"/>
    <mergeCell ref="RRP6:RRR6"/>
    <mergeCell ref="RRS6:RRU6"/>
    <mergeCell ref="RRV6:RRX6"/>
    <mergeCell ref="RRY6:RSA6"/>
    <mergeCell ref="RSB6:RSD6"/>
    <mergeCell ref="RSE6:RSG6"/>
    <mergeCell ref="RQX6:RQZ6"/>
    <mergeCell ref="RRA6:RRC6"/>
    <mergeCell ref="RRD6:RRF6"/>
    <mergeCell ref="RRG6:RRI6"/>
    <mergeCell ref="RRJ6:RRL6"/>
    <mergeCell ref="RRM6:RRO6"/>
    <mergeCell ref="RQF6:RQH6"/>
    <mergeCell ref="RQI6:RQK6"/>
    <mergeCell ref="RQL6:RQN6"/>
    <mergeCell ref="RQO6:RQQ6"/>
    <mergeCell ref="RQR6:RQT6"/>
    <mergeCell ref="RQU6:RQW6"/>
    <mergeCell ref="RPN6:RPP6"/>
    <mergeCell ref="RPQ6:RPS6"/>
    <mergeCell ref="RPT6:RPV6"/>
    <mergeCell ref="RPW6:RPY6"/>
    <mergeCell ref="RPZ6:RQB6"/>
    <mergeCell ref="RQC6:RQE6"/>
    <mergeCell ref="ROV6:ROX6"/>
    <mergeCell ref="ROY6:RPA6"/>
    <mergeCell ref="RPB6:RPD6"/>
    <mergeCell ref="RPE6:RPG6"/>
    <mergeCell ref="RPH6:RPJ6"/>
    <mergeCell ref="RPK6:RPM6"/>
    <mergeCell ref="RWL6:RWN6"/>
    <mergeCell ref="RWO6:RWQ6"/>
    <mergeCell ref="RWR6:RWT6"/>
    <mergeCell ref="RWU6:RWW6"/>
    <mergeCell ref="RWX6:RWZ6"/>
    <mergeCell ref="RXA6:RXC6"/>
    <mergeCell ref="RVT6:RVV6"/>
    <mergeCell ref="RVW6:RVY6"/>
    <mergeCell ref="RVZ6:RWB6"/>
    <mergeCell ref="RWC6:RWE6"/>
    <mergeCell ref="RWF6:RWH6"/>
    <mergeCell ref="RWI6:RWK6"/>
    <mergeCell ref="RVB6:RVD6"/>
    <mergeCell ref="RVE6:RVG6"/>
    <mergeCell ref="RVH6:RVJ6"/>
    <mergeCell ref="RVK6:RVM6"/>
    <mergeCell ref="RVN6:RVP6"/>
    <mergeCell ref="RVQ6:RVS6"/>
    <mergeCell ref="RUJ6:RUL6"/>
    <mergeCell ref="RUM6:RUO6"/>
    <mergeCell ref="RUP6:RUR6"/>
    <mergeCell ref="RUS6:RUU6"/>
    <mergeCell ref="RUV6:RUX6"/>
    <mergeCell ref="RUY6:RVA6"/>
    <mergeCell ref="RTR6:RTT6"/>
    <mergeCell ref="RTU6:RTW6"/>
    <mergeCell ref="RTX6:RTZ6"/>
    <mergeCell ref="RUA6:RUC6"/>
    <mergeCell ref="RUD6:RUF6"/>
    <mergeCell ref="RUG6:RUI6"/>
    <mergeCell ref="RSZ6:RTB6"/>
    <mergeCell ref="RTC6:RTE6"/>
    <mergeCell ref="RTF6:RTH6"/>
    <mergeCell ref="RTI6:RTK6"/>
    <mergeCell ref="RTL6:RTN6"/>
    <mergeCell ref="RTO6:RTQ6"/>
    <mergeCell ref="SAP6:SAR6"/>
    <mergeCell ref="SAS6:SAU6"/>
    <mergeCell ref="SAV6:SAX6"/>
    <mergeCell ref="SAY6:SBA6"/>
    <mergeCell ref="SBB6:SBD6"/>
    <mergeCell ref="SBE6:SBG6"/>
    <mergeCell ref="RZX6:RZZ6"/>
    <mergeCell ref="SAA6:SAC6"/>
    <mergeCell ref="SAD6:SAF6"/>
    <mergeCell ref="SAG6:SAI6"/>
    <mergeCell ref="SAJ6:SAL6"/>
    <mergeCell ref="SAM6:SAO6"/>
    <mergeCell ref="RZF6:RZH6"/>
    <mergeCell ref="RZI6:RZK6"/>
    <mergeCell ref="RZL6:RZN6"/>
    <mergeCell ref="RZO6:RZQ6"/>
    <mergeCell ref="RZR6:RZT6"/>
    <mergeCell ref="RZU6:RZW6"/>
    <mergeCell ref="RYN6:RYP6"/>
    <mergeCell ref="RYQ6:RYS6"/>
    <mergeCell ref="RYT6:RYV6"/>
    <mergeCell ref="RYW6:RYY6"/>
    <mergeCell ref="RYZ6:RZB6"/>
    <mergeCell ref="RZC6:RZE6"/>
    <mergeCell ref="RXV6:RXX6"/>
    <mergeCell ref="RXY6:RYA6"/>
    <mergeCell ref="RYB6:RYD6"/>
    <mergeCell ref="RYE6:RYG6"/>
    <mergeCell ref="RYH6:RYJ6"/>
    <mergeCell ref="RYK6:RYM6"/>
    <mergeCell ref="RXD6:RXF6"/>
    <mergeCell ref="RXG6:RXI6"/>
    <mergeCell ref="RXJ6:RXL6"/>
    <mergeCell ref="RXM6:RXO6"/>
    <mergeCell ref="RXP6:RXR6"/>
    <mergeCell ref="RXS6:RXU6"/>
    <mergeCell ref="SET6:SEV6"/>
    <mergeCell ref="SEW6:SEY6"/>
    <mergeCell ref="SEZ6:SFB6"/>
    <mergeCell ref="SFC6:SFE6"/>
    <mergeCell ref="SFF6:SFH6"/>
    <mergeCell ref="SFI6:SFK6"/>
    <mergeCell ref="SEB6:SED6"/>
    <mergeCell ref="SEE6:SEG6"/>
    <mergeCell ref="SEH6:SEJ6"/>
    <mergeCell ref="SEK6:SEM6"/>
    <mergeCell ref="SEN6:SEP6"/>
    <mergeCell ref="SEQ6:SES6"/>
    <mergeCell ref="SDJ6:SDL6"/>
    <mergeCell ref="SDM6:SDO6"/>
    <mergeCell ref="SDP6:SDR6"/>
    <mergeCell ref="SDS6:SDU6"/>
    <mergeCell ref="SDV6:SDX6"/>
    <mergeCell ref="SDY6:SEA6"/>
    <mergeCell ref="SCR6:SCT6"/>
    <mergeCell ref="SCU6:SCW6"/>
    <mergeCell ref="SCX6:SCZ6"/>
    <mergeCell ref="SDA6:SDC6"/>
    <mergeCell ref="SDD6:SDF6"/>
    <mergeCell ref="SDG6:SDI6"/>
    <mergeCell ref="SBZ6:SCB6"/>
    <mergeCell ref="SCC6:SCE6"/>
    <mergeCell ref="SCF6:SCH6"/>
    <mergeCell ref="SCI6:SCK6"/>
    <mergeCell ref="SCL6:SCN6"/>
    <mergeCell ref="SCO6:SCQ6"/>
    <mergeCell ref="SBH6:SBJ6"/>
    <mergeCell ref="SBK6:SBM6"/>
    <mergeCell ref="SBN6:SBP6"/>
    <mergeCell ref="SBQ6:SBS6"/>
    <mergeCell ref="SBT6:SBV6"/>
    <mergeCell ref="SBW6:SBY6"/>
    <mergeCell ref="SIX6:SIZ6"/>
    <mergeCell ref="SJA6:SJC6"/>
    <mergeCell ref="SJD6:SJF6"/>
    <mergeCell ref="SJG6:SJI6"/>
    <mergeCell ref="SJJ6:SJL6"/>
    <mergeCell ref="SJM6:SJO6"/>
    <mergeCell ref="SIF6:SIH6"/>
    <mergeCell ref="SII6:SIK6"/>
    <mergeCell ref="SIL6:SIN6"/>
    <mergeCell ref="SIO6:SIQ6"/>
    <mergeCell ref="SIR6:SIT6"/>
    <mergeCell ref="SIU6:SIW6"/>
    <mergeCell ref="SHN6:SHP6"/>
    <mergeCell ref="SHQ6:SHS6"/>
    <mergeCell ref="SHT6:SHV6"/>
    <mergeCell ref="SHW6:SHY6"/>
    <mergeCell ref="SHZ6:SIB6"/>
    <mergeCell ref="SIC6:SIE6"/>
    <mergeCell ref="SGV6:SGX6"/>
    <mergeCell ref="SGY6:SHA6"/>
    <mergeCell ref="SHB6:SHD6"/>
    <mergeCell ref="SHE6:SHG6"/>
    <mergeCell ref="SHH6:SHJ6"/>
    <mergeCell ref="SHK6:SHM6"/>
    <mergeCell ref="SGD6:SGF6"/>
    <mergeCell ref="SGG6:SGI6"/>
    <mergeCell ref="SGJ6:SGL6"/>
    <mergeCell ref="SGM6:SGO6"/>
    <mergeCell ref="SGP6:SGR6"/>
    <mergeCell ref="SGS6:SGU6"/>
    <mergeCell ref="SFL6:SFN6"/>
    <mergeCell ref="SFO6:SFQ6"/>
    <mergeCell ref="SFR6:SFT6"/>
    <mergeCell ref="SFU6:SFW6"/>
    <mergeCell ref="SFX6:SFZ6"/>
    <mergeCell ref="SGA6:SGC6"/>
    <mergeCell ref="SNB6:SND6"/>
    <mergeCell ref="SNE6:SNG6"/>
    <mergeCell ref="SNH6:SNJ6"/>
    <mergeCell ref="SNK6:SNM6"/>
    <mergeCell ref="SNN6:SNP6"/>
    <mergeCell ref="SNQ6:SNS6"/>
    <mergeCell ref="SMJ6:SML6"/>
    <mergeCell ref="SMM6:SMO6"/>
    <mergeCell ref="SMP6:SMR6"/>
    <mergeCell ref="SMS6:SMU6"/>
    <mergeCell ref="SMV6:SMX6"/>
    <mergeCell ref="SMY6:SNA6"/>
    <mergeCell ref="SLR6:SLT6"/>
    <mergeCell ref="SLU6:SLW6"/>
    <mergeCell ref="SLX6:SLZ6"/>
    <mergeCell ref="SMA6:SMC6"/>
    <mergeCell ref="SMD6:SMF6"/>
    <mergeCell ref="SMG6:SMI6"/>
    <mergeCell ref="SKZ6:SLB6"/>
    <mergeCell ref="SLC6:SLE6"/>
    <mergeCell ref="SLF6:SLH6"/>
    <mergeCell ref="SLI6:SLK6"/>
    <mergeCell ref="SLL6:SLN6"/>
    <mergeCell ref="SLO6:SLQ6"/>
    <mergeCell ref="SKH6:SKJ6"/>
    <mergeCell ref="SKK6:SKM6"/>
    <mergeCell ref="SKN6:SKP6"/>
    <mergeCell ref="SKQ6:SKS6"/>
    <mergeCell ref="SKT6:SKV6"/>
    <mergeCell ref="SKW6:SKY6"/>
    <mergeCell ref="SJP6:SJR6"/>
    <mergeCell ref="SJS6:SJU6"/>
    <mergeCell ref="SJV6:SJX6"/>
    <mergeCell ref="SJY6:SKA6"/>
    <mergeCell ref="SKB6:SKD6"/>
    <mergeCell ref="SKE6:SKG6"/>
    <mergeCell ref="SRF6:SRH6"/>
    <mergeCell ref="SRI6:SRK6"/>
    <mergeCell ref="SRL6:SRN6"/>
    <mergeCell ref="SRO6:SRQ6"/>
    <mergeCell ref="SRR6:SRT6"/>
    <mergeCell ref="SRU6:SRW6"/>
    <mergeCell ref="SQN6:SQP6"/>
    <mergeCell ref="SQQ6:SQS6"/>
    <mergeCell ref="SQT6:SQV6"/>
    <mergeCell ref="SQW6:SQY6"/>
    <mergeCell ref="SQZ6:SRB6"/>
    <mergeCell ref="SRC6:SRE6"/>
    <mergeCell ref="SPV6:SPX6"/>
    <mergeCell ref="SPY6:SQA6"/>
    <mergeCell ref="SQB6:SQD6"/>
    <mergeCell ref="SQE6:SQG6"/>
    <mergeCell ref="SQH6:SQJ6"/>
    <mergeCell ref="SQK6:SQM6"/>
    <mergeCell ref="SPD6:SPF6"/>
    <mergeCell ref="SPG6:SPI6"/>
    <mergeCell ref="SPJ6:SPL6"/>
    <mergeCell ref="SPM6:SPO6"/>
    <mergeCell ref="SPP6:SPR6"/>
    <mergeCell ref="SPS6:SPU6"/>
    <mergeCell ref="SOL6:SON6"/>
    <mergeCell ref="SOO6:SOQ6"/>
    <mergeCell ref="SOR6:SOT6"/>
    <mergeCell ref="SOU6:SOW6"/>
    <mergeCell ref="SOX6:SOZ6"/>
    <mergeCell ref="SPA6:SPC6"/>
    <mergeCell ref="SNT6:SNV6"/>
    <mergeCell ref="SNW6:SNY6"/>
    <mergeCell ref="SNZ6:SOB6"/>
    <mergeCell ref="SOC6:SOE6"/>
    <mergeCell ref="SOF6:SOH6"/>
    <mergeCell ref="SOI6:SOK6"/>
    <mergeCell ref="SVJ6:SVL6"/>
    <mergeCell ref="SVM6:SVO6"/>
    <mergeCell ref="SVP6:SVR6"/>
    <mergeCell ref="SVS6:SVU6"/>
    <mergeCell ref="SVV6:SVX6"/>
    <mergeCell ref="SVY6:SWA6"/>
    <mergeCell ref="SUR6:SUT6"/>
    <mergeCell ref="SUU6:SUW6"/>
    <mergeCell ref="SUX6:SUZ6"/>
    <mergeCell ref="SVA6:SVC6"/>
    <mergeCell ref="SVD6:SVF6"/>
    <mergeCell ref="SVG6:SVI6"/>
    <mergeCell ref="STZ6:SUB6"/>
    <mergeCell ref="SUC6:SUE6"/>
    <mergeCell ref="SUF6:SUH6"/>
    <mergeCell ref="SUI6:SUK6"/>
    <mergeCell ref="SUL6:SUN6"/>
    <mergeCell ref="SUO6:SUQ6"/>
    <mergeCell ref="STH6:STJ6"/>
    <mergeCell ref="STK6:STM6"/>
    <mergeCell ref="STN6:STP6"/>
    <mergeCell ref="STQ6:STS6"/>
    <mergeCell ref="STT6:STV6"/>
    <mergeCell ref="STW6:STY6"/>
    <mergeCell ref="SSP6:SSR6"/>
    <mergeCell ref="SSS6:SSU6"/>
    <mergeCell ref="SSV6:SSX6"/>
    <mergeCell ref="SSY6:STA6"/>
    <mergeCell ref="STB6:STD6"/>
    <mergeCell ref="STE6:STG6"/>
    <mergeCell ref="SRX6:SRZ6"/>
    <mergeCell ref="SSA6:SSC6"/>
    <mergeCell ref="SSD6:SSF6"/>
    <mergeCell ref="SSG6:SSI6"/>
    <mergeCell ref="SSJ6:SSL6"/>
    <mergeCell ref="SSM6:SSO6"/>
    <mergeCell ref="SZN6:SZP6"/>
    <mergeCell ref="SZQ6:SZS6"/>
    <mergeCell ref="SZT6:SZV6"/>
    <mergeCell ref="SZW6:SZY6"/>
    <mergeCell ref="SZZ6:TAB6"/>
    <mergeCell ref="TAC6:TAE6"/>
    <mergeCell ref="SYV6:SYX6"/>
    <mergeCell ref="SYY6:SZA6"/>
    <mergeCell ref="SZB6:SZD6"/>
    <mergeCell ref="SZE6:SZG6"/>
    <mergeCell ref="SZH6:SZJ6"/>
    <mergeCell ref="SZK6:SZM6"/>
    <mergeCell ref="SYD6:SYF6"/>
    <mergeCell ref="SYG6:SYI6"/>
    <mergeCell ref="SYJ6:SYL6"/>
    <mergeCell ref="SYM6:SYO6"/>
    <mergeCell ref="SYP6:SYR6"/>
    <mergeCell ref="SYS6:SYU6"/>
    <mergeCell ref="SXL6:SXN6"/>
    <mergeCell ref="SXO6:SXQ6"/>
    <mergeCell ref="SXR6:SXT6"/>
    <mergeCell ref="SXU6:SXW6"/>
    <mergeCell ref="SXX6:SXZ6"/>
    <mergeCell ref="SYA6:SYC6"/>
    <mergeCell ref="SWT6:SWV6"/>
    <mergeCell ref="SWW6:SWY6"/>
    <mergeCell ref="SWZ6:SXB6"/>
    <mergeCell ref="SXC6:SXE6"/>
    <mergeCell ref="SXF6:SXH6"/>
    <mergeCell ref="SXI6:SXK6"/>
    <mergeCell ref="SWB6:SWD6"/>
    <mergeCell ref="SWE6:SWG6"/>
    <mergeCell ref="SWH6:SWJ6"/>
    <mergeCell ref="SWK6:SWM6"/>
    <mergeCell ref="SWN6:SWP6"/>
    <mergeCell ref="SWQ6:SWS6"/>
    <mergeCell ref="TDR6:TDT6"/>
    <mergeCell ref="TDU6:TDW6"/>
    <mergeCell ref="TDX6:TDZ6"/>
    <mergeCell ref="TEA6:TEC6"/>
    <mergeCell ref="TED6:TEF6"/>
    <mergeCell ref="TEG6:TEI6"/>
    <mergeCell ref="TCZ6:TDB6"/>
    <mergeCell ref="TDC6:TDE6"/>
    <mergeCell ref="TDF6:TDH6"/>
    <mergeCell ref="TDI6:TDK6"/>
    <mergeCell ref="TDL6:TDN6"/>
    <mergeCell ref="TDO6:TDQ6"/>
    <mergeCell ref="TCH6:TCJ6"/>
    <mergeCell ref="TCK6:TCM6"/>
    <mergeCell ref="TCN6:TCP6"/>
    <mergeCell ref="TCQ6:TCS6"/>
    <mergeCell ref="TCT6:TCV6"/>
    <mergeCell ref="TCW6:TCY6"/>
    <mergeCell ref="TBP6:TBR6"/>
    <mergeCell ref="TBS6:TBU6"/>
    <mergeCell ref="TBV6:TBX6"/>
    <mergeCell ref="TBY6:TCA6"/>
    <mergeCell ref="TCB6:TCD6"/>
    <mergeCell ref="TCE6:TCG6"/>
    <mergeCell ref="TAX6:TAZ6"/>
    <mergeCell ref="TBA6:TBC6"/>
    <mergeCell ref="TBD6:TBF6"/>
    <mergeCell ref="TBG6:TBI6"/>
    <mergeCell ref="TBJ6:TBL6"/>
    <mergeCell ref="TBM6:TBO6"/>
    <mergeCell ref="TAF6:TAH6"/>
    <mergeCell ref="TAI6:TAK6"/>
    <mergeCell ref="TAL6:TAN6"/>
    <mergeCell ref="TAO6:TAQ6"/>
    <mergeCell ref="TAR6:TAT6"/>
    <mergeCell ref="TAU6:TAW6"/>
    <mergeCell ref="THV6:THX6"/>
    <mergeCell ref="THY6:TIA6"/>
    <mergeCell ref="TIB6:TID6"/>
    <mergeCell ref="TIE6:TIG6"/>
    <mergeCell ref="TIH6:TIJ6"/>
    <mergeCell ref="TIK6:TIM6"/>
    <mergeCell ref="THD6:THF6"/>
    <mergeCell ref="THG6:THI6"/>
    <mergeCell ref="THJ6:THL6"/>
    <mergeCell ref="THM6:THO6"/>
    <mergeCell ref="THP6:THR6"/>
    <mergeCell ref="THS6:THU6"/>
    <mergeCell ref="TGL6:TGN6"/>
    <mergeCell ref="TGO6:TGQ6"/>
    <mergeCell ref="TGR6:TGT6"/>
    <mergeCell ref="TGU6:TGW6"/>
    <mergeCell ref="TGX6:TGZ6"/>
    <mergeCell ref="THA6:THC6"/>
    <mergeCell ref="TFT6:TFV6"/>
    <mergeCell ref="TFW6:TFY6"/>
    <mergeCell ref="TFZ6:TGB6"/>
    <mergeCell ref="TGC6:TGE6"/>
    <mergeCell ref="TGF6:TGH6"/>
    <mergeCell ref="TGI6:TGK6"/>
    <mergeCell ref="TFB6:TFD6"/>
    <mergeCell ref="TFE6:TFG6"/>
    <mergeCell ref="TFH6:TFJ6"/>
    <mergeCell ref="TFK6:TFM6"/>
    <mergeCell ref="TFN6:TFP6"/>
    <mergeCell ref="TFQ6:TFS6"/>
    <mergeCell ref="TEJ6:TEL6"/>
    <mergeCell ref="TEM6:TEO6"/>
    <mergeCell ref="TEP6:TER6"/>
    <mergeCell ref="TES6:TEU6"/>
    <mergeCell ref="TEV6:TEX6"/>
    <mergeCell ref="TEY6:TFA6"/>
    <mergeCell ref="TLZ6:TMB6"/>
    <mergeCell ref="TMC6:TME6"/>
    <mergeCell ref="TMF6:TMH6"/>
    <mergeCell ref="TMI6:TMK6"/>
    <mergeCell ref="TML6:TMN6"/>
    <mergeCell ref="TMO6:TMQ6"/>
    <mergeCell ref="TLH6:TLJ6"/>
    <mergeCell ref="TLK6:TLM6"/>
    <mergeCell ref="TLN6:TLP6"/>
    <mergeCell ref="TLQ6:TLS6"/>
    <mergeCell ref="TLT6:TLV6"/>
    <mergeCell ref="TLW6:TLY6"/>
    <mergeCell ref="TKP6:TKR6"/>
    <mergeCell ref="TKS6:TKU6"/>
    <mergeCell ref="TKV6:TKX6"/>
    <mergeCell ref="TKY6:TLA6"/>
    <mergeCell ref="TLB6:TLD6"/>
    <mergeCell ref="TLE6:TLG6"/>
    <mergeCell ref="TJX6:TJZ6"/>
    <mergeCell ref="TKA6:TKC6"/>
    <mergeCell ref="TKD6:TKF6"/>
    <mergeCell ref="TKG6:TKI6"/>
    <mergeCell ref="TKJ6:TKL6"/>
    <mergeCell ref="TKM6:TKO6"/>
    <mergeCell ref="TJF6:TJH6"/>
    <mergeCell ref="TJI6:TJK6"/>
    <mergeCell ref="TJL6:TJN6"/>
    <mergeCell ref="TJO6:TJQ6"/>
    <mergeCell ref="TJR6:TJT6"/>
    <mergeCell ref="TJU6:TJW6"/>
    <mergeCell ref="TIN6:TIP6"/>
    <mergeCell ref="TIQ6:TIS6"/>
    <mergeCell ref="TIT6:TIV6"/>
    <mergeCell ref="TIW6:TIY6"/>
    <mergeCell ref="TIZ6:TJB6"/>
    <mergeCell ref="TJC6:TJE6"/>
    <mergeCell ref="TQD6:TQF6"/>
    <mergeCell ref="TQG6:TQI6"/>
    <mergeCell ref="TQJ6:TQL6"/>
    <mergeCell ref="TQM6:TQO6"/>
    <mergeCell ref="TQP6:TQR6"/>
    <mergeCell ref="TQS6:TQU6"/>
    <mergeCell ref="TPL6:TPN6"/>
    <mergeCell ref="TPO6:TPQ6"/>
    <mergeCell ref="TPR6:TPT6"/>
    <mergeCell ref="TPU6:TPW6"/>
    <mergeCell ref="TPX6:TPZ6"/>
    <mergeCell ref="TQA6:TQC6"/>
    <mergeCell ref="TOT6:TOV6"/>
    <mergeCell ref="TOW6:TOY6"/>
    <mergeCell ref="TOZ6:TPB6"/>
    <mergeCell ref="TPC6:TPE6"/>
    <mergeCell ref="TPF6:TPH6"/>
    <mergeCell ref="TPI6:TPK6"/>
    <mergeCell ref="TOB6:TOD6"/>
    <mergeCell ref="TOE6:TOG6"/>
    <mergeCell ref="TOH6:TOJ6"/>
    <mergeCell ref="TOK6:TOM6"/>
    <mergeCell ref="TON6:TOP6"/>
    <mergeCell ref="TOQ6:TOS6"/>
    <mergeCell ref="TNJ6:TNL6"/>
    <mergeCell ref="TNM6:TNO6"/>
    <mergeCell ref="TNP6:TNR6"/>
    <mergeCell ref="TNS6:TNU6"/>
    <mergeCell ref="TNV6:TNX6"/>
    <mergeCell ref="TNY6:TOA6"/>
    <mergeCell ref="TMR6:TMT6"/>
    <mergeCell ref="TMU6:TMW6"/>
    <mergeCell ref="TMX6:TMZ6"/>
    <mergeCell ref="TNA6:TNC6"/>
    <mergeCell ref="TND6:TNF6"/>
    <mergeCell ref="TNG6:TNI6"/>
    <mergeCell ref="TUH6:TUJ6"/>
    <mergeCell ref="TUK6:TUM6"/>
    <mergeCell ref="TUN6:TUP6"/>
    <mergeCell ref="TUQ6:TUS6"/>
    <mergeCell ref="TUT6:TUV6"/>
    <mergeCell ref="TUW6:TUY6"/>
    <mergeCell ref="TTP6:TTR6"/>
    <mergeCell ref="TTS6:TTU6"/>
    <mergeCell ref="TTV6:TTX6"/>
    <mergeCell ref="TTY6:TUA6"/>
    <mergeCell ref="TUB6:TUD6"/>
    <mergeCell ref="TUE6:TUG6"/>
    <mergeCell ref="TSX6:TSZ6"/>
    <mergeCell ref="TTA6:TTC6"/>
    <mergeCell ref="TTD6:TTF6"/>
    <mergeCell ref="TTG6:TTI6"/>
    <mergeCell ref="TTJ6:TTL6"/>
    <mergeCell ref="TTM6:TTO6"/>
    <mergeCell ref="TSF6:TSH6"/>
    <mergeCell ref="TSI6:TSK6"/>
    <mergeCell ref="TSL6:TSN6"/>
    <mergeCell ref="TSO6:TSQ6"/>
    <mergeCell ref="TSR6:TST6"/>
    <mergeCell ref="TSU6:TSW6"/>
    <mergeCell ref="TRN6:TRP6"/>
    <mergeCell ref="TRQ6:TRS6"/>
    <mergeCell ref="TRT6:TRV6"/>
    <mergeCell ref="TRW6:TRY6"/>
    <mergeCell ref="TRZ6:TSB6"/>
    <mergeCell ref="TSC6:TSE6"/>
    <mergeCell ref="TQV6:TQX6"/>
    <mergeCell ref="TQY6:TRA6"/>
    <mergeCell ref="TRB6:TRD6"/>
    <mergeCell ref="TRE6:TRG6"/>
    <mergeCell ref="TRH6:TRJ6"/>
    <mergeCell ref="TRK6:TRM6"/>
    <mergeCell ref="TYL6:TYN6"/>
    <mergeCell ref="TYO6:TYQ6"/>
    <mergeCell ref="TYR6:TYT6"/>
    <mergeCell ref="TYU6:TYW6"/>
    <mergeCell ref="TYX6:TYZ6"/>
    <mergeCell ref="TZA6:TZC6"/>
    <mergeCell ref="TXT6:TXV6"/>
    <mergeCell ref="TXW6:TXY6"/>
    <mergeCell ref="TXZ6:TYB6"/>
    <mergeCell ref="TYC6:TYE6"/>
    <mergeCell ref="TYF6:TYH6"/>
    <mergeCell ref="TYI6:TYK6"/>
    <mergeCell ref="TXB6:TXD6"/>
    <mergeCell ref="TXE6:TXG6"/>
    <mergeCell ref="TXH6:TXJ6"/>
    <mergeCell ref="TXK6:TXM6"/>
    <mergeCell ref="TXN6:TXP6"/>
    <mergeCell ref="TXQ6:TXS6"/>
    <mergeCell ref="TWJ6:TWL6"/>
    <mergeCell ref="TWM6:TWO6"/>
    <mergeCell ref="TWP6:TWR6"/>
    <mergeCell ref="TWS6:TWU6"/>
    <mergeCell ref="TWV6:TWX6"/>
    <mergeCell ref="TWY6:TXA6"/>
    <mergeCell ref="TVR6:TVT6"/>
    <mergeCell ref="TVU6:TVW6"/>
    <mergeCell ref="TVX6:TVZ6"/>
    <mergeCell ref="TWA6:TWC6"/>
    <mergeCell ref="TWD6:TWF6"/>
    <mergeCell ref="TWG6:TWI6"/>
    <mergeCell ref="TUZ6:TVB6"/>
    <mergeCell ref="TVC6:TVE6"/>
    <mergeCell ref="TVF6:TVH6"/>
    <mergeCell ref="TVI6:TVK6"/>
    <mergeCell ref="TVL6:TVN6"/>
    <mergeCell ref="TVO6:TVQ6"/>
    <mergeCell ref="UCP6:UCR6"/>
    <mergeCell ref="UCS6:UCU6"/>
    <mergeCell ref="UCV6:UCX6"/>
    <mergeCell ref="UCY6:UDA6"/>
    <mergeCell ref="UDB6:UDD6"/>
    <mergeCell ref="UDE6:UDG6"/>
    <mergeCell ref="UBX6:UBZ6"/>
    <mergeCell ref="UCA6:UCC6"/>
    <mergeCell ref="UCD6:UCF6"/>
    <mergeCell ref="UCG6:UCI6"/>
    <mergeCell ref="UCJ6:UCL6"/>
    <mergeCell ref="UCM6:UCO6"/>
    <mergeCell ref="UBF6:UBH6"/>
    <mergeCell ref="UBI6:UBK6"/>
    <mergeCell ref="UBL6:UBN6"/>
    <mergeCell ref="UBO6:UBQ6"/>
    <mergeCell ref="UBR6:UBT6"/>
    <mergeCell ref="UBU6:UBW6"/>
    <mergeCell ref="UAN6:UAP6"/>
    <mergeCell ref="UAQ6:UAS6"/>
    <mergeCell ref="UAT6:UAV6"/>
    <mergeCell ref="UAW6:UAY6"/>
    <mergeCell ref="UAZ6:UBB6"/>
    <mergeCell ref="UBC6:UBE6"/>
    <mergeCell ref="TZV6:TZX6"/>
    <mergeCell ref="TZY6:UAA6"/>
    <mergeCell ref="UAB6:UAD6"/>
    <mergeCell ref="UAE6:UAG6"/>
    <mergeCell ref="UAH6:UAJ6"/>
    <mergeCell ref="UAK6:UAM6"/>
    <mergeCell ref="TZD6:TZF6"/>
    <mergeCell ref="TZG6:TZI6"/>
    <mergeCell ref="TZJ6:TZL6"/>
    <mergeCell ref="TZM6:TZO6"/>
    <mergeCell ref="TZP6:TZR6"/>
    <mergeCell ref="TZS6:TZU6"/>
    <mergeCell ref="UGT6:UGV6"/>
    <mergeCell ref="UGW6:UGY6"/>
    <mergeCell ref="UGZ6:UHB6"/>
    <mergeCell ref="UHC6:UHE6"/>
    <mergeCell ref="UHF6:UHH6"/>
    <mergeCell ref="UHI6:UHK6"/>
    <mergeCell ref="UGB6:UGD6"/>
    <mergeCell ref="UGE6:UGG6"/>
    <mergeCell ref="UGH6:UGJ6"/>
    <mergeCell ref="UGK6:UGM6"/>
    <mergeCell ref="UGN6:UGP6"/>
    <mergeCell ref="UGQ6:UGS6"/>
    <mergeCell ref="UFJ6:UFL6"/>
    <mergeCell ref="UFM6:UFO6"/>
    <mergeCell ref="UFP6:UFR6"/>
    <mergeCell ref="UFS6:UFU6"/>
    <mergeCell ref="UFV6:UFX6"/>
    <mergeCell ref="UFY6:UGA6"/>
    <mergeCell ref="UER6:UET6"/>
    <mergeCell ref="UEU6:UEW6"/>
    <mergeCell ref="UEX6:UEZ6"/>
    <mergeCell ref="UFA6:UFC6"/>
    <mergeCell ref="UFD6:UFF6"/>
    <mergeCell ref="UFG6:UFI6"/>
    <mergeCell ref="UDZ6:UEB6"/>
    <mergeCell ref="UEC6:UEE6"/>
    <mergeCell ref="UEF6:UEH6"/>
    <mergeCell ref="UEI6:UEK6"/>
    <mergeCell ref="UEL6:UEN6"/>
    <mergeCell ref="UEO6:UEQ6"/>
    <mergeCell ref="UDH6:UDJ6"/>
    <mergeCell ref="UDK6:UDM6"/>
    <mergeCell ref="UDN6:UDP6"/>
    <mergeCell ref="UDQ6:UDS6"/>
    <mergeCell ref="UDT6:UDV6"/>
    <mergeCell ref="UDW6:UDY6"/>
    <mergeCell ref="UKX6:UKZ6"/>
    <mergeCell ref="ULA6:ULC6"/>
    <mergeCell ref="ULD6:ULF6"/>
    <mergeCell ref="ULG6:ULI6"/>
    <mergeCell ref="ULJ6:ULL6"/>
    <mergeCell ref="ULM6:ULO6"/>
    <mergeCell ref="UKF6:UKH6"/>
    <mergeCell ref="UKI6:UKK6"/>
    <mergeCell ref="UKL6:UKN6"/>
    <mergeCell ref="UKO6:UKQ6"/>
    <mergeCell ref="UKR6:UKT6"/>
    <mergeCell ref="UKU6:UKW6"/>
    <mergeCell ref="UJN6:UJP6"/>
    <mergeCell ref="UJQ6:UJS6"/>
    <mergeCell ref="UJT6:UJV6"/>
    <mergeCell ref="UJW6:UJY6"/>
    <mergeCell ref="UJZ6:UKB6"/>
    <mergeCell ref="UKC6:UKE6"/>
    <mergeCell ref="UIV6:UIX6"/>
    <mergeCell ref="UIY6:UJA6"/>
    <mergeCell ref="UJB6:UJD6"/>
    <mergeCell ref="UJE6:UJG6"/>
    <mergeCell ref="UJH6:UJJ6"/>
    <mergeCell ref="UJK6:UJM6"/>
    <mergeCell ref="UID6:UIF6"/>
    <mergeCell ref="UIG6:UII6"/>
    <mergeCell ref="UIJ6:UIL6"/>
    <mergeCell ref="UIM6:UIO6"/>
    <mergeCell ref="UIP6:UIR6"/>
    <mergeCell ref="UIS6:UIU6"/>
    <mergeCell ref="UHL6:UHN6"/>
    <mergeCell ref="UHO6:UHQ6"/>
    <mergeCell ref="UHR6:UHT6"/>
    <mergeCell ref="UHU6:UHW6"/>
    <mergeCell ref="UHX6:UHZ6"/>
    <mergeCell ref="UIA6:UIC6"/>
    <mergeCell ref="UPB6:UPD6"/>
    <mergeCell ref="UPE6:UPG6"/>
    <mergeCell ref="UPH6:UPJ6"/>
    <mergeCell ref="UPK6:UPM6"/>
    <mergeCell ref="UPN6:UPP6"/>
    <mergeCell ref="UPQ6:UPS6"/>
    <mergeCell ref="UOJ6:UOL6"/>
    <mergeCell ref="UOM6:UOO6"/>
    <mergeCell ref="UOP6:UOR6"/>
    <mergeCell ref="UOS6:UOU6"/>
    <mergeCell ref="UOV6:UOX6"/>
    <mergeCell ref="UOY6:UPA6"/>
    <mergeCell ref="UNR6:UNT6"/>
    <mergeCell ref="UNU6:UNW6"/>
    <mergeCell ref="UNX6:UNZ6"/>
    <mergeCell ref="UOA6:UOC6"/>
    <mergeCell ref="UOD6:UOF6"/>
    <mergeCell ref="UOG6:UOI6"/>
    <mergeCell ref="UMZ6:UNB6"/>
    <mergeCell ref="UNC6:UNE6"/>
    <mergeCell ref="UNF6:UNH6"/>
    <mergeCell ref="UNI6:UNK6"/>
    <mergeCell ref="UNL6:UNN6"/>
    <mergeCell ref="UNO6:UNQ6"/>
    <mergeCell ref="UMH6:UMJ6"/>
    <mergeCell ref="UMK6:UMM6"/>
    <mergeCell ref="UMN6:UMP6"/>
    <mergeCell ref="UMQ6:UMS6"/>
    <mergeCell ref="UMT6:UMV6"/>
    <mergeCell ref="UMW6:UMY6"/>
    <mergeCell ref="ULP6:ULR6"/>
    <mergeCell ref="ULS6:ULU6"/>
    <mergeCell ref="ULV6:ULX6"/>
    <mergeCell ref="ULY6:UMA6"/>
    <mergeCell ref="UMB6:UMD6"/>
    <mergeCell ref="UME6:UMG6"/>
    <mergeCell ref="UTF6:UTH6"/>
    <mergeCell ref="UTI6:UTK6"/>
    <mergeCell ref="UTL6:UTN6"/>
    <mergeCell ref="UTO6:UTQ6"/>
    <mergeCell ref="UTR6:UTT6"/>
    <mergeCell ref="UTU6:UTW6"/>
    <mergeCell ref="USN6:USP6"/>
    <mergeCell ref="USQ6:USS6"/>
    <mergeCell ref="UST6:USV6"/>
    <mergeCell ref="USW6:USY6"/>
    <mergeCell ref="USZ6:UTB6"/>
    <mergeCell ref="UTC6:UTE6"/>
    <mergeCell ref="URV6:URX6"/>
    <mergeCell ref="URY6:USA6"/>
    <mergeCell ref="USB6:USD6"/>
    <mergeCell ref="USE6:USG6"/>
    <mergeCell ref="USH6:USJ6"/>
    <mergeCell ref="USK6:USM6"/>
    <mergeCell ref="URD6:URF6"/>
    <mergeCell ref="URG6:URI6"/>
    <mergeCell ref="URJ6:URL6"/>
    <mergeCell ref="URM6:URO6"/>
    <mergeCell ref="URP6:URR6"/>
    <mergeCell ref="URS6:URU6"/>
    <mergeCell ref="UQL6:UQN6"/>
    <mergeCell ref="UQO6:UQQ6"/>
    <mergeCell ref="UQR6:UQT6"/>
    <mergeCell ref="UQU6:UQW6"/>
    <mergeCell ref="UQX6:UQZ6"/>
    <mergeCell ref="URA6:URC6"/>
    <mergeCell ref="UPT6:UPV6"/>
    <mergeCell ref="UPW6:UPY6"/>
    <mergeCell ref="UPZ6:UQB6"/>
    <mergeCell ref="UQC6:UQE6"/>
    <mergeCell ref="UQF6:UQH6"/>
    <mergeCell ref="UQI6:UQK6"/>
    <mergeCell ref="UXJ6:UXL6"/>
    <mergeCell ref="UXM6:UXO6"/>
    <mergeCell ref="UXP6:UXR6"/>
    <mergeCell ref="UXS6:UXU6"/>
    <mergeCell ref="UXV6:UXX6"/>
    <mergeCell ref="UXY6:UYA6"/>
    <mergeCell ref="UWR6:UWT6"/>
    <mergeCell ref="UWU6:UWW6"/>
    <mergeCell ref="UWX6:UWZ6"/>
    <mergeCell ref="UXA6:UXC6"/>
    <mergeCell ref="UXD6:UXF6"/>
    <mergeCell ref="UXG6:UXI6"/>
    <mergeCell ref="UVZ6:UWB6"/>
    <mergeCell ref="UWC6:UWE6"/>
    <mergeCell ref="UWF6:UWH6"/>
    <mergeCell ref="UWI6:UWK6"/>
    <mergeCell ref="UWL6:UWN6"/>
    <mergeCell ref="UWO6:UWQ6"/>
    <mergeCell ref="UVH6:UVJ6"/>
    <mergeCell ref="UVK6:UVM6"/>
    <mergeCell ref="UVN6:UVP6"/>
    <mergeCell ref="UVQ6:UVS6"/>
    <mergeCell ref="UVT6:UVV6"/>
    <mergeCell ref="UVW6:UVY6"/>
    <mergeCell ref="UUP6:UUR6"/>
    <mergeCell ref="UUS6:UUU6"/>
    <mergeCell ref="UUV6:UUX6"/>
    <mergeCell ref="UUY6:UVA6"/>
    <mergeCell ref="UVB6:UVD6"/>
    <mergeCell ref="UVE6:UVG6"/>
    <mergeCell ref="UTX6:UTZ6"/>
    <mergeCell ref="UUA6:UUC6"/>
    <mergeCell ref="UUD6:UUF6"/>
    <mergeCell ref="UUG6:UUI6"/>
    <mergeCell ref="UUJ6:UUL6"/>
    <mergeCell ref="UUM6:UUO6"/>
    <mergeCell ref="VBN6:VBP6"/>
    <mergeCell ref="VBQ6:VBS6"/>
    <mergeCell ref="VBT6:VBV6"/>
    <mergeCell ref="VBW6:VBY6"/>
    <mergeCell ref="VBZ6:VCB6"/>
    <mergeCell ref="VCC6:VCE6"/>
    <mergeCell ref="VAV6:VAX6"/>
    <mergeCell ref="VAY6:VBA6"/>
    <mergeCell ref="VBB6:VBD6"/>
    <mergeCell ref="VBE6:VBG6"/>
    <mergeCell ref="VBH6:VBJ6"/>
    <mergeCell ref="VBK6:VBM6"/>
    <mergeCell ref="VAD6:VAF6"/>
    <mergeCell ref="VAG6:VAI6"/>
    <mergeCell ref="VAJ6:VAL6"/>
    <mergeCell ref="VAM6:VAO6"/>
    <mergeCell ref="VAP6:VAR6"/>
    <mergeCell ref="VAS6:VAU6"/>
    <mergeCell ref="UZL6:UZN6"/>
    <mergeCell ref="UZO6:UZQ6"/>
    <mergeCell ref="UZR6:UZT6"/>
    <mergeCell ref="UZU6:UZW6"/>
    <mergeCell ref="UZX6:UZZ6"/>
    <mergeCell ref="VAA6:VAC6"/>
    <mergeCell ref="UYT6:UYV6"/>
    <mergeCell ref="UYW6:UYY6"/>
    <mergeCell ref="UYZ6:UZB6"/>
    <mergeCell ref="UZC6:UZE6"/>
    <mergeCell ref="UZF6:UZH6"/>
    <mergeCell ref="UZI6:UZK6"/>
    <mergeCell ref="UYB6:UYD6"/>
    <mergeCell ref="UYE6:UYG6"/>
    <mergeCell ref="UYH6:UYJ6"/>
    <mergeCell ref="UYK6:UYM6"/>
    <mergeCell ref="UYN6:UYP6"/>
    <mergeCell ref="UYQ6:UYS6"/>
    <mergeCell ref="VFR6:VFT6"/>
    <mergeCell ref="VFU6:VFW6"/>
    <mergeCell ref="VFX6:VFZ6"/>
    <mergeCell ref="VGA6:VGC6"/>
    <mergeCell ref="VGD6:VGF6"/>
    <mergeCell ref="VGG6:VGI6"/>
    <mergeCell ref="VEZ6:VFB6"/>
    <mergeCell ref="VFC6:VFE6"/>
    <mergeCell ref="VFF6:VFH6"/>
    <mergeCell ref="VFI6:VFK6"/>
    <mergeCell ref="VFL6:VFN6"/>
    <mergeCell ref="VFO6:VFQ6"/>
    <mergeCell ref="VEH6:VEJ6"/>
    <mergeCell ref="VEK6:VEM6"/>
    <mergeCell ref="VEN6:VEP6"/>
    <mergeCell ref="VEQ6:VES6"/>
    <mergeCell ref="VET6:VEV6"/>
    <mergeCell ref="VEW6:VEY6"/>
    <mergeCell ref="VDP6:VDR6"/>
    <mergeCell ref="VDS6:VDU6"/>
    <mergeCell ref="VDV6:VDX6"/>
    <mergeCell ref="VDY6:VEA6"/>
    <mergeCell ref="VEB6:VED6"/>
    <mergeCell ref="VEE6:VEG6"/>
    <mergeCell ref="VCX6:VCZ6"/>
    <mergeCell ref="VDA6:VDC6"/>
    <mergeCell ref="VDD6:VDF6"/>
    <mergeCell ref="VDG6:VDI6"/>
    <mergeCell ref="VDJ6:VDL6"/>
    <mergeCell ref="VDM6:VDO6"/>
    <mergeCell ref="VCF6:VCH6"/>
    <mergeCell ref="VCI6:VCK6"/>
    <mergeCell ref="VCL6:VCN6"/>
    <mergeCell ref="VCO6:VCQ6"/>
    <mergeCell ref="VCR6:VCT6"/>
    <mergeCell ref="VCU6:VCW6"/>
    <mergeCell ref="VJV6:VJX6"/>
    <mergeCell ref="VJY6:VKA6"/>
    <mergeCell ref="VKB6:VKD6"/>
    <mergeCell ref="VKE6:VKG6"/>
    <mergeCell ref="VKH6:VKJ6"/>
    <mergeCell ref="VKK6:VKM6"/>
    <mergeCell ref="VJD6:VJF6"/>
    <mergeCell ref="VJG6:VJI6"/>
    <mergeCell ref="VJJ6:VJL6"/>
    <mergeCell ref="VJM6:VJO6"/>
    <mergeCell ref="VJP6:VJR6"/>
    <mergeCell ref="VJS6:VJU6"/>
    <mergeCell ref="VIL6:VIN6"/>
    <mergeCell ref="VIO6:VIQ6"/>
    <mergeCell ref="VIR6:VIT6"/>
    <mergeCell ref="VIU6:VIW6"/>
    <mergeCell ref="VIX6:VIZ6"/>
    <mergeCell ref="VJA6:VJC6"/>
    <mergeCell ref="VHT6:VHV6"/>
    <mergeCell ref="VHW6:VHY6"/>
    <mergeCell ref="VHZ6:VIB6"/>
    <mergeCell ref="VIC6:VIE6"/>
    <mergeCell ref="VIF6:VIH6"/>
    <mergeCell ref="VII6:VIK6"/>
    <mergeCell ref="VHB6:VHD6"/>
    <mergeCell ref="VHE6:VHG6"/>
    <mergeCell ref="VHH6:VHJ6"/>
    <mergeCell ref="VHK6:VHM6"/>
    <mergeCell ref="VHN6:VHP6"/>
    <mergeCell ref="VHQ6:VHS6"/>
    <mergeCell ref="VGJ6:VGL6"/>
    <mergeCell ref="VGM6:VGO6"/>
    <mergeCell ref="VGP6:VGR6"/>
    <mergeCell ref="VGS6:VGU6"/>
    <mergeCell ref="VGV6:VGX6"/>
    <mergeCell ref="VGY6:VHA6"/>
    <mergeCell ref="VNZ6:VOB6"/>
    <mergeCell ref="VOC6:VOE6"/>
    <mergeCell ref="VOF6:VOH6"/>
    <mergeCell ref="VOI6:VOK6"/>
    <mergeCell ref="VOL6:VON6"/>
    <mergeCell ref="VOO6:VOQ6"/>
    <mergeCell ref="VNH6:VNJ6"/>
    <mergeCell ref="VNK6:VNM6"/>
    <mergeCell ref="VNN6:VNP6"/>
    <mergeCell ref="VNQ6:VNS6"/>
    <mergeCell ref="VNT6:VNV6"/>
    <mergeCell ref="VNW6:VNY6"/>
    <mergeCell ref="VMP6:VMR6"/>
    <mergeCell ref="VMS6:VMU6"/>
    <mergeCell ref="VMV6:VMX6"/>
    <mergeCell ref="VMY6:VNA6"/>
    <mergeCell ref="VNB6:VND6"/>
    <mergeCell ref="VNE6:VNG6"/>
    <mergeCell ref="VLX6:VLZ6"/>
    <mergeCell ref="VMA6:VMC6"/>
    <mergeCell ref="VMD6:VMF6"/>
    <mergeCell ref="VMG6:VMI6"/>
    <mergeCell ref="VMJ6:VML6"/>
    <mergeCell ref="VMM6:VMO6"/>
    <mergeCell ref="VLF6:VLH6"/>
    <mergeCell ref="VLI6:VLK6"/>
    <mergeCell ref="VLL6:VLN6"/>
    <mergeCell ref="VLO6:VLQ6"/>
    <mergeCell ref="VLR6:VLT6"/>
    <mergeCell ref="VLU6:VLW6"/>
    <mergeCell ref="VKN6:VKP6"/>
    <mergeCell ref="VKQ6:VKS6"/>
    <mergeCell ref="VKT6:VKV6"/>
    <mergeCell ref="VKW6:VKY6"/>
    <mergeCell ref="VKZ6:VLB6"/>
    <mergeCell ref="VLC6:VLE6"/>
    <mergeCell ref="VSD6:VSF6"/>
    <mergeCell ref="VSG6:VSI6"/>
    <mergeCell ref="VSJ6:VSL6"/>
    <mergeCell ref="VSM6:VSO6"/>
    <mergeCell ref="VSP6:VSR6"/>
    <mergeCell ref="VSS6:VSU6"/>
    <mergeCell ref="VRL6:VRN6"/>
    <mergeCell ref="VRO6:VRQ6"/>
    <mergeCell ref="VRR6:VRT6"/>
    <mergeCell ref="VRU6:VRW6"/>
    <mergeCell ref="VRX6:VRZ6"/>
    <mergeCell ref="VSA6:VSC6"/>
    <mergeCell ref="VQT6:VQV6"/>
    <mergeCell ref="VQW6:VQY6"/>
    <mergeCell ref="VQZ6:VRB6"/>
    <mergeCell ref="VRC6:VRE6"/>
    <mergeCell ref="VRF6:VRH6"/>
    <mergeCell ref="VRI6:VRK6"/>
    <mergeCell ref="VQB6:VQD6"/>
    <mergeCell ref="VQE6:VQG6"/>
    <mergeCell ref="VQH6:VQJ6"/>
    <mergeCell ref="VQK6:VQM6"/>
    <mergeCell ref="VQN6:VQP6"/>
    <mergeCell ref="VQQ6:VQS6"/>
    <mergeCell ref="VPJ6:VPL6"/>
    <mergeCell ref="VPM6:VPO6"/>
    <mergeCell ref="VPP6:VPR6"/>
    <mergeCell ref="VPS6:VPU6"/>
    <mergeCell ref="VPV6:VPX6"/>
    <mergeCell ref="VPY6:VQA6"/>
    <mergeCell ref="VOR6:VOT6"/>
    <mergeCell ref="VOU6:VOW6"/>
    <mergeCell ref="VOX6:VOZ6"/>
    <mergeCell ref="VPA6:VPC6"/>
    <mergeCell ref="VPD6:VPF6"/>
    <mergeCell ref="VPG6:VPI6"/>
    <mergeCell ref="VWH6:VWJ6"/>
    <mergeCell ref="VWK6:VWM6"/>
    <mergeCell ref="VWN6:VWP6"/>
    <mergeCell ref="VWQ6:VWS6"/>
    <mergeCell ref="VWT6:VWV6"/>
    <mergeCell ref="VWW6:VWY6"/>
    <mergeCell ref="VVP6:VVR6"/>
    <mergeCell ref="VVS6:VVU6"/>
    <mergeCell ref="VVV6:VVX6"/>
    <mergeCell ref="VVY6:VWA6"/>
    <mergeCell ref="VWB6:VWD6"/>
    <mergeCell ref="VWE6:VWG6"/>
    <mergeCell ref="VUX6:VUZ6"/>
    <mergeCell ref="VVA6:VVC6"/>
    <mergeCell ref="VVD6:VVF6"/>
    <mergeCell ref="VVG6:VVI6"/>
    <mergeCell ref="VVJ6:VVL6"/>
    <mergeCell ref="VVM6:VVO6"/>
    <mergeCell ref="VUF6:VUH6"/>
    <mergeCell ref="VUI6:VUK6"/>
    <mergeCell ref="VUL6:VUN6"/>
    <mergeCell ref="VUO6:VUQ6"/>
    <mergeCell ref="VUR6:VUT6"/>
    <mergeCell ref="VUU6:VUW6"/>
    <mergeCell ref="VTN6:VTP6"/>
    <mergeCell ref="VTQ6:VTS6"/>
    <mergeCell ref="VTT6:VTV6"/>
    <mergeCell ref="VTW6:VTY6"/>
    <mergeCell ref="VTZ6:VUB6"/>
    <mergeCell ref="VUC6:VUE6"/>
    <mergeCell ref="VSV6:VSX6"/>
    <mergeCell ref="VSY6:VTA6"/>
    <mergeCell ref="VTB6:VTD6"/>
    <mergeCell ref="VTE6:VTG6"/>
    <mergeCell ref="VTH6:VTJ6"/>
    <mergeCell ref="VTK6:VTM6"/>
    <mergeCell ref="WAL6:WAN6"/>
    <mergeCell ref="WAO6:WAQ6"/>
    <mergeCell ref="WAR6:WAT6"/>
    <mergeCell ref="WAU6:WAW6"/>
    <mergeCell ref="WAX6:WAZ6"/>
    <mergeCell ref="WBA6:WBC6"/>
    <mergeCell ref="VZT6:VZV6"/>
    <mergeCell ref="VZW6:VZY6"/>
    <mergeCell ref="VZZ6:WAB6"/>
    <mergeCell ref="WAC6:WAE6"/>
    <mergeCell ref="WAF6:WAH6"/>
    <mergeCell ref="WAI6:WAK6"/>
    <mergeCell ref="VZB6:VZD6"/>
    <mergeCell ref="VZE6:VZG6"/>
    <mergeCell ref="VZH6:VZJ6"/>
    <mergeCell ref="VZK6:VZM6"/>
    <mergeCell ref="VZN6:VZP6"/>
    <mergeCell ref="VZQ6:VZS6"/>
    <mergeCell ref="VYJ6:VYL6"/>
    <mergeCell ref="VYM6:VYO6"/>
    <mergeCell ref="VYP6:VYR6"/>
    <mergeCell ref="VYS6:VYU6"/>
    <mergeCell ref="VYV6:VYX6"/>
    <mergeCell ref="VYY6:VZA6"/>
    <mergeCell ref="VXR6:VXT6"/>
    <mergeCell ref="VXU6:VXW6"/>
    <mergeCell ref="VXX6:VXZ6"/>
    <mergeCell ref="VYA6:VYC6"/>
    <mergeCell ref="VYD6:VYF6"/>
    <mergeCell ref="VYG6:VYI6"/>
    <mergeCell ref="VWZ6:VXB6"/>
    <mergeCell ref="VXC6:VXE6"/>
    <mergeCell ref="VXF6:VXH6"/>
    <mergeCell ref="VXI6:VXK6"/>
    <mergeCell ref="VXL6:VXN6"/>
    <mergeCell ref="VXO6:VXQ6"/>
    <mergeCell ref="WEP6:WER6"/>
    <mergeCell ref="WES6:WEU6"/>
    <mergeCell ref="WEV6:WEX6"/>
    <mergeCell ref="WEY6:WFA6"/>
    <mergeCell ref="WFB6:WFD6"/>
    <mergeCell ref="WFE6:WFG6"/>
    <mergeCell ref="WDX6:WDZ6"/>
    <mergeCell ref="WEA6:WEC6"/>
    <mergeCell ref="WED6:WEF6"/>
    <mergeCell ref="WEG6:WEI6"/>
    <mergeCell ref="WEJ6:WEL6"/>
    <mergeCell ref="WEM6:WEO6"/>
    <mergeCell ref="WDF6:WDH6"/>
    <mergeCell ref="WDI6:WDK6"/>
    <mergeCell ref="WDL6:WDN6"/>
    <mergeCell ref="WDO6:WDQ6"/>
    <mergeCell ref="WDR6:WDT6"/>
    <mergeCell ref="WDU6:WDW6"/>
    <mergeCell ref="WCN6:WCP6"/>
    <mergeCell ref="WCQ6:WCS6"/>
    <mergeCell ref="WCT6:WCV6"/>
    <mergeCell ref="WCW6:WCY6"/>
    <mergeCell ref="WCZ6:WDB6"/>
    <mergeCell ref="WDC6:WDE6"/>
    <mergeCell ref="WBV6:WBX6"/>
    <mergeCell ref="WBY6:WCA6"/>
    <mergeCell ref="WCB6:WCD6"/>
    <mergeCell ref="WCE6:WCG6"/>
    <mergeCell ref="WCH6:WCJ6"/>
    <mergeCell ref="WCK6:WCM6"/>
    <mergeCell ref="WBD6:WBF6"/>
    <mergeCell ref="WBG6:WBI6"/>
    <mergeCell ref="WBJ6:WBL6"/>
    <mergeCell ref="WBM6:WBO6"/>
    <mergeCell ref="WBP6:WBR6"/>
    <mergeCell ref="WBS6:WBU6"/>
    <mergeCell ref="WIT6:WIV6"/>
    <mergeCell ref="WIW6:WIY6"/>
    <mergeCell ref="WIZ6:WJB6"/>
    <mergeCell ref="WJC6:WJE6"/>
    <mergeCell ref="WJF6:WJH6"/>
    <mergeCell ref="WJI6:WJK6"/>
    <mergeCell ref="WIB6:WID6"/>
    <mergeCell ref="WIE6:WIG6"/>
    <mergeCell ref="WIH6:WIJ6"/>
    <mergeCell ref="WIK6:WIM6"/>
    <mergeCell ref="WIN6:WIP6"/>
    <mergeCell ref="WIQ6:WIS6"/>
    <mergeCell ref="WHJ6:WHL6"/>
    <mergeCell ref="WHM6:WHO6"/>
    <mergeCell ref="WHP6:WHR6"/>
    <mergeCell ref="WHS6:WHU6"/>
    <mergeCell ref="WHV6:WHX6"/>
    <mergeCell ref="WHY6:WIA6"/>
    <mergeCell ref="WGR6:WGT6"/>
    <mergeCell ref="WGU6:WGW6"/>
    <mergeCell ref="WGX6:WGZ6"/>
    <mergeCell ref="WHA6:WHC6"/>
    <mergeCell ref="WHD6:WHF6"/>
    <mergeCell ref="WHG6:WHI6"/>
    <mergeCell ref="WFZ6:WGB6"/>
    <mergeCell ref="WGC6:WGE6"/>
    <mergeCell ref="WGF6:WGH6"/>
    <mergeCell ref="WGI6:WGK6"/>
    <mergeCell ref="WGL6:WGN6"/>
    <mergeCell ref="WGO6:WGQ6"/>
    <mergeCell ref="WFH6:WFJ6"/>
    <mergeCell ref="WFK6:WFM6"/>
    <mergeCell ref="WFN6:WFP6"/>
    <mergeCell ref="WFQ6:WFS6"/>
    <mergeCell ref="WFT6:WFV6"/>
    <mergeCell ref="WFW6:WFY6"/>
    <mergeCell ref="WMX6:WMZ6"/>
    <mergeCell ref="WNA6:WNC6"/>
    <mergeCell ref="WND6:WNF6"/>
    <mergeCell ref="WNG6:WNI6"/>
    <mergeCell ref="WNJ6:WNL6"/>
    <mergeCell ref="WNM6:WNO6"/>
    <mergeCell ref="WMF6:WMH6"/>
    <mergeCell ref="WMI6:WMK6"/>
    <mergeCell ref="WML6:WMN6"/>
    <mergeCell ref="WMO6:WMQ6"/>
    <mergeCell ref="WMR6:WMT6"/>
    <mergeCell ref="WMU6:WMW6"/>
    <mergeCell ref="WLN6:WLP6"/>
    <mergeCell ref="WLQ6:WLS6"/>
    <mergeCell ref="WLT6:WLV6"/>
    <mergeCell ref="WLW6:WLY6"/>
    <mergeCell ref="WLZ6:WMB6"/>
    <mergeCell ref="WMC6:WME6"/>
    <mergeCell ref="WKV6:WKX6"/>
    <mergeCell ref="WKY6:WLA6"/>
    <mergeCell ref="WLB6:WLD6"/>
    <mergeCell ref="WLE6:WLG6"/>
    <mergeCell ref="WLH6:WLJ6"/>
    <mergeCell ref="WLK6:WLM6"/>
    <mergeCell ref="WKD6:WKF6"/>
    <mergeCell ref="WKG6:WKI6"/>
    <mergeCell ref="WKJ6:WKL6"/>
    <mergeCell ref="WKM6:WKO6"/>
    <mergeCell ref="WKP6:WKR6"/>
    <mergeCell ref="WKS6:WKU6"/>
    <mergeCell ref="WJL6:WJN6"/>
    <mergeCell ref="WJO6:WJQ6"/>
    <mergeCell ref="WJR6:WJT6"/>
    <mergeCell ref="WJU6:WJW6"/>
    <mergeCell ref="WJX6:WJZ6"/>
    <mergeCell ref="WKA6:WKC6"/>
    <mergeCell ref="WRB6:WRD6"/>
    <mergeCell ref="WRE6:WRG6"/>
    <mergeCell ref="WRH6:WRJ6"/>
    <mergeCell ref="WRK6:WRM6"/>
    <mergeCell ref="WRN6:WRP6"/>
    <mergeCell ref="WRQ6:WRS6"/>
    <mergeCell ref="WQJ6:WQL6"/>
    <mergeCell ref="WQM6:WQO6"/>
    <mergeCell ref="WQP6:WQR6"/>
    <mergeCell ref="WQS6:WQU6"/>
    <mergeCell ref="WQV6:WQX6"/>
    <mergeCell ref="WQY6:WRA6"/>
    <mergeCell ref="WPR6:WPT6"/>
    <mergeCell ref="WPU6:WPW6"/>
    <mergeCell ref="WPX6:WPZ6"/>
    <mergeCell ref="WQA6:WQC6"/>
    <mergeCell ref="WQD6:WQF6"/>
    <mergeCell ref="WQG6:WQI6"/>
    <mergeCell ref="WOZ6:WPB6"/>
    <mergeCell ref="WPC6:WPE6"/>
    <mergeCell ref="WPF6:WPH6"/>
    <mergeCell ref="WPI6:WPK6"/>
    <mergeCell ref="WPL6:WPN6"/>
    <mergeCell ref="WPO6:WPQ6"/>
    <mergeCell ref="WOH6:WOJ6"/>
    <mergeCell ref="WOK6:WOM6"/>
    <mergeCell ref="WON6:WOP6"/>
    <mergeCell ref="WOQ6:WOS6"/>
    <mergeCell ref="WOT6:WOV6"/>
    <mergeCell ref="WOW6:WOY6"/>
    <mergeCell ref="WNP6:WNR6"/>
    <mergeCell ref="WNS6:WNU6"/>
    <mergeCell ref="WNV6:WNX6"/>
    <mergeCell ref="WNY6:WOA6"/>
    <mergeCell ref="WOB6:WOD6"/>
    <mergeCell ref="WOE6:WOG6"/>
    <mergeCell ref="WVF6:WVH6"/>
    <mergeCell ref="WVI6:WVK6"/>
    <mergeCell ref="WVL6:WVN6"/>
    <mergeCell ref="WVO6:WVQ6"/>
    <mergeCell ref="WVR6:WVT6"/>
    <mergeCell ref="WVU6:WVW6"/>
    <mergeCell ref="WUN6:WUP6"/>
    <mergeCell ref="WUQ6:WUS6"/>
    <mergeCell ref="WUT6:WUV6"/>
    <mergeCell ref="WUW6:WUY6"/>
    <mergeCell ref="WUZ6:WVB6"/>
    <mergeCell ref="WVC6:WVE6"/>
    <mergeCell ref="WTV6:WTX6"/>
    <mergeCell ref="WTY6:WUA6"/>
    <mergeCell ref="WUB6:WUD6"/>
    <mergeCell ref="WUE6:WUG6"/>
    <mergeCell ref="WUH6:WUJ6"/>
    <mergeCell ref="WUK6:WUM6"/>
    <mergeCell ref="WTD6:WTF6"/>
    <mergeCell ref="WTG6:WTI6"/>
    <mergeCell ref="WTJ6:WTL6"/>
    <mergeCell ref="WTM6:WTO6"/>
    <mergeCell ref="WTP6:WTR6"/>
    <mergeCell ref="WTS6:WTU6"/>
    <mergeCell ref="WSL6:WSN6"/>
    <mergeCell ref="WSO6:WSQ6"/>
    <mergeCell ref="WSR6:WST6"/>
    <mergeCell ref="WSU6:WSW6"/>
    <mergeCell ref="WSX6:WSZ6"/>
    <mergeCell ref="WTA6:WTC6"/>
    <mergeCell ref="WRT6:WRV6"/>
    <mergeCell ref="WRW6:WRY6"/>
    <mergeCell ref="WRZ6:WSB6"/>
    <mergeCell ref="WSC6:WSE6"/>
    <mergeCell ref="WSF6:WSH6"/>
    <mergeCell ref="WSI6:WSK6"/>
    <mergeCell ref="WZJ6:WZL6"/>
    <mergeCell ref="WZM6:WZO6"/>
    <mergeCell ref="WZP6:WZR6"/>
    <mergeCell ref="WZS6:WZU6"/>
    <mergeCell ref="WZV6:WZX6"/>
    <mergeCell ref="WZY6:XAA6"/>
    <mergeCell ref="WYR6:WYT6"/>
    <mergeCell ref="WYU6:WYW6"/>
    <mergeCell ref="WYX6:WYZ6"/>
    <mergeCell ref="WZA6:WZC6"/>
    <mergeCell ref="WZD6:WZF6"/>
    <mergeCell ref="WZG6:WZI6"/>
    <mergeCell ref="WXZ6:WYB6"/>
    <mergeCell ref="WYC6:WYE6"/>
    <mergeCell ref="WYF6:WYH6"/>
    <mergeCell ref="WYI6:WYK6"/>
    <mergeCell ref="WYL6:WYN6"/>
    <mergeCell ref="WYO6:WYQ6"/>
    <mergeCell ref="WXH6:WXJ6"/>
    <mergeCell ref="WXK6:WXM6"/>
    <mergeCell ref="WXN6:WXP6"/>
    <mergeCell ref="WXQ6:WXS6"/>
    <mergeCell ref="WXT6:WXV6"/>
    <mergeCell ref="WXW6:WXY6"/>
    <mergeCell ref="WWP6:WWR6"/>
    <mergeCell ref="WWS6:WWU6"/>
    <mergeCell ref="WWV6:WWX6"/>
    <mergeCell ref="WWY6:WXA6"/>
    <mergeCell ref="WXB6:WXD6"/>
    <mergeCell ref="WXE6:WXG6"/>
    <mergeCell ref="WVX6:WVZ6"/>
    <mergeCell ref="WWA6:WWC6"/>
    <mergeCell ref="WWD6:WWF6"/>
    <mergeCell ref="WWG6:WWI6"/>
    <mergeCell ref="WWJ6:WWL6"/>
    <mergeCell ref="WWM6:WWO6"/>
    <mergeCell ref="AQ7:AS7"/>
    <mergeCell ref="AT7:AV7"/>
    <mergeCell ref="AW7:AY7"/>
    <mergeCell ref="AZ7:BB7"/>
    <mergeCell ref="BC7:BE7"/>
    <mergeCell ref="BF7:BH7"/>
    <mergeCell ref="Y7:AA7"/>
    <mergeCell ref="AB7:AD7"/>
    <mergeCell ref="AE7:AG7"/>
    <mergeCell ref="AH7:AJ7"/>
    <mergeCell ref="AK7:AM7"/>
    <mergeCell ref="AN7:AP7"/>
    <mergeCell ref="XEX6:XEZ6"/>
    <mergeCell ref="XFA6:XFC6"/>
    <mergeCell ref="A7:C7"/>
    <mergeCell ref="D7:F7"/>
    <mergeCell ref="G7:I7"/>
    <mergeCell ref="J7:L7"/>
    <mergeCell ref="M7:O7"/>
    <mergeCell ref="P7:R7"/>
    <mergeCell ref="S7:U7"/>
    <mergeCell ref="V7:X7"/>
    <mergeCell ref="XEF6:XEH6"/>
    <mergeCell ref="XEI6:XEK6"/>
    <mergeCell ref="XEL6:XEN6"/>
    <mergeCell ref="XEO6:XEQ6"/>
    <mergeCell ref="XER6:XET6"/>
    <mergeCell ref="XEU6:XEW6"/>
    <mergeCell ref="XDN6:XDP6"/>
    <mergeCell ref="XDQ6:XDS6"/>
    <mergeCell ref="XDT6:XDV6"/>
    <mergeCell ref="XDW6:XDY6"/>
    <mergeCell ref="XDZ6:XEB6"/>
    <mergeCell ref="XEC6:XEE6"/>
    <mergeCell ref="XCV6:XCX6"/>
    <mergeCell ref="XCY6:XDA6"/>
    <mergeCell ref="XDB6:XDD6"/>
    <mergeCell ref="XDE6:XDG6"/>
    <mergeCell ref="XDH6:XDJ6"/>
    <mergeCell ref="XDK6:XDM6"/>
    <mergeCell ref="XCD6:XCF6"/>
    <mergeCell ref="XCG6:XCI6"/>
    <mergeCell ref="XCJ6:XCL6"/>
    <mergeCell ref="XCM6:XCO6"/>
    <mergeCell ref="XCP6:XCR6"/>
    <mergeCell ref="XCS6:XCU6"/>
    <mergeCell ref="XBL6:XBN6"/>
    <mergeCell ref="XBO6:XBQ6"/>
    <mergeCell ref="XBR6:XBT6"/>
    <mergeCell ref="XBU6:XBW6"/>
    <mergeCell ref="XBX6:XBZ6"/>
    <mergeCell ref="XCA6:XCC6"/>
    <mergeCell ref="XAT6:XAV6"/>
    <mergeCell ref="XAW6:XAY6"/>
    <mergeCell ref="XAZ6:XBB6"/>
    <mergeCell ref="XBC6:XBE6"/>
    <mergeCell ref="XBF6:XBH6"/>
    <mergeCell ref="XBI6:XBK6"/>
    <mergeCell ref="XAB6:XAD6"/>
    <mergeCell ref="XAE6:XAG6"/>
    <mergeCell ref="XAH6:XAJ6"/>
    <mergeCell ref="XAK6:XAM6"/>
    <mergeCell ref="XAN6:XAP6"/>
    <mergeCell ref="XAQ6:XAS6"/>
    <mergeCell ref="EU7:EW7"/>
    <mergeCell ref="EX7:EZ7"/>
    <mergeCell ref="FA7:FC7"/>
    <mergeCell ref="FD7:FF7"/>
    <mergeCell ref="FG7:FI7"/>
    <mergeCell ref="FJ7:FL7"/>
    <mergeCell ref="EC7:EE7"/>
    <mergeCell ref="EF7:EH7"/>
    <mergeCell ref="EI7:EK7"/>
    <mergeCell ref="EL7:EN7"/>
    <mergeCell ref="EO7:EQ7"/>
    <mergeCell ref="ER7:ET7"/>
    <mergeCell ref="DK7:DM7"/>
    <mergeCell ref="DN7:DP7"/>
    <mergeCell ref="DQ7:DS7"/>
    <mergeCell ref="DT7:DV7"/>
    <mergeCell ref="DW7:DY7"/>
    <mergeCell ref="DZ7:EB7"/>
    <mergeCell ref="CS7:CU7"/>
    <mergeCell ref="CV7:CX7"/>
    <mergeCell ref="CY7:DA7"/>
    <mergeCell ref="DB7:DD7"/>
    <mergeCell ref="DE7:DG7"/>
    <mergeCell ref="DH7:DJ7"/>
    <mergeCell ref="CA7:CC7"/>
    <mergeCell ref="CD7:CF7"/>
    <mergeCell ref="CG7:CI7"/>
    <mergeCell ref="CJ7:CL7"/>
    <mergeCell ref="CM7:CO7"/>
    <mergeCell ref="CP7:CR7"/>
    <mergeCell ref="BI7:BK7"/>
    <mergeCell ref="BL7:BN7"/>
    <mergeCell ref="BO7:BQ7"/>
    <mergeCell ref="BR7:BT7"/>
    <mergeCell ref="BU7:BW7"/>
    <mergeCell ref="BX7:BZ7"/>
    <mergeCell ref="IY7:JA7"/>
    <mergeCell ref="JB7:JD7"/>
    <mergeCell ref="JE7:JG7"/>
    <mergeCell ref="JH7:JJ7"/>
    <mergeCell ref="JK7:JM7"/>
    <mergeCell ref="JN7:JP7"/>
    <mergeCell ref="IG7:II7"/>
    <mergeCell ref="IJ7:IL7"/>
    <mergeCell ref="IM7:IO7"/>
    <mergeCell ref="IP7:IR7"/>
    <mergeCell ref="IS7:IU7"/>
    <mergeCell ref="IV7:IX7"/>
    <mergeCell ref="HO7:HQ7"/>
    <mergeCell ref="HR7:HT7"/>
    <mergeCell ref="HU7:HW7"/>
    <mergeCell ref="HX7:HZ7"/>
    <mergeCell ref="IA7:IC7"/>
    <mergeCell ref="ID7:IF7"/>
    <mergeCell ref="GW7:GY7"/>
    <mergeCell ref="GZ7:HB7"/>
    <mergeCell ref="HC7:HE7"/>
    <mergeCell ref="HF7:HH7"/>
    <mergeCell ref="HI7:HK7"/>
    <mergeCell ref="HL7:HN7"/>
    <mergeCell ref="GE7:GG7"/>
    <mergeCell ref="GH7:GJ7"/>
    <mergeCell ref="GK7:GM7"/>
    <mergeCell ref="GN7:GP7"/>
    <mergeCell ref="GQ7:GS7"/>
    <mergeCell ref="GT7:GV7"/>
    <mergeCell ref="FM7:FO7"/>
    <mergeCell ref="FP7:FR7"/>
    <mergeCell ref="FS7:FU7"/>
    <mergeCell ref="FV7:FX7"/>
    <mergeCell ref="FY7:GA7"/>
    <mergeCell ref="GB7:GD7"/>
    <mergeCell ref="NC7:NE7"/>
    <mergeCell ref="NF7:NH7"/>
    <mergeCell ref="NI7:NK7"/>
    <mergeCell ref="NL7:NN7"/>
    <mergeCell ref="NO7:NQ7"/>
    <mergeCell ref="NR7:NT7"/>
    <mergeCell ref="MK7:MM7"/>
    <mergeCell ref="MN7:MP7"/>
    <mergeCell ref="MQ7:MS7"/>
    <mergeCell ref="MT7:MV7"/>
    <mergeCell ref="MW7:MY7"/>
    <mergeCell ref="MZ7:NB7"/>
    <mergeCell ref="LS7:LU7"/>
    <mergeCell ref="LV7:LX7"/>
    <mergeCell ref="LY7:MA7"/>
    <mergeCell ref="MB7:MD7"/>
    <mergeCell ref="ME7:MG7"/>
    <mergeCell ref="MH7:MJ7"/>
    <mergeCell ref="LA7:LC7"/>
    <mergeCell ref="LD7:LF7"/>
    <mergeCell ref="LG7:LI7"/>
    <mergeCell ref="LJ7:LL7"/>
    <mergeCell ref="LM7:LO7"/>
    <mergeCell ref="LP7:LR7"/>
    <mergeCell ref="KI7:KK7"/>
    <mergeCell ref="KL7:KN7"/>
    <mergeCell ref="KO7:KQ7"/>
    <mergeCell ref="KR7:KT7"/>
    <mergeCell ref="KU7:KW7"/>
    <mergeCell ref="KX7:KZ7"/>
    <mergeCell ref="JQ7:JS7"/>
    <mergeCell ref="JT7:JV7"/>
    <mergeCell ref="JW7:JY7"/>
    <mergeCell ref="JZ7:KB7"/>
    <mergeCell ref="KC7:KE7"/>
    <mergeCell ref="KF7:KH7"/>
    <mergeCell ref="RG7:RI7"/>
    <mergeCell ref="RJ7:RL7"/>
    <mergeCell ref="RM7:RO7"/>
    <mergeCell ref="RP7:RR7"/>
    <mergeCell ref="RS7:RU7"/>
    <mergeCell ref="RV7:RX7"/>
    <mergeCell ref="QO7:QQ7"/>
    <mergeCell ref="QR7:QT7"/>
    <mergeCell ref="QU7:QW7"/>
    <mergeCell ref="QX7:QZ7"/>
    <mergeCell ref="RA7:RC7"/>
    <mergeCell ref="RD7:RF7"/>
    <mergeCell ref="PW7:PY7"/>
    <mergeCell ref="PZ7:QB7"/>
    <mergeCell ref="QC7:QE7"/>
    <mergeCell ref="QF7:QH7"/>
    <mergeCell ref="QI7:QK7"/>
    <mergeCell ref="QL7:QN7"/>
    <mergeCell ref="PE7:PG7"/>
    <mergeCell ref="PH7:PJ7"/>
    <mergeCell ref="PK7:PM7"/>
    <mergeCell ref="PN7:PP7"/>
    <mergeCell ref="PQ7:PS7"/>
    <mergeCell ref="PT7:PV7"/>
    <mergeCell ref="OM7:OO7"/>
    <mergeCell ref="OP7:OR7"/>
    <mergeCell ref="OS7:OU7"/>
    <mergeCell ref="OV7:OX7"/>
    <mergeCell ref="OY7:PA7"/>
    <mergeCell ref="PB7:PD7"/>
    <mergeCell ref="NU7:NW7"/>
    <mergeCell ref="NX7:NZ7"/>
    <mergeCell ref="OA7:OC7"/>
    <mergeCell ref="OD7:OF7"/>
    <mergeCell ref="OG7:OI7"/>
    <mergeCell ref="OJ7:OL7"/>
    <mergeCell ref="VK7:VM7"/>
    <mergeCell ref="VN7:VP7"/>
    <mergeCell ref="VQ7:VS7"/>
    <mergeCell ref="VT7:VV7"/>
    <mergeCell ref="VW7:VY7"/>
    <mergeCell ref="VZ7:WB7"/>
    <mergeCell ref="US7:UU7"/>
    <mergeCell ref="UV7:UX7"/>
    <mergeCell ref="UY7:VA7"/>
    <mergeCell ref="VB7:VD7"/>
    <mergeCell ref="VE7:VG7"/>
    <mergeCell ref="VH7:VJ7"/>
    <mergeCell ref="UA7:UC7"/>
    <mergeCell ref="UD7:UF7"/>
    <mergeCell ref="UG7:UI7"/>
    <mergeCell ref="UJ7:UL7"/>
    <mergeCell ref="UM7:UO7"/>
    <mergeCell ref="UP7:UR7"/>
    <mergeCell ref="TI7:TK7"/>
    <mergeCell ref="TL7:TN7"/>
    <mergeCell ref="TO7:TQ7"/>
    <mergeCell ref="TR7:TT7"/>
    <mergeCell ref="TU7:TW7"/>
    <mergeCell ref="TX7:TZ7"/>
    <mergeCell ref="SQ7:SS7"/>
    <mergeCell ref="ST7:SV7"/>
    <mergeCell ref="SW7:SY7"/>
    <mergeCell ref="SZ7:TB7"/>
    <mergeCell ref="TC7:TE7"/>
    <mergeCell ref="TF7:TH7"/>
    <mergeCell ref="RY7:SA7"/>
    <mergeCell ref="SB7:SD7"/>
    <mergeCell ref="SE7:SG7"/>
    <mergeCell ref="SH7:SJ7"/>
    <mergeCell ref="SK7:SM7"/>
    <mergeCell ref="SN7:SP7"/>
    <mergeCell ref="ZO7:ZQ7"/>
    <mergeCell ref="ZR7:ZT7"/>
    <mergeCell ref="ZU7:ZW7"/>
    <mergeCell ref="ZX7:ZZ7"/>
    <mergeCell ref="AAA7:AAC7"/>
    <mergeCell ref="AAD7:AAF7"/>
    <mergeCell ref="YW7:YY7"/>
    <mergeCell ref="YZ7:ZB7"/>
    <mergeCell ref="ZC7:ZE7"/>
    <mergeCell ref="ZF7:ZH7"/>
    <mergeCell ref="ZI7:ZK7"/>
    <mergeCell ref="ZL7:ZN7"/>
    <mergeCell ref="YE7:YG7"/>
    <mergeCell ref="YH7:YJ7"/>
    <mergeCell ref="YK7:YM7"/>
    <mergeCell ref="YN7:YP7"/>
    <mergeCell ref="YQ7:YS7"/>
    <mergeCell ref="YT7:YV7"/>
    <mergeCell ref="XM7:XO7"/>
    <mergeCell ref="XP7:XR7"/>
    <mergeCell ref="XS7:XU7"/>
    <mergeCell ref="XV7:XX7"/>
    <mergeCell ref="XY7:YA7"/>
    <mergeCell ref="YB7:YD7"/>
    <mergeCell ref="WU7:WW7"/>
    <mergeCell ref="WX7:WZ7"/>
    <mergeCell ref="XA7:XC7"/>
    <mergeCell ref="XD7:XF7"/>
    <mergeCell ref="XG7:XI7"/>
    <mergeCell ref="XJ7:XL7"/>
    <mergeCell ref="WC7:WE7"/>
    <mergeCell ref="WF7:WH7"/>
    <mergeCell ref="WI7:WK7"/>
    <mergeCell ref="WL7:WN7"/>
    <mergeCell ref="WO7:WQ7"/>
    <mergeCell ref="WR7:WT7"/>
    <mergeCell ref="ADS7:ADU7"/>
    <mergeCell ref="ADV7:ADX7"/>
    <mergeCell ref="ADY7:AEA7"/>
    <mergeCell ref="AEB7:AED7"/>
    <mergeCell ref="AEE7:AEG7"/>
    <mergeCell ref="AEH7:AEJ7"/>
    <mergeCell ref="ADA7:ADC7"/>
    <mergeCell ref="ADD7:ADF7"/>
    <mergeCell ref="ADG7:ADI7"/>
    <mergeCell ref="ADJ7:ADL7"/>
    <mergeCell ref="ADM7:ADO7"/>
    <mergeCell ref="ADP7:ADR7"/>
    <mergeCell ref="ACI7:ACK7"/>
    <mergeCell ref="ACL7:ACN7"/>
    <mergeCell ref="ACO7:ACQ7"/>
    <mergeCell ref="ACR7:ACT7"/>
    <mergeCell ref="ACU7:ACW7"/>
    <mergeCell ref="ACX7:ACZ7"/>
    <mergeCell ref="ABQ7:ABS7"/>
    <mergeCell ref="ABT7:ABV7"/>
    <mergeCell ref="ABW7:ABY7"/>
    <mergeCell ref="ABZ7:ACB7"/>
    <mergeCell ref="ACC7:ACE7"/>
    <mergeCell ref="ACF7:ACH7"/>
    <mergeCell ref="AAY7:ABA7"/>
    <mergeCell ref="ABB7:ABD7"/>
    <mergeCell ref="ABE7:ABG7"/>
    <mergeCell ref="ABH7:ABJ7"/>
    <mergeCell ref="ABK7:ABM7"/>
    <mergeCell ref="ABN7:ABP7"/>
    <mergeCell ref="AAG7:AAI7"/>
    <mergeCell ref="AAJ7:AAL7"/>
    <mergeCell ref="AAM7:AAO7"/>
    <mergeCell ref="AAP7:AAR7"/>
    <mergeCell ref="AAS7:AAU7"/>
    <mergeCell ref="AAV7:AAX7"/>
    <mergeCell ref="AHW7:AHY7"/>
    <mergeCell ref="AHZ7:AIB7"/>
    <mergeCell ref="AIC7:AIE7"/>
    <mergeCell ref="AIF7:AIH7"/>
    <mergeCell ref="AII7:AIK7"/>
    <mergeCell ref="AIL7:AIN7"/>
    <mergeCell ref="AHE7:AHG7"/>
    <mergeCell ref="AHH7:AHJ7"/>
    <mergeCell ref="AHK7:AHM7"/>
    <mergeCell ref="AHN7:AHP7"/>
    <mergeCell ref="AHQ7:AHS7"/>
    <mergeCell ref="AHT7:AHV7"/>
    <mergeCell ref="AGM7:AGO7"/>
    <mergeCell ref="AGP7:AGR7"/>
    <mergeCell ref="AGS7:AGU7"/>
    <mergeCell ref="AGV7:AGX7"/>
    <mergeCell ref="AGY7:AHA7"/>
    <mergeCell ref="AHB7:AHD7"/>
    <mergeCell ref="AFU7:AFW7"/>
    <mergeCell ref="AFX7:AFZ7"/>
    <mergeCell ref="AGA7:AGC7"/>
    <mergeCell ref="AGD7:AGF7"/>
    <mergeCell ref="AGG7:AGI7"/>
    <mergeCell ref="AGJ7:AGL7"/>
    <mergeCell ref="AFC7:AFE7"/>
    <mergeCell ref="AFF7:AFH7"/>
    <mergeCell ref="AFI7:AFK7"/>
    <mergeCell ref="AFL7:AFN7"/>
    <mergeCell ref="AFO7:AFQ7"/>
    <mergeCell ref="AFR7:AFT7"/>
    <mergeCell ref="AEK7:AEM7"/>
    <mergeCell ref="AEN7:AEP7"/>
    <mergeCell ref="AEQ7:AES7"/>
    <mergeCell ref="AET7:AEV7"/>
    <mergeCell ref="AEW7:AEY7"/>
    <mergeCell ref="AEZ7:AFB7"/>
    <mergeCell ref="AMA7:AMC7"/>
    <mergeCell ref="AMD7:AMF7"/>
    <mergeCell ref="AMG7:AMI7"/>
    <mergeCell ref="AMJ7:AML7"/>
    <mergeCell ref="AMM7:AMO7"/>
    <mergeCell ref="AMP7:AMR7"/>
    <mergeCell ref="ALI7:ALK7"/>
    <mergeCell ref="ALL7:ALN7"/>
    <mergeCell ref="ALO7:ALQ7"/>
    <mergeCell ref="ALR7:ALT7"/>
    <mergeCell ref="ALU7:ALW7"/>
    <mergeCell ref="ALX7:ALZ7"/>
    <mergeCell ref="AKQ7:AKS7"/>
    <mergeCell ref="AKT7:AKV7"/>
    <mergeCell ref="AKW7:AKY7"/>
    <mergeCell ref="AKZ7:ALB7"/>
    <mergeCell ref="ALC7:ALE7"/>
    <mergeCell ref="ALF7:ALH7"/>
    <mergeCell ref="AJY7:AKA7"/>
    <mergeCell ref="AKB7:AKD7"/>
    <mergeCell ref="AKE7:AKG7"/>
    <mergeCell ref="AKH7:AKJ7"/>
    <mergeCell ref="AKK7:AKM7"/>
    <mergeCell ref="AKN7:AKP7"/>
    <mergeCell ref="AJG7:AJI7"/>
    <mergeCell ref="AJJ7:AJL7"/>
    <mergeCell ref="AJM7:AJO7"/>
    <mergeCell ref="AJP7:AJR7"/>
    <mergeCell ref="AJS7:AJU7"/>
    <mergeCell ref="AJV7:AJX7"/>
    <mergeCell ref="AIO7:AIQ7"/>
    <mergeCell ref="AIR7:AIT7"/>
    <mergeCell ref="AIU7:AIW7"/>
    <mergeCell ref="AIX7:AIZ7"/>
    <mergeCell ref="AJA7:AJC7"/>
    <mergeCell ref="AJD7:AJF7"/>
    <mergeCell ref="AQE7:AQG7"/>
    <mergeCell ref="AQH7:AQJ7"/>
    <mergeCell ref="AQK7:AQM7"/>
    <mergeCell ref="AQN7:AQP7"/>
    <mergeCell ref="AQQ7:AQS7"/>
    <mergeCell ref="AQT7:AQV7"/>
    <mergeCell ref="APM7:APO7"/>
    <mergeCell ref="APP7:APR7"/>
    <mergeCell ref="APS7:APU7"/>
    <mergeCell ref="APV7:APX7"/>
    <mergeCell ref="APY7:AQA7"/>
    <mergeCell ref="AQB7:AQD7"/>
    <mergeCell ref="AOU7:AOW7"/>
    <mergeCell ref="AOX7:AOZ7"/>
    <mergeCell ref="APA7:APC7"/>
    <mergeCell ref="APD7:APF7"/>
    <mergeCell ref="APG7:API7"/>
    <mergeCell ref="APJ7:APL7"/>
    <mergeCell ref="AOC7:AOE7"/>
    <mergeCell ref="AOF7:AOH7"/>
    <mergeCell ref="AOI7:AOK7"/>
    <mergeCell ref="AOL7:AON7"/>
    <mergeCell ref="AOO7:AOQ7"/>
    <mergeCell ref="AOR7:AOT7"/>
    <mergeCell ref="ANK7:ANM7"/>
    <mergeCell ref="ANN7:ANP7"/>
    <mergeCell ref="ANQ7:ANS7"/>
    <mergeCell ref="ANT7:ANV7"/>
    <mergeCell ref="ANW7:ANY7"/>
    <mergeCell ref="ANZ7:AOB7"/>
    <mergeCell ref="AMS7:AMU7"/>
    <mergeCell ref="AMV7:AMX7"/>
    <mergeCell ref="AMY7:ANA7"/>
    <mergeCell ref="ANB7:AND7"/>
    <mergeCell ref="ANE7:ANG7"/>
    <mergeCell ref="ANH7:ANJ7"/>
    <mergeCell ref="AUI7:AUK7"/>
    <mergeCell ref="AUL7:AUN7"/>
    <mergeCell ref="AUO7:AUQ7"/>
    <mergeCell ref="AUR7:AUT7"/>
    <mergeCell ref="AUU7:AUW7"/>
    <mergeCell ref="AUX7:AUZ7"/>
    <mergeCell ref="ATQ7:ATS7"/>
    <mergeCell ref="ATT7:ATV7"/>
    <mergeCell ref="ATW7:ATY7"/>
    <mergeCell ref="ATZ7:AUB7"/>
    <mergeCell ref="AUC7:AUE7"/>
    <mergeCell ref="AUF7:AUH7"/>
    <mergeCell ref="ASY7:ATA7"/>
    <mergeCell ref="ATB7:ATD7"/>
    <mergeCell ref="ATE7:ATG7"/>
    <mergeCell ref="ATH7:ATJ7"/>
    <mergeCell ref="ATK7:ATM7"/>
    <mergeCell ref="ATN7:ATP7"/>
    <mergeCell ref="ASG7:ASI7"/>
    <mergeCell ref="ASJ7:ASL7"/>
    <mergeCell ref="ASM7:ASO7"/>
    <mergeCell ref="ASP7:ASR7"/>
    <mergeCell ref="ASS7:ASU7"/>
    <mergeCell ref="ASV7:ASX7"/>
    <mergeCell ref="ARO7:ARQ7"/>
    <mergeCell ref="ARR7:ART7"/>
    <mergeCell ref="ARU7:ARW7"/>
    <mergeCell ref="ARX7:ARZ7"/>
    <mergeCell ref="ASA7:ASC7"/>
    <mergeCell ref="ASD7:ASF7"/>
    <mergeCell ref="AQW7:AQY7"/>
    <mergeCell ref="AQZ7:ARB7"/>
    <mergeCell ref="ARC7:ARE7"/>
    <mergeCell ref="ARF7:ARH7"/>
    <mergeCell ref="ARI7:ARK7"/>
    <mergeCell ref="ARL7:ARN7"/>
    <mergeCell ref="AYM7:AYO7"/>
    <mergeCell ref="AYP7:AYR7"/>
    <mergeCell ref="AYS7:AYU7"/>
    <mergeCell ref="AYV7:AYX7"/>
    <mergeCell ref="AYY7:AZA7"/>
    <mergeCell ref="AZB7:AZD7"/>
    <mergeCell ref="AXU7:AXW7"/>
    <mergeCell ref="AXX7:AXZ7"/>
    <mergeCell ref="AYA7:AYC7"/>
    <mergeCell ref="AYD7:AYF7"/>
    <mergeCell ref="AYG7:AYI7"/>
    <mergeCell ref="AYJ7:AYL7"/>
    <mergeCell ref="AXC7:AXE7"/>
    <mergeCell ref="AXF7:AXH7"/>
    <mergeCell ref="AXI7:AXK7"/>
    <mergeCell ref="AXL7:AXN7"/>
    <mergeCell ref="AXO7:AXQ7"/>
    <mergeCell ref="AXR7:AXT7"/>
    <mergeCell ref="AWK7:AWM7"/>
    <mergeCell ref="AWN7:AWP7"/>
    <mergeCell ref="AWQ7:AWS7"/>
    <mergeCell ref="AWT7:AWV7"/>
    <mergeCell ref="AWW7:AWY7"/>
    <mergeCell ref="AWZ7:AXB7"/>
    <mergeCell ref="AVS7:AVU7"/>
    <mergeCell ref="AVV7:AVX7"/>
    <mergeCell ref="AVY7:AWA7"/>
    <mergeCell ref="AWB7:AWD7"/>
    <mergeCell ref="AWE7:AWG7"/>
    <mergeCell ref="AWH7:AWJ7"/>
    <mergeCell ref="AVA7:AVC7"/>
    <mergeCell ref="AVD7:AVF7"/>
    <mergeCell ref="AVG7:AVI7"/>
    <mergeCell ref="AVJ7:AVL7"/>
    <mergeCell ref="AVM7:AVO7"/>
    <mergeCell ref="AVP7:AVR7"/>
    <mergeCell ref="BCQ7:BCS7"/>
    <mergeCell ref="BCT7:BCV7"/>
    <mergeCell ref="BCW7:BCY7"/>
    <mergeCell ref="BCZ7:BDB7"/>
    <mergeCell ref="BDC7:BDE7"/>
    <mergeCell ref="BDF7:BDH7"/>
    <mergeCell ref="BBY7:BCA7"/>
    <mergeCell ref="BCB7:BCD7"/>
    <mergeCell ref="BCE7:BCG7"/>
    <mergeCell ref="BCH7:BCJ7"/>
    <mergeCell ref="BCK7:BCM7"/>
    <mergeCell ref="BCN7:BCP7"/>
    <mergeCell ref="BBG7:BBI7"/>
    <mergeCell ref="BBJ7:BBL7"/>
    <mergeCell ref="BBM7:BBO7"/>
    <mergeCell ref="BBP7:BBR7"/>
    <mergeCell ref="BBS7:BBU7"/>
    <mergeCell ref="BBV7:BBX7"/>
    <mergeCell ref="BAO7:BAQ7"/>
    <mergeCell ref="BAR7:BAT7"/>
    <mergeCell ref="BAU7:BAW7"/>
    <mergeCell ref="BAX7:BAZ7"/>
    <mergeCell ref="BBA7:BBC7"/>
    <mergeCell ref="BBD7:BBF7"/>
    <mergeCell ref="AZW7:AZY7"/>
    <mergeCell ref="AZZ7:BAB7"/>
    <mergeCell ref="BAC7:BAE7"/>
    <mergeCell ref="BAF7:BAH7"/>
    <mergeCell ref="BAI7:BAK7"/>
    <mergeCell ref="BAL7:BAN7"/>
    <mergeCell ref="AZE7:AZG7"/>
    <mergeCell ref="AZH7:AZJ7"/>
    <mergeCell ref="AZK7:AZM7"/>
    <mergeCell ref="AZN7:AZP7"/>
    <mergeCell ref="AZQ7:AZS7"/>
    <mergeCell ref="AZT7:AZV7"/>
    <mergeCell ref="BGU7:BGW7"/>
    <mergeCell ref="BGX7:BGZ7"/>
    <mergeCell ref="BHA7:BHC7"/>
    <mergeCell ref="BHD7:BHF7"/>
    <mergeCell ref="BHG7:BHI7"/>
    <mergeCell ref="BHJ7:BHL7"/>
    <mergeCell ref="BGC7:BGE7"/>
    <mergeCell ref="BGF7:BGH7"/>
    <mergeCell ref="BGI7:BGK7"/>
    <mergeCell ref="BGL7:BGN7"/>
    <mergeCell ref="BGO7:BGQ7"/>
    <mergeCell ref="BGR7:BGT7"/>
    <mergeCell ref="BFK7:BFM7"/>
    <mergeCell ref="BFN7:BFP7"/>
    <mergeCell ref="BFQ7:BFS7"/>
    <mergeCell ref="BFT7:BFV7"/>
    <mergeCell ref="BFW7:BFY7"/>
    <mergeCell ref="BFZ7:BGB7"/>
    <mergeCell ref="BES7:BEU7"/>
    <mergeCell ref="BEV7:BEX7"/>
    <mergeCell ref="BEY7:BFA7"/>
    <mergeCell ref="BFB7:BFD7"/>
    <mergeCell ref="BFE7:BFG7"/>
    <mergeCell ref="BFH7:BFJ7"/>
    <mergeCell ref="BEA7:BEC7"/>
    <mergeCell ref="BED7:BEF7"/>
    <mergeCell ref="BEG7:BEI7"/>
    <mergeCell ref="BEJ7:BEL7"/>
    <mergeCell ref="BEM7:BEO7"/>
    <mergeCell ref="BEP7:BER7"/>
    <mergeCell ref="BDI7:BDK7"/>
    <mergeCell ref="BDL7:BDN7"/>
    <mergeCell ref="BDO7:BDQ7"/>
    <mergeCell ref="BDR7:BDT7"/>
    <mergeCell ref="BDU7:BDW7"/>
    <mergeCell ref="BDX7:BDZ7"/>
    <mergeCell ref="BKY7:BLA7"/>
    <mergeCell ref="BLB7:BLD7"/>
    <mergeCell ref="BLE7:BLG7"/>
    <mergeCell ref="BLH7:BLJ7"/>
    <mergeCell ref="BLK7:BLM7"/>
    <mergeCell ref="BLN7:BLP7"/>
    <mergeCell ref="BKG7:BKI7"/>
    <mergeCell ref="BKJ7:BKL7"/>
    <mergeCell ref="BKM7:BKO7"/>
    <mergeCell ref="BKP7:BKR7"/>
    <mergeCell ref="BKS7:BKU7"/>
    <mergeCell ref="BKV7:BKX7"/>
    <mergeCell ref="BJO7:BJQ7"/>
    <mergeCell ref="BJR7:BJT7"/>
    <mergeCell ref="BJU7:BJW7"/>
    <mergeCell ref="BJX7:BJZ7"/>
    <mergeCell ref="BKA7:BKC7"/>
    <mergeCell ref="BKD7:BKF7"/>
    <mergeCell ref="BIW7:BIY7"/>
    <mergeCell ref="BIZ7:BJB7"/>
    <mergeCell ref="BJC7:BJE7"/>
    <mergeCell ref="BJF7:BJH7"/>
    <mergeCell ref="BJI7:BJK7"/>
    <mergeCell ref="BJL7:BJN7"/>
    <mergeCell ref="BIE7:BIG7"/>
    <mergeCell ref="BIH7:BIJ7"/>
    <mergeCell ref="BIK7:BIM7"/>
    <mergeCell ref="BIN7:BIP7"/>
    <mergeCell ref="BIQ7:BIS7"/>
    <mergeCell ref="BIT7:BIV7"/>
    <mergeCell ref="BHM7:BHO7"/>
    <mergeCell ref="BHP7:BHR7"/>
    <mergeCell ref="BHS7:BHU7"/>
    <mergeCell ref="BHV7:BHX7"/>
    <mergeCell ref="BHY7:BIA7"/>
    <mergeCell ref="BIB7:BID7"/>
    <mergeCell ref="BPC7:BPE7"/>
    <mergeCell ref="BPF7:BPH7"/>
    <mergeCell ref="BPI7:BPK7"/>
    <mergeCell ref="BPL7:BPN7"/>
    <mergeCell ref="BPO7:BPQ7"/>
    <mergeCell ref="BPR7:BPT7"/>
    <mergeCell ref="BOK7:BOM7"/>
    <mergeCell ref="BON7:BOP7"/>
    <mergeCell ref="BOQ7:BOS7"/>
    <mergeCell ref="BOT7:BOV7"/>
    <mergeCell ref="BOW7:BOY7"/>
    <mergeCell ref="BOZ7:BPB7"/>
    <mergeCell ref="BNS7:BNU7"/>
    <mergeCell ref="BNV7:BNX7"/>
    <mergeCell ref="BNY7:BOA7"/>
    <mergeCell ref="BOB7:BOD7"/>
    <mergeCell ref="BOE7:BOG7"/>
    <mergeCell ref="BOH7:BOJ7"/>
    <mergeCell ref="BNA7:BNC7"/>
    <mergeCell ref="BND7:BNF7"/>
    <mergeCell ref="BNG7:BNI7"/>
    <mergeCell ref="BNJ7:BNL7"/>
    <mergeCell ref="BNM7:BNO7"/>
    <mergeCell ref="BNP7:BNR7"/>
    <mergeCell ref="BMI7:BMK7"/>
    <mergeCell ref="BML7:BMN7"/>
    <mergeCell ref="BMO7:BMQ7"/>
    <mergeCell ref="BMR7:BMT7"/>
    <mergeCell ref="BMU7:BMW7"/>
    <mergeCell ref="BMX7:BMZ7"/>
    <mergeCell ref="BLQ7:BLS7"/>
    <mergeCell ref="BLT7:BLV7"/>
    <mergeCell ref="BLW7:BLY7"/>
    <mergeCell ref="BLZ7:BMB7"/>
    <mergeCell ref="BMC7:BME7"/>
    <mergeCell ref="BMF7:BMH7"/>
    <mergeCell ref="BTG7:BTI7"/>
    <mergeCell ref="BTJ7:BTL7"/>
    <mergeCell ref="BTM7:BTO7"/>
    <mergeCell ref="BTP7:BTR7"/>
    <mergeCell ref="BTS7:BTU7"/>
    <mergeCell ref="BTV7:BTX7"/>
    <mergeCell ref="BSO7:BSQ7"/>
    <mergeCell ref="BSR7:BST7"/>
    <mergeCell ref="BSU7:BSW7"/>
    <mergeCell ref="BSX7:BSZ7"/>
    <mergeCell ref="BTA7:BTC7"/>
    <mergeCell ref="BTD7:BTF7"/>
    <mergeCell ref="BRW7:BRY7"/>
    <mergeCell ref="BRZ7:BSB7"/>
    <mergeCell ref="BSC7:BSE7"/>
    <mergeCell ref="BSF7:BSH7"/>
    <mergeCell ref="BSI7:BSK7"/>
    <mergeCell ref="BSL7:BSN7"/>
    <mergeCell ref="BRE7:BRG7"/>
    <mergeCell ref="BRH7:BRJ7"/>
    <mergeCell ref="BRK7:BRM7"/>
    <mergeCell ref="BRN7:BRP7"/>
    <mergeCell ref="BRQ7:BRS7"/>
    <mergeCell ref="BRT7:BRV7"/>
    <mergeCell ref="BQM7:BQO7"/>
    <mergeCell ref="BQP7:BQR7"/>
    <mergeCell ref="BQS7:BQU7"/>
    <mergeCell ref="BQV7:BQX7"/>
    <mergeCell ref="BQY7:BRA7"/>
    <mergeCell ref="BRB7:BRD7"/>
    <mergeCell ref="BPU7:BPW7"/>
    <mergeCell ref="BPX7:BPZ7"/>
    <mergeCell ref="BQA7:BQC7"/>
    <mergeCell ref="BQD7:BQF7"/>
    <mergeCell ref="BQG7:BQI7"/>
    <mergeCell ref="BQJ7:BQL7"/>
    <mergeCell ref="BXK7:BXM7"/>
    <mergeCell ref="BXN7:BXP7"/>
    <mergeCell ref="BXQ7:BXS7"/>
    <mergeCell ref="BXT7:BXV7"/>
    <mergeCell ref="BXW7:BXY7"/>
    <mergeCell ref="BXZ7:BYB7"/>
    <mergeCell ref="BWS7:BWU7"/>
    <mergeCell ref="BWV7:BWX7"/>
    <mergeCell ref="BWY7:BXA7"/>
    <mergeCell ref="BXB7:BXD7"/>
    <mergeCell ref="BXE7:BXG7"/>
    <mergeCell ref="BXH7:BXJ7"/>
    <mergeCell ref="BWA7:BWC7"/>
    <mergeCell ref="BWD7:BWF7"/>
    <mergeCell ref="BWG7:BWI7"/>
    <mergeCell ref="BWJ7:BWL7"/>
    <mergeCell ref="BWM7:BWO7"/>
    <mergeCell ref="BWP7:BWR7"/>
    <mergeCell ref="BVI7:BVK7"/>
    <mergeCell ref="BVL7:BVN7"/>
    <mergeCell ref="BVO7:BVQ7"/>
    <mergeCell ref="BVR7:BVT7"/>
    <mergeCell ref="BVU7:BVW7"/>
    <mergeCell ref="BVX7:BVZ7"/>
    <mergeCell ref="BUQ7:BUS7"/>
    <mergeCell ref="BUT7:BUV7"/>
    <mergeCell ref="BUW7:BUY7"/>
    <mergeCell ref="BUZ7:BVB7"/>
    <mergeCell ref="BVC7:BVE7"/>
    <mergeCell ref="BVF7:BVH7"/>
    <mergeCell ref="BTY7:BUA7"/>
    <mergeCell ref="BUB7:BUD7"/>
    <mergeCell ref="BUE7:BUG7"/>
    <mergeCell ref="BUH7:BUJ7"/>
    <mergeCell ref="BUK7:BUM7"/>
    <mergeCell ref="BUN7:BUP7"/>
    <mergeCell ref="CBO7:CBQ7"/>
    <mergeCell ref="CBR7:CBT7"/>
    <mergeCell ref="CBU7:CBW7"/>
    <mergeCell ref="CBX7:CBZ7"/>
    <mergeCell ref="CCA7:CCC7"/>
    <mergeCell ref="CCD7:CCF7"/>
    <mergeCell ref="CAW7:CAY7"/>
    <mergeCell ref="CAZ7:CBB7"/>
    <mergeCell ref="CBC7:CBE7"/>
    <mergeCell ref="CBF7:CBH7"/>
    <mergeCell ref="CBI7:CBK7"/>
    <mergeCell ref="CBL7:CBN7"/>
    <mergeCell ref="CAE7:CAG7"/>
    <mergeCell ref="CAH7:CAJ7"/>
    <mergeCell ref="CAK7:CAM7"/>
    <mergeCell ref="CAN7:CAP7"/>
    <mergeCell ref="CAQ7:CAS7"/>
    <mergeCell ref="CAT7:CAV7"/>
    <mergeCell ref="BZM7:BZO7"/>
    <mergeCell ref="BZP7:BZR7"/>
    <mergeCell ref="BZS7:BZU7"/>
    <mergeCell ref="BZV7:BZX7"/>
    <mergeCell ref="BZY7:CAA7"/>
    <mergeCell ref="CAB7:CAD7"/>
    <mergeCell ref="BYU7:BYW7"/>
    <mergeCell ref="BYX7:BYZ7"/>
    <mergeCell ref="BZA7:BZC7"/>
    <mergeCell ref="BZD7:BZF7"/>
    <mergeCell ref="BZG7:BZI7"/>
    <mergeCell ref="BZJ7:BZL7"/>
    <mergeCell ref="BYC7:BYE7"/>
    <mergeCell ref="BYF7:BYH7"/>
    <mergeCell ref="BYI7:BYK7"/>
    <mergeCell ref="BYL7:BYN7"/>
    <mergeCell ref="BYO7:BYQ7"/>
    <mergeCell ref="BYR7:BYT7"/>
    <mergeCell ref="CFS7:CFU7"/>
    <mergeCell ref="CFV7:CFX7"/>
    <mergeCell ref="CFY7:CGA7"/>
    <mergeCell ref="CGB7:CGD7"/>
    <mergeCell ref="CGE7:CGG7"/>
    <mergeCell ref="CGH7:CGJ7"/>
    <mergeCell ref="CFA7:CFC7"/>
    <mergeCell ref="CFD7:CFF7"/>
    <mergeCell ref="CFG7:CFI7"/>
    <mergeCell ref="CFJ7:CFL7"/>
    <mergeCell ref="CFM7:CFO7"/>
    <mergeCell ref="CFP7:CFR7"/>
    <mergeCell ref="CEI7:CEK7"/>
    <mergeCell ref="CEL7:CEN7"/>
    <mergeCell ref="CEO7:CEQ7"/>
    <mergeCell ref="CER7:CET7"/>
    <mergeCell ref="CEU7:CEW7"/>
    <mergeCell ref="CEX7:CEZ7"/>
    <mergeCell ref="CDQ7:CDS7"/>
    <mergeCell ref="CDT7:CDV7"/>
    <mergeCell ref="CDW7:CDY7"/>
    <mergeCell ref="CDZ7:CEB7"/>
    <mergeCell ref="CEC7:CEE7"/>
    <mergeCell ref="CEF7:CEH7"/>
    <mergeCell ref="CCY7:CDA7"/>
    <mergeCell ref="CDB7:CDD7"/>
    <mergeCell ref="CDE7:CDG7"/>
    <mergeCell ref="CDH7:CDJ7"/>
    <mergeCell ref="CDK7:CDM7"/>
    <mergeCell ref="CDN7:CDP7"/>
    <mergeCell ref="CCG7:CCI7"/>
    <mergeCell ref="CCJ7:CCL7"/>
    <mergeCell ref="CCM7:CCO7"/>
    <mergeCell ref="CCP7:CCR7"/>
    <mergeCell ref="CCS7:CCU7"/>
    <mergeCell ref="CCV7:CCX7"/>
    <mergeCell ref="CJW7:CJY7"/>
    <mergeCell ref="CJZ7:CKB7"/>
    <mergeCell ref="CKC7:CKE7"/>
    <mergeCell ref="CKF7:CKH7"/>
    <mergeCell ref="CKI7:CKK7"/>
    <mergeCell ref="CKL7:CKN7"/>
    <mergeCell ref="CJE7:CJG7"/>
    <mergeCell ref="CJH7:CJJ7"/>
    <mergeCell ref="CJK7:CJM7"/>
    <mergeCell ref="CJN7:CJP7"/>
    <mergeCell ref="CJQ7:CJS7"/>
    <mergeCell ref="CJT7:CJV7"/>
    <mergeCell ref="CIM7:CIO7"/>
    <mergeCell ref="CIP7:CIR7"/>
    <mergeCell ref="CIS7:CIU7"/>
    <mergeCell ref="CIV7:CIX7"/>
    <mergeCell ref="CIY7:CJA7"/>
    <mergeCell ref="CJB7:CJD7"/>
    <mergeCell ref="CHU7:CHW7"/>
    <mergeCell ref="CHX7:CHZ7"/>
    <mergeCell ref="CIA7:CIC7"/>
    <mergeCell ref="CID7:CIF7"/>
    <mergeCell ref="CIG7:CII7"/>
    <mergeCell ref="CIJ7:CIL7"/>
    <mergeCell ref="CHC7:CHE7"/>
    <mergeCell ref="CHF7:CHH7"/>
    <mergeCell ref="CHI7:CHK7"/>
    <mergeCell ref="CHL7:CHN7"/>
    <mergeCell ref="CHO7:CHQ7"/>
    <mergeCell ref="CHR7:CHT7"/>
    <mergeCell ref="CGK7:CGM7"/>
    <mergeCell ref="CGN7:CGP7"/>
    <mergeCell ref="CGQ7:CGS7"/>
    <mergeCell ref="CGT7:CGV7"/>
    <mergeCell ref="CGW7:CGY7"/>
    <mergeCell ref="CGZ7:CHB7"/>
    <mergeCell ref="COA7:COC7"/>
    <mergeCell ref="COD7:COF7"/>
    <mergeCell ref="COG7:COI7"/>
    <mergeCell ref="COJ7:COL7"/>
    <mergeCell ref="COM7:COO7"/>
    <mergeCell ref="COP7:COR7"/>
    <mergeCell ref="CNI7:CNK7"/>
    <mergeCell ref="CNL7:CNN7"/>
    <mergeCell ref="CNO7:CNQ7"/>
    <mergeCell ref="CNR7:CNT7"/>
    <mergeCell ref="CNU7:CNW7"/>
    <mergeCell ref="CNX7:CNZ7"/>
    <mergeCell ref="CMQ7:CMS7"/>
    <mergeCell ref="CMT7:CMV7"/>
    <mergeCell ref="CMW7:CMY7"/>
    <mergeCell ref="CMZ7:CNB7"/>
    <mergeCell ref="CNC7:CNE7"/>
    <mergeCell ref="CNF7:CNH7"/>
    <mergeCell ref="CLY7:CMA7"/>
    <mergeCell ref="CMB7:CMD7"/>
    <mergeCell ref="CME7:CMG7"/>
    <mergeCell ref="CMH7:CMJ7"/>
    <mergeCell ref="CMK7:CMM7"/>
    <mergeCell ref="CMN7:CMP7"/>
    <mergeCell ref="CLG7:CLI7"/>
    <mergeCell ref="CLJ7:CLL7"/>
    <mergeCell ref="CLM7:CLO7"/>
    <mergeCell ref="CLP7:CLR7"/>
    <mergeCell ref="CLS7:CLU7"/>
    <mergeCell ref="CLV7:CLX7"/>
    <mergeCell ref="CKO7:CKQ7"/>
    <mergeCell ref="CKR7:CKT7"/>
    <mergeCell ref="CKU7:CKW7"/>
    <mergeCell ref="CKX7:CKZ7"/>
    <mergeCell ref="CLA7:CLC7"/>
    <mergeCell ref="CLD7:CLF7"/>
    <mergeCell ref="CSE7:CSG7"/>
    <mergeCell ref="CSH7:CSJ7"/>
    <mergeCell ref="CSK7:CSM7"/>
    <mergeCell ref="CSN7:CSP7"/>
    <mergeCell ref="CSQ7:CSS7"/>
    <mergeCell ref="CST7:CSV7"/>
    <mergeCell ref="CRM7:CRO7"/>
    <mergeCell ref="CRP7:CRR7"/>
    <mergeCell ref="CRS7:CRU7"/>
    <mergeCell ref="CRV7:CRX7"/>
    <mergeCell ref="CRY7:CSA7"/>
    <mergeCell ref="CSB7:CSD7"/>
    <mergeCell ref="CQU7:CQW7"/>
    <mergeCell ref="CQX7:CQZ7"/>
    <mergeCell ref="CRA7:CRC7"/>
    <mergeCell ref="CRD7:CRF7"/>
    <mergeCell ref="CRG7:CRI7"/>
    <mergeCell ref="CRJ7:CRL7"/>
    <mergeCell ref="CQC7:CQE7"/>
    <mergeCell ref="CQF7:CQH7"/>
    <mergeCell ref="CQI7:CQK7"/>
    <mergeCell ref="CQL7:CQN7"/>
    <mergeCell ref="CQO7:CQQ7"/>
    <mergeCell ref="CQR7:CQT7"/>
    <mergeCell ref="CPK7:CPM7"/>
    <mergeCell ref="CPN7:CPP7"/>
    <mergeCell ref="CPQ7:CPS7"/>
    <mergeCell ref="CPT7:CPV7"/>
    <mergeCell ref="CPW7:CPY7"/>
    <mergeCell ref="CPZ7:CQB7"/>
    <mergeCell ref="COS7:COU7"/>
    <mergeCell ref="COV7:COX7"/>
    <mergeCell ref="COY7:CPA7"/>
    <mergeCell ref="CPB7:CPD7"/>
    <mergeCell ref="CPE7:CPG7"/>
    <mergeCell ref="CPH7:CPJ7"/>
    <mergeCell ref="CWI7:CWK7"/>
    <mergeCell ref="CWL7:CWN7"/>
    <mergeCell ref="CWO7:CWQ7"/>
    <mergeCell ref="CWR7:CWT7"/>
    <mergeCell ref="CWU7:CWW7"/>
    <mergeCell ref="CWX7:CWZ7"/>
    <mergeCell ref="CVQ7:CVS7"/>
    <mergeCell ref="CVT7:CVV7"/>
    <mergeCell ref="CVW7:CVY7"/>
    <mergeCell ref="CVZ7:CWB7"/>
    <mergeCell ref="CWC7:CWE7"/>
    <mergeCell ref="CWF7:CWH7"/>
    <mergeCell ref="CUY7:CVA7"/>
    <mergeCell ref="CVB7:CVD7"/>
    <mergeCell ref="CVE7:CVG7"/>
    <mergeCell ref="CVH7:CVJ7"/>
    <mergeCell ref="CVK7:CVM7"/>
    <mergeCell ref="CVN7:CVP7"/>
    <mergeCell ref="CUG7:CUI7"/>
    <mergeCell ref="CUJ7:CUL7"/>
    <mergeCell ref="CUM7:CUO7"/>
    <mergeCell ref="CUP7:CUR7"/>
    <mergeCell ref="CUS7:CUU7"/>
    <mergeCell ref="CUV7:CUX7"/>
    <mergeCell ref="CTO7:CTQ7"/>
    <mergeCell ref="CTR7:CTT7"/>
    <mergeCell ref="CTU7:CTW7"/>
    <mergeCell ref="CTX7:CTZ7"/>
    <mergeCell ref="CUA7:CUC7"/>
    <mergeCell ref="CUD7:CUF7"/>
    <mergeCell ref="CSW7:CSY7"/>
    <mergeCell ref="CSZ7:CTB7"/>
    <mergeCell ref="CTC7:CTE7"/>
    <mergeCell ref="CTF7:CTH7"/>
    <mergeCell ref="CTI7:CTK7"/>
    <mergeCell ref="CTL7:CTN7"/>
    <mergeCell ref="DAM7:DAO7"/>
    <mergeCell ref="DAP7:DAR7"/>
    <mergeCell ref="DAS7:DAU7"/>
    <mergeCell ref="DAV7:DAX7"/>
    <mergeCell ref="DAY7:DBA7"/>
    <mergeCell ref="DBB7:DBD7"/>
    <mergeCell ref="CZU7:CZW7"/>
    <mergeCell ref="CZX7:CZZ7"/>
    <mergeCell ref="DAA7:DAC7"/>
    <mergeCell ref="DAD7:DAF7"/>
    <mergeCell ref="DAG7:DAI7"/>
    <mergeCell ref="DAJ7:DAL7"/>
    <mergeCell ref="CZC7:CZE7"/>
    <mergeCell ref="CZF7:CZH7"/>
    <mergeCell ref="CZI7:CZK7"/>
    <mergeCell ref="CZL7:CZN7"/>
    <mergeCell ref="CZO7:CZQ7"/>
    <mergeCell ref="CZR7:CZT7"/>
    <mergeCell ref="CYK7:CYM7"/>
    <mergeCell ref="CYN7:CYP7"/>
    <mergeCell ref="CYQ7:CYS7"/>
    <mergeCell ref="CYT7:CYV7"/>
    <mergeCell ref="CYW7:CYY7"/>
    <mergeCell ref="CYZ7:CZB7"/>
    <mergeCell ref="CXS7:CXU7"/>
    <mergeCell ref="CXV7:CXX7"/>
    <mergeCell ref="CXY7:CYA7"/>
    <mergeCell ref="CYB7:CYD7"/>
    <mergeCell ref="CYE7:CYG7"/>
    <mergeCell ref="CYH7:CYJ7"/>
    <mergeCell ref="CXA7:CXC7"/>
    <mergeCell ref="CXD7:CXF7"/>
    <mergeCell ref="CXG7:CXI7"/>
    <mergeCell ref="CXJ7:CXL7"/>
    <mergeCell ref="CXM7:CXO7"/>
    <mergeCell ref="CXP7:CXR7"/>
    <mergeCell ref="DEQ7:DES7"/>
    <mergeCell ref="DET7:DEV7"/>
    <mergeCell ref="DEW7:DEY7"/>
    <mergeCell ref="DEZ7:DFB7"/>
    <mergeCell ref="DFC7:DFE7"/>
    <mergeCell ref="DFF7:DFH7"/>
    <mergeCell ref="DDY7:DEA7"/>
    <mergeCell ref="DEB7:DED7"/>
    <mergeCell ref="DEE7:DEG7"/>
    <mergeCell ref="DEH7:DEJ7"/>
    <mergeCell ref="DEK7:DEM7"/>
    <mergeCell ref="DEN7:DEP7"/>
    <mergeCell ref="DDG7:DDI7"/>
    <mergeCell ref="DDJ7:DDL7"/>
    <mergeCell ref="DDM7:DDO7"/>
    <mergeCell ref="DDP7:DDR7"/>
    <mergeCell ref="DDS7:DDU7"/>
    <mergeCell ref="DDV7:DDX7"/>
    <mergeCell ref="DCO7:DCQ7"/>
    <mergeCell ref="DCR7:DCT7"/>
    <mergeCell ref="DCU7:DCW7"/>
    <mergeCell ref="DCX7:DCZ7"/>
    <mergeCell ref="DDA7:DDC7"/>
    <mergeCell ref="DDD7:DDF7"/>
    <mergeCell ref="DBW7:DBY7"/>
    <mergeCell ref="DBZ7:DCB7"/>
    <mergeCell ref="DCC7:DCE7"/>
    <mergeCell ref="DCF7:DCH7"/>
    <mergeCell ref="DCI7:DCK7"/>
    <mergeCell ref="DCL7:DCN7"/>
    <mergeCell ref="DBE7:DBG7"/>
    <mergeCell ref="DBH7:DBJ7"/>
    <mergeCell ref="DBK7:DBM7"/>
    <mergeCell ref="DBN7:DBP7"/>
    <mergeCell ref="DBQ7:DBS7"/>
    <mergeCell ref="DBT7:DBV7"/>
    <mergeCell ref="DIU7:DIW7"/>
    <mergeCell ref="DIX7:DIZ7"/>
    <mergeCell ref="DJA7:DJC7"/>
    <mergeCell ref="DJD7:DJF7"/>
    <mergeCell ref="DJG7:DJI7"/>
    <mergeCell ref="DJJ7:DJL7"/>
    <mergeCell ref="DIC7:DIE7"/>
    <mergeCell ref="DIF7:DIH7"/>
    <mergeCell ref="DII7:DIK7"/>
    <mergeCell ref="DIL7:DIN7"/>
    <mergeCell ref="DIO7:DIQ7"/>
    <mergeCell ref="DIR7:DIT7"/>
    <mergeCell ref="DHK7:DHM7"/>
    <mergeCell ref="DHN7:DHP7"/>
    <mergeCell ref="DHQ7:DHS7"/>
    <mergeCell ref="DHT7:DHV7"/>
    <mergeCell ref="DHW7:DHY7"/>
    <mergeCell ref="DHZ7:DIB7"/>
    <mergeCell ref="DGS7:DGU7"/>
    <mergeCell ref="DGV7:DGX7"/>
    <mergeCell ref="DGY7:DHA7"/>
    <mergeCell ref="DHB7:DHD7"/>
    <mergeCell ref="DHE7:DHG7"/>
    <mergeCell ref="DHH7:DHJ7"/>
    <mergeCell ref="DGA7:DGC7"/>
    <mergeCell ref="DGD7:DGF7"/>
    <mergeCell ref="DGG7:DGI7"/>
    <mergeCell ref="DGJ7:DGL7"/>
    <mergeCell ref="DGM7:DGO7"/>
    <mergeCell ref="DGP7:DGR7"/>
    <mergeCell ref="DFI7:DFK7"/>
    <mergeCell ref="DFL7:DFN7"/>
    <mergeCell ref="DFO7:DFQ7"/>
    <mergeCell ref="DFR7:DFT7"/>
    <mergeCell ref="DFU7:DFW7"/>
    <mergeCell ref="DFX7:DFZ7"/>
    <mergeCell ref="DMY7:DNA7"/>
    <mergeCell ref="DNB7:DND7"/>
    <mergeCell ref="DNE7:DNG7"/>
    <mergeCell ref="DNH7:DNJ7"/>
    <mergeCell ref="DNK7:DNM7"/>
    <mergeCell ref="DNN7:DNP7"/>
    <mergeCell ref="DMG7:DMI7"/>
    <mergeCell ref="DMJ7:DML7"/>
    <mergeCell ref="DMM7:DMO7"/>
    <mergeCell ref="DMP7:DMR7"/>
    <mergeCell ref="DMS7:DMU7"/>
    <mergeCell ref="DMV7:DMX7"/>
    <mergeCell ref="DLO7:DLQ7"/>
    <mergeCell ref="DLR7:DLT7"/>
    <mergeCell ref="DLU7:DLW7"/>
    <mergeCell ref="DLX7:DLZ7"/>
    <mergeCell ref="DMA7:DMC7"/>
    <mergeCell ref="DMD7:DMF7"/>
    <mergeCell ref="DKW7:DKY7"/>
    <mergeCell ref="DKZ7:DLB7"/>
    <mergeCell ref="DLC7:DLE7"/>
    <mergeCell ref="DLF7:DLH7"/>
    <mergeCell ref="DLI7:DLK7"/>
    <mergeCell ref="DLL7:DLN7"/>
    <mergeCell ref="DKE7:DKG7"/>
    <mergeCell ref="DKH7:DKJ7"/>
    <mergeCell ref="DKK7:DKM7"/>
    <mergeCell ref="DKN7:DKP7"/>
    <mergeCell ref="DKQ7:DKS7"/>
    <mergeCell ref="DKT7:DKV7"/>
    <mergeCell ref="DJM7:DJO7"/>
    <mergeCell ref="DJP7:DJR7"/>
    <mergeCell ref="DJS7:DJU7"/>
    <mergeCell ref="DJV7:DJX7"/>
    <mergeCell ref="DJY7:DKA7"/>
    <mergeCell ref="DKB7:DKD7"/>
    <mergeCell ref="DRC7:DRE7"/>
    <mergeCell ref="DRF7:DRH7"/>
    <mergeCell ref="DRI7:DRK7"/>
    <mergeCell ref="DRL7:DRN7"/>
    <mergeCell ref="DRO7:DRQ7"/>
    <mergeCell ref="DRR7:DRT7"/>
    <mergeCell ref="DQK7:DQM7"/>
    <mergeCell ref="DQN7:DQP7"/>
    <mergeCell ref="DQQ7:DQS7"/>
    <mergeCell ref="DQT7:DQV7"/>
    <mergeCell ref="DQW7:DQY7"/>
    <mergeCell ref="DQZ7:DRB7"/>
    <mergeCell ref="DPS7:DPU7"/>
    <mergeCell ref="DPV7:DPX7"/>
    <mergeCell ref="DPY7:DQA7"/>
    <mergeCell ref="DQB7:DQD7"/>
    <mergeCell ref="DQE7:DQG7"/>
    <mergeCell ref="DQH7:DQJ7"/>
    <mergeCell ref="DPA7:DPC7"/>
    <mergeCell ref="DPD7:DPF7"/>
    <mergeCell ref="DPG7:DPI7"/>
    <mergeCell ref="DPJ7:DPL7"/>
    <mergeCell ref="DPM7:DPO7"/>
    <mergeCell ref="DPP7:DPR7"/>
    <mergeCell ref="DOI7:DOK7"/>
    <mergeCell ref="DOL7:DON7"/>
    <mergeCell ref="DOO7:DOQ7"/>
    <mergeCell ref="DOR7:DOT7"/>
    <mergeCell ref="DOU7:DOW7"/>
    <mergeCell ref="DOX7:DOZ7"/>
    <mergeCell ref="DNQ7:DNS7"/>
    <mergeCell ref="DNT7:DNV7"/>
    <mergeCell ref="DNW7:DNY7"/>
    <mergeCell ref="DNZ7:DOB7"/>
    <mergeCell ref="DOC7:DOE7"/>
    <mergeCell ref="DOF7:DOH7"/>
    <mergeCell ref="DVG7:DVI7"/>
    <mergeCell ref="DVJ7:DVL7"/>
    <mergeCell ref="DVM7:DVO7"/>
    <mergeCell ref="DVP7:DVR7"/>
    <mergeCell ref="DVS7:DVU7"/>
    <mergeCell ref="DVV7:DVX7"/>
    <mergeCell ref="DUO7:DUQ7"/>
    <mergeCell ref="DUR7:DUT7"/>
    <mergeCell ref="DUU7:DUW7"/>
    <mergeCell ref="DUX7:DUZ7"/>
    <mergeCell ref="DVA7:DVC7"/>
    <mergeCell ref="DVD7:DVF7"/>
    <mergeCell ref="DTW7:DTY7"/>
    <mergeCell ref="DTZ7:DUB7"/>
    <mergeCell ref="DUC7:DUE7"/>
    <mergeCell ref="DUF7:DUH7"/>
    <mergeCell ref="DUI7:DUK7"/>
    <mergeCell ref="DUL7:DUN7"/>
    <mergeCell ref="DTE7:DTG7"/>
    <mergeCell ref="DTH7:DTJ7"/>
    <mergeCell ref="DTK7:DTM7"/>
    <mergeCell ref="DTN7:DTP7"/>
    <mergeCell ref="DTQ7:DTS7"/>
    <mergeCell ref="DTT7:DTV7"/>
    <mergeCell ref="DSM7:DSO7"/>
    <mergeCell ref="DSP7:DSR7"/>
    <mergeCell ref="DSS7:DSU7"/>
    <mergeCell ref="DSV7:DSX7"/>
    <mergeCell ref="DSY7:DTA7"/>
    <mergeCell ref="DTB7:DTD7"/>
    <mergeCell ref="DRU7:DRW7"/>
    <mergeCell ref="DRX7:DRZ7"/>
    <mergeCell ref="DSA7:DSC7"/>
    <mergeCell ref="DSD7:DSF7"/>
    <mergeCell ref="DSG7:DSI7"/>
    <mergeCell ref="DSJ7:DSL7"/>
    <mergeCell ref="DZK7:DZM7"/>
    <mergeCell ref="DZN7:DZP7"/>
    <mergeCell ref="DZQ7:DZS7"/>
    <mergeCell ref="DZT7:DZV7"/>
    <mergeCell ref="DZW7:DZY7"/>
    <mergeCell ref="DZZ7:EAB7"/>
    <mergeCell ref="DYS7:DYU7"/>
    <mergeCell ref="DYV7:DYX7"/>
    <mergeCell ref="DYY7:DZA7"/>
    <mergeCell ref="DZB7:DZD7"/>
    <mergeCell ref="DZE7:DZG7"/>
    <mergeCell ref="DZH7:DZJ7"/>
    <mergeCell ref="DYA7:DYC7"/>
    <mergeCell ref="DYD7:DYF7"/>
    <mergeCell ref="DYG7:DYI7"/>
    <mergeCell ref="DYJ7:DYL7"/>
    <mergeCell ref="DYM7:DYO7"/>
    <mergeCell ref="DYP7:DYR7"/>
    <mergeCell ref="DXI7:DXK7"/>
    <mergeCell ref="DXL7:DXN7"/>
    <mergeCell ref="DXO7:DXQ7"/>
    <mergeCell ref="DXR7:DXT7"/>
    <mergeCell ref="DXU7:DXW7"/>
    <mergeCell ref="DXX7:DXZ7"/>
    <mergeCell ref="DWQ7:DWS7"/>
    <mergeCell ref="DWT7:DWV7"/>
    <mergeCell ref="DWW7:DWY7"/>
    <mergeCell ref="DWZ7:DXB7"/>
    <mergeCell ref="DXC7:DXE7"/>
    <mergeCell ref="DXF7:DXH7"/>
    <mergeCell ref="DVY7:DWA7"/>
    <mergeCell ref="DWB7:DWD7"/>
    <mergeCell ref="DWE7:DWG7"/>
    <mergeCell ref="DWH7:DWJ7"/>
    <mergeCell ref="DWK7:DWM7"/>
    <mergeCell ref="DWN7:DWP7"/>
    <mergeCell ref="EDO7:EDQ7"/>
    <mergeCell ref="EDR7:EDT7"/>
    <mergeCell ref="EDU7:EDW7"/>
    <mergeCell ref="EDX7:EDZ7"/>
    <mergeCell ref="EEA7:EEC7"/>
    <mergeCell ref="EED7:EEF7"/>
    <mergeCell ref="ECW7:ECY7"/>
    <mergeCell ref="ECZ7:EDB7"/>
    <mergeCell ref="EDC7:EDE7"/>
    <mergeCell ref="EDF7:EDH7"/>
    <mergeCell ref="EDI7:EDK7"/>
    <mergeCell ref="EDL7:EDN7"/>
    <mergeCell ref="ECE7:ECG7"/>
    <mergeCell ref="ECH7:ECJ7"/>
    <mergeCell ref="ECK7:ECM7"/>
    <mergeCell ref="ECN7:ECP7"/>
    <mergeCell ref="ECQ7:ECS7"/>
    <mergeCell ref="ECT7:ECV7"/>
    <mergeCell ref="EBM7:EBO7"/>
    <mergeCell ref="EBP7:EBR7"/>
    <mergeCell ref="EBS7:EBU7"/>
    <mergeCell ref="EBV7:EBX7"/>
    <mergeCell ref="EBY7:ECA7"/>
    <mergeCell ref="ECB7:ECD7"/>
    <mergeCell ref="EAU7:EAW7"/>
    <mergeCell ref="EAX7:EAZ7"/>
    <mergeCell ref="EBA7:EBC7"/>
    <mergeCell ref="EBD7:EBF7"/>
    <mergeCell ref="EBG7:EBI7"/>
    <mergeCell ref="EBJ7:EBL7"/>
    <mergeCell ref="EAC7:EAE7"/>
    <mergeCell ref="EAF7:EAH7"/>
    <mergeCell ref="EAI7:EAK7"/>
    <mergeCell ref="EAL7:EAN7"/>
    <mergeCell ref="EAO7:EAQ7"/>
    <mergeCell ref="EAR7:EAT7"/>
    <mergeCell ref="EHS7:EHU7"/>
    <mergeCell ref="EHV7:EHX7"/>
    <mergeCell ref="EHY7:EIA7"/>
    <mergeCell ref="EIB7:EID7"/>
    <mergeCell ref="EIE7:EIG7"/>
    <mergeCell ref="EIH7:EIJ7"/>
    <mergeCell ref="EHA7:EHC7"/>
    <mergeCell ref="EHD7:EHF7"/>
    <mergeCell ref="EHG7:EHI7"/>
    <mergeCell ref="EHJ7:EHL7"/>
    <mergeCell ref="EHM7:EHO7"/>
    <mergeCell ref="EHP7:EHR7"/>
    <mergeCell ref="EGI7:EGK7"/>
    <mergeCell ref="EGL7:EGN7"/>
    <mergeCell ref="EGO7:EGQ7"/>
    <mergeCell ref="EGR7:EGT7"/>
    <mergeCell ref="EGU7:EGW7"/>
    <mergeCell ref="EGX7:EGZ7"/>
    <mergeCell ref="EFQ7:EFS7"/>
    <mergeCell ref="EFT7:EFV7"/>
    <mergeCell ref="EFW7:EFY7"/>
    <mergeCell ref="EFZ7:EGB7"/>
    <mergeCell ref="EGC7:EGE7"/>
    <mergeCell ref="EGF7:EGH7"/>
    <mergeCell ref="EEY7:EFA7"/>
    <mergeCell ref="EFB7:EFD7"/>
    <mergeCell ref="EFE7:EFG7"/>
    <mergeCell ref="EFH7:EFJ7"/>
    <mergeCell ref="EFK7:EFM7"/>
    <mergeCell ref="EFN7:EFP7"/>
    <mergeCell ref="EEG7:EEI7"/>
    <mergeCell ref="EEJ7:EEL7"/>
    <mergeCell ref="EEM7:EEO7"/>
    <mergeCell ref="EEP7:EER7"/>
    <mergeCell ref="EES7:EEU7"/>
    <mergeCell ref="EEV7:EEX7"/>
    <mergeCell ref="ELW7:ELY7"/>
    <mergeCell ref="ELZ7:EMB7"/>
    <mergeCell ref="EMC7:EME7"/>
    <mergeCell ref="EMF7:EMH7"/>
    <mergeCell ref="EMI7:EMK7"/>
    <mergeCell ref="EML7:EMN7"/>
    <mergeCell ref="ELE7:ELG7"/>
    <mergeCell ref="ELH7:ELJ7"/>
    <mergeCell ref="ELK7:ELM7"/>
    <mergeCell ref="ELN7:ELP7"/>
    <mergeCell ref="ELQ7:ELS7"/>
    <mergeCell ref="ELT7:ELV7"/>
    <mergeCell ref="EKM7:EKO7"/>
    <mergeCell ref="EKP7:EKR7"/>
    <mergeCell ref="EKS7:EKU7"/>
    <mergeCell ref="EKV7:EKX7"/>
    <mergeCell ref="EKY7:ELA7"/>
    <mergeCell ref="ELB7:ELD7"/>
    <mergeCell ref="EJU7:EJW7"/>
    <mergeCell ref="EJX7:EJZ7"/>
    <mergeCell ref="EKA7:EKC7"/>
    <mergeCell ref="EKD7:EKF7"/>
    <mergeCell ref="EKG7:EKI7"/>
    <mergeCell ref="EKJ7:EKL7"/>
    <mergeCell ref="EJC7:EJE7"/>
    <mergeCell ref="EJF7:EJH7"/>
    <mergeCell ref="EJI7:EJK7"/>
    <mergeCell ref="EJL7:EJN7"/>
    <mergeCell ref="EJO7:EJQ7"/>
    <mergeCell ref="EJR7:EJT7"/>
    <mergeCell ref="EIK7:EIM7"/>
    <mergeCell ref="EIN7:EIP7"/>
    <mergeCell ref="EIQ7:EIS7"/>
    <mergeCell ref="EIT7:EIV7"/>
    <mergeCell ref="EIW7:EIY7"/>
    <mergeCell ref="EIZ7:EJB7"/>
    <mergeCell ref="EQA7:EQC7"/>
    <mergeCell ref="EQD7:EQF7"/>
    <mergeCell ref="EQG7:EQI7"/>
    <mergeCell ref="EQJ7:EQL7"/>
    <mergeCell ref="EQM7:EQO7"/>
    <mergeCell ref="EQP7:EQR7"/>
    <mergeCell ref="EPI7:EPK7"/>
    <mergeCell ref="EPL7:EPN7"/>
    <mergeCell ref="EPO7:EPQ7"/>
    <mergeCell ref="EPR7:EPT7"/>
    <mergeCell ref="EPU7:EPW7"/>
    <mergeCell ref="EPX7:EPZ7"/>
    <mergeCell ref="EOQ7:EOS7"/>
    <mergeCell ref="EOT7:EOV7"/>
    <mergeCell ref="EOW7:EOY7"/>
    <mergeCell ref="EOZ7:EPB7"/>
    <mergeCell ref="EPC7:EPE7"/>
    <mergeCell ref="EPF7:EPH7"/>
    <mergeCell ref="ENY7:EOA7"/>
    <mergeCell ref="EOB7:EOD7"/>
    <mergeCell ref="EOE7:EOG7"/>
    <mergeCell ref="EOH7:EOJ7"/>
    <mergeCell ref="EOK7:EOM7"/>
    <mergeCell ref="EON7:EOP7"/>
    <mergeCell ref="ENG7:ENI7"/>
    <mergeCell ref="ENJ7:ENL7"/>
    <mergeCell ref="ENM7:ENO7"/>
    <mergeCell ref="ENP7:ENR7"/>
    <mergeCell ref="ENS7:ENU7"/>
    <mergeCell ref="ENV7:ENX7"/>
    <mergeCell ref="EMO7:EMQ7"/>
    <mergeCell ref="EMR7:EMT7"/>
    <mergeCell ref="EMU7:EMW7"/>
    <mergeCell ref="EMX7:EMZ7"/>
    <mergeCell ref="ENA7:ENC7"/>
    <mergeCell ref="END7:ENF7"/>
    <mergeCell ref="EUE7:EUG7"/>
    <mergeCell ref="EUH7:EUJ7"/>
    <mergeCell ref="EUK7:EUM7"/>
    <mergeCell ref="EUN7:EUP7"/>
    <mergeCell ref="EUQ7:EUS7"/>
    <mergeCell ref="EUT7:EUV7"/>
    <mergeCell ref="ETM7:ETO7"/>
    <mergeCell ref="ETP7:ETR7"/>
    <mergeCell ref="ETS7:ETU7"/>
    <mergeCell ref="ETV7:ETX7"/>
    <mergeCell ref="ETY7:EUA7"/>
    <mergeCell ref="EUB7:EUD7"/>
    <mergeCell ref="ESU7:ESW7"/>
    <mergeCell ref="ESX7:ESZ7"/>
    <mergeCell ref="ETA7:ETC7"/>
    <mergeCell ref="ETD7:ETF7"/>
    <mergeCell ref="ETG7:ETI7"/>
    <mergeCell ref="ETJ7:ETL7"/>
    <mergeCell ref="ESC7:ESE7"/>
    <mergeCell ref="ESF7:ESH7"/>
    <mergeCell ref="ESI7:ESK7"/>
    <mergeCell ref="ESL7:ESN7"/>
    <mergeCell ref="ESO7:ESQ7"/>
    <mergeCell ref="ESR7:EST7"/>
    <mergeCell ref="ERK7:ERM7"/>
    <mergeCell ref="ERN7:ERP7"/>
    <mergeCell ref="ERQ7:ERS7"/>
    <mergeCell ref="ERT7:ERV7"/>
    <mergeCell ref="ERW7:ERY7"/>
    <mergeCell ref="ERZ7:ESB7"/>
    <mergeCell ref="EQS7:EQU7"/>
    <mergeCell ref="EQV7:EQX7"/>
    <mergeCell ref="EQY7:ERA7"/>
    <mergeCell ref="ERB7:ERD7"/>
    <mergeCell ref="ERE7:ERG7"/>
    <mergeCell ref="ERH7:ERJ7"/>
    <mergeCell ref="EYI7:EYK7"/>
    <mergeCell ref="EYL7:EYN7"/>
    <mergeCell ref="EYO7:EYQ7"/>
    <mergeCell ref="EYR7:EYT7"/>
    <mergeCell ref="EYU7:EYW7"/>
    <mergeCell ref="EYX7:EYZ7"/>
    <mergeCell ref="EXQ7:EXS7"/>
    <mergeCell ref="EXT7:EXV7"/>
    <mergeCell ref="EXW7:EXY7"/>
    <mergeCell ref="EXZ7:EYB7"/>
    <mergeCell ref="EYC7:EYE7"/>
    <mergeCell ref="EYF7:EYH7"/>
    <mergeCell ref="EWY7:EXA7"/>
    <mergeCell ref="EXB7:EXD7"/>
    <mergeCell ref="EXE7:EXG7"/>
    <mergeCell ref="EXH7:EXJ7"/>
    <mergeCell ref="EXK7:EXM7"/>
    <mergeCell ref="EXN7:EXP7"/>
    <mergeCell ref="EWG7:EWI7"/>
    <mergeCell ref="EWJ7:EWL7"/>
    <mergeCell ref="EWM7:EWO7"/>
    <mergeCell ref="EWP7:EWR7"/>
    <mergeCell ref="EWS7:EWU7"/>
    <mergeCell ref="EWV7:EWX7"/>
    <mergeCell ref="EVO7:EVQ7"/>
    <mergeCell ref="EVR7:EVT7"/>
    <mergeCell ref="EVU7:EVW7"/>
    <mergeCell ref="EVX7:EVZ7"/>
    <mergeCell ref="EWA7:EWC7"/>
    <mergeCell ref="EWD7:EWF7"/>
    <mergeCell ref="EUW7:EUY7"/>
    <mergeCell ref="EUZ7:EVB7"/>
    <mergeCell ref="EVC7:EVE7"/>
    <mergeCell ref="EVF7:EVH7"/>
    <mergeCell ref="EVI7:EVK7"/>
    <mergeCell ref="EVL7:EVN7"/>
    <mergeCell ref="FCM7:FCO7"/>
    <mergeCell ref="FCP7:FCR7"/>
    <mergeCell ref="FCS7:FCU7"/>
    <mergeCell ref="FCV7:FCX7"/>
    <mergeCell ref="FCY7:FDA7"/>
    <mergeCell ref="FDB7:FDD7"/>
    <mergeCell ref="FBU7:FBW7"/>
    <mergeCell ref="FBX7:FBZ7"/>
    <mergeCell ref="FCA7:FCC7"/>
    <mergeCell ref="FCD7:FCF7"/>
    <mergeCell ref="FCG7:FCI7"/>
    <mergeCell ref="FCJ7:FCL7"/>
    <mergeCell ref="FBC7:FBE7"/>
    <mergeCell ref="FBF7:FBH7"/>
    <mergeCell ref="FBI7:FBK7"/>
    <mergeCell ref="FBL7:FBN7"/>
    <mergeCell ref="FBO7:FBQ7"/>
    <mergeCell ref="FBR7:FBT7"/>
    <mergeCell ref="FAK7:FAM7"/>
    <mergeCell ref="FAN7:FAP7"/>
    <mergeCell ref="FAQ7:FAS7"/>
    <mergeCell ref="FAT7:FAV7"/>
    <mergeCell ref="FAW7:FAY7"/>
    <mergeCell ref="FAZ7:FBB7"/>
    <mergeCell ref="EZS7:EZU7"/>
    <mergeCell ref="EZV7:EZX7"/>
    <mergeCell ref="EZY7:FAA7"/>
    <mergeCell ref="FAB7:FAD7"/>
    <mergeCell ref="FAE7:FAG7"/>
    <mergeCell ref="FAH7:FAJ7"/>
    <mergeCell ref="EZA7:EZC7"/>
    <mergeCell ref="EZD7:EZF7"/>
    <mergeCell ref="EZG7:EZI7"/>
    <mergeCell ref="EZJ7:EZL7"/>
    <mergeCell ref="EZM7:EZO7"/>
    <mergeCell ref="EZP7:EZR7"/>
    <mergeCell ref="FGQ7:FGS7"/>
    <mergeCell ref="FGT7:FGV7"/>
    <mergeCell ref="FGW7:FGY7"/>
    <mergeCell ref="FGZ7:FHB7"/>
    <mergeCell ref="FHC7:FHE7"/>
    <mergeCell ref="FHF7:FHH7"/>
    <mergeCell ref="FFY7:FGA7"/>
    <mergeCell ref="FGB7:FGD7"/>
    <mergeCell ref="FGE7:FGG7"/>
    <mergeCell ref="FGH7:FGJ7"/>
    <mergeCell ref="FGK7:FGM7"/>
    <mergeCell ref="FGN7:FGP7"/>
    <mergeCell ref="FFG7:FFI7"/>
    <mergeCell ref="FFJ7:FFL7"/>
    <mergeCell ref="FFM7:FFO7"/>
    <mergeCell ref="FFP7:FFR7"/>
    <mergeCell ref="FFS7:FFU7"/>
    <mergeCell ref="FFV7:FFX7"/>
    <mergeCell ref="FEO7:FEQ7"/>
    <mergeCell ref="FER7:FET7"/>
    <mergeCell ref="FEU7:FEW7"/>
    <mergeCell ref="FEX7:FEZ7"/>
    <mergeCell ref="FFA7:FFC7"/>
    <mergeCell ref="FFD7:FFF7"/>
    <mergeCell ref="FDW7:FDY7"/>
    <mergeCell ref="FDZ7:FEB7"/>
    <mergeCell ref="FEC7:FEE7"/>
    <mergeCell ref="FEF7:FEH7"/>
    <mergeCell ref="FEI7:FEK7"/>
    <mergeCell ref="FEL7:FEN7"/>
    <mergeCell ref="FDE7:FDG7"/>
    <mergeCell ref="FDH7:FDJ7"/>
    <mergeCell ref="FDK7:FDM7"/>
    <mergeCell ref="FDN7:FDP7"/>
    <mergeCell ref="FDQ7:FDS7"/>
    <mergeCell ref="FDT7:FDV7"/>
    <mergeCell ref="FKU7:FKW7"/>
    <mergeCell ref="FKX7:FKZ7"/>
    <mergeCell ref="FLA7:FLC7"/>
    <mergeCell ref="FLD7:FLF7"/>
    <mergeCell ref="FLG7:FLI7"/>
    <mergeCell ref="FLJ7:FLL7"/>
    <mergeCell ref="FKC7:FKE7"/>
    <mergeCell ref="FKF7:FKH7"/>
    <mergeCell ref="FKI7:FKK7"/>
    <mergeCell ref="FKL7:FKN7"/>
    <mergeCell ref="FKO7:FKQ7"/>
    <mergeCell ref="FKR7:FKT7"/>
    <mergeCell ref="FJK7:FJM7"/>
    <mergeCell ref="FJN7:FJP7"/>
    <mergeCell ref="FJQ7:FJS7"/>
    <mergeCell ref="FJT7:FJV7"/>
    <mergeCell ref="FJW7:FJY7"/>
    <mergeCell ref="FJZ7:FKB7"/>
    <mergeCell ref="FIS7:FIU7"/>
    <mergeCell ref="FIV7:FIX7"/>
    <mergeCell ref="FIY7:FJA7"/>
    <mergeCell ref="FJB7:FJD7"/>
    <mergeCell ref="FJE7:FJG7"/>
    <mergeCell ref="FJH7:FJJ7"/>
    <mergeCell ref="FIA7:FIC7"/>
    <mergeCell ref="FID7:FIF7"/>
    <mergeCell ref="FIG7:FII7"/>
    <mergeCell ref="FIJ7:FIL7"/>
    <mergeCell ref="FIM7:FIO7"/>
    <mergeCell ref="FIP7:FIR7"/>
    <mergeCell ref="FHI7:FHK7"/>
    <mergeCell ref="FHL7:FHN7"/>
    <mergeCell ref="FHO7:FHQ7"/>
    <mergeCell ref="FHR7:FHT7"/>
    <mergeCell ref="FHU7:FHW7"/>
    <mergeCell ref="FHX7:FHZ7"/>
    <mergeCell ref="FOY7:FPA7"/>
    <mergeCell ref="FPB7:FPD7"/>
    <mergeCell ref="FPE7:FPG7"/>
    <mergeCell ref="FPH7:FPJ7"/>
    <mergeCell ref="FPK7:FPM7"/>
    <mergeCell ref="FPN7:FPP7"/>
    <mergeCell ref="FOG7:FOI7"/>
    <mergeCell ref="FOJ7:FOL7"/>
    <mergeCell ref="FOM7:FOO7"/>
    <mergeCell ref="FOP7:FOR7"/>
    <mergeCell ref="FOS7:FOU7"/>
    <mergeCell ref="FOV7:FOX7"/>
    <mergeCell ref="FNO7:FNQ7"/>
    <mergeCell ref="FNR7:FNT7"/>
    <mergeCell ref="FNU7:FNW7"/>
    <mergeCell ref="FNX7:FNZ7"/>
    <mergeCell ref="FOA7:FOC7"/>
    <mergeCell ref="FOD7:FOF7"/>
    <mergeCell ref="FMW7:FMY7"/>
    <mergeCell ref="FMZ7:FNB7"/>
    <mergeCell ref="FNC7:FNE7"/>
    <mergeCell ref="FNF7:FNH7"/>
    <mergeCell ref="FNI7:FNK7"/>
    <mergeCell ref="FNL7:FNN7"/>
    <mergeCell ref="FME7:FMG7"/>
    <mergeCell ref="FMH7:FMJ7"/>
    <mergeCell ref="FMK7:FMM7"/>
    <mergeCell ref="FMN7:FMP7"/>
    <mergeCell ref="FMQ7:FMS7"/>
    <mergeCell ref="FMT7:FMV7"/>
    <mergeCell ref="FLM7:FLO7"/>
    <mergeCell ref="FLP7:FLR7"/>
    <mergeCell ref="FLS7:FLU7"/>
    <mergeCell ref="FLV7:FLX7"/>
    <mergeCell ref="FLY7:FMA7"/>
    <mergeCell ref="FMB7:FMD7"/>
    <mergeCell ref="FTC7:FTE7"/>
    <mergeCell ref="FTF7:FTH7"/>
    <mergeCell ref="FTI7:FTK7"/>
    <mergeCell ref="FTL7:FTN7"/>
    <mergeCell ref="FTO7:FTQ7"/>
    <mergeCell ref="FTR7:FTT7"/>
    <mergeCell ref="FSK7:FSM7"/>
    <mergeCell ref="FSN7:FSP7"/>
    <mergeCell ref="FSQ7:FSS7"/>
    <mergeCell ref="FST7:FSV7"/>
    <mergeCell ref="FSW7:FSY7"/>
    <mergeCell ref="FSZ7:FTB7"/>
    <mergeCell ref="FRS7:FRU7"/>
    <mergeCell ref="FRV7:FRX7"/>
    <mergeCell ref="FRY7:FSA7"/>
    <mergeCell ref="FSB7:FSD7"/>
    <mergeCell ref="FSE7:FSG7"/>
    <mergeCell ref="FSH7:FSJ7"/>
    <mergeCell ref="FRA7:FRC7"/>
    <mergeCell ref="FRD7:FRF7"/>
    <mergeCell ref="FRG7:FRI7"/>
    <mergeCell ref="FRJ7:FRL7"/>
    <mergeCell ref="FRM7:FRO7"/>
    <mergeCell ref="FRP7:FRR7"/>
    <mergeCell ref="FQI7:FQK7"/>
    <mergeCell ref="FQL7:FQN7"/>
    <mergeCell ref="FQO7:FQQ7"/>
    <mergeCell ref="FQR7:FQT7"/>
    <mergeCell ref="FQU7:FQW7"/>
    <mergeCell ref="FQX7:FQZ7"/>
    <mergeCell ref="FPQ7:FPS7"/>
    <mergeCell ref="FPT7:FPV7"/>
    <mergeCell ref="FPW7:FPY7"/>
    <mergeCell ref="FPZ7:FQB7"/>
    <mergeCell ref="FQC7:FQE7"/>
    <mergeCell ref="FQF7:FQH7"/>
    <mergeCell ref="FXG7:FXI7"/>
    <mergeCell ref="FXJ7:FXL7"/>
    <mergeCell ref="FXM7:FXO7"/>
    <mergeCell ref="FXP7:FXR7"/>
    <mergeCell ref="FXS7:FXU7"/>
    <mergeCell ref="FXV7:FXX7"/>
    <mergeCell ref="FWO7:FWQ7"/>
    <mergeCell ref="FWR7:FWT7"/>
    <mergeCell ref="FWU7:FWW7"/>
    <mergeCell ref="FWX7:FWZ7"/>
    <mergeCell ref="FXA7:FXC7"/>
    <mergeCell ref="FXD7:FXF7"/>
    <mergeCell ref="FVW7:FVY7"/>
    <mergeCell ref="FVZ7:FWB7"/>
    <mergeCell ref="FWC7:FWE7"/>
    <mergeCell ref="FWF7:FWH7"/>
    <mergeCell ref="FWI7:FWK7"/>
    <mergeCell ref="FWL7:FWN7"/>
    <mergeCell ref="FVE7:FVG7"/>
    <mergeCell ref="FVH7:FVJ7"/>
    <mergeCell ref="FVK7:FVM7"/>
    <mergeCell ref="FVN7:FVP7"/>
    <mergeCell ref="FVQ7:FVS7"/>
    <mergeCell ref="FVT7:FVV7"/>
    <mergeCell ref="FUM7:FUO7"/>
    <mergeCell ref="FUP7:FUR7"/>
    <mergeCell ref="FUS7:FUU7"/>
    <mergeCell ref="FUV7:FUX7"/>
    <mergeCell ref="FUY7:FVA7"/>
    <mergeCell ref="FVB7:FVD7"/>
    <mergeCell ref="FTU7:FTW7"/>
    <mergeCell ref="FTX7:FTZ7"/>
    <mergeCell ref="FUA7:FUC7"/>
    <mergeCell ref="FUD7:FUF7"/>
    <mergeCell ref="FUG7:FUI7"/>
    <mergeCell ref="FUJ7:FUL7"/>
    <mergeCell ref="GBK7:GBM7"/>
    <mergeCell ref="GBN7:GBP7"/>
    <mergeCell ref="GBQ7:GBS7"/>
    <mergeCell ref="GBT7:GBV7"/>
    <mergeCell ref="GBW7:GBY7"/>
    <mergeCell ref="GBZ7:GCB7"/>
    <mergeCell ref="GAS7:GAU7"/>
    <mergeCell ref="GAV7:GAX7"/>
    <mergeCell ref="GAY7:GBA7"/>
    <mergeCell ref="GBB7:GBD7"/>
    <mergeCell ref="GBE7:GBG7"/>
    <mergeCell ref="GBH7:GBJ7"/>
    <mergeCell ref="GAA7:GAC7"/>
    <mergeCell ref="GAD7:GAF7"/>
    <mergeCell ref="GAG7:GAI7"/>
    <mergeCell ref="GAJ7:GAL7"/>
    <mergeCell ref="GAM7:GAO7"/>
    <mergeCell ref="GAP7:GAR7"/>
    <mergeCell ref="FZI7:FZK7"/>
    <mergeCell ref="FZL7:FZN7"/>
    <mergeCell ref="FZO7:FZQ7"/>
    <mergeCell ref="FZR7:FZT7"/>
    <mergeCell ref="FZU7:FZW7"/>
    <mergeCell ref="FZX7:FZZ7"/>
    <mergeCell ref="FYQ7:FYS7"/>
    <mergeCell ref="FYT7:FYV7"/>
    <mergeCell ref="FYW7:FYY7"/>
    <mergeCell ref="FYZ7:FZB7"/>
    <mergeCell ref="FZC7:FZE7"/>
    <mergeCell ref="FZF7:FZH7"/>
    <mergeCell ref="FXY7:FYA7"/>
    <mergeCell ref="FYB7:FYD7"/>
    <mergeCell ref="FYE7:FYG7"/>
    <mergeCell ref="FYH7:FYJ7"/>
    <mergeCell ref="FYK7:FYM7"/>
    <mergeCell ref="FYN7:FYP7"/>
    <mergeCell ref="GFO7:GFQ7"/>
    <mergeCell ref="GFR7:GFT7"/>
    <mergeCell ref="GFU7:GFW7"/>
    <mergeCell ref="GFX7:GFZ7"/>
    <mergeCell ref="GGA7:GGC7"/>
    <mergeCell ref="GGD7:GGF7"/>
    <mergeCell ref="GEW7:GEY7"/>
    <mergeCell ref="GEZ7:GFB7"/>
    <mergeCell ref="GFC7:GFE7"/>
    <mergeCell ref="GFF7:GFH7"/>
    <mergeCell ref="GFI7:GFK7"/>
    <mergeCell ref="GFL7:GFN7"/>
    <mergeCell ref="GEE7:GEG7"/>
    <mergeCell ref="GEH7:GEJ7"/>
    <mergeCell ref="GEK7:GEM7"/>
    <mergeCell ref="GEN7:GEP7"/>
    <mergeCell ref="GEQ7:GES7"/>
    <mergeCell ref="GET7:GEV7"/>
    <mergeCell ref="GDM7:GDO7"/>
    <mergeCell ref="GDP7:GDR7"/>
    <mergeCell ref="GDS7:GDU7"/>
    <mergeCell ref="GDV7:GDX7"/>
    <mergeCell ref="GDY7:GEA7"/>
    <mergeCell ref="GEB7:GED7"/>
    <mergeCell ref="GCU7:GCW7"/>
    <mergeCell ref="GCX7:GCZ7"/>
    <mergeCell ref="GDA7:GDC7"/>
    <mergeCell ref="GDD7:GDF7"/>
    <mergeCell ref="GDG7:GDI7"/>
    <mergeCell ref="GDJ7:GDL7"/>
    <mergeCell ref="GCC7:GCE7"/>
    <mergeCell ref="GCF7:GCH7"/>
    <mergeCell ref="GCI7:GCK7"/>
    <mergeCell ref="GCL7:GCN7"/>
    <mergeCell ref="GCO7:GCQ7"/>
    <mergeCell ref="GCR7:GCT7"/>
    <mergeCell ref="GJS7:GJU7"/>
    <mergeCell ref="GJV7:GJX7"/>
    <mergeCell ref="GJY7:GKA7"/>
    <mergeCell ref="GKB7:GKD7"/>
    <mergeCell ref="GKE7:GKG7"/>
    <mergeCell ref="GKH7:GKJ7"/>
    <mergeCell ref="GJA7:GJC7"/>
    <mergeCell ref="GJD7:GJF7"/>
    <mergeCell ref="GJG7:GJI7"/>
    <mergeCell ref="GJJ7:GJL7"/>
    <mergeCell ref="GJM7:GJO7"/>
    <mergeCell ref="GJP7:GJR7"/>
    <mergeCell ref="GII7:GIK7"/>
    <mergeCell ref="GIL7:GIN7"/>
    <mergeCell ref="GIO7:GIQ7"/>
    <mergeCell ref="GIR7:GIT7"/>
    <mergeCell ref="GIU7:GIW7"/>
    <mergeCell ref="GIX7:GIZ7"/>
    <mergeCell ref="GHQ7:GHS7"/>
    <mergeCell ref="GHT7:GHV7"/>
    <mergeCell ref="GHW7:GHY7"/>
    <mergeCell ref="GHZ7:GIB7"/>
    <mergeCell ref="GIC7:GIE7"/>
    <mergeCell ref="GIF7:GIH7"/>
    <mergeCell ref="GGY7:GHA7"/>
    <mergeCell ref="GHB7:GHD7"/>
    <mergeCell ref="GHE7:GHG7"/>
    <mergeCell ref="GHH7:GHJ7"/>
    <mergeCell ref="GHK7:GHM7"/>
    <mergeCell ref="GHN7:GHP7"/>
    <mergeCell ref="GGG7:GGI7"/>
    <mergeCell ref="GGJ7:GGL7"/>
    <mergeCell ref="GGM7:GGO7"/>
    <mergeCell ref="GGP7:GGR7"/>
    <mergeCell ref="GGS7:GGU7"/>
    <mergeCell ref="GGV7:GGX7"/>
    <mergeCell ref="GNW7:GNY7"/>
    <mergeCell ref="GNZ7:GOB7"/>
    <mergeCell ref="GOC7:GOE7"/>
    <mergeCell ref="GOF7:GOH7"/>
    <mergeCell ref="GOI7:GOK7"/>
    <mergeCell ref="GOL7:GON7"/>
    <mergeCell ref="GNE7:GNG7"/>
    <mergeCell ref="GNH7:GNJ7"/>
    <mergeCell ref="GNK7:GNM7"/>
    <mergeCell ref="GNN7:GNP7"/>
    <mergeCell ref="GNQ7:GNS7"/>
    <mergeCell ref="GNT7:GNV7"/>
    <mergeCell ref="GMM7:GMO7"/>
    <mergeCell ref="GMP7:GMR7"/>
    <mergeCell ref="GMS7:GMU7"/>
    <mergeCell ref="GMV7:GMX7"/>
    <mergeCell ref="GMY7:GNA7"/>
    <mergeCell ref="GNB7:GND7"/>
    <mergeCell ref="GLU7:GLW7"/>
    <mergeCell ref="GLX7:GLZ7"/>
    <mergeCell ref="GMA7:GMC7"/>
    <mergeCell ref="GMD7:GMF7"/>
    <mergeCell ref="GMG7:GMI7"/>
    <mergeCell ref="GMJ7:GML7"/>
    <mergeCell ref="GLC7:GLE7"/>
    <mergeCell ref="GLF7:GLH7"/>
    <mergeCell ref="GLI7:GLK7"/>
    <mergeCell ref="GLL7:GLN7"/>
    <mergeCell ref="GLO7:GLQ7"/>
    <mergeCell ref="GLR7:GLT7"/>
    <mergeCell ref="GKK7:GKM7"/>
    <mergeCell ref="GKN7:GKP7"/>
    <mergeCell ref="GKQ7:GKS7"/>
    <mergeCell ref="GKT7:GKV7"/>
    <mergeCell ref="GKW7:GKY7"/>
    <mergeCell ref="GKZ7:GLB7"/>
    <mergeCell ref="GSA7:GSC7"/>
    <mergeCell ref="GSD7:GSF7"/>
    <mergeCell ref="GSG7:GSI7"/>
    <mergeCell ref="GSJ7:GSL7"/>
    <mergeCell ref="GSM7:GSO7"/>
    <mergeCell ref="GSP7:GSR7"/>
    <mergeCell ref="GRI7:GRK7"/>
    <mergeCell ref="GRL7:GRN7"/>
    <mergeCell ref="GRO7:GRQ7"/>
    <mergeCell ref="GRR7:GRT7"/>
    <mergeCell ref="GRU7:GRW7"/>
    <mergeCell ref="GRX7:GRZ7"/>
    <mergeCell ref="GQQ7:GQS7"/>
    <mergeCell ref="GQT7:GQV7"/>
    <mergeCell ref="GQW7:GQY7"/>
    <mergeCell ref="GQZ7:GRB7"/>
    <mergeCell ref="GRC7:GRE7"/>
    <mergeCell ref="GRF7:GRH7"/>
    <mergeCell ref="GPY7:GQA7"/>
    <mergeCell ref="GQB7:GQD7"/>
    <mergeCell ref="GQE7:GQG7"/>
    <mergeCell ref="GQH7:GQJ7"/>
    <mergeCell ref="GQK7:GQM7"/>
    <mergeCell ref="GQN7:GQP7"/>
    <mergeCell ref="GPG7:GPI7"/>
    <mergeCell ref="GPJ7:GPL7"/>
    <mergeCell ref="GPM7:GPO7"/>
    <mergeCell ref="GPP7:GPR7"/>
    <mergeCell ref="GPS7:GPU7"/>
    <mergeCell ref="GPV7:GPX7"/>
    <mergeCell ref="GOO7:GOQ7"/>
    <mergeCell ref="GOR7:GOT7"/>
    <mergeCell ref="GOU7:GOW7"/>
    <mergeCell ref="GOX7:GOZ7"/>
    <mergeCell ref="GPA7:GPC7"/>
    <mergeCell ref="GPD7:GPF7"/>
    <mergeCell ref="GWE7:GWG7"/>
    <mergeCell ref="GWH7:GWJ7"/>
    <mergeCell ref="GWK7:GWM7"/>
    <mergeCell ref="GWN7:GWP7"/>
    <mergeCell ref="GWQ7:GWS7"/>
    <mergeCell ref="GWT7:GWV7"/>
    <mergeCell ref="GVM7:GVO7"/>
    <mergeCell ref="GVP7:GVR7"/>
    <mergeCell ref="GVS7:GVU7"/>
    <mergeCell ref="GVV7:GVX7"/>
    <mergeCell ref="GVY7:GWA7"/>
    <mergeCell ref="GWB7:GWD7"/>
    <mergeCell ref="GUU7:GUW7"/>
    <mergeCell ref="GUX7:GUZ7"/>
    <mergeCell ref="GVA7:GVC7"/>
    <mergeCell ref="GVD7:GVF7"/>
    <mergeCell ref="GVG7:GVI7"/>
    <mergeCell ref="GVJ7:GVL7"/>
    <mergeCell ref="GUC7:GUE7"/>
    <mergeCell ref="GUF7:GUH7"/>
    <mergeCell ref="GUI7:GUK7"/>
    <mergeCell ref="GUL7:GUN7"/>
    <mergeCell ref="GUO7:GUQ7"/>
    <mergeCell ref="GUR7:GUT7"/>
    <mergeCell ref="GTK7:GTM7"/>
    <mergeCell ref="GTN7:GTP7"/>
    <mergeCell ref="GTQ7:GTS7"/>
    <mergeCell ref="GTT7:GTV7"/>
    <mergeCell ref="GTW7:GTY7"/>
    <mergeCell ref="GTZ7:GUB7"/>
    <mergeCell ref="GSS7:GSU7"/>
    <mergeCell ref="GSV7:GSX7"/>
    <mergeCell ref="GSY7:GTA7"/>
    <mergeCell ref="GTB7:GTD7"/>
    <mergeCell ref="GTE7:GTG7"/>
    <mergeCell ref="GTH7:GTJ7"/>
    <mergeCell ref="HAI7:HAK7"/>
    <mergeCell ref="HAL7:HAN7"/>
    <mergeCell ref="HAO7:HAQ7"/>
    <mergeCell ref="HAR7:HAT7"/>
    <mergeCell ref="HAU7:HAW7"/>
    <mergeCell ref="HAX7:HAZ7"/>
    <mergeCell ref="GZQ7:GZS7"/>
    <mergeCell ref="GZT7:GZV7"/>
    <mergeCell ref="GZW7:GZY7"/>
    <mergeCell ref="GZZ7:HAB7"/>
    <mergeCell ref="HAC7:HAE7"/>
    <mergeCell ref="HAF7:HAH7"/>
    <mergeCell ref="GYY7:GZA7"/>
    <mergeCell ref="GZB7:GZD7"/>
    <mergeCell ref="GZE7:GZG7"/>
    <mergeCell ref="GZH7:GZJ7"/>
    <mergeCell ref="GZK7:GZM7"/>
    <mergeCell ref="GZN7:GZP7"/>
    <mergeCell ref="GYG7:GYI7"/>
    <mergeCell ref="GYJ7:GYL7"/>
    <mergeCell ref="GYM7:GYO7"/>
    <mergeCell ref="GYP7:GYR7"/>
    <mergeCell ref="GYS7:GYU7"/>
    <mergeCell ref="GYV7:GYX7"/>
    <mergeCell ref="GXO7:GXQ7"/>
    <mergeCell ref="GXR7:GXT7"/>
    <mergeCell ref="GXU7:GXW7"/>
    <mergeCell ref="GXX7:GXZ7"/>
    <mergeCell ref="GYA7:GYC7"/>
    <mergeCell ref="GYD7:GYF7"/>
    <mergeCell ref="GWW7:GWY7"/>
    <mergeCell ref="GWZ7:GXB7"/>
    <mergeCell ref="GXC7:GXE7"/>
    <mergeCell ref="GXF7:GXH7"/>
    <mergeCell ref="GXI7:GXK7"/>
    <mergeCell ref="GXL7:GXN7"/>
    <mergeCell ref="HEM7:HEO7"/>
    <mergeCell ref="HEP7:HER7"/>
    <mergeCell ref="HES7:HEU7"/>
    <mergeCell ref="HEV7:HEX7"/>
    <mergeCell ref="HEY7:HFA7"/>
    <mergeCell ref="HFB7:HFD7"/>
    <mergeCell ref="HDU7:HDW7"/>
    <mergeCell ref="HDX7:HDZ7"/>
    <mergeCell ref="HEA7:HEC7"/>
    <mergeCell ref="HED7:HEF7"/>
    <mergeCell ref="HEG7:HEI7"/>
    <mergeCell ref="HEJ7:HEL7"/>
    <mergeCell ref="HDC7:HDE7"/>
    <mergeCell ref="HDF7:HDH7"/>
    <mergeCell ref="HDI7:HDK7"/>
    <mergeCell ref="HDL7:HDN7"/>
    <mergeCell ref="HDO7:HDQ7"/>
    <mergeCell ref="HDR7:HDT7"/>
    <mergeCell ref="HCK7:HCM7"/>
    <mergeCell ref="HCN7:HCP7"/>
    <mergeCell ref="HCQ7:HCS7"/>
    <mergeCell ref="HCT7:HCV7"/>
    <mergeCell ref="HCW7:HCY7"/>
    <mergeCell ref="HCZ7:HDB7"/>
    <mergeCell ref="HBS7:HBU7"/>
    <mergeCell ref="HBV7:HBX7"/>
    <mergeCell ref="HBY7:HCA7"/>
    <mergeCell ref="HCB7:HCD7"/>
    <mergeCell ref="HCE7:HCG7"/>
    <mergeCell ref="HCH7:HCJ7"/>
    <mergeCell ref="HBA7:HBC7"/>
    <mergeCell ref="HBD7:HBF7"/>
    <mergeCell ref="HBG7:HBI7"/>
    <mergeCell ref="HBJ7:HBL7"/>
    <mergeCell ref="HBM7:HBO7"/>
    <mergeCell ref="HBP7:HBR7"/>
    <mergeCell ref="HIQ7:HIS7"/>
    <mergeCell ref="HIT7:HIV7"/>
    <mergeCell ref="HIW7:HIY7"/>
    <mergeCell ref="HIZ7:HJB7"/>
    <mergeCell ref="HJC7:HJE7"/>
    <mergeCell ref="HJF7:HJH7"/>
    <mergeCell ref="HHY7:HIA7"/>
    <mergeCell ref="HIB7:HID7"/>
    <mergeCell ref="HIE7:HIG7"/>
    <mergeCell ref="HIH7:HIJ7"/>
    <mergeCell ref="HIK7:HIM7"/>
    <mergeCell ref="HIN7:HIP7"/>
    <mergeCell ref="HHG7:HHI7"/>
    <mergeCell ref="HHJ7:HHL7"/>
    <mergeCell ref="HHM7:HHO7"/>
    <mergeCell ref="HHP7:HHR7"/>
    <mergeCell ref="HHS7:HHU7"/>
    <mergeCell ref="HHV7:HHX7"/>
    <mergeCell ref="HGO7:HGQ7"/>
    <mergeCell ref="HGR7:HGT7"/>
    <mergeCell ref="HGU7:HGW7"/>
    <mergeCell ref="HGX7:HGZ7"/>
    <mergeCell ref="HHA7:HHC7"/>
    <mergeCell ref="HHD7:HHF7"/>
    <mergeCell ref="HFW7:HFY7"/>
    <mergeCell ref="HFZ7:HGB7"/>
    <mergeCell ref="HGC7:HGE7"/>
    <mergeCell ref="HGF7:HGH7"/>
    <mergeCell ref="HGI7:HGK7"/>
    <mergeCell ref="HGL7:HGN7"/>
    <mergeCell ref="HFE7:HFG7"/>
    <mergeCell ref="HFH7:HFJ7"/>
    <mergeCell ref="HFK7:HFM7"/>
    <mergeCell ref="HFN7:HFP7"/>
    <mergeCell ref="HFQ7:HFS7"/>
    <mergeCell ref="HFT7:HFV7"/>
    <mergeCell ref="HMU7:HMW7"/>
    <mergeCell ref="HMX7:HMZ7"/>
    <mergeCell ref="HNA7:HNC7"/>
    <mergeCell ref="HND7:HNF7"/>
    <mergeCell ref="HNG7:HNI7"/>
    <mergeCell ref="HNJ7:HNL7"/>
    <mergeCell ref="HMC7:HME7"/>
    <mergeCell ref="HMF7:HMH7"/>
    <mergeCell ref="HMI7:HMK7"/>
    <mergeCell ref="HML7:HMN7"/>
    <mergeCell ref="HMO7:HMQ7"/>
    <mergeCell ref="HMR7:HMT7"/>
    <mergeCell ref="HLK7:HLM7"/>
    <mergeCell ref="HLN7:HLP7"/>
    <mergeCell ref="HLQ7:HLS7"/>
    <mergeCell ref="HLT7:HLV7"/>
    <mergeCell ref="HLW7:HLY7"/>
    <mergeCell ref="HLZ7:HMB7"/>
    <mergeCell ref="HKS7:HKU7"/>
    <mergeCell ref="HKV7:HKX7"/>
    <mergeCell ref="HKY7:HLA7"/>
    <mergeCell ref="HLB7:HLD7"/>
    <mergeCell ref="HLE7:HLG7"/>
    <mergeCell ref="HLH7:HLJ7"/>
    <mergeCell ref="HKA7:HKC7"/>
    <mergeCell ref="HKD7:HKF7"/>
    <mergeCell ref="HKG7:HKI7"/>
    <mergeCell ref="HKJ7:HKL7"/>
    <mergeCell ref="HKM7:HKO7"/>
    <mergeCell ref="HKP7:HKR7"/>
    <mergeCell ref="HJI7:HJK7"/>
    <mergeCell ref="HJL7:HJN7"/>
    <mergeCell ref="HJO7:HJQ7"/>
    <mergeCell ref="HJR7:HJT7"/>
    <mergeCell ref="HJU7:HJW7"/>
    <mergeCell ref="HJX7:HJZ7"/>
    <mergeCell ref="HQY7:HRA7"/>
    <mergeCell ref="HRB7:HRD7"/>
    <mergeCell ref="HRE7:HRG7"/>
    <mergeCell ref="HRH7:HRJ7"/>
    <mergeCell ref="HRK7:HRM7"/>
    <mergeCell ref="HRN7:HRP7"/>
    <mergeCell ref="HQG7:HQI7"/>
    <mergeCell ref="HQJ7:HQL7"/>
    <mergeCell ref="HQM7:HQO7"/>
    <mergeCell ref="HQP7:HQR7"/>
    <mergeCell ref="HQS7:HQU7"/>
    <mergeCell ref="HQV7:HQX7"/>
    <mergeCell ref="HPO7:HPQ7"/>
    <mergeCell ref="HPR7:HPT7"/>
    <mergeCell ref="HPU7:HPW7"/>
    <mergeCell ref="HPX7:HPZ7"/>
    <mergeCell ref="HQA7:HQC7"/>
    <mergeCell ref="HQD7:HQF7"/>
    <mergeCell ref="HOW7:HOY7"/>
    <mergeCell ref="HOZ7:HPB7"/>
    <mergeCell ref="HPC7:HPE7"/>
    <mergeCell ref="HPF7:HPH7"/>
    <mergeCell ref="HPI7:HPK7"/>
    <mergeCell ref="HPL7:HPN7"/>
    <mergeCell ref="HOE7:HOG7"/>
    <mergeCell ref="HOH7:HOJ7"/>
    <mergeCell ref="HOK7:HOM7"/>
    <mergeCell ref="HON7:HOP7"/>
    <mergeCell ref="HOQ7:HOS7"/>
    <mergeCell ref="HOT7:HOV7"/>
    <mergeCell ref="HNM7:HNO7"/>
    <mergeCell ref="HNP7:HNR7"/>
    <mergeCell ref="HNS7:HNU7"/>
    <mergeCell ref="HNV7:HNX7"/>
    <mergeCell ref="HNY7:HOA7"/>
    <mergeCell ref="HOB7:HOD7"/>
    <mergeCell ref="HVC7:HVE7"/>
    <mergeCell ref="HVF7:HVH7"/>
    <mergeCell ref="HVI7:HVK7"/>
    <mergeCell ref="HVL7:HVN7"/>
    <mergeCell ref="HVO7:HVQ7"/>
    <mergeCell ref="HVR7:HVT7"/>
    <mergeCell ref="HUK7:HUM7"/>
    <mergeCell ref="HUN7:HUP7"/>
    <mergeCell ref="HUQ7:HUS7"/>
    <mergeCell ref="HUT7:HUV7"/>
    <mergeCell ref="HUW7:HUY7"/>
    <mergeCell ref="HUZ7:HVB7"/>
    <mergeCell ref="HTS7:HTU7"/>
    <mergeCell ref="HTV7:HTX7"/>
    <mergeCell ref="HTY7:HUA7"/>
    <mergeCell ref="HUB7:HUD7"/>
    <mergeCell ref="HUE7:HUG7"/>
    <mergeCell ref="HUH7:HUJ7"/>
    <mergeCell ref="HTA7:HTC7"/>
    <mergeCell ref="HTD7:HTF7"/>
    <mergeCell ref="HTG7:HTI7"/>
    <mergeCell ref="HTJ7:HTL7"/>
    <mergeCell ref="HTM7:HTO7"/>
    <mergeCell ref="HTP7:HTR7"/>
    <mergeCell ref="HSI7:HSK7"/>
    <mergeCell ref="HSL7:HSN7"/>
    <mergeCell ref="HSO7:HSQ7"/>
    <mergeCell ref="HSR7:HST7"/>
    <mergeCell ref="HSU7:HSW7"/>
    <mergeCell ref="HSX7:HSZ7"/>
    <mergeCell ref="HRQ7:HRS7"/>
    <mergeCell ref="HRT7:HRV7"/>
    <mergeCell ref="HRW7:HRY7"/>
    <mergeCell ref="HRZ7:HSB7"/>
    <mergeCell ref="HSC7:HSE7"/>
    <mergeCell ref="HSF7:HSH7"/>
    <mergeCell ref="HZG7:HZI7"/>
    <mergeCell ref="HZJ7:HZL7"/>
    <mergeCell ref="HZM7:HZO7"/>
    <mergeCell ref="HZP7:HZR7"/>
    <mergeCell ref="HZS7:HZU7"/>
    <mergeCell ref="HZV7:HZX7"/>
    <mergeCell ref="HYO7:HYQ7"/>
    <mergeCell ref="HYR7:HYT7"/>
    <mergeCell ref="HYU7:HYW7"/>
    <mergeCell ref="HYX7:HYZ7"/>
    <mergeCell ref="HZA7:HZC7"/>
    <mergeCell ref="HZD7:HZF7"/>
    <mergeCell ref="HXW7:HXY7"/>
    <mergeCell ref="HXZ7:HYB7"/>
    <mergeCell ref="HYC7:HYE7"/>
    <mergeCell ref="HYF7:HYH7"/>
    <mergeCell ref="HYI7:HYK7"/>
    <mergeCell ref="HYL7:HYN7"/>
    <mergeCell ref="HXE7:HXG7"/>
    <mergeCell ref="HXH7:HXJ7"/>
    <mergeCell ref="HXK7:HXM7"/>
    <mergeCell ref="HXN7:HXP7"/>
    <mergeCell ref="HXQ7:HXS7"/>
    <mergeCell ref="HXT7:HXV7"/>
    <mergeCell ref="HWM7:HWO7"/>
    <mergeCell ref="HWP7:HWR7"/>
    <mergeCell ref="HWS7:HWU7"/>
    <mergeCell ref="HWV7:HWX7"/>
    <mergeCell ref="HWY7:HXA7"/>
    <mergeCell ref="HXB7:HXD7"/>
    <mergeCell ref="HVU7:HVW7"/>
    <mergeCell ref="HVX7:HVZ7"/>
    <mergeCell ref="HWA7:HWC7"/>
    <mergeCell ref="HWD7:HWF7"/>
    <mergeCell ref="HWG7:HWI7"/>
    <mergeCell ref="HWJ7:HWL7"/>
    <mergeCell ref="IDK7:IDM7"/>
    <mergeCell ref="IDN7:IDP7"/>
    <mergeCell ref="IDQ7:IDS7"/>
    <mergeCell ref="IDT7:IDV7"/>
    <mergeCell ref="IDW7:IDY7"/>
    <mergeCell ref="IDZ7:IEB7"/>
    <mergeCell ref="ICS7:ICU7"/>
    <mergeCell ref="ICV7:ICX7"/>
    <mergeCell ref="ICY7:IDA7"/>
    <mergeCell ref="IDB7:IDD7"/>
    <mergeCell ref="IDE7:IDG7"/>
    <mergeCell ref="IDH7:IDJ7"/>
    <mergeCell ref="ICA7:ICC7"/>
    <mergeCell ref="ICD7:ICF7"/>
    <mergeCell ref="ICG7:ICI7"/>
    <mergeCell ref="ICJ7:ICL7"/>
    <mergeCell ref="ICM7:ICO7"/>
    <mergeCell ref="ICP7:ICR7"/>
    <mergeCell ref="IBI7:IBK7"/>
    <mergeCell ref="IBL7:IBN7"/>
    <mergeCell ref="IBO7:IBQ7"/>
    <mergeCell ref="IBR7:IBT7"/>
    <mergeCell ref="IBU7:IBW7"/>
    <mergeCell ref="IBX7:IBZ7"/>
    <mergeCell ref="IAQ7:IAS7"/>
    <mergeCell ref="IAT7:IAV7"/>
    <mergeCell ref="IAW7:IAY7"/>
    <mergeCell ref="IAZ7:IBB7"/>
    <mergeCell ref="IBC7:IBE7"/>
    <mergeCell ref="IBF7:IBH7"/>
    <mergeCell ref="HZY7:IAA7"/>
    <mergeCell ref="IAB7:IAD7"/>
    <mergeCell ref="IAE7:IAG7"/>
    <mergeCell ref="IAH7:IAJ7"/>
    <mergeCell ref="IAK7:IAM7"/>
    <mergeCell ref="IAN7:IAP7"/>
    <mergeCell ref="IHO7:IHQ7"/>
    <mergeCell ref="IHR7:IHT7"/>
    <mergeCell ref="IHU7:IHW7"/>
    <mergeCell ref="IHX7:IHZ7"/>
    <mergeCell ref="IIA7:IIC7"/>
    <mergeCell ref="IID7:IIF7"/>
    <mergeCell ref="IGW7:IGY7"/>
    <mergeCell ref="IGZ7:IHB7"/>
    <mergeCell ref="IHC7:IHE7"/>
    <mergeCell ref="IHF7:IHH7"/>
    <mergeCell ref="IHI7:IHK7"/>
    <mergeCell ref="IHL7:IHN7"/>
    <mergeCell ref="IGE7:IGG7"/>
    <mergeCell ref="IGH7:IGJ7"/>
    <mergeCell ref="IGK7:IGM7"/>
    <mergeCell ref="IGN7:IGP7"/>
    <mergeCell ref="IGQ7:IGS7"/>
    <mergeCell ref="IGT7:IGV7"/>
    <mergeCell ref="IFM7:IFO7"/>
    <mergeCell ref="IFP7:IFR7"/>
    <mergeCell ref="IFS7:IFU7"/>
    <mergeCell ref="IFV7:IFX7"/>
    <mergeCell ref="IFY7:IGA7"/>
    <mergeCell ref="IGB7:IGD7"/>
    <mergeCell ref="IEU7:IEW7"/>
    <mergeCell ref="IEX7:IEZ7"/>
    <mergeCell ref="IFA7:IFC7"/>
    <mergeCell ref="IFD7:IFF7"/>
    <mergeCell ref="IFG7:IFI7"/>
    <mergeCell ref="IFJ7:IFL7"/>
    <mergeCell ref="IEC7:IEE7"/>
    <mergeCell ref="IEF7:IEH7"/>
    <mergeCell ref="IEI7:IEK7"/>
    <mergeCell ref="IEL7:IEN7"/>
    <mergeCell ref="IEO7:IEQ7"/>
    <mergeCell ref="IER7:IET7"/>
    <mergeCell ref="ILS7:ILU7"/>
    <mergeCell ref="ILV7:ILX7"/>
    <mergeCell ref="ILY7:IMA7"/>
    <mergeCell ref="IMB7:IMD7"/>
    <mergeCell ref="IME7:IMG7"/>
    <mergeCell ref="IMH7:IMJ7"/>
    <mergeCell ref="ILA7:ILC7"/>
    <mergeCell ref="ILD7:ILF7"/>
    <mergeCell ref="ILG7:ILI7"/>
    <mergeCell ref="ILJ7:ILL7"/>
    <mergeCell ref="ILM7:ILO7"/>
    <mergeCell ref="ILP7:ILR7"/>
    <mergeCell ref="IKI7:IKK7"/>
    <mergeCell ref="IKL7:IKN7"/>
    <mergeCell ref="IKO7:IKQ7"/>
    <mergeCell ref="IKR7:IKT7"/>
    <mergeCell ref="IKU7:IKW7"/>
    <mergeCell ref="IKX7:IKZ7"/>
    <mergeCell ref="IJQ7:IJS7"/>
    <mergeCell ref="IJT7:IJV7"/>
    <mergeCell ref="IJW7:IJY7"/>
    <mergeCell ref="IJZ7:IKB7"/>
    <mergeCell ref="IKC7:IKE7"/>
    <mergeCell ref="IKF7:IKH7"/>
    <mergeCell ref="IIY7:IJA7"/>
    <mergeCell ref="IJB7:IJD7"/>
    <mergeCell ref="IJE7:IJG7"/>
    <mergeCell ref="IJH7:IJJ7"/>
    <mergeCell ref="IJK7:IJM7"/>
    <mergeCell ref="IJN7:IJP7"/>
    <mergeCell ref="IIG7:III7"/>
    <mergeCell ref="IIJ7:IIL7"/>
    <mergeCell ref="IIM7:IIO7"/>
    <mergeCell ref="IIP7:IIR7"/>
    <mergeCell ref="IIS7:IIU7"/>
    <mergeCell ref="IIV7:IIX7"/>
    <mergeCell ref="IPW7:IPY7"/>
    <mergeCell ref="IPZ7:IQB7"/>
    <mergeCell ref="IQC7:IQE7"/>
    <mergeCell ref="IQF7:IQH7"/>
    <mergeCell ref="IQI7:IQK7"/>
    <mergeCell ref="IQL7:IQN7"/>
    <mergeCell ref="IPE7:IPG7"/>
    <mergeCell ref="IPH7:IPJ7"/>
    <mergeCell ref="IPK7:IPM7"/>
    <mergeCell ref="IPN7:IPP7"/>
    <mergeCell ref="IPQ7:IPS7"/>
    <mergeCell ref="IPT7:IPV7"/>
    <mergeCell ref="IOM7:IOO7"/>
    <mergeCell ref="IOP7:IOR7"/>
    <mergeCell ref="IOS7:IOU7"/>
    <mergeCell ref="IOV7:IOX7"/>
    <mergeCell ref="IOY7:IPA7"/>
    <mergeCell ref="IPB7:IPD7"/>
    <mergeCell ref="INU7:INW7"/>
    <mergeCell ref="INX7:INZ7"/>
    <mergeCell ref="IOA7:IOC7"/>
    <mergeCell ref="IOD7:IOF7"/>
    <mergeCell ref="IOG7:IOI7"/>
    <mergeCell ref="IOJ7:IOL7"/>
    <mergeCell ref="INC7:INE7"/>
    <mergeCell ref="INF7:INH7"/>
    <mergeCell ref="INI7:INK7"/>
    <mergeCell ref="INL7:INN7"/>
    <mergeCell ref="INO7:INQ7"/>
    <mergeCell ref="INR7:INT7"/>
    <mergeCell ref="IMK7:IMM7"/>
    <mergeCell ref="IMN7:IMP7"/>
    <mergeCell ref="IMQ7:IMS7"/>
    <mergeCell ref="IMT7:IMV7"/>
    <mergeCell ref="IMW7:IMY7"/>
    <mergeCell ref="IMZ7:INB7"/>
    <mergeCell ref="IUA7:IUC7"/>
    <mergeCell ref="IUD7:IUF7"/>
    <mergeCell ref="IUG7:IUI7"/>
    <mergeCell ref="IUJ7:IUL7"/>
    <mergeCell ref="IUM7:IUO7"/>
    <mergeCell ref="IUP7:IUR7"/>
    <mergeCell ref="ITI7:ITK7"/>
    <mergeCell ref="ITL7:ITN7"/>
    <mergeCell ref="ITO7:ITQ7"/>
    <mergeCell ref="ITR7:ITT7"/>
    <mergeCell ref="ITU7:ITW7"/>
    <mergeCell ref="ITX7:ITZ7"/>
    <mergeCell ref="ISQ7:ISS7"/>
    <mergeCell ref="IST7:ISV7"/>
    <mergeCell ref="ISW7:ISY7"/>
    <mergeCell ref="ISZ7:ITB7"/>
    <mergeCell ref="ITC7:ITE7"/>
    <mergeCell ref="ITF7:ITH7"/>
    <mergeCell ref="IRY7:ISA7"/>
    <mergeCell ref="ISB7:ISD7"/>
    <mergeCell ref="ISE7:ISG7"/>
    <mergeCell ref="ISH7:ISJ7"/>
    <mergeCell ref="ISK7:ISM7"/>
    <mergeCell ref="ISN7:ISP7"/>
    <mergeCell ref="IRG7:IRI7"/>
    <mergeCell ref="IRJ7:IRL7"/>
    <mergeCell ref="IRM7:IRO7"/>
    <mergeCell ref="IRP7:IRR7"/>
    <mergeCell ref="IRS7:IRU7"/>
    <mergeCell ref="IRV7:IRX7"/>
    <mergeCell ref="IQO7:IQQ7"/>
    <mergeCell ref="IQR7:IQT7"/>
    <mergeCell ref="IQU7:IQW7"/>
    <mergeCell ref="IQX7:IQZ7"/>
    <mergeCell ref="IRA7:IRC7"/>
    <mergeCell ref="IRD7:IRF7"/>
    <mergeCell ref="IYE7:IYG7"/>
    <mergeCell ref="IYH7:IYJ7"/>
    <mergeCell ref="IYK7:IYM7"/>
    <mergeCell ref="IYN7:IYP7"/>
    <mergeCell ref="IYQ7:IYS7"/>
    <mergeCell ref="IYT7:IYV7"/>
    <mergeCell ref="IXM7:IXO7"/>
    <mergeCell ref="IXP7:IXR7"/>
    <mergeCell ref="IXS7:IXU7"/>
    <mergeCell ref="IXV7:IXX7"/>
    <mergeCell ref="IXY7:IYA7"/>
    <mergeCell ref="IYB7:IYD7"/>
    <mergeCell ref="IWU7:IWW7"/>
    <mergeCell ref="IWX7:IWZ7"/>
    <mergeCell ref="IXA7:IXC7"/>
    <mergeCell ref="IXD7:IXF7"/>
    <mergeCell ref="IXG7:IXI7"/>
    <mergeCell ref="IXJ7:IXL7"/>
    <mergeCell ref="IWC7:IWE7"/>
    <mergeCell ref="IWF7:IWH7"/>
    <mergeCell ref="IWI7:IWK7"/>
    <mergeCell ref="IWL7:IWN7"/>
    <mergeCell ref="IWO7:IWQ7"/>
    <mergeCell ref="IWR7:IWT7"/>
    <mergeCell ref="IVK7:IVM7"/>
    <mergeCell ref="IVN7:IVP7"/>
    <mergeCell ref="IVQ7:IVS7"/>
    <mergeCell ref="IVT7:IVV7"/>
    <mergeCell ref="IVW7:IVY7"/>
    <mergeCell ref="IVZ7:IWB7"/>
    <mergeCell ref="IUS7:IUU7"/>
    <mergeCell ref="IUV7:IUX7"/>
    <mergeCell ref="IUY7:IVA7"/>
    <mergeCell ref="IVB7:IVD7"/>
    <mergeCell ref="IVE7:IVG7"/>
    <mergeCell ref="IVH7:IVJ7"/>
    <mergeCell ref="JCI7:JCK7"/>
    <mergeCell ref="JCL7:JCN7"/>
    <mergeCell ref="JCO7:JCQ7"/>
    <mergeCell ref="JCR7:JCT7"/>
    <mergeCell ref="JCU7:JCW7"/>
    <mergeCell ref="JCX7:JCZ7"/>
    <mergeCell ref="JBQ7:JBS7"/>
    <mergeCell ref="JBT7:JBV7"/>
    <mergeCell ref="JBW7:JBY7"/>
    <mergeCell ref="JBZ7:JCB7"/>
    <mergeCell ref="JCC7:JCE7"/>
    <mergeCell ref="JCF7:JCH7"/>
    <mergeCell ref="JAY7:JBA7"/>
    <mergeCell ref="JBB7:JBD7"/>
    <mergeCell ref="JBE7:JBG7"/>
    <mergeCell ref="JBH7:JBJ7"/>
    <mergeCell ref="JBK7:JBM7"/>
    <mergeCell ref="JBN7:JBP7"/>
    <mergeCell ref="JAG7:JAI7"/>
    <mergeCell ref="JAJ7:JAL7"/>
    <mergeCell ref="JAM7:JAO7"/>
    <mergeCell ref="JAP7:JAR7"/>
    <mergeCell ref="JAS7:JAU7"/>
    <mergeCell ref="JAV7:JAX7"/>
    <mergeCell ref="IZO7:IZQ7"/>
    <mergeCell ref="IZR7:IZT7"/>
    <mergeCell ref="IZU7:IZW7"/>
    <mergeCell ref="IZX7:IZZ7"/>
    <mergeCell ref="JAA7:JAC7"/>
    <mergeCell ref="JAD7:JAF7"/>
    <mergeCell ref="IYW7:IYY7"/>
    <mergeCell ref="IYZ7:IZB7"/>
    <mergeCell ref="IZC7:IZE7"/>
    <mergeCell ref="IZF7:IZH7"/>
    <mergeCell ref="IZI7:IZK7"/>
    <mergeCell ref="IZL7:IZN7"/>
    <mergeCell ref="JGM7:JGO7"/>
    <mergeCell ref="JGP7:JGR7"/>
    <mergeCell ref="JGS7:JGU7"/>
    <mergeCell ref="JGV7:JGX7"/>
    <mergeCell ref="JGY7:JHA7"/>
    <mergeCell ref="JHB7:JHD7"/>
    <mergeCell ref="JFU7:JFW7"/>
    <mergeCell ref="JFX7:JFZ7"/>
    <mergeCell ref="JGA7:JGC7"/>
    <mergeCell ref="JGD7:JGF7"/>
    <mergeCell ref="JGG7:JGI7"/>
    <mergeCell ref="JGJ7:JGL7"/>
    <mergeCell ref="JFC7:JFE7"/>
    <mergeCell ref="JFF7:JFH7"/>
    <mergeCell ref="JFI7:JFK7"/>
    <mergeCell ref="JFL7:JFN7"/>
    <mergeCell ref="JFO7:JFQ7"/>
    <mergeCell ref="JFR7:JFT7"/>
    <mergeCell ref="JEK7:JEM7"/>
    <mergeCell ref="JEN7:JEP7"/>
    <mergeCell ref="JEQ7:JES7"/>
    <mergeCell ref="JET7:JEV7"/>
    <mergeCell ref="JEW7:JEY7"/>
    <mergeCell ref="JEZ7:JFB7"/>
    <mergeCell ref="JDS7:JDU7"/>
    <mergeCell ref="JDV7:JDX7"/>
    <mergeCell ref="JDY7:JEA7"/>
    <mergeCell ref="JEB7:JED7"/>
    <mergeCell ref="JEE7:JEG7"/>
    <mergeCell ref="JEH7:JEJ7"/>
    <mergeCell ref="JDA7:JDC7"/>
    <mergeCell ref="JDD7:JDF7"/>
    <mergeCell ref="JDG7:JDI7"/>
    <mergeCell ref="JDJ7:JDL7"/>
    <mergeCell ref="JDM7:JDO7"/>
    <mergeCell ref="JDP7:JDR7"/>
    <mergeCell ref="JKQ7:JKS7"/>
    <mergeCell ref="JKT7:JKV7"/>
    <mergeCell ref="JKW7:JKY7"/>
    <mergeCell ref="JKZ7:JLB7"/>
    <mergeCell ref="JLC7:JLE7"/>
    <mergeCell ref="JLF7:JLH7"/>
    <mergeCell ref="JJY7:JKA7"/>
    <mergeCell ref="JKB7:JKD7"/>
    <mergeCell ref="JKE7:JKG7"/>
    <mergeCell ref="JKH7:JKJ7"/>
    <mergeCell ref="JKK7:JKM7"/>
    <mergeCell ref="JKN7:JKP7"/>
    <mergeCell ref="JJG7:JJI7"/>
    <mergeCell ref="JJJ7:JJL7"/>
    <mergeCell ref="JJM7:JJO7"/>
    <mergeCell ref="JJP7:JJR7"/>
    <mergeCell ref="JJS7:JJU7"/>
    <mergeCell ref="JJV7:JJX7"/>
    <mergeCell ref="JIO7:JIQ7"/>
    <mergeCell ref="JIR7:JIT7"/>
    <mergeCell ref="JIU7:JIW7"/>
    <mergeCell ref="JIX7:JIZ7"/>
    <mergeCell ref="JJA7:JJC7"/>
    <mergeCell ref="JJD7:JJF7"/>
    <mergeCell ref="JHW7:JHY7"/>
    <mergeCell ref="JHZ7:JIB7"/>
    <mergeCell ref="JIC7:JIE7"/>
    <mergeCell ref="JIF7:JIH7"/>
    <mergeCell ref="JII7:JIK7"/>
    <mergeCell ref="JIL7:JIN7"/>
    <mergeCell ref="JHE7:JHG7"/>
    <mergeCell ref="JHH7:JHJ7"/>
    <mergeCell ref="JHK7:JHM7"/>
    <mergeCell ref="JHN7:JHP7"/>
    <mergeCell ref="JHQ7:JHS7"/>
    <mergeCell ref="JHT7:JHV7"/>
    <mergeCell ref="JOU7:JOW7"/>
    <mergeCell ref="JOX7:JOZ7"/>
    <mergeCell ref="JPA7:JPC7"/>
    <mergeCell ref="JPD7:JPF7"/>
    <mergeCell ref="JPG7:JPI7"/>
    <mergeCell ref="JPJ7:JPL7"/>
    <mergeCell ref="JOC7:JOE7"/>
    <mergeCell ref="JOF7:JOH7"/>
    <mergeCell ref="JOI7:JOK7"/>
    <mergeCell ref="JOL7:JON7"/>
    <mergeCell ref="JOO7:JOQ7"/>
    <mergeCell ref="JOR7:JOT7"/>
    <mergeCell ref="JNK7:JNM7"/>
    <mergeCell ref="JNN7:JNP7"/>
    <mergeCell ref="JNQ7:JNS7"/>
    <mergeCell ref="JNT7:JNV7"/>
    <mergeCell ref="JNW7:JNY7"/>
    <mergeCell ref="JNZ7:JOB7"/>
    <mergeCell ref="JMS7:JMU7"/>
    <mergeCell ref="JMV7:JMX7"/>
    <mergeCell ref="JMY7:JNA7"/>
    <mergeCell ref="JNB7:JND7"/>
    <mergeCell ref="JNE7:JNG7"/>
    <mergeCell ref="JNH7:JNJ7"/>
    <mergeCell ref="JMA7:JMC7"/>
    <mergeCell ref="JMD7:JMF7"/>
    <mergeCell ref="JMG7:JMI7"/>
    <mergeCell ref="JMJ7:JML7"/>
    <mergeCell ref="JMM7:JMO7"/>
    <mergeCell ref="JMP7:JMR7"/>
    <mergeCell ref="JLI7:JLK7"/>
    <mergeCell ref="JLL7:JLN7"/>
    <mergeCell ref="JLO7:JLQ7"/>
    <mergeCell ref="JLR7:JLT7"/>
    <mergeCell ref="JLU7:JLW7"/>
    <mergeCell ref="JLX7:JLZ7"/>
    <mergeCell ref="JSY7:JTA7"/>
    <mergeCell ref="JTB7:JTD7"/>
    <mergeCell ref="JTE7:JTG7"/>
    <mergeCell ref="JTH7:JTJ7"/>
    <mergeCell ref="JTK7:JTM7"/>
    <mergeCell ref="JTN7:JTP7"/>
    <mergeCell ref="JSG7:JSI7"/>
    <mergeCell ref="JSJ7:JSL7"/>
    <mergeCell ref="JSM7:JSO7"/>
    <mergeCell ref="JSP7:JSR7"/>
    <mergeCell ref="JSS7:JSU7"/>
    <mergeCell ref="JSV7:JSX7"/>
    <mergeCell ref="JRO7:JRQ7"/>
    <mergeCell ref="JRR7:JRT7"/>
    <mergeCell ref="JRU7:JRW7"/>
    <mergeCell ref="JRX7:JRZ7"/>
    <mergeCell ref="JSA7:JSC7"/>
    <mergeCell ref="JSD7:JSF7"/>
    <mergeCell ref="JQW7:JQY7"/>
    <mergeCell ref="JQZ7:JRB7"/>
    <mergeCell ref="JRC7:JRE7"/>
    <mergeCell ref="JRF7:JRH7"/>
    <mergeCell ref="JRI7:JRK7"/>
    <mergeCell ref="JRL7:JRN7"/>
    <mergeCell ref="JQE7:JQG7"/>
    <mergeCell ref="JQH7:JQJ7"/>
    <mergeCell ref="JQK7:JQM7"/>
    <mergeCell ref="JQN7:JQP7"/>
    <mergeCell ref="JQQ7:JQS7"/>
    <mergeCell ref="JQT7:JQV7"/>
    <mergeCell ref="JPM7:JPO7"/>
    <mergeCell ref="JPP7:JPR7"/>
    <mergeCell ref="JPS7:JPU7"/>
    <mergeCell ref="JPV7:JPX7"/>
    <mergeCell ref="JPY7:JQA7"/>
    <mergeCell ref="JQB7:JQD7"/>
    <mergeCell ref="JXC7:JXE7"/>
    <mergeCell ref="JXF7:JXH7"/>
    <mergeCell ref="JXI7:JXK7"/>
    <mergeCell ref="JXL7:JXN7"/>
    <mergeCell ref="JXO7:JXQ7"/>
    <mergeCell ref="JXR7:JXT7"/>
    <mergeCell ref="JWK7:JWM7"/>
    <mergeCell ref="JWN7:JWP7"/>
    <mergeCell ref="JWQ7:JWS7"/>
    <mergeCell ref="JWT7:JWV7"/>
    <mergeCell ref="JWW7:JWY7"/>
    <mergeCell ref="JWZ7:JXB7"/>
    <mergeCell ref="JVS7:JVU7"/>
    <mergeCell ref="JVV7:JVX7"/>
    <mergeCell ref="JVY7:JWA7"/>
    <mergeCell ref="JWB7:JWD7"/>
    <mergeCell ref="JWE7:JWG7"/>
    <mergeCell ref="JWH7:JWJ7"/>
    <mergeCell ref="JVA7:JVC7"/>
    <mergeCell ref="JVD7:JVF7"/>
    <mergeCell ref="JVG7:JVI7"/>
    <mergeCell ref="JVJ7:JVL7"/>
    <mergeCell ref="JVM7:JVO7"/>
    <mergeCell ref="JVP7:JVR7"/>
    <mergeCell ref="JUI7:JUK7"/>
    <mergeCell ref="JUL7:JUN7"/>
    <mergeCell ref="JUO7:JUQ7"/>
    <mergeCell ref="JUR7:JUT7"/>
    <mergeCell ref="JUU7:JUW7"/>
    <mergeCell ref="JUX7:JUZ7"/>
    <mergeCell ref="JTQ7:JTS7"/>
    <mergeCell ref="JTT7:JTV7"/>
    <mergeCell ref="JTW7:JTY7"/>
    <mergeCell ref="JTZ7:JUB7"/>
    <mergeCell ref="JUC7:JUE7"/>
    <mergeCell ref="JUF7:JUH7"/>
    <mergeCell ref="KBG7:KBI7"/>
    <mergeCell ref="KBJ7:KBL7"/>
    <mergeCell ref="KBM7:KBO7"/>
    <mergeCell ref="KBP7:KBR7"/>
    <mergeCell ref="KBS7:KBU7"/>
    <mergeCell ref="KBV7:KBX7"/>
    <mergeCell ref="KAO7:KAQ7"/>
    <mergeCell ref="KAR7:KAT7"/>
    <mergeCell ref="KAU7:KAW7"/>
    <mergeCell ref="KAX7:KAZ7"/>
    <mergeCell ref="KBA7:KBC7"/>
    <mergeCell ref="KBD7:KBF7"/>
    <mergeCell ref="JZW7:JZY7"/>
    <mergeCell ref="JZZ7:KAB7"/>
    <mergeCell ref="KAC7:KAE7"/>
    <mergeCell ref="KAF7:KAH7"/>
    <mergeCell ref="KAI7:KAK7"/>
    <mergeCell ref="KAL7:KAN7"/>
    <mergeCell ref="JZE7:JZG7"/>
    <mergeCell ref="JZH7:JZJ7"/>
    <mergeCell ref="JZK7:JZM7"/>
    <mergeCell ref="JZN7:JZP7"/>
    <mergeCell ref="JZQ7:JZS7"/>
    <mergeCell ref="JZT7:JZV7"/>
    <mergeCell ref="JYM7:JYO7"/>
    <mergeCell ref="JYP7:JYR7"/>
    <mergeCell ref="JYS7:JYU7"/>
    <mergeCell ref="JYV7:JYX7"/>
    <mergeCell ref="JYY7:JZA7"/>
    <mergeCell ref="JZB7:JZD7"/>
    <mergeCell ref="JXU7:JXW7"/>
    <mergeCell ref="JXX7:JXZ7"/>
    <mergeCell ref="JYA7:JYC7"/>
    <mergeCell ref="JYD7:JYF7"/>
    <mergeCell ref="JYG7:JYI7"/>
    <mergeCell ref="JYJ7:JYL7"/>
    <mergeCell ref="KFK7:KFM7"/>
    <mergeCell ref="KFN7:KFP7"/>
    <mergeCell ref="KFQ7:KFS7"/>
    <mergeCell ref="KFT7:KFV7"/>
    <mergeCell ref="KFW7:KFY7"/>
    <mergeCell ref="KFZ7:KGB7"/>
    <mergeCell ref="KES7:KEU7"/>
    <mergeCell ref="KEV7:KEX7"/>
    <mergeCell ref="KEY7:KFA7"/>
    <mergeCell ref="KFB7:KFD7"/>
    <mergeCell ref="KFE7:KFG7"/>
    <mergeCell ref="KFH7:KFJ7"/>
    <mergeCell ref="KEA7:KEC7"/>
    <mergeCell ref="KED7:KEF7"/>
    <mergeCell ref="KEG7:KEI7"/>
    <mergeCell ref="KEJ7:KEL7"/>
    <mergeCell ref="KEM7:KEO7"/>
    <mergeCell ref="KEP7:KER7"/>
    <mergeCell ref="KDI7:KDK7"/>
    <mergeCell ref="KDL7:KDN7"/>
    <mergeCell ref="KDO7:KDQ7"/>
    <mergeCell ref="KDR7:KDT7"/>
    <mergeCell ref="KDU7:KDW7"/>
    <mergeCell ref="KDX7:KDZ7"/>
    <mergeCell ref="KCQ7:KCS7"/>
    <mergeCell ref="KCT7:KCV7"/>
    <mergeCell ref="KCW7:KCY7"/>
    <mergeCell ref="KCZ7:KDB7"/>
    <mergeCell ref="KDC7:KDE7"/>
    <mergeCell ref="KDF7:KDH7"/>
    <mergeCell ref="KBY7:KCA7"/>
    <mergeCell ref="KCB7:KCD7"/>
    <mergeCell ref="KCE7:KCG7"/>
    <mergeCell ref="KCH7:KCJ7"/>
    <mergeCell ref="KCK7:KCM7"/>
    <mergeCell ref="KCN7:KCP7"/>
    <mergeCell ref="KJO7:KJQ7"/>
    <mergeCell ref="KJR7:KJT7"/>
    <mergeCell ref="KJU7:KJW7"/>
    <mergeCell ref="KJX7:KJZ7"/>
    <mergeCell ref="KKA7:KKC7"/>
    <mergeCell ref="KKD7:KKF7"/>
    <mergeCell ref="KIW7:KIY7"/>
    <mergeCell ref="KIZ7:KJB7"/>
    <mergeCell ref="KJC7:KJE7"/>
    <mergeCell ref="KJF7:KJH7"/>
    <mergeCell ref="KJI7:KJK7"/>
    <mergeCell ref="KJL7:KJN7"/>
    <mergeCell ref="KIE7:KIG7"/>
    <mergeCell ref="KIH7:KIJ7"/>
    <mergeCell ref="KIK7:KIM7"/>
    <mergeCell ref="KIN7:KIP7"/>
    <mergeCell ref="KIQ7:KIS7"/>
    <mergeCell ref="KIT7:KIV7"/>
    <mergeCell ref="KHM7:KHO7"/>
    <mergeCell ref="KHP7:KHR7"/>
    <mergeCell ref="KHS7:KHU7"/>
    <mergeCell ref="KHV7:KHX7"/>
    <mergeCell ref="KHY7:KIA7"/>
    <mergeCell ref="KIB7:KID7"/>
    <mergeCell ref="KGU7:KGW7"/>
    <mergeCell ref="KGX7:KGZ7"/>
    <mergeCell ref="KHA7:KHC7"/>
    <mergeCell ref="KHD7:KHF7"/>
    <mergeCell ref="KHG7:KHI7"/>
    <mergeCell ref="KHJ7:KHL7"/>
    <mergeCell ref="KGC7:KGE7"/>
    <mergeCell ref="KGF7:KGH7"/>
    <mergeCell ref="KGI7:KGK7"/>
    <mergeCell ref="KGL7:KGN7"/>
    <mergeCell ref="KGO7:KGQ7"/>
    <mergeCell ref="KGR7:KGT7"/>
    <mergeCell ref="KNS7:KNU7"/>
    <mergeCell ref="KNV7:KNX7"/>
    <mergeCell ref="KNY7:KOA7"/>
    <mergeCell ref="KOB7:KOD7"/>
    <mergeCell ref="KOE7:KOG7"/>
    <mergeCell ref="KOH7:KOJ7"/>
    <mergeCell ref="KNA7:KNC7"/>
    <mergeCell ref="KND7:KNF7"/>
    <mergeCell ref="KNG7:KNI7"/>
    <mergeCell ref="KNJ7:KNL7"/>
    <mergeCell ref="KNM7:KNO7"/>
    <mergeCell ref="KNP7:KNR7"/>
    <mergeCell ref="KMI7:KMK7"/>
    <mergeCell ref="KML7:KMN7"/>
    <mergeCell ref="KMO7:KMQ7"/>
    <mergeCell ref="KMR7:KMT7"/>
    <mergeCell ref="KMU7:KMW7"/>
    <mergeCell ref="KMX7:KMZ7"/>
    <mergeCell ref="KLQ7:KLS7"/>
    <mergeCell ref="KLT7:KLV7"/>
    <mergeCell ref="KLW7:KLY7"/>
    <mergeCell ref="KLZ7:KMB7"/>
    <mergeCell ref="KMC7:KME7"/>
    <mergeCell ref="KMF7:KMH7"/>
    <mergeCell ref="KKY7:KLA7"/>
    <mergeCell ref="KLB7:KLD7"/>
    <mergeCell ref="KLE7:KLG7"/>
    <mergeCell ref="KLH7:KLJ7"/>
    <mergeCell ref="KLK7:KLM7"/>
    <mergeCell ref="KLN7:KLP7"/>
    <mergeCell ref="KKG7:KKI7"/>
    <mergeCell ref="KKJ7:KKL7"/>
    <mergeCell ref="KKM7:KKO7"/>
    <mergeCell ref="KKP7:KKR7"/>
    <mergeCell ref="KKS7:KKU7"/>
    <mergeCell ref="KKV7:KKX7"/>
    <mergeCell ref="KRW7:KRY7"/>
    <mergeCell ref="KRZ7:KSB7"/>
    <mergeCell ref="KSC7:KSE7"/>
    <mergeCell ref="KSF7:KSH7"/>
    <mergeCell ref="KSI7:KSK7"/>
    <mergeCell ref="KSL7:KSN7"/>
    <mergeCell ref="KRE7:KRG7"/>
    <mergeCell ref="KRH7:KRJ7"/>
    <mergeCell ref="KRK7:KRM7"/>
    <mergeCell ref="KRN7:KRP7"/>
    <mergeCell ref="KRQ7:KRS7"/>
    <mergeCell ref="KRT7:KRV7"/>
    <mergeCell ref="KQM7:KQO7"/>
    <mergeCell ref="KQP7:KQR7"/>
    <mergeCell ref="KQS7:KQU7"/>
    <mergeCell ref="KQV7:KQX7"/>
    <mergeCell ref="KQY7:KRA7"/>
    <mergeCell ref="KRB7:KRD7"/>
    <mergeCell ref="KPU7:KPW7"/>
    <mergeCell ref="KPX7:KPZ7"/>
    <mergeCell ref="KQA7:KQC7"/>
    <mergeCell ref="KQD7:KQF7"/>
    <mergeCell ref="KQG7:KQI7"/>
    <mergeCell ref="KQJ7:KQL7"/>
    <mergeCell ref="KPC7:KPE7"/>
    <mergeCell ref="KPF7:KPH7"/>
    <mergeCell ref="KPI7:KPK7"/>
    <mergeCell ref="KPL7:KPN7"/>
    <mergeCell ref="KPO7:KPQ7"/>
    <mergeCell ref="KPR7:KPT7"/>
    <mergeCell ref="KOK7:KOM7"/>
    <mergeCell ref="KON7:KOP7"/>
    <mergeCell ref="KOQ7:KOS7"/>
    <mergeCell ref="KOT7:KOV7"/>
    <mergeCell ref="KOW7:KOY7"/>
    <mergeCell ref="KOZ7:KPB7"/>
    <mergeCell ref="KWA7:KWC7"/>
    <mergeCell ref="KWD7:KWF7"/>
    <mergeCell ref="KWG7:KWI7"/>
    <mergeCell ref="KWJ7:KWL7"/>
    <mergeCell ref="KWM7:KWO7"/>
    <mergeCell ref="KWP7:KWR7"/>
    <mergeCell ref="KVI7:KVK7"/>
    <mergeCell ref="KVL7:KVN7"/>
    <mergeCell ref="KVO7:KVQ7"/>
    <mergeCell ref="KVR7:KVT7"/>
    <mergeCell ref="KVU7:KVW7"/>
    <mergeCell ref="KVX7:KVZ7"/>
    <mergeCell ref="KUQ7:KUS7"/>
    <mergeCell ref="KUT7:KUV7"/>
    <mergeCell ref="KUW7:KUY7"/>
    <mergeCell ref="KUZ7:KVB7"/>
    <mergeCell ref="KVC7:KVE7"/>
    <mergeCell ref="KVF7:KVH7"/>
    <mergeCell ref="KTY7:KUA7"/>
    <mergeCell ref="KUB7:KUD7"/>
    <mergeCell ref="KUE7:KUG7"/>
    <mergeCell ref="KUH7:KUJ7"/>
    <mergeCell ref="KUK7:KUM7"/>
    <mergeCell ref="KUN7:KUP7"/>
    <mergeCell ref="KTG7:KTI7"/>
    <mergeCell ref="KTJ7:KTL7"/>
    <mergeCell ref="KTM7:KTO7"/>
    <mergeCell ref="KTP7:KTR7"/>
    <mergeCell ref="KTS7:KTU7"/>
    <mergeCell ref="KTV7:KTX7"/>
    <mergeCell ref="KSO7:KSQ7"/>
    <mergeCell ref="KSR7:KST7"/>
    <mergeCell ref="KSU7:KSW7"/>
    <mergeCell ref="KSX7:KSZ7"/>
    <mergeCell ref="KTA7:KTC7"/>
    <mergeCell ref="KTD7:KTF7"/>
    <mergeCell ref="LAE7:LAG7"/>
    <mergeCell ref="LAH7:LAJ7"/>
    <mergeCell ref="LAK7:LAM7"/>
    <mergeCell ref="LAN7:LAP7"/>
    <mergeCell ref="LAQ7:LAS7"/>
    <mergeCell ref="LAT7:LAV7"/>
    <mergeCell ref="KZM7:KZO7"/>
    <mergeCell ref="KZP7:KZR7"/>
    <mergeCell ref="KZS7:KZU7"/>
    <mergeCell ref="KZV7:KZX7"/>
    <mergeCell ref="KZY7:LAA7"/>
    <mergeCell ref="LAB7:LAD7"/>
    <mergeCell ref="KYU7:KYW7"/>
    <mergeCell ref="KYX7:KYZ7"/>
    <mergeCell ref="KZA7:KZC7"/>
    <mergeCell ref="KZD7:KZF7"/>
    <mergeCell ref="KZG7:KZI7"/>
    <mergeCell ref="KZJ7:KZL7"/>
    <mergeCell ref="KYC7:KYE7"/>
    <mergeCell ref="KYF7:KYH7"/>
    <mergeCell ref="KYI7:KYK7"/>
    <mergeCell ref="KYL7:KYN7"/>
    <mergeCell ref="KYO7:KYQ7"/>
    <mergeCell ref="KYR7:KYT7"/>
    <mergeCell ref="KXK7:KXM7"/>
    <mergeCell ref="KXN7:KXP7"/>
    <mergeCell ref="KXQ7:KXS7"/>
    <mergeCell ref="KXT7:KXV7"/>
    <mergeCell ref="KXW7:KXY7"/>
    <mergeCell ref="KXZ7:KYB7"/>
    <mergeCell ref="KWS7:KWU7"/>
    <mergeCell ref="KWV7:KWX7"/>
    <mergeCell ref="KWY7:KXA7"/>
    <mergeCell ref="KXB7:KXD7"/>
    <mergeCell ref="KXE7:KXG7"/>
    <mergeCell ref="KXH7:KXJ7"/>
    <mergeCell ref="LEI7:LEK7"/>
    <mergeCell ref="LEL7:LEN7"/>
    <mergeCell ref="LEO7:LEQ7"/>
    <mergeCell ref="LER7:LET7"/>
    <mergeCell ref="LEU7:LEW7"/>
    <mergeCell ref="LEX7:LEZ7"/>
    <mergeCell ref="LDQ7:LDS7"/>
    <mergeCell ref="LDT7:LDV7"/>
    <mergeCell ref="LDW7:LDY7"/>
    <mergeCell ref="LDZ7:LEB7"/>
    <mergeCell ref="LEC7:LEE7"/>
    <mergeCell ref="LEF7:LEH7"/>
    <mergeCell ref="LCY7:LDA7"/>
    <mergeCell ref="LDB7:LDD7"/>
    <mergeCell ref="LDE7:LDG7"/>
    <mergeCell ref="LDH7:LDJ7"/>
    <mergeCell ref="LDK7:LDM7"/>
    <mergeCell ref="LDN7:LDP7"/>
    <mergeCell ref="LCG7:LCI7"/>
    <mergeCell ref="LCJ7:LCL7"/>
    <mergeCell ref="LCM7:LCO7"/>
    <mergeCell ref="LCP7:LCR7"/>
    <mergeCell ref="LCS7:LCU7"/>
    <mergeCell ref="LCV7:LCX7"/>
    <mergeCell ref="LBO7:LBQ7"/>
    <mergeCell ref="LBR7:LBT7"/>
    <mergeCell ref="LBU7:LBW7"/>
    <mergeCell ref="LBX7:LBZ7"/>
    <mergeCell ref="LCA7:LCC7"/>
    <mergeCell ref="LCD7:LCF7"/>
    <mergeCell ref="LAW7:LAY7"/>
    <mergeCell ref="LAZ7:LBB7"/>
    <mergeCell ref="LBC7:LBE7"/>
    <mergeCell ref="LBF7:LBH7"/>
    <mergeCell ref="LBI7:LBK7"/>
    <mergeCell ref="LBL7:LBN7"/>
    <mergeCell ref="LIM7:LIO7"/>
    <mergeCell ref="LIP7:LIR7"/>
    <mergeCell ref="LIS7:LIU7"/>
    <mergeCell ref="LIV7:LIX7"/>
    <mergeCell ref="LIY7:LJA7"/>
    <mergeCell ref="LJB7:LJD7"/>
    <mergeCell ref="LHU7:LHW7"/>
    <mergeCell ref="LHX7:LHZ7"/>
    <mergeCell ref="LIA7:LIC7"/>
    <mergeCell ref="LID7:LIF7"/>
    <mergeCell ref="LIG7:LII7"/>
    <mergeCell ref="LIJ7:LIL7"/>
    <mergeCell ref="LHC7:LHE7"/>
    <mergeCell ref="LHF7:LHH7"/>
    <mergeCell ref="LHI7:LHK7"/>
    <mergeCell ref="LHL7:LHN7"/>
    <mergeCell ref="LHO7:LHQ7"/>
    <mergeCell ref="LHR7:LHT7"/>
    <mergeCell ref="LGK7:LGM7"/>
    <mergeCell ref="LGN7:LGP7"/>
    <mergeCell ref="LGQ7:LGS7"/>
    <mergeCell ref="LGT7:LGV7"/>
    <mergeCell ref="LGW7:LGY7"/>
    <mergeCell ref="LGZ7:LHB7"/>
    <mergeCell ref="LFS7:LFU7"/>
    <mergeCell ref="LFV7:LFX7"/>
    <mergeCell ref="LFY7:LGA7"/>
    <mergeCell ref="LGB7:LGD7"/>
    <mergeCell ref="LGE7:LGG7"/>
    <mergeCell ref="LGH7:LGJ7"/>
    <mergeCell ref="LFA7:LFC7"/>
    <mergeCell ref="LFD7:LFF7"/>
    <mergeCell ref="LFG7:LFI7"/>
    <mergeCell ref="LFJ7:LFL7"/>
    <mergeCell ref="LFM7:LFO7"/>
    <mergeCell ref="LFP7:LFR7"/>
    <mergeCell ref="LMQ7:LMS7"/>
    <mergeCell ref="LMT7:LMV7"/>
    <mergeCell ref="LMW7:LMY7"/>
    <mergeCell ref="LMZ7:LNB7"/>
    <mergeCell ref="LNC7:LNE7"/>
    <mergeCell ref="LNF7:LNH7"/>
    <mergeCell ref="LLY7:LMA7"/>
    <mergeCell ref="LMB7:LMD7"/>
    <mergeCell ref="LME7:LMG7"/>
    <mergeCell ref="LMH7:LMJ7"/>
    <mergeCell ref="LMK7:LMM7"/>
    <mergeCell ref="LMN7:LMP7"/>
    <mergeCell ref="LLG7:LLI7"/>
    <mergeCell ref="LLJ7:LLL7"/>
    <mergeCell ref="LLM7:LLO7"/>
    <mergeCell ref="LLP7:LLR7"/>
    <mergeCell ref="LLS7:LLU7"/>
    <mergeCell ref="LLV7:LLX7"/>
    <mergeCell ref="LKO7:LKQ7"/>
    <mergeCell ref="LKR7:LKT7"/>
    <mergeCell ref="LKU7:LKW7"/>
    <mergeCell ref="LKX7:LKZ7"/>
    <mergeCell ref="LLA7:LLC7"/>
    <mergeCell ref="LLD7:LLF7"/>
    <mergeCell ref="LJW7:LJY7"/>
    <mergeCell ref="LJZ7:LKB7"/>
    <mergeCell ref="LKC7:LKE7"/>
    <mergeCell ref="LKF7:LKH7"/>
    <mergeCell ref="LKI7:LKK7"/>
    <mergeCell ref="LKL7:LKN7"/>
    <mergeCell ref="LJE7:LJG7"/>
    <mergeCell ref="LJH7:LJJ7"/>
    <mergeCell ref="LJK7:LJM7"/>
    <mergeCell ref="LJN7:LJP7"/>
    <mergeCell ref="LJQ7:LJS7"/>
    <mergeCell ref="LJT7:LJV7"/>
    <mergeCell ref="LQU7:LQW7"/>
    <mergeCell ref="LQX7:LQZ7"/>
    <mergeCell ref="LRA7:LRC7"/>
    <mergeCell ref="LRD7:LRF7"/>
    <mergeCell ref="LRG7:LRI7"/>
    <mergeCell ref="LRJ7:LRL7"/>
    <mergeCell ref="LQC7:LQE7"/>
    <mergeCell ref="LQF7:LQH7"/>
    <mergeCell ref="LQI7:LQK7"/>
    <mergeCell ref="LQL7:LQN7"/>
    <mergeCell ref="LQO7:LQQ7"/>
    <mergeCell ref="LQR7:LQT7"/>
    <mergeCell ref="LPK7:LPM7"/>
    <mergeCell ref="LPN7:LPP7"/>
    <mergeCell ref="LPQ7:LPS7"/>
    <mergeCell ref="LPT7:LPV7"/>
    <mergeCell ref="LPW7:LPY7"/>
    <mergeCell ref="LPZ7:LQB7"/>
    <mergeCell ref="LOS7:LOU7"/>
    <mergeCell ref="LOV7:LOX7"/>
    <mergeCell ref="LOY7:LPA7"/>
    <mergeCell ref="LPB7:LPD7"/>
    <mergeCell ref="LPE7:LPG7"/>
    <mergeCell ref="LPH7:LPJ7"/>
    <mergeCell ref="LOA7:LOC7"/>
    <mergeCell ref="LOD7:LOF7"/>
    <mergeCell ref="LOG7:LOI7"/>
    <mergeCell ref="LOJ7:LOL7"/>
    <mergeCell ref="LOM7:LOO7"/>
    <mergeCell ref="LOP7:LOR7"/>
    <mergeCell ref="LNI7:LNK7"/>
    <mergeCell ref="LNL7:LNN7"/>
    <mergeCell ref="LNO7:LNQ7"/>
    <mergeCell ref="LNR7:LNT7"/>
    <mergeCell ref="LNU7:LNW7"/>
    <mergeCell ref="LNX7:LNZ7"/>
    <mergeCell ref="LUY7:LVA7"/>
    <mergeCell ref="LVB7:LVD7"/>
    <mergeCell ref="LVE7:LVG7"/>
    <mergeCell ref="LVH7:LVJ7"/>
    <mergeCell ref="LVK7:LVM7"/>
    <mergeCell ref="LVN7:LVP7"/>
    <mergeCell ref="LUG7:LUI7"/>
    <mergeCell ref="LUJ7:LUL7"/>
    <mergeCell ref="LUM7:LUO7"/>
    <mergeCell ref="LUP7:LUR7"/>
    <mergeCell ref="LUS7:LUU7"/>
    <mergeCell ref="LUV7:LUX7"/>
    <mergeCell ref="LTO7:LTQ7"/>
    <mergeCell ref="LTR7:LTT7"/>
    <mergeCell ref="LTU7:LTW7"/>
    <mergeCell ref="LTX7:LTZ7"/>
    <mergeCell ref="LUA7:LUC7"/>
    <mergeCell ref="LUD7:LUF7"/>
    <mergeCell ref="LSW7:LSY7"/>
    <mergeCell ref="LSZ7:LTB7"/>
    <mergeCell ref="LTC7:LTE7"/>
    <mergeCell ref="LTF7:LTH7"/>
    <mergeCell ref="LTI7:LTK7"/>
    <mergeCell ref="LTL7:LTN7"/>
    <mergeCell ref="LSE7:LSG7"/>
    <mergeCell ref="LSH7:LSJ7"/>
    <mergeCell ref="LSK7:LSM7"/>
    <mergeCell ref="LSN7:LSP7"/>
    <mergeCell ref="LSQ7:LSS7"/>
    <mergeCell ref="LST7:LSV7"/>
    <mergeCell ref="LRM7:LRO7"/>
    <mergeCell ref="LRP7:LRR7"/>
    <mergeCell ref="LRS7:LRU7"/>
    <mergeCell ref="LRV7:LRX7"/>
    <mergeCell ref="LRY7:LSA7"/>
    <mergeCell ref="LSB7:LSD7"/>
    <mergeCell ref="LZC7:LZE7"/>
    <mergeCell ref="LZF7:LZH7"/>
    <mergeCell ref="LZI7:LZK7"/>
    <mergeCell ref="LZL7:LZN7"/>
    <mergeCell ref="LZO7:LZQ7"/>
    <mergeCell ref="LZR7:LZT7"/>
    <mergeCell ref="LYK7:LYM7"/>
    <mergeCell ref="LYN7:LYP7"/>
    <mergeCell ref="LYQ7:LYS7"/>
    <mergeCell ref="LYT7:LYV7"/>
    <mergeCell ref="LYW7:LYY7"/>
    <mergeCell ref="LYZ7:LZB7"/>
    <mergeCell ref="LXS7:LXU7"/>
    <mergeCell ref="LXV7:LXX7"/>
    <mergeCell ref="LXY7:LYA7"/>
    <mergeCell ref="LYB7:LYD7"/>
    <mergeCell ref="LYE7:LYG7"/>
    <mergeCell ref="LYH7:LYJ7"/>
    <mergeCell ref="LXA7:LXC7"/>
    <mergeCell ref="LXD7:LXF7"/>
    <mergeCell ref="LXG7:LXI7"/>
    <mergeCell ref="LXJ7:LXL7"/>
    <mergeCell ref="LXM7:LXO7"/>
    <mergeCell ref="LXP7:LXR7"/>
    <mergeCell ref="LWI7:LWK7"/>
    <mergeCell ref="LWL7:LWN7"/>
    <mergeCell ref="LWO7:LWQ7"/>
    <mergeCell ref="LWR7:LWT7"/>
    <mergeCell ref="LWU7:LWW7"/>
    <mergeCell ref="LWX7:LWZ7"/>
    <mergeCell ref="LVQ7:LVS7"/>
    <mergeCell ref="LVT7:LVV7"/>
    <mergeCell ref="LVW7:LVY7"/>
    <mergeCell ref="LVZ7:LWB7"/>
    <mergeCell ref="LWC7:LWE7"/>
    <mergeCell ref="LWF7:LWH7"/>
    <mergeCell ref="MDG7:MDI7"/>
    <mergeCell ref="MDJ7:MDL7"/>
    <mergeCell ref="MDM7:MDO7"/>
    <mergeCell ref="MDP7:MDR7"/>
    <mergeCell ref="MDS7:MDU7"/>
    <mergeCell ref="MDV7:MDX7"/>
    <mergeCell ref="MCO7:MCQ7"/>
    <mergeCell ref="MCR7:MCT7"/>
    <mergeCell ref="MCU7:MCW7"/>
    <mergeCell ref="MCX7:MCZ7"/>
    <mergeCell ref="MDA7:MDC7"/>
    <mergeCell ref="MDD7:MDF7"/>
    <mergeCell ref="MBW7:MBY7"/>
    <mergeCell ref="MBZ7:MCB7"/>
    <mergeCell ref="MCC7:MCE7"/>
    <mergeCell ref="MCF7:MCH7"/>
    <mergeCell ref="MCI7:MCK7"/>
    <mergeCell ref="MCL7:MCN7"/>
    <mergeCell ref="MBE7:MBG7"/>
    <mergeCell ref="MBH7:MBJ7"/>
    <mergeCell ref="MBK7:MBM7"/>
    <mergeCell ref="MBN7:MBP7"/>
    <mergeCell ref="MBQ7:MBS7"/>
    <mergeCell ref="MBT7:MBV7"/>
    <mergeCell ref="MAM7:MAO7"/>
    <mergeCell ref="MAP7:MAR7"/>
    <mergeCell ref="MAS7:MAU7"/>
    <mergeCell ref="MAV7:MAX7"/>
    <mergeCell ref="MAY7:MBA7"/>
    <mergeCell ref="MBB7:MBD7"/>
    <mergeCell ref="LZU7:LZW7"/>
    <mergeCell ref="LZX7:LZZ7"/>
    <mergeCell ref="MAA7:MAC7"/>
    <mergeCell ref="MAD7:MAF7"/>
    <mergeCell ref="MAG7:MAI7"/>
    <mergeCell ref="MAJ7:MAL7"/>
    <mergeCell ref="MHK7:MHM7"/>
    <mergeCell ref="MHN7:MHP7"/>
    <mergeCell ref="MHQ7:MHS7"/>
    <mergeCell ref="MHT7:MHV7"/>
    <mergeCell ref="MHW7:MHY7"/>
    <mergeCell ref="MHZ7:MIB7"/>
    <mergeCell ref="MGS7:MGU7"/>
    <mergeCell ref="MGV7:MGX7"/>
    <mergeCell ref="MGY7:MHA7"/>
    <mergeCell ref="MHB7:MHD7"/>
    <mergeCell ref="MHE7:MHG7"/>
    <mergeCell ref="MHH7:MHJ7"/>
    <mergeCell ref="MGA7:MGC7"/>
    <mergeCell ref="MGD7:MGF7"/>
    <mergeCell ref="MGG7:MGI7"/>
    <mergeCell ref="MGJ7:MGL7"/>
    <mergeCell ref="MGM7:MGO7"/>
    <mergeCell ref="MGP7:MGR7"/>
    <mergeCell ref="MFI7:MFK7"/>
    <mergeCell ref="MFL7:MFN7"/>
    <mergeCell ref="MFO7:MFQ7"/>
    <mergeCell ref="MFR7:MFT7"/>
    <mergeCell ref="MFU7:MFW7"/>
    <mergeCell ref="MFX7:MFZ7"/>
    <mergeCell ref="MEQ7:MES7"/>
    <mergeCell ref="MET7:MEV7"/>
    <mergeCell ref="MEW7:MEY7"/>
    <mergeCell ref="MEZ7:MFB7"/>
    <mergeCell ref="MFC7:MFE7"/>
    <mergeCell ref="MFF7:MFH7"/>
    <mergeCell ref="MDY7:MEA7"/>
    <mergeCell ref="MEB7:MED7"/>
    <mergeCell ref="MEE7:MEG7"/>
    <mergeCell ref="MEH7:MEJ7"/>
    <mergeCell ref="MEK7:MEM7"/>
    <mergeCell ref="MEN7:MEP7"/>
    <mergeCell ref="MLO7:MLQ7"/>
    <mergeCell ref="MLR7:MLT7"/>
    <mergeCell ref="MLU7:MLW7"/>
    <mergeCell ref="MLX7:MLZ7"/>
    <mergeCell ref="MMA7:MMC7"/>
    <mergeCell ref="MMD7:MMF7"/>
    <mergeCell ref="MKW7:MKY7"/>
    <mergeCell ref="MKZ7:MLB7"/>
    <mergeCell ref="MLC7:MLE7"/>
    <mergeCell ref="MLF7:MLH7"/>
    <mergeCell ref="MLI7:MLK7"/>
    <mergeCell ref="MLL7:MLN7"/>
    <mergeCell ref="MKE7:MKG7"/>
    <mergeCell ref="MKH7:MKJ7"/>
    <mergeCell ref="MKK7:MKM7"/>
    <mergeCell ref="MKN7:MKP7"/>
    <mergeCell ref="MKQ7:MKS7"/>
    <mergeCell ref="MKT7:MKV7"/>
    <mergeCell ref="MJM7:MJO7"/>
    <mergeCell ref="MJP7:MJR7"/>
    <mergeCell ref="MJS7:MJU7"/>
    <mergeCell ref="MJV7:MJX7"/>
    <mergeCell ref="MJY7:MKA7"/>
    <mergeCell ref="MKB7:MKD7"/>
    <mergeCell ref="MIU7:MIW7"/>
    <mergeCell ref="MIX7:MIZ7"/>
    <mergeCell ref="MJA7:MJC7"/>
    <mergeCell ref="MJD7:MJF7"/>
    <mergeCell ref="MJG7:MJI7"/>
    <mergeCell ref="MJJ7:MJL7"/>
    <mergeCell ref="MIC7:MIE7"/>
    <mergeCell ref="MIF7:MIH7"/>
    <mergeCell ref="MII7:MIK7"/>
    <mergeCell ref="MIL7:MIN7"/>
    <mergeCell ref="MIO7:MIQ7"/>
    <mergeCell ref="MIR7:MIT7"/>
    <mergeCell ref="MPS7:MPU7"/>
    <mergeCell ref="MPV7:MPX7"/>
    <mergeCell ref="MPY7:MQA7"/>
    <mergeCell ref="MQB7:MQD7"/>
    <mergeCell ref="MQE7:MQG7"/>
    <mergeCell ref="MQH7:MQJ7"/>
    <mergeCell ref="MPA7:MPC7"/>
    <mergeCell ref="MPD7:MPF7"/>
    <mergeCell ref="MPG7:MPI7"/>
    <mergeCell ref="MPJ7:MPL7"/>
    <mergeCell ref="MPM7:MPO7"/>
    <mergeCell ref="MPP7:MPR7"/>
    <mergeCell ref="MOI7:MOK7"/>
    <mergeCell ref="MOL7:MON7"/>
    <mergeCell ref="MOO7:MOQ7"/>
    <mergeCell ref="MOR7:MOT7"/>
    <mergeCell ref="MOU7:MOW7"/>
    <mergeCell ref="MOX7:MOZ7"/>
    <mergeCell ref="MNQ7:MNS7"/>
    <mergeCell ref="MNT7:MNV7"/>
    <mergeCell ref="MNW7:MNY7"/>
    <mergeCell ref="MNZ7:MOB7"/>
    <mergeCell ref="MOC7:MOE7"/>
    <mergeCell ref="MOF7:MOH7"/>
    <mergeCell ref="MMY7:MNA7"/>
    <mergeCell ref="MNB7:MND7"/>
    <mergeCell ref="MNE7:MNG7"/>
    <mergeCell ref="MNH7:MNJ7"/>
    <mergeCell ref="MNK7:MNM7"/>
    <mergeCell ref="MNN7:MNP7"/>
    <mergeCell ref="MMG7:MMI7"/>
    <mergeCell ref="MMJ7:MML7"/>
    <mergeCell ref="MMM7:MMO7"/>
    <mergeCell ref="MMP7:MMR7"/>
    <mergeCell ref="MMS7:MMU7"/>
    <mergeCell ref="MMV7:MMX7"/>
    <mergeCell ref="MTW7:MTY7"/>
    <mergeCell ref="MTZ7:MUB7"/>
    <mergeCell ref="MUC7:MUE7"/>
    <mergeCell ref="MUF7:MUH7"/>
    <mergeCell ref="MUI7:MUK7"/>
    <mergeCell ref="MUL7:MUN7"/>
    <mergeCell ref="MTE7:MTG7"/>
    <mergeCell ref="MTH7:MTJ7"/>
    <mergeCell ref="MTK7:MTM7"/>
    <mergeCell ref="MTN7:MTP7"/>
    <mergeCell ref="MTQ7:MTS7"/>
    <mergeCell ref="MTT7:MTV7"/>
    <mergeCell ref="MSM7:MSO7"/>
    <mergeCell ref="MSP7:MSR7"/>
    <mergeCell ref="MSS7:MSU7"/>
    <mergeCell ref="MSV7:MSX7"/>
    <mergeCell ref="MSY7:MTA7"/>
    <mergeCell ref="MTB7:MTD7"/>
    <mergeCell ref="MRU7:MRW7"/>
    <mergeCell ref="MRX7:MRZ7"/>
    <mergeCell ref="MSA7:MSC7"/>
    <mergeCell ref="MSD7:MSF7"/>
    <mergeCell ref="MSG7:MSI7"/>
    <mergeCell ref="MSJ7:MSL7"/>
    <mergeCell ref="MRC7:MRE7"/>
    <mergeCell ref="MRF7:MRH7"/>
    <mergeCell ref="MRI7:MRK7"/>
    <mergeCell ref="MRL7:MRN7"/>
    <mergeCell ref="MRO7:MRQ7"/>
    <mergeCell ref="MRR7:MRT7"/>
    <mergeCell ref="MQK7:MQM7"/>
    <mergeCell ref="MQN7:MQP7"/>
    <mergeCell ref="MQQ7:MQS7"/>
    <mergeCell ref="MQT7:MQV7"/>
    <mergeCell ref="MQW7:MQY7"/>
    <mergeCell ref="MQZ7:MRB7"/>
    <mergeCell ref="MYA7:MYC7"/>
    <mergeCell ref="MYD7:MYF7"/>
    <mergeCell ref="MYG7:MYI7"/>
    <mergeCell ref="MYJ7:MYL7"/>
    <mergeCell ref="MYM7:MYO7"/>
    <mergeCell ref="MYP7:MYR7"/>
    <mergeCell ref="MXI7:MXK7"/>
    <mergeCell ref="MXL7:MXN7"/>
    <mergeCell ref="MXO7:MXQ7"/>
    <mergeCell ref="MXR7:MXT7"/>
    <mergeCell ref="MXU7:MXW7"/>
    <mergeCell ref="MXX7:MXZ7"/>
    <mergeCell ref="MWQ7:MWS7"/>
    <mergeCell ref="MWT7:MWV7"/>
    <mergeCell ref="MWW7:MWY7"/>
    <mergeCell ref="MWZ7:MXB7"/>
    <mergeCell ref="MXC7:MXE7"/>
    <mergeCell ref="MXF7:MXH7"/>
    <mergeCell ref="MVY7:MWA7"/>
    <mergeCell ref="MWB7:MWD7"/>
    <mergeCell ref="MWE7:MWG7"/>
    <mergeCell ref="MWH7:MWJ7"/>
    <mergeCell ref="MWK7:MWM7"/>
    <mergeCell ref="MWN7:MWP7"/>
    <mergeCell ref="MVG7:MVI7"/>
    <mergeCell ref="MVJ7:MVL7"/>
    <mergeCell ref="MVM7:MVO7"/>
    <mergeCell ref="MVP7:MVR7"/>
    <mergeCell ref="MVS7:MVU7"/>
    <mergeCell ref="MVV7:MVX7"/>
    <mergeCell ref="MUO7:MUQ7"/>
    <mergeCell ref="MUR7:MUT7"/>
    <mergeCell ref="MUU7:MUW7"/>
    <mergeCell ref="MUX7:MUZ7"/>
    <mergeCell ref="MVA7:MVC7"/>
    <mergeCell ref="MVD7:MVF7"/>
    <mergeCell ref="NCE7:NCG7"/>
    <mergeCell ref="NCH7:NCJ7"/>
    <mergeCell ref="NCK7:NCM7"/>
    <mergeCell ref="NCN7:NCP7"/>
    <mergeCell ref="NCQ7:NCS7"/>
    <mergeCell ref="NCT7:NCV7"/>
    <mergeCell ref="NBM7:NBO7"/>
    <mergeCell ref="NBP7:NBR7"/>
    <mergeCell ref="NBS7:NBU7"/>
    <mergeCell ref="NBV7:NBX7"/>
    <mergeCell ref="NBY7:NCA7"/>
    <mergeCell ref="NCB7:NCD7"/>
    <mergeCell ref="NAU7:NAW7"/>
    <mergeCell ref="NAX7:NAZ7"/>
    <mergeCell ref="NBA7:NBC7"/>
    <mergeCell ref="NBD7:NBF7"/>
    <mergeCell ref="NBG7:NBI7"/>
    <mergeCell ref="NBJ7:NBL7"/>
    <mergeCell ref="NAC7:NAE7"/>
    <mergeCell ref="NAF7:NAH7"/>
    <mergeCell ref="NAI7:NAK7"/>
    <mergeCell ref="NAL7:NAN7"/>
    <mergeCell ref="NAO7:NAQ7"/>
    <mergeCell ref="NAR7:NAT7"/>
    <mergeCell ref="MZK7:MZM7"/>
    <mergeCell ref="MZN7:MZP7"/>
    <mergeCell ref="MZQ7:MZS7"/>
    <mergeCell ref="MZT7:MZV7"/>
    <mergeCell ref="MZW7:MZY7"/>
    <mergeCell ref="MZZ7:NAB7"/>
    <mergeCell ref="MYS7:MYU7"/>
    <mergeCell ref="MYV7:MYX7"/>
    <mergeCell ref="MYY7:MZA7"/>
    <mergeCell ref="MZB7:MZD7"/>
    <mergeCell ref="MZE7:MZG7"/>
    <mergeCell ref="MZH7:MZJ7"/>
    <mergeCell ref="NGI7:NGK7"/>
    <mergeCell ref="NGL7:NGN7"/>
    <mergeCell ref="NGO7:NGQ7"/>
    <mergeCell ref="NGR7:NGT7"/>
    <mergeCell ref="NGU7:NGW7"/>
    <mergeCell ref="NGX7:NGZ7"/>
    <mergeCell ref="NFQ7:NFS7"/>
    <mergeCell ref="NFT7:NFV7"/>
    <mergeCell ref="NFW7:NFY7"/>
    <mergeCell ref="NFZ7:NGB7"/>
    <mergeCell ref="NGC7:NGE7"/>
    <mergeCell ref="NGF7:NGH7"/>
    <mergeCell ref="NEY7:NFA7"/>
    <mergeCell ref="NFB7:NFD7"/>
    <mergeCell ref="NFE7:NFG7"/>
    <mergeCell ref="NFH7:NFJ7"/>
    <mergeCell ref="NFK7:NFM7"/>
    <mergeCell ref="NFN7:NFP7"/>
    <mergeCell ref="NEG7:NEI7"/>
    <mergeCell ref="NEJ7:NEL7"/>
    <mergeCell ref="NEM7:NEO7"/>
    <mergeCell ref="NEP7:NER7"/>
    <mergeCell ref="NES7:NEU7"/>
    <mergeCell ref="NEV7:NEX7"/>
    <mergeCell ref="NDO7:NDQ7"/>
    <mergeCell ref="NDR7:NDT7"/>
    <mergeCell ref="NDU7:NDW7"/>
    <mergeCell ref="NDX7:NDZ7"/>
    <mergeCell ref="NEA7:NEC7"/>
    <mergeCell ref="NED7:NEF7"/>
    <mergeCell ref="NCW7:NCY7"/>
    <mergeCell ref="NCZ7:NDB7"/>
    <mergeCell ref="NDC7:NDE7"/>
    <mergeCell ref="NDF7:NDH7"/>
    <mergeCell ref="NDI7:NDK7"/>
    <mergeCell ref="NDL7:NDN7"/>
    <mergeCell ref="NKM7:NKO7"/>
    <mergeCell ref="NKP7:NKR7"/>
    <mergeCell ref="NKS7:NKU7"/>
    <mergeCell ref="NKV7:NKX7"/>
    <mergeCell ref="NKY7:NLA7"/>
    <mergeCell ref="NLB7:NLD7"/>
    <mergeCell ref="NJU7:NJW7"/>
    <mergeCell ref="NJX7:NJZ7"/>
    <mergeCell ref="NKA7:NKC7"/>
    <mergeCell ref="NKD7:NKF7"/>
    <mergeCell ref="NKG7:NKI7"/>
    <mergeCell ref="NKJ7:NKL7"/>
    <mergeCell ref="NJC7:NJE7"/>
    <mergeCell ref="NJF7:NJH7"/>
    <mergeCell ref="NJI7:NJK7"/>
    <mergeCell ref="NJL7:NJN7"/>
    <mergeCell ref="NJO7:NJQ7"/>
    <mergeCell ref="NJR7:NJT7"/>
    <mergeCell ref="NIK7:NIM7"/>
    <mergeCell ref="NIN7:NIP7"/>
    <mergeCell ref="NIQ7:NIS7"/>
    <mergeCell ref="NIT7:NIV7"/>
    <mergeCell ref="NIW7:NIY7"/>
    <mergeCell ref="NIZ7:NJB7"/>
    <mergeCell ref="NHS7:NHU7"/>
    <mergeCell ref="NHV7:NHX7"/>
    <mergeCell ref="NHY7:NIA7"/>
    <mergeCell ref="NIB7:NID7"/>
    <mergeCell ref="NIE7:NIG7"/>
    <mergeCell ref="NIH7:NIJ7"/>
    <mergeCell ref="NHA7:NHC7"/>
    <mergeCell ref="NHD7:NHF7"/>
    <mergeCell ref="NHG7:NHI7"/>
    <mergeCell ref="NHJ7:NHL7"/>
    <mergeCell ref="NHM7:NHO7"/>
    <mergeCell ref="NHP7:NHR7"/>
    <mergeCell ref="NOQ7:NOS7"/>
    <mergeCell ref="NOT7:NOV7"/>
    <mergeCell ref="NOW7:NOY7"/>
    <mergeCell ref="NOZ7:NPB7"/>
    <mergeCell ref="NPC7:NPE7"/>
    <mergeCell ref="NPF7:NPH7"/>
    <mergeCell ref="NNY7:NOA7"/>
    <mergeCell ref="NOB7:NOD7"/>
    <mergeCell ref="NOE7:NOG7"/>
    <mergeCell ref="NOH7:NOJ7"/>
    <mergeCell ref="NOK7:NOM7"/>
    <mergeCell ref="NON7:NOP7"/>
    <mergeCell ref="NNG7:NNI7"/>
    <mergeCell ref="NNJ7:NNL7"/>
    <mergeCell ref="NNM7:NNO7"/>
    <mergeCell ref="NNP7:NNR7"/>
    <mergeCell ref="NNS7:NNU7"/>
    <mergeCell ref="NNV7:NNX7"/>
    <mergeCell ref="NMO7:NMQ7"/>
    <mergeCell ref="NMR7:NMT7"/>
    <mergeCell ref="NMU7:NMW7"/>
    <mergeCell ref="NMX7:NMZ7"/>
    <mergeCell ref="NNA7:NNC7"/>
    <mergeCell ref="NND7:NNF7"/>
    <mergeCell ref="NLW7:NLY7"/>
    <mergeCell ref="NLZ7:NMB7"/>
    <mergeCell ref="NMC7:NME7"/>
    <mergeCell ref="NMF7:NMH7"/>
    <mergeCell ref="NMI7:NMK7"/>
    <mergeCell ref="NML7:NMN7"/>
    <mergeCell ref="NLE7:NLG7"/>
    <mergeCell ref="NLH7:NLJ7"/>
    <mergeCell ref="NLK7:NLM7"/>
    <mergeCell ref="NLN7:NLP7"/>
    <mergeCell ref="NLQ7:NLS7"/>
    <mergeCell ref="NLT7:NLV7"/>
    <mergeCell ref="NSU7:NSW7"/>
    <mergeCell ref="NSX7:NSZ7"/>
    <mergeCell ref="NTA7:NTC7"/>
    <mergeCell ref="NTD7:NTF7"/>
    <mergeCell ref="NTG7:NTI7"/>
    <mergeCell ref="NTJ7:NTL7"/>
    <mergeCell ref="NSC7:NSE7"/>
    <mergeCell ref="NSF7:NSH7"/>
    <mergeCell ref="NSI7:NSK7"/>
    <mergeCell ref="NSL7:NSN7"/>
    <mergeCell ref="NSO7:NSQ7"/>
    <mergeCell ref="NSR7:NST7"/>
    <mergeCell ref="NRK7:NRM7"/>
    <mergeCell ref="NRN7:NRP7"/>
    <mergeCell ref="NRQ7:NRS7"/>
    <mergeCell ref="NRT7:NRV7"/>
    <mergeCell ref="NRW7:NRY7"/>
    <mergeCell ref="NRZ7:NSB7"/>
    <mergeCell ref="NQS7:NQU7"/>
    <mergeCell ref="NQV7:NQX7"/>
    <mergeCell ref="NQY7:NRA7"/>
    <mergeCell ref="NRB7:NRD7"/>
    <mergeCell ref="NRE7:NRG7"/>
    <mergeCell ref="NRH7:NRJ7"/>
    <mergeCell ref="NQA7:NQC7"/>
    <mergeCell ref="NQD7:NQF7"/>
    <mergeCell ref="NQG7:NQI7"/>
    <mergeCell ref="NQJ7:NQL7"/>
    <mergeCell ref="NQM7:NQO7"/>
    <mergeCell ref="NQP7:NQR7"/>
    <mergeCell ref="NPI7:NPK7"/>
    <mergeCell ref="NPL7:NPN7"/>
    <mergeCell ref="NPO7:NPQ7"/>
    <mergeCell ref="NPR7:NPT7"/>
    <mergeCell ref="NPU7:NPW7"/>
    <mergeCell ref="NPX7:NPZ7"/>
    <mergeCell ref="NWY7:NXA7"/>
    <mergeCell ref="NXB7:NXD7"/>
    <mergeCell ref="NXE7:NXG7"/>
    <mergeCell ref="NXH7:NXJ7"/>
    <mergeCell ref="NXK7:NXM7"/>
    <mergeCell ref="NXN7:NXP7"/>
    <mergeCell ref="NWG7:NWI7"/>
    <mergeCell ref="NWJ7:NWL7"/>
    <mergeCell ref="NWM7:NWO7"/>
    <mergeCell ref="NWP7:NWR7"/>
    <mergeCell ref="NWS7:NWU7"/>
    <mergeCell ref="NWV7:NWX7"/>
    <mergeCell ref="NVO7:NVQ7"/>
    <mergeCell ref="NVR7:NVT7"/>
    <mergeCell ref="NVU7:NVW7"/>
    <mergeCell ref="NVX7:NVZ7"/>
    <mergeCell ref="NWA7:NWC7"/>
    <mergeCell ref="NWD7:NWF7"/>
    <mergeCell ref="NUW7:NUY7"/>
    <mergeCell ref="NUZ7:NVB7"/>
    <mergeCell ref="NVC7:NVE7"/>
    <mergeCell ref="NVF7:NVH7"/>
    <mergeCell ref="NVI7:NVK7"/>
    <mergeCell ref="NVL7:NVN7"/>
    <mergeCell ref="NUE7:NUG7"/>
    <mergeCell ref="NUH7:NUJ7"/>
    <mergeCell ref="NUK7:NUM7"/>
    <mergeCell ref="NUN7:NUP7"/>
    <mergeCell ref="NUQ7:NUS7"/>
    <mergeCell ref="NUT7:NUV7"/>
    <mergeCell ref="NTM7:NTO7"/>
    <mergeCell ref="NTP7:NTR7"/>
    <mergeCell ref="NTS7:NTU7"/>
    <mergeCell ref="NTV7:NTX7"/>
    <mergeCell ref="NTY7:NUA7"/>
    <mergeCell ref="NUB7:NUD7"/>
    <mergeCell ref="OBC7:OBE7"/>
    <mergeCell ref="OBF7:OBH7"/>
    <mergeCell ref="OBI7:OBK7"/>
    <mergeCell ref="OBL7:OBN7"/>
    <mergeCell ref="OBO7:OBQ7"/>
    <mergeCell ref="OBR7:OBT7"/>
    <mergeCell ref="OAK7:OAM7"/>
    <mergeCell ref="OAN7:OAP7"/>
    <mergeCell ref="OAQ7:OAS7"/>
    <mergeCell ref="OAT7:OAV7"/>
    <mergeCell ref="OAW7:OAY7"/>
    <mergeCell ref="OAZ7:OBB7"/>
    <mergeCell ref="NZS7:NZU7"/>
    <mergeCell ref="NZV7:NZX7"/>
    <mergeCell ref="NZY7:OAA7"/>
    <mergeCell ref="OAB7:OAD7"/>
    <mergeCell ref="OAE7:OAG7"/>
    <mergeCell ref="OAH7:OAJ7"/>
    <mergeCell ref="NZA7:NZC7"/>
    <mergeCell ref="NZD7:NZF7"/>
    <mergeCell ref="NZG7:NZI7"/>
    <mergeCell ref="NZJ7:NZL7"/>
    <mergeCell ref="NZM7:NZO7"/>
    <mergeCell ref="NZP7:NZR7"/>
    <mergeCell ref="NYI7:NYK7"/>
    <mergeCell ref="NYL7:NYN7"/>
    <mergeCell ref="NYO7:NYQ7"/>
    <mergeCell ref="NYR7:NYT7"/>
    <mergeCell ref="NYU7:NYW7"/>
    <mergeCell ref="NYX7:NYZ7"/>
    <mergeCell ref="NXQ7:NXS7"/>
    <mergeCell ref="NXT7:NXV7"/>
    <mergeCell ref="NXW7:NXY7"/>
    <mergeCell ref="NXZ7:NYB7"/>
    <mergeCell ref="NYC7:NYE7"/>
    <mergeCell ref="NYF7:NYH7"/>
    <mergeCell ref="OFG7:OFI7"/>
    <mergeCell ref="OFJ7:OFL7"/>
    <mergeCell ref="OFM7:OFO7"/>
    <mergeCell ref="OFP7:OFR7"/>
    <mergeCell ref="OFS7:OFU7"/>
    <mergeCell ref="OFV7:OFX7"/>
    <mergeCell ref="OEO7:OEQ7"/>
    <mergeCell ref="OER7:OET7"/>
    <mergeCell ref="OEU7:OEW7"/>
    <mergeCell ref="OEX7:OEZ7"/>
    <mergeCell ref="OFA7:OFC7"/>
    <mergeCell ref="OFD7:OFF7"/>
    <mergeCell ref="ODW7:ODY7"/>
    <mergeCell ref="ODZ7:OEB7"/>
    <mergeCell ref="OEC7:OEE7"/>
    <mergeCell ref="OEF7:OEH7"/>
    <mergeCell ref="OEI7:OEK7"/>
    <mergeCell ref="OEL7:OEN7"/>
    <mergeCell ref="ODE7:ODG7"/>
    <mergeCell ref="ODH7:ODJ7"/>
    <mergeCell ref="ODK7:ODM7"/>
    <mergeCell ref="ODN7:ODP7"/>
    <mergeCell ref="ODQ7:ODS7"/>
    <mergeCell ref="ODT7:ODV7"/>
    <mergeCell ref="OCM7:OCO7"/>
    <mergeCell ref="OCP7:OCR7"/>
    <mergeCell ref="OCS7:OCU7"/>
    <mergeCell ref="OCV7:OCX7"/>
    <mergeCell ref="OCY7:ODA7"/>
    <mergeCell ref="ODB7:ODD7"/>
    <mergeCell ref="OBU7:OBW7"/>
    <mergeCell ref="OBX7:OBZ7"/>
    <mergeCell ref="OCA7:OCC7"/>
    <mergeCell ref="OCD7:OCF7"/>
    <mergeCell ref="OCG7:OCI7"/>
    <mergeCell ref="OCJ7:OCL7"/>
    <mergeCell ref="OJK7:OJM7"/>
    <mergeCell ref="OJN7:OJP7"/>
    <mergeCell ref="OJQ7:OJS7"/>
    <mergeCell ref="OJT7:OJV7"/>
    <mergeCell ref="OJW7:OJY7"/>
    <mergeCell ref="OJZ7:OKB7"/>
    <mergeCell ref="OIS7:OIU7"/>
    <mergeCell ref="OIV7:OIX7"/>
    <mergeCell ref="OIY7:OJA7"/>
    <mergeCell ref="OJB7:OJD7"/>
    <mergeCell ref="OJE7:OJG7"/>
    <mergeCell ref="OJH7:OJJ7"/>
    <mergeCell ref="OIA7:OIC7"/>
    <mergeCell ref="OID7:OIF7"/>
    <mergeCell ref="OIG7:OII7"/>
    <mergeCell ref="OIJ7:OIL7"/>
    <mergeCell ref="OIM7:OIO7"/>
    <mergeCell ref="OIP7:OIR7"/>
    <mergeCell ref="OHI7:OHK7"/>
    <mergeCell ref="OHL7:OHN7"/>
    <mergeCell ref="OHO7:OHQ7"/>
    <mergeCell ref="OHR7:OHT7"/>
    <mergeCell ref="OHU7:OHW7"/>
    <mergeCell ref="OHX7:OHZ7"/>
    <mergeCell ref="OGQ7:OGS7"/>
    <mergeCell ref="OGT7:OGV7"/>
    <mergeCell ref="OGW7:OGY7"/>
    <mergeCell ref="OGZ7:OHB7"/>
    <mergeCell ref="OHC7:OHE7"/>
    <mergeCell ref="OHF7:OHH7"/>
    <mergeCell ref="OFY7:OGA7"/>
    <mergeCell ref="OGB7:OGD7"/>
    <mergeCell ref="OGE7:OGG7"/>
    <mergeCell ref="OGH7:OGJ7"/>
    <mergeCell ref="OGK7:OGM7"/>
    <mergeCell ref="OGN7:OGP7"/>
    <mergeCell ref="ONO7:ONQ7"/>
    <mergeCell ref="ONR7:ONT7"/>
    <mergeCell ref="ONU7:ONW7"/>
    <mergeCell ref="ONX7:ONZ7"/>
    <mergeCell ref="OOA7:OOC7"/>
    <mergeCell ref="OOD7:OOF7"/>
    <mergeCell ref="OMW7:OMY7"/>
    <mergeCell ref="OMZ7:ONB7"/>
    <mergeCell ref="ONC7:ONE7"/>
    <mergeCell ref="ONF7:ONH7"/>
    <mergeCell ref="ONI7:ONK7"/>
    <mergeCell ref="ONL7:ONN7"/>
    <mergeCell ref="OME7:OMG7"/>
    <mergeCell ref="OMH7:OMJ7"/>
    <mergeCell ref="OMK7:OMM7"/>
    <mergeCell ref="OMN7:OMP7"/>
    <mergeCell ref="OMQ7:OMS7"/>
    <mergeCell ref="OMT7:OMV7"/>
    <mergeCell ref="OLM7:OLO7"/>
    <mergeCell ref="OLP7:OLR7"/>
    <mergeCell ref="OLS7:OLU7"/>
    <mergeCell ref="OLV7:OLX7"/>
    <mergeCell ref="OLY7:OMA7"/>
    <mergeCell ref="OMB7:OMD7"/>
    <mergeCell ref="OKU7:OKW7"/>
    <mergeCell ref="OKX7:OKZ7"/>
    <mergeCell ref="OLA7:OLC7"/>
    <mergeCell ref="OLD7:OLF7"/>
    <mergeCell ref="OLG7:OLI7"/>
    <mergeCell ref="OLJ7:OLL7"/>
    <mergeCell ref="OKC7:OKE7"/>
    <mergeCell ref="OKF7:OKH7"/>
    <mergeCell ref="OKI7:OKK7"/>
    <mergeCell ref="OKL7:OKN7"/>
    <mergeCell ref="OKO7:OKQ7"/>
    <mergeCell ref="OKR7:OKT7"/>
    <mergeCell ref="ORS7:ORU7"/>
    <mergeCell ref="ORV7:ORX7"/>
    <mergeCell ref="ORY7:OSA7"/>
    <mergeCell ref="OSB7:OSD7"/>
    <mergeCell ref="OSE7:OSG7"/>
    <mergeCell ref="OSH7:OSJ7"/>
    <mergeCell ref="ORA7:ORC7"/>
    <mergeCell ref="ORD7:ORF7"/>
    <mergeCell ref="ORG7:ORI7"/>
    <mergeCell ref="ORJ7:ORL7"/>
    <mergeCell ref="ORM7:ORO7"/>
    <mergeCell ref="ORP7:ORR7"/>
    <mergeCell ref="OQI7:OQK7"/>
    <mergeCell ref="OQL7:OQN7"/>
    <mergeCell ref="OQO7:OQQ7"/>
    <mergeCell ref="OQR7:OQT7"/>
    <mergeCell ref="OQU7:OQW7"/>
    <mergeCell ref="OQX7:OQZ7"/>
    <mergeCell ref="OPQ7:OPS7"/>
    <mergeCell ref="OPT7:OPV7"/>
    <mergeCell ref="OPW7:OPY7"/>
    <mergeCell ref="OPZ7:OQB7"/>
    <mergeCell ref="OQC7:OQE7"/>
    <mergeCell ref="OQF7:OQH7"/>
    <mergeCell ref="OOY7:OPA7"/>
    <mergeCell ref="OPB7:OPD7"/>
    <mergeCell ref="OPE7:OPG7"/>
    <mergeCell ref="OPH7:OPJ7"/>
    <mergeCell ref="OPK7:OPM7"/>
    <mergeCell ref="OPN7:OPP7"/>
    <mergeCell ref="OOG7:OOI7"/>
    <mergeCell ref="OOJ7:OOL7"/>
    <mergeCell ref="OOM7:OOO7"/>
    <mergeCell ref="OOP7:OOR7"/>
    <mergeCell ref="OOS7:OOU7"/>
    <mergeCell ref="OOV7:OOX7"/>
    <mergeCell ref="OVW7:OVY7"/>
    <mergeCell ref="OVZ7:OWB7"/>
    <mergeCell ref="OWC7:OWE7"/>
    <mergeCell ref="OWF7:OWH7"/>
    <mergeCell ref="OWI7:OWK7"/>
    <mergeCell ref="OWL7:OWN7"/>
    <mergeCell ref="OVE7:OVG7"/>
    <mergeCell ref="OVH7:OVJ7"/>
    <mergeCell ref="OVK7:OVM7"/>
    <mergeCell ref="OVN7:OVP7"/>
    <mergeCell ref="OVQ7:OVS7"/>
    <mergeCell ref="OVT7:OVV7"/>
    <mergeCell ref="OUM7:OUO7"/>
    <mergeCell ref="OUP7:OUR7"/>
    <mergeCell ref="OUS7:OUU7"/>
    <mergeCell ref="OUV7:OUX7"/>
    <mergeCell ref="OUY7:OVA7"/>
    <mergeCell ref="OVB7:OVD7"/>
    <mergeCell ref="OTU7:OTW7"/>
    <mergeCell ref="OTX7:OTZ7"/>
    <mergeCell ref="OUA7:OUC7"/>
    <mergeCell ref="OUD7:OUF7"/>
    <mergeCell ref="OUG7:OUI7"/>
    <mergeCell ref="OUJ7:OUL7"/>
    <mergeCell ref="OTC7:OTE7"/>
    <mergeCell ref="OTF7:OTH7"/>
    <mergeCell ref="OTI7:OTK7"/>
    <mergeCell ref="OTL7:OTN7"/>
    <mergeCell ref="OTO7:OTQ7"/>
    <mergeCell ref="OTR7:OTT7"/>
    <mergeCell ref="OSK7:OSM7"/>
    <mergeCell ref="OSN7:OSP7"/>
    <mergeCell ref="OSQ7:OSS7"/>
    <mergeCell ref="OST7:OSV7"/>
    <mergeCell ref="OSW7:OSY7"/>
    <mergeCell ref="OSZ7:OTB7"/>
    <mergeCell ref="PAA7:PAC7"/>
    <mergeCell ref="PAD7:PAF7"/>
    <mergeCell ref="PAG7:PAI7"/>
    <mergeCell ref="PAJ7:PAL7"/>
    <mergeCell ref="PAM7:PAO7"/>
    <mergeCell ref="PAP7:PAR7"/>
    <mergeCell ref="OZI7:OZK7"/>
    <mergeCell ref="OZL7:OZN7"/>
    <mergeCell ref="OZO7:OZQ7"/>
    <mergeCell ref="OZR7:OZT7"/>
    <mergeCell ref="OZU7:OZW7"/>
    <mergeCell ref="OZX7:OZZ7"/>
    <mergeCell ref="OYQ7:OYS7"/>
    <mergeCell ref="OYT7:OYV7"/>
    <mergeCell ref="OYW7:OYY7"/>
    <mergeCell ref="OYZ7:OZB7"/>
    <mergeCell ref="OZC7:OZE7"/>
    <mergeCell ref="OZF7:OZH7"/>
    <mergeCell ref="OXY7:OYA7"/>
    <mergeCell ref="OYB7:OYD7"/>
    <mergeCell ref="OYE7:OYG7"/>
    <mergeCell ref="OYH7:OYJ7"/>
    <mergeCell ref="OYK7:OYM7"/>
    <mergeCell ref="OYN7:OYP7"/>
    <mergeCell ref="OXG7:OXI7"/>
    <mergeCell ref="OXJ7:OXL7"/>
    <mergeCell ref="OXM7:OXO7"/>
    <mergeCell ref="OXP7:OXR7"/>
    <mergeCell ref="OXS7:OXU7"/>
    <mergeCell ref="OXV7:OXX7"/>
    <mergeCell ref="OWO7:OWQ7"/>
    <mergeCell ref="OWR7:OWT7"/>
    <mergeCell ref="OWU7:OWW7"/>
    <mergeCell ref="OWX7:OWZ7"/>
    <mergeCell ref="OXA7:OXC7"/>
    <mergeCell ref="OXD7:OXF7"/>
    <mergeCell ref="PEE7:PEG7"/>
    <mergeCell ref="PEH7:PEJ7"/>
    <mergeCell ref="PEK7:PEM7"/>
    <mergeCell ref="PEN7:PEP7"/>
    <mergeCell ref="PEQ7:PES7"/>
    <mergeCell ref="PET7:PEV7"/>
    <mergeCell ref="PDM7:PDO7"/>
    <mergeCell ref="PDP7:PDR7"/>
    <mergeCell ref="PDS7:PDU7"/>
    <mergeCell ref="PDV7:PDX7"/>
    <mergeCell ref="PDY7:PEA7"/>
    <mergeCell ref="PEB7:PED7"/>
    <mergeCell ref="PCU7:PCW7"/>
    <mergeCell ref="PCX7:PCZ7"/>
    <mergeCell ref="PDA7:PDC7"/>
    <mergeCell ref="PDD7:PDF7"/>
    <mergeCell ref="PDG7:PDI7"/>
    <mergeCell ref="PDJ7:PDL7"/>
    <mergeCell ref="PCC7:PCE7"/>
    <mergeCell ref="PCF7:PCH7"/>
    <mergeCell ref="PCI7:PCK7"/>
    <mergeCell ref="PCL7:PCN7"/>
    <mergeCell ref="PCO7:PCQ7"/>
    <mergeCell ref="PCR7:PCT7"/>
    <mergeCell ref="PBK7:PBM7"/>
    <mergeCell ref="PBN7:PBP7"/>
    <mergeCell ref="PBQ7:PBS7"/>
    <mergeCell ref="PBT7:PBV7"/>
    <mergeCell ref="PBW7:PBY7"/>
    <mergeCell ref="PBZ7:PCB7"/>
    <mergeCell ref="PAS7:PAU7"/>
    <mergeCell ref="PAV7:PAX7"/>
    <mergeCell ref="PAY7:PBA7"/>
    <mergeCell ref="PBB7:PBD7"/>
    <mergeCell ref="PBE7:PBG7"/>
    <mergeCell ref="PBH7:PBJ7"/>
    <mergeCell ref="PII7:PIK7"/>
    <mergeCell ref="PIL7:PIN7"/>
    <mergeCell ref="PIO7:PIQ7"/>
    <mergeCell ref="PIR7:PIT7"/>
    <mergeCell ref="PIU7:PIW7"/>
    <mergeCell ref="PIX7:PIZ7"/>
    <mergeCell ref="PHQ7:PHS7"/>
    <mergeCell ref="PHT7:PHV7"/>
    <mergeCell ref="PHW7:PHY7"/>
    <mergeCell ref="PHZ7:PIB7"/>
    <mergeCell ref="PIC7:PIE7"/>
    <mergeCell ref="PIF7:PIH7"/>
    <mergeCell ref="PGY7:PHA7"/>
    <mergeCell ref="PHB7:PHD7"/>
    <mergeCell ref="PHE7:PHG7"/>
    <mergeCell ref="PHH7:PHJ7"/>
    <mergeCell ref="PHK7:PHM7"/>
    <mergeCell ref="PHN7:PHP7"/>
    <mergeCell ref="PGG7:PGI7"/>
    <mergeCell ref="PGJ7:PGL7"/>
    <mergeCell ref="PGM7:PGO7"/>
    <mergeCell ref="PGP7:PGR7"/>
    <mergeCell ref="PGS7:PGU7"/>
    <mergeCell ref="PGV7:PGX7"/>
    <mergeCell ref="PFO7:PFQ7"/>
    <mergeCell ref="PFR7:PFT7"/>
    <mergeCell ref="PFU7:PFW7"/>
    <mergeCell ref="PFX7:PFZ7"/>
    <mergeCell ref="PGA7:PGC7"/>
    <mergeCell ref="PGD7:PGF7"/>
    <mergeCell ref="PEW7:PEY7"/>
    <mergeCell ref="PEZ7:PFB7"/>
    <mergeCell ref="PFC7:PFE7"/>
    <mergeCell ref="PFF7:PFH7"/>
    <mergeCell ref="PFI7:PFK7"/>
    <mergeCell ref="PFL7:PFN7"/>
    <mergeCell ref="PMM7:PMO7"/>
    <mergeCell ref="PMP7:PMR7"/>
    <mergeCell ref="PMS7:PMU7"/>
    <mergeCell ref="PMV7:PMX7"/>
    <mergeCell ref="PMY7:PNA7"/>
    <mergeCell ref="PNB7:PND7"/>
    <mergeCell ref="PLU7:PLW7"/>
    <mergeCell ref="PLX7:PLZ7"/>
    <mergeCell ref="PMA7:PMC7"/>
    <mergeCell ref="PMD7:PMF7"/>
    <mergeCell ref="PMG7:PMI7"/>
    <mergeCell ref="PMJ7:PML7"/>
    <mergeCell ref="PLC7:PLE7"/>
    <mergeCell ref="PLF7:PLH7"/>
    <mergeCell ref="PLI7:PLK7"/>
    <mergeCell ref="PLL7:PLN7"/>
    <mergeCell ref="PLO7:PLQ7"/>
    <mergeCell ref="PLR7:PLT7"/>
    <mergeCell ref="PKK7:PKM7"/>
    <mergeCell ref="PKN7:PKP7"/>
    <mergeCell ref="PKQ7:PKS7"/>
    <mergeCell ref="PKT7:PKV7"/>
    <mergeCell ref="PKW7:PKY7"/>
    <mergeCell ref="PKZ7:PLB7"/>
    <mergeCell ref="PJS7:PJU7"/>
    <mergeCell ref="PJV7:PJX7"/>
    <mergeCell ref="PJY7:PKA7"/>
    <mergeCell ref="PKB7:PKD7"/>
    <mergeCell ref="PKE7:PKG7"/>
    <mergeCell ref="PKH7:PKJ7"/>
    <mergeCell ref="PJA7:PJC7"/>
    <mergeCell ref="PJD7:PJF7"/>
    <mergeCell ref="PJG7:PJI7"/>
    <mergeCell ref="PJJ7:PJL7"/>
    <mergeCell ref="PJM7:PJO7"/>
    <mergeCell ref="PJP7:PJR7"/>
    <mergeCell ref="PQQ7:PQS7"/>
    <mergeCell ref="PQT7:PQV7"/>
    <mergeCell ref="PQW7:PQY7"/>
    <mergeCell ref="PQZ7:PRB7"/>
    <mergeCell ref="PRC7:PRE7"/>
    <mergeCell ref="PRF7:PRH7"/>
    <mergeCell ref="PPY7:PQA7"/>
    <mergeCell ref="PQB7:PQD7"/>
    <mergeCell ref="PQE7:PQG7"/>
    <mergeCell ref="PQH7:PQJ7"/>
    <mergeCell ref="PQK7:PQM7"/>
    <mergeCell ref="PQN7:PQP7"/>
    <mergeCell ref="PPG7:PPI7"/>
    <mergeCell ref="PPJ7:PPL7"/>
    <mergeCell ref="PPM7:PPO7"/>
    <mergeCell ref="PPP7:PPR7"/>
    <mergeCell ref="PPS7:PPU7"/>
    <mergeCell ref="PPV7:PPX7"/>
    <mergeCell ref="POO7:POQ7"/>
    <mergeCell ref="POR7:POT7"/>
    <mergeCell ref="POU7:POW7"/>
    <mergeCell ref="POX7:POZ7"/>
    <mergeCell ref="PPA7:PPC7"/>
    <mergeCell ref="PPD7:PPF7"/>
    <mergeCell ref="PNW7:PNY7"/>
    <mergeCell ref="PNZ7:POB7"/>
    <mergeCell ref="POC7:POE7"/>
    <mergeCell ref="POF7:POH7"/>
    <mergeCell ref="POI7:POK7"/>
    <mergeCell ref="POL7:PON7"/>
    <mergeCell ref="PNE7:PNG7"/>
    <mergeCell ref="PNH7:PNJ7"/>
    <mergeCell ref="PNK7:PNM7"/>
    <mergeCell ref="PNN7:PNP7"/>
    <mergeCell ref="PNQ7:PNS7"/>
    <mergeCell ref="PNT7:PNV7"/>
    <mergeCell ref="PUU7:PUW7"/>
    <mergeCell ref="PUX7:PUZ7"/>
    <mergeCell ref="PVA7:PVC7"/>
    <mergeCell ref="PVD7:PVF7"/>
    <mergeCell ref="PVG7:PVI7"/>
    <mergeCell ref="PVJ7:PVL7"/>
    <mergeCell ref="PUC7:PUE7"/>
    <mergeCell ref="PUF7:PUH7"/>
    <mergeCell ref="PUI7:PUK7"/>
    <mergeCell ref="PUL7:PUN7"/>
    <mergeCell ref="PUO7:PUQ7"/>
    <mergeCell ref="PUR7:PUT7"/>
    <mergeCell ref="PTK7:PTM7"/>
    <mergeCell ref="PTN7:PTP7"/>
    <mergeCell ref="PTQ7:PTS7"/>
    <mergeCell ref="PTT7:PTV7"/>
    <mergeCell ref="PTW7:PTY7"/>
    <mergeCell ref="PTZ7:PUB7"/>
    <mergeCell ref="PSS7:PSU7"/>
    <mergeCell ref="PSV7:PSX7"/>
    <mergeCell ref="PSY7:PTA7"/>
    <mergeCell ref="PTB7:PTD7"/>
    <mergeCell ref="PTE7:PTG7"/>
    <mergeCell ref="PTH7:PTJ7"/>
    <mergeCell ref="PSA7:PSC7"/>
    <mergeCell ref="PSD7:PSF7"/>
    <mergeCell ref="PSG7:PSI7"/>
    <mergeCell ref="PSJ7:PSL7"/>
    <mergeCell ref="PSM7:PSO7"/>
    <mergeCell ref="PSP7:PSR7"/>
    <mergeCell ref="PRI7:PRK7"/>
    <mergeCell ref="PRL7:PRN7"/>
    <mergeCell ref="PRO7:PRQ7"/>
    <mergeCell ref="PRR7:PRT7"/>
    <mergeCell ref="PRU7:PRW7"/>
    <mergeCell ref="PRX7:PRZ7"/>
    <mergeCell ref="PYY7:PZA7"/>
    <mergeCell ref="PZB7:PZD7"/>
    <mergeCell ref="PZE7:PZG7"/>
    <mergeCell ref="PZH7:PZJ7"/>
    <mergeCell ref="PZK7:PZM7"/>
    <mergeCell ref="PZN7:PZP7"/>
    <mergeCell ref="PYG7:PYI7"/>
    <mergeCell ref="PYJ7:PYL7"/>
    <mergeCell ref="PYM7:PYO7"/>
    <mergeCell ref="PYP7:PYR7"/>
    <mergeCell ref="PYS7:PYU7"/>
    <mergeCell ref="PYV7:PYX7"/>
    <mergeCell ref="PXO7:PXQ7"/>
    <mergeCell ref="PXR7:PXT7"/>
    <mergeCell ref="PXU7:PXW7"/>
    <mergeCell ref="PXX7:PXZ7"/>
    <mergeCell ref="PYA7:PYC7"/>
    <mergeCell ref="PYD7:PYF7"/>
    <mergeCell ref="PWW7:PWY7"/>
    <mergeCell ref="PWZ7:PXB7"/>
    <mergeCell ref="PXC7:PXE7"/>
    <mergeCell ref="PXF7:PXH7"/>
    <mergeCell ref="PXI7:PXK7"/>
    <mergeCell ref="PXL7:PXN7"/>
    <mergeCell ref="PWE7:PWG7"/>
    <mergeCell ref="PWH7:PWJ7"/>
    <mergeCell ref="PWK7:PWM7"/>
    <mergeCell ref="PWN7:PWP7"/>
    <mergeCell ref="PWQ7:PWS7"/>
    <mergeCell ref="PWT7:PWV7"/>
    <mergeCell ref="PVM7:PVO7"/>
    <mergeCell ref="PVP7:PVR7"/>
    <mergeCell ref="PVS7:PVU7"/>
    <mergeCell ref="PVV7:PVX7"/>
    <mergeCell ref="PVY7:PWA7"/>
    <mergeCell ref="PWB7:PWD7"/>
    <mergeCell ref="QDC7:QDE7"/>
    <mergeCell ref="QDF7:QDH7"/>
    <mergeCell ref="QDI7:QDK7"/>
    <mergeCell ref="QDL7:QDN7"/>
    <mergeCell ref="QDO7:QDQ7"/>
    <mergeCell ref="QDR7:QDT7"/>
    <mergeCell ref="QCK7:QCM7"/>
    <mergeCell ref="QCN7:QCP7"/>
    <mergeCell ref="QCQ7:QCS7"/>
    <mergeCell ref="QCT7:QCV7"/>
    <mergeCell ref="QCW7:QCY7"/>
    <mergeCell ref="QCZ7:QDB7"/>
    <mergeCell ref="QBS7:QBU7"/>
    <mergeCell ref="QBV7:QBX7"/>
    <mergeCell ref="QBY7:QCA7"/>
    <mergeCell ref="QCB7:QCD7"/>
    <mergeCell ref="QCE7:QCG7"/>
    <mergeCell ref="QCH7:QCJ7"/>
    <mergeCell ref="QBA7:QBC7"/>
    <mergeCell ref="QBD7:QBF7"/>
    <mergeCell ref="QBG7:QBI7"/>
    <mergeCell ref="QBJ7:QBL7"/>
    <mergeCell ref="QBM7:QBO7"/>
    <mergeCell ref="QBP7:QBR7"/>
    <mergeCell ref="QAI7:QAK7"/>
    <mergeCell ref="QAL7:QAN7"/>
    <mergeCell ref="QAO7:QAQ7"/>
    <mergeCell ref="QAR7:QAT7"/>
    <mergeCell ref="QAU7:QAW7"/>
    <mergeCell ref="QAX7:QAZ7"/>
    <mergeCell ref="PZQ7:PZS7"/>
    <mergeCell ref="PZT7:PZV7"/>
    <mergeCell ref="PZW7:PZY7"/>
    <mergeCell ref="PZZ7:QAB7"/>
    <mergeCell ref="QAC7:QAE7"/>
    <mergeCell ref="QAF7:QAH7"/>
    <mergeCell ref="QHG7:QHI7"/>
    <mergeCell ref="QHJ7:QHL7"/>
    <mergeCell ref="QHM7:QHO7"/>
    <mergeCell ref="QHP7:QHR7"/>
    <mergeCell ref="QHS7:QHU7"/>
    <mergeCell ref="QHV7:QHX7"/>
    <mergeCell ref="QGO7:QGQ7"/>
    <mergeCell ref="QGR7:QGT7"/>
    <mergeCell ref="QGU7:QGW7"/>
    <mergeCell ref="QGX7:QGZ7"/>
    <mergeCell ref="QHA7:QHC7"/>
    <mergeCell ref="QHD7:QHF7"/>
    <mergeCell ref="QFW7:QFY7"/>
    <mergeCell ref="QFZ7:QGB7"/>
    <mergeCell ref="QGC7:QGE7"/>
    <mergeCell ref="QGF7:QGH7"/>
    <mergeCell ref="QGI7:QGK7"/>
    <mergeCell ref="QGL7:QGN7"/>
    <mergeCell ref="QFE7:QFG7"/>
    <mergeCell ref="QFH7:QFJ7"/>
    <mergeCell ref="QFK7:QFM7"/>
    <mergeCell ref="QFN7:QFP7"/>
    <mergeCell ref="QFQ7:QFS7"/>
    <mergeCell ref="QFT7:QFV7"/>
    <mergeCell ref="QEM7:QEO7"/>
    <mergeCell ref="QEP7:QER7"/>
    <mergeCell ref="QES7:QEU7"/>
    <mergeCell ref="QEV7:QEX7"/>
    <mergeCell ref="QEY7:QFA7"/>
    <mergeCell ref="QFB7:QFD7"/>
    <mergeCell ref="QDU7:QDW7"/>
    <mergeCell ref="QDX7:QDZ7"/>
    <mergeCell ref="QEA7:QEC7"/>
    <mergeCell ref="QED7:QEF7"/>
    <mergeCell ref="QEG7:QEI7"/>
    <mergeCell ref="QEJ7:QEL7"/>
    <mergeCell ref="QLK7:QLM7"/>
    <mergeCell ref="QLN7:QLP7"/>
    <mergeCell ref="QLQ7:QLS7"/>
    <mergeCell ref="QLT7:QLV7"/>
    <mergeCell ref="QLW7:QLY7"/>
    <mergeCell ref="QLZ7:QMB7"/>
    <mergeCell ref="QKS7:QKU7"/>
    <mergeCell ref="QKV7:QKX7"/>
    <mergeCell ref="QKY7:QLA7"/>
    <mergeCell ref="QLB7:QLD7"/>
    <mergeCell ref="QLE7:QLG7"/>
    <mergeCell ref="QLH7:QLJ7"/>
    <mergeCell ref="QKA7:QKC7"/>
    <mergeCell ref="QKD7:QKF7"/>
    <mergeCell ref="QKG7:QKI7"/>
    <mergeCell ref="QKJ7:QKL7"/>
    <mergeCell ref="QKM7:QKO7"/>
    <mergeCell ref="QKP7:QKR7"/>
    <mergeCell ref="QJI7:QJK7"/>
    <mergeCell ref="QJL7:QJN7"/>
    <mergeCell ref="QJO7:QJQ7"/>
    <mergeCell ref="QJR7:QJT7"/>
    <mergeCell ref="QJU7:QJW7"/>
    <mergeCell ref="QJX7:QJZ7"/>
    <mergeCell ref="QIQ7:QIS7"/>
    <mergeCell ref="QIT7:QIV7"/>
    <mergeCell ref="QIW7:QIY7"/>
    <mergeCell ref="QIZ7:QJB7"/>
    <mergeCell ref="QJC7:QJE7"/>
    <mergeCell ref="QJF7:QJH7"/>
    <mergeCell ref="QHY7:QIA7"/>
    <mergeCell ref="QIB7:QID7"/>
    <mergeCell ref="QIE7:QIG7"/>
    <mergeCell ref="QIH7:QIJ7"/>
    <mergeCell ref="QIK7:QIM7"/>
    <mergeCell ref="QIN7:QIP7"/>
    <mergeCell ref="QPO7:QPQ7"/>
    <mergeCell ref="QPR7:QPT7"/>
    <mergeCell ref="QPU7:QPW7"/>
    <mergeCell ref="QPX7:QPZ7"/>
    <mergeCell ref="QQA7:QQC7"/>
    <mergeCell ref="QQD7:QQF7"/>
    <mergeCell ref="QOW7:QOY7"/>
    <mergeCell ref="QOZ7:QPB7"/>
    <mergeCell ref="QPC7:QPE7"/>
    <mergeCell ref="QPF7:QPH7"/>
    <mergeCell ref="QPI7:QPK7"/>
    <mergeCell ref="QPL7:QPN7"/>
    <mergeCell ref="QOE7:QOG7"/>
    <mergeCell ref="QOH7:QOJ7"/>
    <mergeCell ref="QOK7:QOM7"/>
    <mergeCell ref="QON7:QOP7"/>
    <mergeCell ref="QOQ7:QOS7"/>
    <mergeCell ref="QOT7:QOV7"/>
    <mergeCell ref="QNM7:QNO7"/>
    <mergeCell ref="QNP7:QNR7"/>
    <mergeCell ref="QNS7:QNU7"/>
    <mergeCell ref="QNV7:QNX7"/>
    <mergeCell ref="QNY7:QOA7"/>
    <mergeCell ref="QOB7:QOD7"/>
    <mergeCell ref="QMU7:QMW7"/>
    <mergeCell ref="QMX7:QMZ7"/>
    <mergeCell ref="QNA7:QNC7"/>
    <mergeCell ref="QND7:QNF7"/>
    <mergeCell ref="QNG7:QNI7"/>
    <mergeCell ref="QNJ7:QNL7"/>
    <mergeCell ref="QMC7:QME7"/>
    <mergeCell ref="QMF7:QMH7"/>
    <mergeCell ref="QMI7:QMK7"/>
    <mergeCell ref="QML7:QMN7"/>
    <mergeCell ref="QMO7:QMQ7"/>
    <mergeCell ref="QMR7:QMT7"/>
    <mergeCell ref="QTS7:QTU7"/>
    <mergeCell ref="QTV7:QTX7"/>
    <mergeCell ref="QTY7:QUA7"/>
    <mergeCell ref="QUB7:QUD7"/>
    <mergeCell ref="QUE7:QUG7"/>
    <mergeCell ref="QUH7:QUJ7"/>
    <mergeCell ref="QTA7:QTC7"/>
    <mergeCell ref="QTD7:QTF7"/>
    <mergeCell ref="QTG7:QTI7"/>
    <mergeCell ref="QTJ7:QTL7"/>
    <mergeCell ref="QTM7:QTO7"/>
    <mergeCell ref="QTP7:QTR7"/>
    <mergeCell ref="QSI7:QSK7"/>
    <mergeCell ref="QSL7:QSN7"/>
    <mergeCell ref="QSO7:QSQ7"/>
    <mergeCell ref="QSR7:QST7"/>
    <mergeCell ref="QSU7:QSW7"/>
    <mergeCell ref="QSX7:QSZ7"/>
    <mergeCell ref="QRQ7:QRS7"/>
    <mergeCell ref="QRT7:QRV7"/>
    <mergeCell ref="QRW7:QRY7"/>
    <mergeCell ref="QRZ7:QSB7"/>
    <mergeCell ref="QSC7:QSE7"/>
    <mergeCell ref="QSF7:QSH7"/>
    <mergeCell ref="QQY7:QRA7"/>
    <mergeCell ref="QRB7:QRD7"/>
    <mergeCell ref="QRE7:QRG7"/>
    <mergeCell ref="QRH7:QRJ7"/>
    <mergeCell ref="QRK7:QRM7"/>
    <mergeCell ref="QRN7:QRP7"/>
    <mergeCell ref="QQG7:QQI7"/>
    <mergeCell ref="QQJ7:QQL7"/>
    <mergeCell ref="QQM7:QQO7"/>
    <mergeCell ref="QQP7:QQR7"/>
    <mergeCell ref="QQS7:QQU7"/>
    <mergeCell ref="QQV7:QQX7"/>
    <mergeCell ref="QXW7:QXY7"/>
    <mergeCell ref="QXZ7:QYB7"/>
    <mergeCell ref="QYC7:QYE7"/>
    <mergeCell ref="QYF7:QYH7"/>
    <mergeCell ref="QYI7:QYK7"/>
    <mergeCell ref="QYL7:QYN7"/>
    <mergeCell ref="QXE7:QXG7"/>
    <mergeCell ref="QXH7:QXJ7"/>
    <mergeCell ref="QXK7:QXM7"/>
    <mergeCell ref="QXN7:QXP7"/>
    <mergeCell ref="QXQ7:QXS7"/>
    <mergeCell ref="QXT7:QXV7"/>
    <mergeCell ref="QWM7:QWO7"/>
    <mergeCell ref="QWP7:QWR7"/>
    <mergeCell ref="QWS7:QWU7"/>
    <mergeCell ref="QWV7:QWX7"/>
    <mergeCell ref="QWY7:QXA7"/>
    <mergeCell ref="QXB7:QXD7"/>
    <mergeCell ref="QVU7:QVW7"/>
    <mergeCell ref="QVX7:QVZ7"/>
    <mergeCell ref="QWA7:QWC7"/>
    <mergeCell ref="QWD7:QWF7"/>
    <mergeCell ref="QWG7:QWI7"/>
    <mergeCell ref="QWJ7:QWL7"/>
    <mergeCell ref="QVC7:QVE7"/>
    <mergeCell ref="QVF7:QVH7"/>
    <mergeCell ref="QVI7:QVK7"/>
    <mergeCell ref="QVL7:QVN7"/>
    <mergeCell ref="QVO7:QVQ7"/>
    <mergeCell ref="QVR7:QVT7"/>
    <mergeCell ref="QUK7:QUM7"/>
    <mergeCell ref="QUN7:QUP7"/>
    <mergeCell ref="QUQ7:QUS7"/>
    <mergeCell ref="QUT7:QUV7"/>
    <mergeCell ref="QUW7:QUY7"/>
    <mergeCell ref="QUZ7:QVB7"/>
    <mergeCell ref="RCA7:RCC7"/>
    <mergeCell ref="RCD7:RCF7"/>
    <mergeCell ref="RCG7:RCI7"/>
    <mergeCell ref="RCJ7:RCL7"/>
    <mergeCell ref="RCM7:RCO7"/>
    <mergeCell ref="RCP7:RCR7"/>
    <mergeCell ref="RBI7:RBK7"/>
    <mergeCell ref="RBL7:RBN7"/>
    <mergeCell ref="RBO7:RBQ7"/>
    <mergeCell ref="RBR7:RBT7"/>
    <mergeCell ref="RBU7:RBW7"/>
    <mergeCell ref="RBX7:RBZ7"/>
    <mergeCell ref="RAQ7:RAS7"/>
    <mergeCell ref="RAT7:RAV7"/>
    <mergeCell ref="RAW7:RAY7"/>
    <mergeCell ref="RAZ7:RBB7"/>
    <mergeCell ref="RBC7:RBE7"/>
    <mergeCell ref="RBF7:RBH7"/>
    <mergeCell ref="QZY7:RAA7"/>
    <mergeCell ref="RAB7:RAD7"/>
    <mergeCell ref="RAE7:RAG7"/>
    <mergeCell ref="RAH7:RAJ7"/>
    <mergeCell ref="RAK7:RAM7"/>
    <mergeCell ref="RAN7:RAP7"/>
    <mergeCell ref="QZG7:QZI7"/>
    <mergeCell ref="QZJ7:QZL7"/>
    <mergeCell ref="QZM7:QZO7"/>
    <mergeCell ref="QZP7:QZR7"/>
    <mergeCell ref="QZS7:QZU7"/>
    <mergeCell ref="QZV7:QZX7"/>
    <mergeCell ref="QYO7:QYQ7"/>
    <mergeCell ref="QYR7:QYT7"/>
    <mergeCell ref="QYU7:QYW7"/>
    <mergeCell ref="QYX7:QYZ7"/>
    <mergeCell ref="QZA7:QZC7"/>
    <mergeCell ref="QZD7:QZF7"/>
    <mergeCell ref="RGE7:RGG7"/>
    <mergeCell ref="RGH7:RGJ7"/>
    <mergeCell ref="RGK7:RGM7"/>
    <mergeCell ref="RGN7:RGP7"/>
    <mergeCell ref="RGQ7:RGS7"/>
    <mergeCell ref="RGT7:RGV7"/>
    <mergeCell ref="RFM7:RFO7"/>
    <mergeCell ref="RFP7:RFR7"/>
    <mergeCell ref="RFS7:RFU7"/>
    <mergeCell ref="RFV7:RFX7"/>
    <mergeCell ref="RFY7:RGA7"/>
    <mergeCell ref="RGB7:RGD7"/>
    <mergeCell ref="REU7:REW7"/>
    <mergeCell ref="REX7:REZ7"/>
    <mergeCell ref="RFA7:RFC7"/>
    <mergeCell ref="RFD7:RFF7"/>
    <mergeCell ref="RFG7:RFI7"/>
    <mergeCell ref="RFJ7:RFL7"/>
    <mergeCell ref="REC7:REE7"/>
    <mergeCell ref="REF7:REH7"/>
    <mergeCell ref="REI7:REK7"/>
    <mergeCell ref="REL7:REN7"/>
    <mergeCell ref="REO7:REQ7"/>
    <mergeCell ref="RER7:RET7"/>
    <mergeCell ref="RDK7:RDM7"/>
    <mergeCell ref="RDN7:RDP7"/>
    <mergeCell ref="RDQ7:RDS7"/>
    <mergeCell ref="RDT7:RDV7"/>
    <mergeCell ref="RDW7:RDY7"/>
    <mergeCell ref="RDZ7:REB7"/>
    <mergeCell ref="RCS7:RCU7"/>
    <mergeCell ref="RCV7:RCX7"/>
    <mergeCell ref="RCY7:RDA7"/>
    <mergeCell ref="RDB7:RDD7"/>
    <mergeCell ref="RDE7:RDG7"/>
    <mergeCell ref="RDH7:RDJ7"/>
    <mergeCell ref="RKI7:RKK7"/>
    <mergeCell ref="RKL7:RKN7"/>
    <mergeCell ref="RKO7:RKQ7"/>
    <mergeCell ref="RKR7:RKT7"/>
    <mergeCell ref="RKU7:RKW7"/>
    <mergeCell ref="RKX7:RKZ7"/>
    <mergeCell ref="RJQ7:RJS7"/>
    <mergeCell ref="RJT7:RJV7"/>
    <mergeCell ref="RJW7:RJY7"/>
    <mergeCell ref="RJZ7:RKB7"/>
    <mergeCell ref="RKC7:RKE7"/>
    <mergeCell ref="RKF7:RKH7"/>
    <mergeCell ref="RIY7:RJA7"/>
    <mergeCell ref="RJB7:RJD7"/>
    <mergeCell ref="RJE7:RJG7"/>
    <mergeCell ref="RJH7:RJJ7"/>
    <mergeCell ref="RJK7:RJM7"/>
    <mergeCell ref="RJN7:RJP7"/>
    <mergeCell ref="RIG7:RII7"/>
    <mergeCell ref="RIJ7:RIL7"/>
    <mergeCell ref="RIM7:RIO7"/>
    <mergeCell ref="RIP7:RIR7"/>
    <mergeCell ref="RIS7:RIU7"/>
    <mergeCell ref="RIV7:RIX7"/>
    <mergeCell ref="RHO7:RHQ7"/>
    <mergeCell ref="RHR7:RHT7"/>
    <mergeCell ref="RHU7:RHW7"/>
    <mergeCell ref="RHX7:RHZ7"/>
    <mergeCell ref="RIA7:RIC7"/>
    <mergeCell ref="RID7:RIF7"/>
    <mergeCell ref="RGW7:RGY7"/>
    <mergeCell ref="RGZ7:RHB7"/>
    <mergeCell ref="RHC7:RHE7"/>
    <mergeCell ref="RHF7:RHH7"/>
    <mergeCell ref="RHI7:RHK7"/>
    <mergeCell ref="RHL7:RHN7"/>
    <mergeCell ref="ROM7:ROO7"/>
    <mergeCell ref="ROP7:ROR7"/>
    <mergeCell ref="ROS7:ROU7"/>
    <mergeCell ref="ROV7:ROX7"/>
    <mergeCell ref="ROY7:RPA7"/>
    <mergeCell ref="RPB7:RPD7"/>
    <mergeCell ref="RNU7:RNW7"/>
    <mergeCell ref="RNX7:RNZ7"/>
    <mergeCell ref="ROA7:ROC7"/>
    <mergeCell ref="ROD7:ROF7"/>
    <mergeCell ref="ROG7:ROI7"/>
    <mergeCell ref="ROJ7:ROL7"/>
    <mergeCell ref="RNC7:RNE7"/>
    <mergeCell ref="RNF7:RNH7"/>
    <mergeCell ref="RNI7:RNK7"/>
    <mergeCell ref="RNL7:RNN7"/>
    <mergeCell ref="RNO7:RNQ7"/>
    <mergeCell ref="RNR7:RNT7"/>
    <mergeCell ref="RMK7:RMM7"/>
    <mergeCell ref="RMN7:RMP7"/>
    <mergeCell ref="RMQ7:RMS7"/>
    <mergeCell ref="RMT7:RMV7"/>
    <mergeCell ref="RMW7:RMY7"/>
    <mergeCell ref="RMZ7:RNB7"/>
    <mergeCell ref="RLS7:RLU7"/>
    <mergeCell ref="RLV7:RLX7"/>
    <mergeCell ref="RLY7:RMA7"/>
    <mergeCell ref="RMB7:RMD7"/>
    <mergeCell ref="RME7:RMG7"/>
    <mergeCell ref="RMH7:RMJ7"/>
    <mergeCell ref="RLA7:RLC7"/>
    <mergeCell ref="RLD7:RLF7"/>
    <mergeCell ref="RLG7:RLI7"/>
    <mergeCell ref="RLJ7:RLL7"/>
    <mergeCell ref="RLM7:RLO7"/>
    <mergeCell ref="RLP7:RLR7"/>
    <mergeCell ref="RSQ7:RSS7"/>
    <mergeCell ref="RST7:RSV7"/>
    <mergeCell ref="RSW7:RSY7"/>
    <mergeCell ref="RSZ7:RTB7"/>
    <mergeCell ref="RTC7:RTE7"/>
    <mergeCell ref="RTF7:RTH7"/>
    <mergeCell ref="RRY7:RSA7"/>
    <mergeCell ref="RSB7:RSD7"/>
    <mergeCell ref="RSE7:RSG7"/>
    <mergeCell ref="RSH7:RSJ7"/>
    <mergeCell ref="RSK7:RSM7"/>
    <mergeCell ref="RSN7:RSP7"/>
    <mergeCell ref="RRG7:RRI7"/>
    <mergeCell ref="RRJ7:RRL7"/>
    <mergeCell ref="RRM7:RRO7"/>
    <mergeCell ref="RRP7:RRR7"/>
    <mergeCell ref="RRS7:RRU7"/>
    <mergeCell ref="RRV7:RRX7"/>
    <mergeCell ref="RQO7:RQQ7"/>
    <mergeCell ref="RQR7:RQT7"/>
    <mergeCell ref="RQU7:RQW7"/>
    <mergeCell ref="RQX7:RQZ7"/>
    <mergeCell ref="RRA7:RRC7"/>
    <mergeCell ref="RRD7:RRF7"/>
    <mergeCell ref="RPW7:RPY7"/>
    <mergeCell ref="RPZ7:RQB7"/>
    <mergeCell ref="RQC7:RQE7"/>
    <mergeCell ref="RQF7:RQH7"/>
    <mergeCell ref="RQI7:RQK7"/>
    <mergeCell ref="RQL7:RQN7"/>
    <mergeCell ref="RPE7:RPG7"/>
    <mergeCell ref="RPH7:RPJ7"/>
    <mergeCell ref="RPK7:RPM7"/>
    <mergeCell ref="RPN7:RPP7"/>
    <mergeCell ref="RPQ7:RPS7"/>
    <mergeCell ref="RPT7:RPV7"/>
    <mergeCell ref="RWU7:RWW7"/>
    <mergeCell ref="RWX7:RWZ7"/>
    <mergeCell ref="RXA7:RXC7"/>
    <mergeCell ref="RXD7:RXF7"/>
    <mergeCell ref="RXG7:RXI7"/>
    <mergeCell ref="RXJ7:RXL7"/>
    <mergeCell ref="RWC7:RWE7"/>
    <mergeCell ref="RWF7:RWH7"/>
    <mergeCell ref="RWI7:RWK7"/>
    <mergeCell ref="RWL7:RWN7"/>
    <mergeCell ref="RWO7:RWQ7"/>
    <mergeCell ref="RWR7:RWT7"/>
    <mergeCell ref="RVK7:RVM7"/>
    <mergeCell ref="RVN7:RVP7"/>
    <mergeCell ref="RVQ7:RVS7"/>
    <mergeCell ref="RVT7:RVV7"/>
    <mergeCell ref="RVW7:RVY7"/>
    <mergeCell ref="RVZ7:RWB7"/>
    <mergeCell ref="RUS7:RUU7"/>
    <mergeCell ref="RUV7:RUX7"/>
    <mergeCell ref="RUY7:RVA7"/>
    <mergeCell ref="RVB7:RVD7"/>
    <mergeCell ref="RVE7:RVG7"/>
    <mergeCell ref="RVH7:RVJ7"/>
    <mergeCell ref="RUA7:RUC7"/>
    <mergeCell ref="RUD7:RUF7"/>
    <mergeCell ref="RUG7:RUI7"/>
    <mergeCell ref="RUJ7:RUL7"/>
    <mergeCell ref="RUM7:RUO7"/>
    <mergeCell ref="RUP7:RUR7"/>
    <mergeCell ref="RTI7:RTK7"/>
    <mergeCell ref="RTL7:RTN7"/>
    <mergeCell ref="RTO7:RTQ7"/>
    <mergeCell ref="RTR7:RTT7"/>
    <mergeCell ref="RTU7:RTW7"/>
    <mergeCell ref="RTX7:RTZ7"/>
    <mergeCell ref="SAY7:SBA7"/>
    <mergeCell ref="SBB7:SBD7"/>
    <mergeCell ref="SBE7:SBG7"/>
    <mergeCell ref="SBH7:SBJ7"/>
    <mergeCell ref="SBK7:SBM7"/>
    <mergeCell ref="SBN7:SBP7"/>
    <mergeCell ref="SAG7:SAI7"/>
    <mergeCell ref="SAJ7:SAL7"/>
    <mergeCell ref="SAM7:SAO7"/>
    <mergeCell ref="SAP7:SAR7"/>
    <mergeCell ref="SAS7:SAU7"/>
    <mergeCell ref="SAV7:SAX7"/>
    <mergeCell ref="RZO7:RZQ7"/>
    <mergeCell ref="RZR7:RZT7"/>
    <mergeCell ref="RZU7:RZW7"/>
    <mergeCell ref="RZX7:RZZ7"/>
    <mergeCell ref="SAA7:SAC7"/>
    <mergeCell ref="SAD7:SAF7"/>
    <mergeCell ref="RYW7:RYY7"/>
    <mergeCell ref="RYZ7:RZB7"/>
    <mergeCell ref="RZC7:RZE7"/>
    <mergeCell ref="RZF7:RZH7"/>
    <mergeCell ref="RZI7:RZK7"/>
    <mergeCell ref="RZL7:RZN7"/>
    <mergeCell ref="RYE7:RYG7"/>
    <mergeCell ref="RYH7:RYJ7"/>
    <mergeCell ref="RYK7:RYM7"/>
    <mergeCell ref="RYN7:RYP7"/>
    <mergeCell ref="RYQ7:RYS7"/>
    <mergeCell ref="RYT7:RYV7"/>
    <mergeCell ref="RXM7:RXO7"/>
    <mergeCell ref="RXP7:RXR7"/>
    <mergeCell ref="RXS7:RXU7"/>
    <mergeCell ref="RXV7:RXX7"/>
    <mergeCell ref="RXY7:RYA7"/>
    <mergeCell ref="RYB7:RYD7"/>
    <mergeCell ref="SFC7:SFE7"/>
    <mergeCell ref="SFF7:SFH7"/>
    <mergeCell ref="SFI7:SFK7"/>
    <mergeCell ref="SFL7:SFN7"/>
    <mergeCell ref="SFO7:SFQ7"/>
    <mergeCell ref="SFR7:SFT7"/>
    <mergeCell ref="SEK7:SEM7"/>
    <mergeCell ref="SEN7:SEP7"/>
    <mergeCell ref="SEQ7:SES7"/>
    <mergeCell ref="SET7:SEV7"/>
    <mergeCell ref="SEW7:SEY7"/>
    <mergeCell ref="SEZ7:SFB7"/>
    <mergeCell ref="SDS7:SDU7"/>
    <mergeCell ref="SDV7:SDX7"/>
    <mergeCell ref="SDY7:SEA7"/>
    <mergeCell ref="SEB7:SED7"/>
    <mergeCell ref="SEE7:SEG7"/>
    <mergeCell ref="SEH7:SEJ7"/>
    <mergeCell ref="SDA7:SDC7"/>
    <mergeCell ref="SDD7:SDF7"/>
    <mergeCell ref="SDG7:SDI7"/>
    <mergeCell ref="SDJ7:SDL7"/>
    <mergeCell ref="SDM7:SDO7"/>
    <mergeCell ref="SDP7:SDR7"/>
    <mergeCell ref="SCI7:SCK7"/>
    <mergeCell ref="SCL7:SCN7"/>
    <mergeCell ref="SCO7:SCQ7"/>
    <mergeCell ref="SCR7:SCT7"/>
    <mergeCell ref="SCU7:SCW7"/>
    <mergeCell ref="SCX7:SCZ7"/>
    <mergeCell ref="SBQ7:SBS7"/>
    <mergeCell ref="SBT7:SBV7"/>
    <mergeCell ref="SBW7:SBY7"/>
    <mergeCell ref="SBZ7:SCB7"/>
    <mergeCell ref="SCC7:SCE7"/>
    <mergeCell ref="SCF7:SCH7"/>
    <mergeCell ref="SJG7:SJI7"/>
    <mergeCell ref="SJJ7:SJL7"/>
    <mergeCell ref="SJM7:SJO7"/>
    <mergeCell ref="SJP7:SJR7"/>
    <mergeCell ref="SJS7:SJU7"/>
    <mergeCell ref="SJV7:SJX7"/>
    <mergeCell ref="SIO7:SIQ7"/>
    <mergeCell ref="SIR7:SIT7"/>
    <mergeCell ref="SIU7:SIW7"/>
    <mergeCell ref="SIX7:SIZ7"/>
    <mergeCell ref="SJA7:SJC7"/>
    <mergeCell ref="SJD7:SJF7"/>
    <mergeCell ref="SHW7:SHY7"/>
    <mergeCell ref="SHZ7:SIB7"/>
    <mergeCell ref="SIC7:SIE7"/>
    <mergeCell ref="SIF7:SIH7"/>
    <mergeCell ref="SII7:SIK7"/>
    <mergeCell ref="SIL7:SIN7"/>
    <mergeCell ref="SHE7:SHG7"/>
    <mergeCell ref="SHH7:SHJ7"/>
    <mergeCell ref="SHK7:SHM7"/>
    <mergeCell ref="SHN7:SHP7"/>
    <mergeCell ref="SHQ7:SHS7"/>
    <mergeCell ref="SHT7:SHV7"/>
    <mergeCell ref="SGM7:SGO7"/>
    <mergeCell ref="SGP7:SGR7"/>
    <mergeCell ref="SGS7:SGU7"/>
    <mergeCell ref="SGV7:SGX7"/>
    <mergeCell ref="SGY7:SHA7"/>
    <mergeCell ref="SHB7:SHD7"/>
    <mergeCell ref="SFU7:SFW7"/>
    <mergeCell ref="SFX7:SFZ7"/>
    <mergeCell ref="SGA7:SGC7"/>
    <mergeCell ref="SGD7:SGF7"/>
    <mergeCell ref="SGG7:SGI7"/>
    <mergeCell ref="SGJ7:SGL7"/>
    <mergeCell ref="SNK7:SNM7"/>
    <mergeCell ref="SNN7:SNP7"/>
    <mergeCell ref="SNQ7:SNS7"/>
    <mergeCell ref="SNT7:SNV7"/>
    <mergeCell ref="SNW7:SNY7"/>
    <mergeCell ref="SNZ7:SOB7"/>
    <mergeCell ref="SMS7:SMU7"/>
    <mergeCell ref="SMV7:SMX7"/>
    <mergeCell ref="SMY7:SNA7"/>
    <mergeCell ref="SNB7:SND7"/>
    <mergeCell ref="SNE7:SNG7"/>
    <mergeCell ref="SNH7:SNJ7"/>
    <mergeCell ref="SMA7:SMC7"/>
    <mergeCell ref="SMD7:SMF7"/>
    <mergeCell ref="SMG7:SMI7"/>
    <mergeCell ref="SMJ7:SML7"/>
    <mergeCell ref="SMM7:SMO7"/>
    <mergeCell ref="SMP7:SMR7"/>
    <mergeCell ref="SLI7:SLK7"/>
    <mergeCell ref="SLL7:SLN7"/>
    <mergeCell ref="SLO7:SLQ7"/>
    <mergeCell ref="SLR7:SLT7"/>
    <mergeCell ref="SLU7:SLW7"/>
    <mergeCell ref="SLX7:SLZ7"/>
    <mergeCell ref="SKQ7:SKS7"/>
    <mergeCell ref="SKT7:SKV7"/>
    <mergeCell ref="SKW7:SKY7"/>
    <mergeCell ref="SKZ7:SLB7"/>
    <mergeCell ref="SLC7:SLE7"/>
    <mergeCell ref="SLF7:SLH7"/>
    <mergeCell ref="SJY7:SKA7"/>
    <mergeCell ref="SKB7:SKD7"/>
    <mergeCell ref="SKE7:SKG7"/>
    <mergeCell ref="SKH7:SKJ7"/>
    <mergeCell ref="SKK7:SKM7"/>
    <mergeCell ref="SKN7:SKP7"/>
    <mergeCell ref="SRO7:SRQ7"/>
    <mergeCell ref="SRR7:SRT7"/>
    <mergeCell ref="SRU7:SRW7"/>
    <mergeCell ref="SRX7:SRZ7"/>
    <mergeCell ref="SSA7:SSC7"/>
    <mergeCell ref="SSD7:SSF7"/>
    <mergeCell ref="SQW7:SQY7"/>
    <mergeCell ref="SQZ7:SRB7"/>
    <mergeCell ref="SRC7:SRE7"/>
    <mergeCell ref="SRF7:SRH7"/>
    <mergeCell ref="SRI7:SRK7"/>
    <mergeCell ref="SRL7:SRN7"/>
    <mergeCell ref="SQE7:SQG7"/>
    <mergeCell ref="SQH7:SQJ7"/>
    <mergeCell ref="SQK7:SQM7"/>
    <mergeCell ref="SQN7:SQP7"/>
    <mergeCell ref="SQQ7:SQS7"/>
    <mergeCell ref="SQT7:SQV7"/>
    <mergeCell ref="SPM7:SPO7"/>
    <mergeCell ref="SPP7:SPR7"/>
    <mergeCell ref="SPS7:SPU7"/>
    <mergeCell ref="SPV7:SPX7"/>
    <mergeCell ref="SPY7:SQA7"/>
    <mergeCell ref="SQB7:SQD7"/>
    <mergeCell ref="SOU7:SOW7"/>
    <mergeCell ref="SOX7:SOZ7"/>
    <mergeCell ref="SPA7:SPC7"/>
    <mergeCell ref="SPD7:SPF7"/>
    <mergeCell ref="SPG7:SPI7"/>
    <mergeCell ref="SPJ7:SPL7"/>
    <mergeCell ref="SOC7:SOE7"/>
    <mergeCell ref="SOF7:SOH7"/>
    <mergeCell ref="SOI7:SOK7"/>
    <mergeCell ref="SOL7:SON7"/>
    <mergeCell ref="SOO7:SOQ7"/>
    <mergeCell ref="SOR7:SOT7"/>
    <mergeCell ref="SVS7:SVU7"/>
    <mergeCell ref="SVV7:SVX7"/>
    <mergeCell ref="SVY7:SWA7"/>
    <mergeCell ref="SWB7:SWD7"/>
    <mergeCell ref="SWE7:SWG7"/>
    <mergeCell ref="SWH7:SWJ7"/>
    <mergeCell ref="SVA7:SVC7"/>
    <mergeCell ref="SVD7:SVF7"/>
    <mergeCell ref="SVG7:SVI7"/>
    <mergeCell ref="SVJ7:SVL7"/>
    <mergeCell ref="SVM7:SVO7"/>
    <mergeCell ref="SVP7:SVR7"/>
    <mergeCell ref="SUI7:SUK7"/>
    <mergeCell ref="SUL7:SUN7"/>
    <mergeCell ref="SUO7:SUQ7"/>
    <mergeCell ref="SUR7:SUT7"/>
    <mergeCell ref="SUU7:SUW7"/>
    <mergeCell ref="SUX7:SUZ7"/>
    <mergeCell ref="STQ7:STS7"/>
    <mergeCell ref="STT7:STV7"/>
    <mergeCell ref="STW7:STY7"/>
    <mergeCell ref="STZ7:SUB7"/>
    <mergeCell ref="SUC7:SUE7"/>
    <mergeCell ref="SUF7:SUH7"/>
    <mergeCell ref="SSY7:STA7"/>
    <mergeCell ref="STB7:STD7"/>
    <mergeCell ref="STE7:STG7"/>
    <mergeCell ref="STH7:STJ7"/>
    <mergeCell ref="STK7:STM7"/>
    <mergeCell ref="STN7:STP7"/>
    <mergeCell ref="SSG7:SSI7"/>
    <mergeCell ref="SSJ7:SSL7"/>
    <mergeCell ref="SSM7:SSO7"/>
    <mergeCell ref="SSP7:SSR7"/>
    <mergeCell ref="SSS7:SSU7"/>
    <mergeCell ref="SSV7:SSX7"/>
    <mergeCell ref="SZW7:SZY7"/>
    <mergeCell ref="SZZ7:TAB7"/>
    <mergeCell ref="TAC7:TAE7"/>
    <mergeCell ref="TAF7:TAH7"/>
    <mergeCell ref="TAI7:TAK7"/>
    <mergeCell ref="TAL7:TAN7"/>
    <mergeCell ref="SZE7:SZG7"/>
    <mergeCell ref="SZH7:SZJ7"/>
    <mergeCell ref="SZK7:SZM7"/>
    <mergeCell ref="SZN7:SZP7"/>
    <mergeCell ref="SZQ7:SZS7"/>
    <mergeCell ref="SZT7:SZV7"/>
    <mergeCell ref="SYM7:SYO7"/>
    <mergeCell ref="SYP7:SYR7"/>
    <mergeCell ref="SYS7:SYU7"/>
    <mergeCell ref="SYV7:SYX7"/>
    <mergeCell ref="SYY7:SZA7"/>
    <mergeCell ref="SZB7:SZD7"/>
    <mergeCell ref="SXU7:SXW7"/>
    <mergeCell ref="SXX7:SXZ7"/>
    <mergeCell ref="SYA7:SYC7"/>
    <mergeCell ref="SYD7:SYF7"/>
    <mergeCell ref="SYG7:SYI7"/>
    <mergeCell ref="SYJ7:SYL7"/>
    <mergeCell ref="SXC7:SXE7"/>
    <mergeCell ref="SXF7:SXH7"/>
    <mergeCell ref="SXI7:SXK7"/>
    <mergeCell ref="SXL7:SXN7"/>
    <mergeCell ref="SXO7:SXQ7"/>
    <mergeCell ref="SXR7:SXT7"/>
    <mergeCell ref="SWK7:SWM7"/>
    <mergeCell ref="SWN7:SWP7"/>
    <mergeCell ref="SWQ7:SWS7"/>
    <mergeCell ref="SWT7:SWV7"/>
    <mergeCell ref="SWW7:SWY7"/>
    <mergeCell ref="SWZ7:SXB7"/>
    <mergeCell ref="TEA7:TEC7"/>
    <mergeCell ref="TED7:TEF7"/>
    <mergeCell ref="TEG7:TEI7"/>
    <mergeCell ref="TEJ7:TEL7"/>
    <mergeCell ref="TEM7:TEO7"/>
    <mergeCell ref="TEP7:TER7"/>
    <mergeCell ref="TDI7:TDK7"/>
    <mergeCell ref="TDL7:TDN7"/>
    <mergeCell ref="TDO7:TDQ7"/>
    <mergeCell ref="TDR7:TDT7"/>
    <mergeCell ref="TDU7:TDW7"/>
    <mergeCell ref="TDX7:TDZ7"/>
    <mergeCell ref="TCQ7:TCS7"/>
    <mergeCell ref="TCT7:TCV7"/>
    <mergeCell ref="TCW7:TCY7"/>
    <mergeCell ref="TCZ7:TDB7"/>
    <mergeCell ref="TDC7:TDE7"/>
    <mergeCell ref="TDF7:TDH7"/>
    <mergeCell ref="TBY7:TCA7"/>
    <mergeCell ref="TCB7:TCD7"/>
    <mergeCell ref="TCE7:TCG7"/>
    <mergeCell ref="TCH7:TCJ7"/>
    <mergeCell ref="TCK7:TCM7"/>
    <mergeCell ref="TCN7:TCP7"/>
    <mergeCell ref="TBG7:TBI7"/>
    <mergeCell ref="TBJ7:TBL7"/>
    <mergeCell ref="TBM7:TBO7"/>
    <mergeCell ref="TBP7:TBR7"/>
    <mergeCell ref="TBS7:TBU7"/>
    <mergeCell ref="TBV7:TBX7"/>
    <mergeCell ref="TAO7:TAQ7"/>
    <mergeCell ref="TAR7:TAT7"/>
    <mergeCell ref="TAU7:TAW7"/>
    <mergeCell ref="TAX7:TAZ7"/>
    <mergeCell ref="TBA7:TBC7"/>
    <mergeCell ref="TBD7:TBF7"/>
    <mergeCell ref="TIE7:TIG7"/>
    <mergeCell ref="TIH7:TIJ7"/>
    <mergeCell ref="TIK7:TIM7"/>
    <mergeCell ref="TIN7:TIP7"/>
    <mergeCell ref="TIQ7:TIS7"/>
    <mergeCell ref="TIT7:TIV7"/>
    <mergeCell ref="THM7:THO7"/>
    <mergeCell ref="THP7:THR7"/>
    <mergeCell ref="THS7:THU7"/>
    <mergeCell ref="THV7:THX7"/>
    <mergeCell ref="THY7:TIA7"/>
    <mergeCell ref="TIB7:TID7"/>
    <mergeCell ref="TGU7:TGW7"/>
    <mergeCell ref="TGX7:TGZ7"/>
    <mergeCell ref="THA7:THC7"/>
    <mergeCell ref="THD7:THF7"/>
    <mergeCell ref="THG7:THI7"/>
    <mergeCell ref="THJ7:THL7"/>
    <mergeCell ref="TGC7:TGE7"/>
    <mergeCell ref="TGF7:TGH7"/>
    <mergeCell ref="TGI7:TGK7"/>
    <mergeCell ref="TGL7:TGN7"/>
    <mergeCell ref="TGO7:TGQ7"/>
    <mergeCell ref="TGR7:TGT7"/>
    <mergeCell ref="TFK7:TFM7"/>
    <mergeCell ref="TFN7:TFP7"/>
    <mergeCell ref="TFQ7:TFS7"/>
    <mergeCell ref="TFT7:TFV7"/>
    <mergeCell ref="TFW7:TFY7"/>
    <mergeCell ref="TFZ7:TGB7"/>
    <mergeCell ref="TES7:TEU7"/>
    <mergeCell ref="TEV7:TEX7"/>
    <mergeCell ref="TEY7:TFA7"/>
    <mergeCell ref="TFB7:TFD7"/>
    <mergeCell ref="TFE7:TFG7"/>
    <mergeCell ref="TFH7:TFJ7"/>
    <mergeCell ref="TMI7:TMK7"/>
    <mergeCell ref="TML7:TMN7"/>
    <mergeCell ref="TMO7:TMQ7"/>
    <mergeCell ref="TMR7:TMT7"/>
    <mergeCell ref="TMU7:TMW7"/>
    <mergeCell ref="TMX7:TMZ7"/>
    <mergeCell ref="TLQ7:TLS7"/>
    <mergeCell ref="TLT7:TLV7"/>
    <mergeCell ref="TLW7:TLY7"/>
    <mergeCell ref="TLZ7:TMB7"/>
    <mergeCell ref="TMC7:TME7"/>
    <mergeCell ref="TMF7:TMH7"/>
    <mergeCell ref="TKY7:TLA7"/>
    <mergeCell ref="TLB7:TLD7"/>
    <mergeCell ref="TLE7:TLG7"/>
    <mergeCell ref="TLH7:TLJ7"/>
    <mergeCell ref="TLK7:TLM7"/>
    <mergeCell ref="TLN7:TLP7"/>
    <mergeCell ref="TKG7:TKI7"/>
    <mergeCell ref="TKJ7:TKL7"/>
    <mergeCell ref="TKM7:TKO7"/>
    <mergeCell ref="TKP7:TKR7"/>
    <mergeCell ref="TKS7:TKU7"/>
    <mergeCell ref="TKV7:TKX7"/>
    <mergeCell ref="TJO7:TJQ7"/>
    <mergeCell ref="TJR7:TJT7"/>
    <mergeCell ref="TJU7:TJW7"/>
    <mergeCell ref="TJX7:TJZ7"/>
    <mergeCell ref="TKA7:TKC7"/>
    <mergeCell ref="TKD7:TKF7"/>
    <mergeCell ref="TIW7:TIY7"/>
    <mergeCell ref="TIZ7:TJB7"/>
    <mergeCell ref="TJC7:TJE7"/>
    <mergeCell ref="TJF7:TJH7"/>
    <mergeCell ref="TJI7:TJK7"/>
    <mergeCell ref="TJL7:TJN7"/>
    <mergeCell ref="TQM7:TQO7"/>
    <mergeCell ref="TQP7:TQR7"/>
    <mergeCell ref="TQS7:TQU7"/>
    <mergeCell ref="TQV7:TQX7"/>
    <mergeCell ref="TQY7:TRA7"/>
    <mergeCell ref="TRB7:TRD7"/>
    <mergeCell ref="TPU7:TPW7"/>
    <mergeCell ref="TPX7:TPZ7"/>
    <mergeCell ref="TQA7:TQC7"/>
    <mergeCell ref="TQD7:TQF7"/>
    <mergeCell ref="TQG7:TQI7"/>
    <mergeCell ref="TQJ7:TQL7"/>
    <mergeCell ref="TPC7:TPE7"/>
    <mergeCell ref="TPF7:TPH7"/>
    <mergeCell ref="TPI7:TPK7"/>
    <mergeCell ref="TPL7:TPN7"/>
    <mergeCell ref="TPO7:TPQ7"/>
    <mergeCell ref="TPR7:TPT7"/>
    <mergeCell ref="TOK7:TOM7"/>
    <mergeCell ref="TON7:TOP7"/>
    <mergeCell ref="TOQ7:TOS7"/>
    <mergeCell ref="TOT7:TOV7"/>
    <mergeCell ref="TOW7:TOY7"/>
    <mergeCell ref="TOZ7:TPB7"/>
    <mergeCell ref="TNS7:TNU7"/>
    <mergeCell ref="TNV7:TNX7"/>
    <mergeCell ref="TNY7:TOA7"/>
    <mergeCell ref="TOB7:TOD7"/>
    <mergeCell ref="TOE7:TOG7"/>
    <mergeCell ref="TOH7:TOJ7"/>
    <mergeCell ref="TNA7:TNC7"/>
    <mergeCell ref="TND7:TNF7"/>
    <mergeCell ref="TNG7:TNI7"/>
    <mergeCell ref="TNJ7:TNL7"/>
    <mergeCell ref="TNM7:TNO7"/>
    <mergeCell ref="TNP7:TNR7"/>
    <mergeCell ref="TUQ7:TUS7"/>
    <mergeCell ref="TUT7:TUV7"/>
    <mergeCell ref="TUW7:TUY7"/>
    <mergeCell ref="TUZ7:TVB7"/>
    <mergeCell ref="TVC7:TVE7"/>
    <mergeCell ref="TVF7:TVH7"/>
    <mergeCell ref="TTY7:TUA7"/>
    <mergeCell ref="TUB7:TUD7"/>
    <mergeCell ref="TUE7:TUG7"/>
    <mergeCell ref="TUH7:TUJ7"/>
    <mergeCell ref="TUK7:TUM7"/>
    <mergeCell ref="TUN7:TUP7"/>
    <mergeCell ref="TTG7:TTI7"/>
    <mergeCell ref="TTJ7:TTL7"/>
    <mergeCell ref="TTM7:TTO7"/>
    <mergeCell ref="TTP7:TTR7"/>
    <mergeCell ref="TTS7:TTU7"/>
    <mergeCell ref="TTV7:TTX7"/>
    <mergeCell ref="TSO7:TSQ7"/>
    <mergeCell ref="TSR7:TST7"/>
    <mergeCell ref="TSU7:TSW7"/>
    <mergeCell ref="TSX7:TSZ7"/>
    <mergeCell ref="TTA7:TTC7"/>
    <mergeCell ref="TTD7:TTF7"/>
    <mergeCell ref="TRW7:TRY7"/>
    <mergeCell ref="TRZ7:TSB7"/>
    <mergeCell ref="TSC7:TSE7"/>
    <mergeCell ref="TSF7:TSH7"/>
    <mergeCell ref="TSI7:TSK7"/>
    <mergeCell ref="TSL7:TSN7"/>
    <mergeCell ref="TRE7:TRG7"/>
    <mergeCell ref="TRH7:TRJ7"/>
    <mergeCell ref="TRK7:TRM7"/>
    <mergeCell ref="TRN7:TRP7"/>
    <mergeCell ref="TRQ7:TRS7"/>
    <mergeCell ref="TRT7:TRV7"/>
    <mergeCell ref="TYU7:TYW7"/>
    <mergeCell ref="TYX7:TYZ7"/>
    <mergeCell ref="TZA7:TZC7"/>
    <mergeCell ref="TZD7:TZF7"/>
    <mergeCell ref="TZG7:TZI7"/>
    <mergeCell ref="TZJ7:TZL7"/>
    <mergeCell ref="TYC7:TYE7"/>
    <mergeCell ref="TYF7:TYH7"/>
    <mergeCell ref="TYI7:TYK7"/>
    <mergeCell ref="TYL7:TYN7"/>
    <mergeCell ref="TYO7:TYQ7"/>
    <mergeCell ref="TYR7:TYT7"/>
    <mergeCell ref="TXK7:TXM7"/>
    <mergeCell ref="TXN7:TXP7"/>
    <mergeCell ref="TXQ7:TXS7"/>
    <mergeCell ref="TXT7:TXV7"/>
    <mergeCell ref="TXW7:TXY7"/>
    <mergeCell ref="TXZ7:TYB7"/>
    <mergeCell ref="TWS7:TWU7"/>
    <mergeCell ref="TWV7:TWX7"/>
    <mergeCell ref="TWY7:TXA7"/>
    <mergeCell ref="TXB7:TXD7"/>
    <mergeCell ref="TXE7:TXG7"/>
    <mergeCell ref="TXH7:TXJ7"/>
    <mergeCell ref="TWA7:TWC7"/>
    <mergeCell ref="TWD7:TWF7"/>
    <mergeCell ref="TWG7:TWI7"/>
    <mergeCell ref="TWJ7:TWL7"/>
    <mergeCell ref="TWM7:TWO7"/>
    <mergeCell ref="TWP7:TWR7"/>
    <mergeCell ref="TVI7:TVK7"/>
    <mergeCell ref="TVL7:TVN7"/>
    <mergeCell ref="TVO7:TVQ7"/>
    <mergeCell ref="TVR7:TVT7"/>
    <mergeCell ref="TVU7:TVW7"/>
    <mergeCell ref="TVX7:TVZ7"/>
    <mergeCell ref="UCY7:UDA7"/>
    <mergeCell ref="UDB7:UDD7"/>
    <mergeCell ref="UDE7:UDG7"/>
    <mergeCell ref="UDH7:UDJ7"/>
    <mergeCell ref="UDK7:UDM7"/>
    <mergeCell ref="UDN7:UDP7"/>
    <mergeCell ref="UCG7:UCI7"/>
    <mergeCell ref="UCJ7:UCL7"/>
    <mergeCell ref="UCM7:UCO7"/>
    <mergeCell ref="UCP7:UCR7"/>
    <mergeCell ref="UCS7:UCU7"/>
    <mergeCell ref="UCV7:UCX7"/>
    <mergeCell ref="UBO7:UBQ7"/>
    <mergeCell ref="UBR7:UBT7"/>
    <mergeCell ref="UBU7:UBW7"/>
    <mergeCell ref="UBX7:UBZ7"/>
    <mergeCell ref="UCA7:UCC7"/>
    <mergeCell ref="UCD7:UCF7"/>
    <mergeCell ref="UAW7:UAY7"/>
    <mergeCell ref="UAZ7:UBB7"/>
    <mergeCell ref="UBC7:UBE7"/>
    <mergeCell ref="UBF7:UBH7"/>
    <mergeCell ref="UBI7:UBK7"/>
    <mergeCell ref="UBL7:UBN7"/>
    <mergeCell ref="UAE7:UAG7"/>
    <mergeCell ref="UAH7:UAJ7"/>
    <mergeCell ref="UAK7:UAM7"/>
    <mergeCell ref="UAN7:UAP7"/>
    <mergeCell ref="UAQ7:UAS7"/>
    <mergeCell ref="UAT7:UAV7"/>
    <mergeCell ref="TZM7:TZO7"/>
    <mergeCell ref="TZP7:TZR7"/>
    <mergeCell ref="TZS7:TZU7"/>
    <mergeCell ref="TZV7:TZX7"/>
    <mergeCell ref="TZY7:UAA7"/>
    <mergeCell ref="UAB7:UAD7"/>
    <mergeCell ref="UHC7:UHE7"/>
    <mergeCell ref="UHF7:UHH7"/>
    <mergeCell ref="UHI7:UHK7"/>
    <mergeCell ref="UHL7:UHN7"/>
    <mergeCell ref="UHO7:UHQ7"/>
    <mergeCell ref="UHR7:UHT7"/>
    <mergeCell ref="UGK7:UGM7"/>
    <mergeCell ref="UGN7:UGP7"/>
    <mergeCell ref="UGQ7:UGS7"/>
    <mergeCell ref="UGT7:UGV7"/>
    <mergeCell ref="UGW7:UGY7"/>
    <mergeCell ref="UGZ7:UHB7"/>
    <mergeCell ref="UFS7:UFU7"/>
    <mergeCell ref="UFV7:UFX7"/>
    <mergeCell ref="UFY7:UGA7"/>
    <mergeCell ref="UGB7:UGD7"/>
    <mergeCell ref="UGE7:UGG7"/>
    <mergeCell ref="UGH7:UGJ7"/>
    <mergeCell ref="UFA7:UFC7"/>
    <mergeCell ref="UFD7:UFF7"/>
    <mergeCell ref="UFG7:UFI7"/>
    <mergeCell ref="UFJ7:UFL7"/>
    <mergeCell ref="UFM7:UFO7"/>
    <mergeCell ref="UFP7:UFR7"/>
    <mergeCell ref="UEI7:UEK7"/>
    <mergeCell ref="UEL7:UEN7"/>
    <mergeCell ref="UEO7:UEQ7"/>
    <mergeCell ref="UER7:UET7"/>
    <mergeCell ref="UEU7:UEW7"/>
    <mergeCell ref="UEX7:UEZ7"/>
    <mergeCell ref="UDQ7:UDS7"/>
    <mergeCell ref="UDT7:UDV7"/>
    <mergeCell ref="UDW7:UDY7"/>
    <mergeCell ref="UDZ7:UEB7"/>
    <mergeCell ref="UEC7:UEE7"/>
    <mergeCell ref="UEF7:UEH7"/>
    <mergeCell ref="ULG7:ULI7"/>
    <mergeCell ref="ULJ7:ULL7"/>
    <mergeCell ref="ULM7:ULO7"/>
    <mergeCell ref="ULP7:ULR7"/>
    <mergeCell ref="ULS7:ULU7"/>
    <mergeCell ref="ULV7:ULX7"/>
    <mergeCell ref="UKO7:UKQ7"/>
    <mergeCell ref="UKR7:UKT7"/>
    <mergeCell ref="UKU7:UKW7"/>
    <mergeCell ref="UKX7:UKZ7"/>
    <mergeCell ref="ULA7:ULC7"/>
    <mergeCell ref="ULD7:ULF7"/>
    <mergeCell ref="UJW7:UJY7"/>
    <mergeCell ref="UJZ7:UKB7"/>
    <mergeCell ref="UKC7:UKE7"/>
    <mergeCell ref="UKF7:UKH7"/>
    <mergeCell ref="UKI7:UKK7"/>
    <mergeCell ref="UKL7:UKN7"/>
    <mergeCell ref="UJE7:UJG7"/>
    <mergeCell ref="UJH7:UJJ7"/>
    <mergeCell ref="UJK7:UJM7"/>
    <mergeCell ref="UJN7:UJP7"/>
    <mergeCell ref="UJQ7:UJS7"/>
    <mergeCell ref="UJT7:UJV7"/>
    <mergeCell ref="UIM7:UIO7"/>
    <mergeCell ref="UIP7:UIR7"/>
    <mergeCell ref="UIS7:UIU7"/>
    <mergeCell ref="UIV7:UIX7"/>
    <mergeCell ref="UIY7:UJA7"/>
    <mergeCell ref="UJB7:UJD7"/>
    <mergeCell ref="UHU7:UHW7"/>
    <mergeCell ref="UHX7:UHZ7"/>
    <mergeCell ref="UIA7:UIC7"/>
    <mergeCell ref="UID7:UIF7"/>
    <mergeCell ref="UIG7:UII7"/>
    <mergeCell ref="UIJ7:UIL7"/>
    <mergeCell ref="UPK7:UPM7"/>
    <mergeCell ref="UPN7:UPP7"/>
    <mergeCell ref="UPQ7:UPS7"/>
    <mergeCell ref="UPT7:UPV7"/>
    <mergeCell ref="UPW7:UPY7"/>
    <mergeCell ref="UPZ7:UQB7"/>
    <mergeCell ref="UOS7:UOU7"/>
    <mergeCell ref="UOV7:UOX7"/>
    <mergeCell ref="UOY7:UPA7"/>
    <mergeCell ref="UPB7:UPD7"/>
    <mergeCell ref="UPE7:UPG7"/>
    <mergeCell ref="UPH7:UPJ7"/>
    <mergeCell ref="UOA7:UOC7"/>
    <mergeCell ref="UOD7:UOF7"/>
    <mergeCell ref="UOG7:UOI7"/>
    <mergeCell ref="UOJ7:UOL7"/>
    <mergeCell ref="UOM7:UOO7"/>
    <mergeCell ref="UOP7:UOR7"/>
    <mergeCell ref="UNI7:UNK7"/>
    <mergeCell ref="UNL7:UNN7"/>
    <mergeCell ref="UNO7:UNQ7"/>
    <mergeCell ref="UNR7:UNT7"/>
    <mergeCell ref="UNU7:UNW7"/>
    <mergeCell ref="UNX7:UNZ7"/>
    <mergeCell ref="UMQ7:UMS7"/>
    <mergeCell ref="UMT7:UMV7"/>
    <mergeCell ref="UMW7:UMY7"/>
    <mergeCell ref="UMZ7:UNB7"/>
    <mergeCell ref="UNC7:UNE7"/>
    <mergeCell ref="UNF7:UNH7"/>
    <mergeCell ref="ULY7:UMA7"/>
    <mergeCell ref="UMB7:UMD7"/>
    <mergeCell ref="UME7:UMG7"/>
    <mergeCell ref="UMH7:UMJ7"/>
    <mergeCell ref="UMK7:UMM7"/>
    <mergeCell ref="UMN7:UMP7"/>
    <mergeCell ref="UTO7:UTQ7"/>
    <mergeCell ref="UTR7:UTT7"/>
    <mergeCell ref="UTU7:UTW7"/>
    <mergeCell ref="UTX7:UTZ7"/>
    <mergeCell ref="UUA7:UUC7"/>
    <mergeCell ref="UUD7:UUF7"/>
    <mergeCell ref="USW7:USY7"/>
    <mergeCell ref="USZ7:UTB7"/>
    <mergeCell ref="UTC7:UTE7"/>
    <mergeCell ref="UTF7:UTH7"/>
    <mergeCell ref="UTI7:UTK7"/>
    <mergeCell ref="UTL7:UTN7"/>
    <mergeCell ref="USE7:USG7"/>
    <mergeCell ref="USH7:USJ7"/>
    <mergeCell ref="USK7:USM7"/>
    <mergeCell ref="USN7:USP7"/>
    <mergeCell ref="USQ7:USS7"/>
    <mergeCell ref="UST7:USV7"/>
    <mergeCell ref="URM7:URO7"/>
    <mergeCell ref="URP7:URR7"/>
    <mergeCell ref="URS7:URU7"/>
    <mergeCell ref="URV7:URX7"/>
    <mergeCell ref="URY7:USA7"/>
    <mergeCell ref="USB7:USD7"/>
    <mergeCell ref="UQU7:UQW7"/>
    <mergeCell ref="UQX7:UQZ7"/>
    <mergeCell ref="URA7:URC7"/>
    <mergeCell ref="URD7:URF7"/>
    <mergeCell ref="URG7:URI7"/>
    <mergeCell ref="URJ7:URL7"/>
    <mergeCell ref="UQC7:UQE7"/>
    <mergeCell ref="UQF7:UQH7"/>
    <mergeCell ref="UQI7:UQK7"/>
    <mergeCell ref="UQL7:UQN7"/>
    <mergeCell ref="UQO7:UQQ7"/>
    <mergeCell ref="UQR7:UQT7"/>
    <mergeCell ref="UXS7:UXU7"/>
    <mergeCell ref="UXV7:UXX7"/>
    <mergeCell ref="UXY7:UYA7"/>
    <mergeCell ref="UYB7:UYD7"/>
    <mergeCell ref="UYE7:UYG7"/>
    <mergeCell ref="UYH7:UYJ7"/>
    <mergeCell ref="UXA7:UXC7"/>
    <mergeCell ref="UXD7:UXF7"/>
    <mergeCell ref="UXG7:UXI7"/>
    <mergeCell ref="UXJ7:UXL7"/>
    <mergeCell ref="UXM7:UXO7"/>
    <mergeCell ref="UXP7:UXR7"/>
    <mergeCell ref="UWI7:UWK7"/>
    <mergeCell ref="UWL7:UWN7"/>
    <mergeCell ref="UWO7:UWQ7"/>
    <mergeCell ref="UWR7:UWT7"/>
    <mergeCell ref="UWU7:UWW7"/>
    <mergeCell ref="UWX7:UWZ7"/>
    <mergeCell ref="UVQ7:UVS7"/>
    <mergeCell ref="UVT7:UVV7"/>
    <mergeCell ref="UVW7:UVY7"/>
    <mergeCell ref="UVZ7:UWB7"/>
    <mergeCell ref="UWC7:UWE7"/>
    <mergeCell ref="UWF7:UWH7"/>
    <mergeCell ref="UUY7:UVA7"/>
    <mergeCell ref="UVB7:UVD7"/>
    <mergeCell ref="UVE7:UVG7"/>
    <mergeCell ref="UVH7:UVJ7"/>
    <mergeCell ref="UVK7:UVM7"/>
    <mergeCell ref="UVN7:UVP7"/>
    <mergeCell ref="UUG7:UUI7"/>
    <mergeCell ref="UUJ7:UUL7"/>
    <mergeCell ref="UUM7:UUO7"/>
    <mergeCell ref="UUP7:UUR7"/>
    <mergeCell ref="UUS7:UUU7"/>
    <mergeCell ref="UUV7:UUX7"/>
    <mergeCell ref="VBW7:VBY7"/>
    <mergeCell ref="VBZ7:VCB7"/>
    <mergeCell ref="VCC7:VCE7"/>
    <mergeCell ref="VCF7:VCH7"/>
    <mergeCell ref="VCI7:VCK7"/>
    <mergeCell ref="VCL7:VCN7"/>
    <mergeCell ref="VBE7:VBG7"/>
    <mergeCell ref="VBH7:VBJ7"/>
    <mergeCell ref="VBK7:VBM7"/>
    <mergeCell ref="VBN7:VBP7"/>
    <mergeCell ref="VBQ7:VBS7"/>
    <mergeCell ref="VBT7:VBV7"/>
    <mergeCell ref="VAM7:VAO7"/>
    <mergeCell ref="VAP7:VAR7"/>
    <mergeCell ref="VAS7:VAU7"/>
    <mergeCell ref="VAV7:VAX7"/>
    <mergeCell ref="VAY7:VBA7"/>
    <mergeCell ref="VBB7:VBD7"/>
    <mergeCell ref="UZU7:UZW7"/>
    <mergeCell ref="UZX7:UZZ7"/>
    <mergeCell ref="VAA7:VAC7"/>
    <mergeCell ref="VAD7:VAF7"/>
    <mergeCell ref="VAG7:VAI7"/>
    <mergeCell ref="VAJ7:VAL7"/>
    <mergeCell ref="UZC7:UZE7"/>
    <mergeCell ref="UZF7:UZH7"/>
    <mergeCell ref="UZI7:UZK7"/>
    <mergeCell ref="UZL7:UZN7"/>
    <mergeCell ref="UZO7:UZQ7"/>
    <mergeCell ref="UZR7:UZT7"/>
    <mergeCell ref="UYK7:UYM7"/>
    <mergeCell ref="UYN7:UYP7"/>
    <mergeCell ref="UYQ7:UYS7"/>
    <mergeCell ref="UYT7:UYV7"/>
    <mergeCell ref="UYW7:UYY7"/>
    <mergeCell ref="UYZ7:UZB7"/>
    <mergeCell ref="VGA7:VGC7"/>
    <mergeCell ref="VGD7:VGF7"/>
    <mergeCell ref="VGG7:VGI7"/>
    <mergeCell ref="VGJ7:VGL7"/>
    <mergeCell ref="VGM7:VGO7"/>
    <mergeCell ref="VGP7:VGR7"/>
    <mergeCell ref="VFI7:VFK7"/>
    <mergeCell ref="VFL7:VFN7"/>
    <mergeCell ref="VFO7:VFQ7"/>
    <mergeCell ref="VFR7:VFT7"/>
    <mergeCell ref="VFU7:VFW7"/>
    <mergeCell ref="VFX7:VFZ7"/>
    <mergeCell ref="VEQ7:VES7"/>
    <mergeCell ref="VET7:VEV7"/>
    <mergeCell ref="VEW7:VEY7"/>
    <mergeCell ref="VEZ7:VFB7"/>
    <mergeCell ref="VFC7:VFE7"/>
    <mergeCell ref="VFF7:VFH7"/>
    <mergeCell ref="VDY7:VEA7"/>
    <mergeCell ref="VEB7:VED7"/>
    <mergeCell ref="VEE7:VEG7"/>
    <mergeCell ref="VEH7:VEJ7"/>
    <mergeCell ref="VEK7:VEM7"/>
    <mergeCell ref="VEN7:VEP7"/>
    <mergeCell ref="VDG7:VDI7"/>
    <mergeCell ref="VDJ7:VDL7"/>
    <mergeCell ref="VDM7:VDO7"/>
    <mergeCell ref="VDP7:VDR7"/>
    <mergeCell ref="VDS7:VDU7"/>
    <mergeCell ref="VDV7:VDX7"/>
    <mergeCell ref="VCO7:VCQ7"/>
    <mergeCell ref="VCR7:VCT7"/>
    <mergeCell ref="VCU7:VCW7"/>
    <mergeCell ref="VCX7:VCZ7"/>
    <mergeCell ref="VDA7:VDC7"/>
    <mergeCell ref="VDD7:VDF7"/>
    <mergeCell ref="VKE7:VKG7"/>
    <mergeCell ref="VKH7:VKJ7"/>
    <mergeCell ref="VKK7:VKM7"/>
    <mergeCell ref="VKN7:VKP7"/>
    <mergeCell ref="VKQ7:VKS7"/>
    <mergeCell ref="VKT7:VKV7"/>
    <mergeCell ref="VJM7:VJO7"/>
    <mergeCell ref="VJP7:VJR7"/>
    <mergeCell ref="VJS7:VJU7"/>
    <mergeCell ref="VJV7:VJX7"/>
    <mergeCell ref="VJY7:VKA7"/>
    <mergeCell ref="VKB7:VKD7"/>
    <mergeCell ref="VIU7:VIW7"/>
    <mergeCell ref="VIX7:VIZ7"/>
    <mergeCell ref="VJA7:VJC7"/>
    <mergeCell ref="VJD7:VJF7"/>
    <mergeCell ref="VJG7:VJI7"/>
    <mergeCell ref="VJJ7:VJL7"/>
    <mergeCell ref="VIC7:VIE7"/>
    <mergeCell ref="VIF7:VIH7"/>
    <mergeCell ref="VII7:VIK7"/>
    <mergeCell ref="VIL7:VIN7"/>
    <mergeCell ref="VIO7:VIQ7"/>
    <mergeCell ref="VIR7:VIT7"/>
    <mergeCell ref="VHK7:VHM7"/>
    <mergeCell ref="VHN7:VHP7"/>
    <mergeCell ref="VHQ7:VHS7"/>
    <mergeCell ref="VHT7:VHV7"/>
    <mergeCell ref="VHW7:VHY7"/>
    <mergeCell ref="VHZ7:VIB7"/>
    <mergeCell ref="VGS7:VGU7"/>
    <mergeCell ref="VGV7:VGX7"/>
    <mergeCell ref="VGY7:VHA7"/>
    <mergeCell ref="VHB7:VHD7"/>
    <mergeCell ref="VHE7:VHG7"/>
    <mergeCell ref="VHH7:VHJ7"/>
    <mergeCell ref="VOI7:VOK7"/>
    <mergeCell ref="VOL7:VON7"/>
    <mergeCell ref="VOO7:VOQ7"/>
    <mergeCell ref="VOR7:VOT7"/>
    <mergeCell ref="VOU7:VOW7"/>
    <mergeCell ref="VOX7:VOZ7"/>
    <mergeCell ref="VNQ7:VNS7"/>
    <mergeCell ref="VNT7:VNV7"/>
    <mergeCell ref="VNW7:VNY7"/>
    <mergeCell ref="VNZ7:VOB7"/>
    <mergeCell ref="VOC7:VOE7"/>
    <mergeCell ref="VOF7:VOH7"/>
    <mergeCell ref="VMY7:VNA7"/>
    <mergeCell ref="VNB7:VND7"/>
    <mergeCell ref="VNE7:VNG7"/>
    <mergeCell ref="VNH7:VNJ7"/>
    <mergeCell ref="VNK7:VNM7"/>
    <mergeCell ref="VNN7:VNP7"/>
    <mergeCell ref="VMG7:VMI7"/>
    <mergeCell ref="VMJ7:VML7"/>
    <mergeCell ref="VMM7:VMO7"/>
    <mergeCell ref="VMP7:VMR7"/>
    <mergeCell ref="VMS7:VMU7"/>
    <mergeCell ref="VMV7:VMX7"/>
    <mergeCell ref="VLO7:VLQ7"/>
    <mergeCell ref="VLR7:VLT7"/>
    <mergeCell ref="VLU7:VLW7"/>
    <mergeCell ref="VLX7:VLZ7"/>
    <mergeCell ref="VMA7:VMC7"/>
    <mergeCell ref="VMD7:VMF7"/>
    <mergeCell ref="VKW7:VKY7"/>
    <mergeCell ref="VKZ7:VLB7"/>
    <mergeCell ref="VLC7:VLE7"/>
    <mergeCell ref="VLF7:VLH7"/>
    <mergeCell ref="VLI7:VLK7"/>
    <mergeCell ref="VLL7:VLN7"/>
    <mergeCell ref="VSM7:VSO7"/>
    <mergeCell ref="VSP7:VSR7"/>
    <mergeCell ref="VSS7:VSU7"/>
    <mergeCell ref="VSV7:VSX7"/>
    <mergeCell ref="VSY7:VTA7"/>
    <mergeCell ref="VTB7:VTD7"/>
    <mergeCell ref="VRU7:VRW7"/>
    <mergeCell ref="VRX7:VRZ7"/>
    <mergeCell ref="VSA7:VSC7"/>
    <mergeCell ref="VSD7:VSF7"/>
    <mergeCell ref="VSG7:VSI7"/>
    <mergeCell ref="VSJ7:VSL7"/>
    <mergeCell ref="VRC7:VRE7"/>
    <mergeCell ref="VRF7:VRH7"/>
    <mergeCell ref="VRI7:VRK7"/>
    <mergeCell ref="VRL7:VRN7"/>
    <mergeCell ref="VRO7:VRQ7"/>
    <mergeCell ref="VRR7:VRT7"/>
    <mergeCell ref="VQK7:VQM7"/>
    <mergeCell ref="VQN7:VQP7"/>
    <mergeCell ref="VQQ7:VQS7"/>
    <mergeCell ref="VQT7:VQV7"/>
    <mergeCell ref="VQW7:VQY7"/>
    <mergeCell ref="VQZ7:VRB7"/>
    <mergeCell ref="VPS7:VPU7"/>
    <mergeCell ref="VPV7:VPX7"/>
    <mergeCell ref="VPY7:VQA7"/>
    <mergeCell ref="VQB7:VQD7"/>
    <mergeCell ref="VQE7:VQG7"/>
    <mergeCell ref="VQH7:VQJ7"/>
    <mergeCell ref="VPA7:VPC7"/>
    <mergeCell ref="VPD7:VPF7"/>
    <mergeCell ref="VPG7:VPI7"/>
    <mergeCell ref="VPJ7:VPL7"/>
    <mergeCell ref="VPM7:VPO7"/>
    <mergeCell ref="VPP7:VPR7"/>
    <mergeCell ref="VWQ7:VWS7"/>
    <mergeCell ref="VWT7:VWV7"/>
    <mergeCell ref="VWW7:VWY7"/>
    <mergeCell ref="VWZ7:VXB7"/>
    <mergeCell ref="VXC7:VXE7"/>
    <mergeCell ref="VXF7:VXH7"/>
    <mergeCell ref="VVY7:VWA7"/>
    <mergeCell ref="VWB7:VWD7"/>
    <mergeCell ref="VWE7:VWG7"/>
    <mergeCell ref="VWH7:VWJ7"/>
    <mergeCell ref="VWK7:VWM7"/>
    <mergeCell ref="VWN7:VWP7"/>
    <mergeCell ref="VVG7:VVI7"/>
    <mergeCell ref="VVJ7:VVL7"/>
    <mergeCell ref="VVM7:VVO7"/>
    <mergeCell ref="VVP7:VVR7"/>
    <mergeCell ref="VVS7:VVU7"/>
    <mergeCell ref="VVV7:VVX7"/>
    <mergeCell ref="VUO7:VUQ7"/>
    <mergeCell ref="VUR7:VUT7"/>
    <mergeCell ref="VUU7:VUW7"/>
    <mergeCell ref="VUX7:VUZ7"/>
    <mergeCell ref="VVA7:VVC7"/>
    <mergeCell ref="VVD7:VVF7"/>
    <mergeCell ref="VTW7:VTY7"/>
    <mergeCell ref="VTZ7:VUB7"/>
    <mergeCell ref="VUC7:VUE7"/>
    <mergeCell ref="VUF7:VUH7"/>
    <mergeCell ref="VUI7:VUK7"/>
    <mergeCell ref="VUL7:VUN7"/>
    <mergeCell ref="VTE7:VTG7"/>
    <mergeCell ref="VTH7:VTJ7"/>
    <mergeCell ref="VTK7:VTM7"/>
    <mergeCell ref="VTN7:VTP7"/>
    <mergeCell ref="VTQ7:VTS7"/>
    <mergeCell ref="VTT7:VTV7"/>
    <mergeCell ref="WAU7:WAW7"/>
    <mergeCell ref="WAX7:WAZ7"/>
    <mergeCell ref="WBA7:WBC7"/>
    <mergeCell ref="WBD7:WBF7"/>
    <mergeCell ref="WBG7:WBI7"/>
    <mergeCell ref="WBJ7:WBL7"/>
    <mergeCell ref="WAC7:WAE7"/>
    <mergeCell ref="WAF7:WAH7"/>
    <mergeCell ref="WAI7:WAK7"/>
    <mergeCell ref="WAL7:WAN7"/>
    <mergeCell ref="WAO7:WAQ7"/>
    <mergeCell ref="WAR7:WAT7"/>
    <mergeCell ref="VZK7:VZM7"/>
    <mergeCell ref="VZN7:VZP7"/>
    <mergeCell ref="VZQ7:VZS7"/>
    <mergeCell ref="VZT7:VZV7"/>
    <mergeCell ref="VZW7:VZY7"/>
    <mergeCell ref="VZZ7:WAB7"/>
    <mergeCell ref="VYS7:VYU7"/>
    <mergeCell ref="VYV7:VYX7"/>
    <mergeCell ref="VYY7:VZA7"/>
    <mergeCell ref="VZB7:VZD7"/>
    <mergeCell ref="VZE7:VZG7"/>
    <mergeCell ref="VZH7:VZJ7"/>
    <mergeCell ref="VYA7:VYC7"/>
    <mergeCell ref="VYD7:VYF7"/>
    <mergeCell ref="VYG7:VYI7"/>
    <mergeCell ref="VYJ7:VYL7"/>
    <mergeCell ref="VYM7:VYO7"/>
    <mergeCell ref="VYP7:VYR7"/>
    <mergeCell ref="VXI7:VXK7"/>
    <mergeCell ref="VXL7:VXN7"/>
    <mergeCell ref="VXO7:VXQ7"/>
    <mergeCell ref="VXR7:VXT7"/>
    <mergeCell ref="VXU7:VXW7"/>
    <mergeCell ref="VXX7:VXZ7"/>
    <mergeCell ref="WEY7:WFA7"/>
    <mergeCell ref="WFB7:WFD7"/>
    <mergeCell ref="WFE7:WFG7"/>
    <mergeCell ref="WFH7:WFJ7"/>
    <mergeCell ref="WFK7:WFM7"/>
    <mergeCell ref="WFN7:WFP7"/>
    <mergeCell ref="WEG7:WEI7"/>
    <mergeCell ref="WEJ7:WEL7"/>
    <mergeCell ref="WEM7:WEO7"/>
    <mergeCell ref="WEP7:WER7"/>
    <mergeCell ref="WES7:WEU7"/>
    <mergeCell ref="WEV7:WEX7"/>
    <mergeCell ref="WDO7:WDQ7"/>
    <mergeCell ref="WDR7:WDT7"/>
    <mergeCell ref="WDU7:WDW7"/>
    <mergeCell ref="WDX7:WDZ7"/>
    <mergeCell ref="WEA7:WEC7"/>
    <mergeCell ref="WED7:WEF7"/>
    <mergeCell ref="WCW7:WCY7"/>
    <mergeCell ref="WCZ7:WDB7"/>
    <mergeCell ref="WDC7:WDE7"/>
    <mergeCell ref="WDF7:WDH7"/>
    <mergeCell ref="WDI7:WDK7"/>
    <mergeCell ref="WDL7:WDN7"/>
    <mergeCell ref="WCE7:WCG7"/>
    <mergeCell ref="WCH7:WCJ7"/>
    <mergeCell ref="WCK7:WCM7"/>
    <mergeCell ref="WCN7:WCP7"/>
    <mergeCell ref="WCQ7:WCS7"/>
    <mergeCell ref="WCT7:WCV7"/>
    <mergeCell ref="WBM7:WBO7"/>
    <mergeCell ref="WBP7:WBR7"/>
    <mergeCell ref="WBS7:WBU7"/>
    <mergeCell ref="WBV7:WBX7"/>
    <mergeCell ref="WBY7:WCA7"/>
    <mergeCell ref="WCB7:WCD7"/>
    <mergeCell ref="WJC7:WJE7"/>
    <mergeCell ref="WJF7:WJH7"/>
    <mergeCell ref="WJI7:WJK7"/>
    <mergeCell ref="WJL7:WJN7"/>
    <mergeCell ref="WJO7:WJQ7"/>
    <mergeCell ref="WJR7:WJT7"/>
    <mergeCell ref="WIK7:WIM7"/>
    <mergeCell ref="WIN7:WIP7"/>
    <mergeCell ref="WIQ7:WIS7"/>
    <mergeCell ref="WIT7:WIV7"/>
    <mergeCell ref="WIW7:WIY7"/>
    <mergeCell ref="WIZ7:WJB7"/>
    <mergeCell ref="WHS7:WHU7"/>
    <mergeCell ref="WHV7:WHX7"/>
    <mergeCell ref="WHY7:WIA7"/>
    <mergeCell ref="WIB7:WID7"/>
    <mergeCell ref="WIE7:WIG7"/>
    <mergeCell ref="WIH7:WIJ7"/>
    <mergeCell ref="WHA7:WHC7"/>
    <mergeCell ref="WHD7:WHF7"/>
    <mergeCell ref="WHG7:WHI7"/>
    <mergeCell ref="WHJ7:WHL7"/>
    <mergeCell ref="WHM7:WHO7"/>
    <mergeCell ref="WHP7:WHR7"/>
    <mergeCell ref="WGI7:WGK7"/>
    <mergeCell ref="WGL7:WGN7"/>
    <mergeCell ref="WGO7:WGQ7"/>
    <mergeCell ref="WGR7:WGT7"/>
    <mergeCell ref="WGU7:WGW7"/>
    <mergeCell ref="WGX7:WGZ7"/>
    <mergeCell ref="WFQ7:WFS7"/>
    <mergeCell ref="WFT7:WFV7"/>
    <mergeCell ref="WFW7:WFY7"/>
    <mergeCell ref="WFZ7:WGB7"/>
    <mergeCell ref="WGC7:WGE7"/>
    <mergeCell ref="WGF7:WGH7"/>
    <mergeCell ref="WNG7:WNI7"/>
    <mergeCell ref="WNJ7:WNL7"/>
    <mergeCell ref="WNM7:WNO7"/>
    <mergeCell ref="WNP7:WNR7"/>
    <mergeCell ref="WNS7:WNU7"/>
    <mergeCell ref="WNV7:WNX7"/>
    <mergeCell ref="WMO7:WMQ7"/>
    <mergeCell ref="WMR7:WMT7"/>
    <mergeCell ref="WMU7:WMW7"/>
    <mergeCell ref="WMX7:WMZ7"/>
    <mergeCell ref="WNA7:WNC7"/>
    <mergeCell ref="WND7:WNF7"/>
    <mergeCell ref="WLW7:WLY7"/>
    <mergeCell ref="WLZ7:WMB7"/>
    <mergeCell ref="WMC7:WME7"/>
    <mergeCell ref="WMF7:WMH7"/>
    <mergeCell ref="WMI7:WMK7"/>
    <mergeCell ref="WML7:WMN7"/>
    <mergeCell ref="WLE7:WLG7"/>
    <mergeCell ref="WLH7:WLJ7"/>
    <mergeCell ref="WLK7:WLM7"/>
    <mergeCell ref="WLN7:WLP7"/>
    <mergeCell ref="WLQ7:WLS7"/>
    <mergeCell ref="WLT7:WLV7"/>
    <mergeCell ref="WKM7:WKO7"/>
    <mergeCell ref="WKP7:WKR7"/>
    <mergeCell ref="WKS7:WKU7"/>
    <mergeCell ref="WKV7:WKX7"/>
    <mergeCell ref="WKY7:WLA7"/>
    <mergeCell ref="WLB7:WLD7"/>
    <mergeCell ref="WJU7:WJW7"/>
    <mergeCell ref="WJX7:WJZ7"/>
    <mergeCell ref="WKA7:WKC7"/>
    <mergeCell ref="WKD7:WKF7"/>
    <mergeCell ref="WKG7:WKI7"/>
    <mergeCell ref="WKJ7:WKL7"/>
    <mergeCell ref="WRK7:WRM7"/>
    <mergeCell ref="WRN7:WRP7"/>
    <mergeCell ref="WRQ7:WRS7"/>
    <mergeCell ref="WRT7:WRV7"/>
    <mergeCell ref="WRW7:WRY7"/>
    <mergeCell ref="WRZ7:WSB7"/>
    <mergeCell ref="WQS7:WQU7"/>
    <mergeCell ref="WQV7:WQX7"/>
    <mergeCell ref="WQY7:WRA7"/>
    <mergeCell ref="WRB7:WRD7"/>
    <mergeCell ref="WRE7:WRG7"/>
    <mergeCell ref="WRH7:WRJ7"/>
    <mergeCell ref="WQA7:WQC7"/>
    <mergeCell ref="WQD7:WQF7"/>
    <mergeCell ref="WQG7:WQI7"/>
    <mergeCell ref="WQJ7:WQL7"/>
    <mergeCell ref="WQM7:WQO7"/>
    <mergeCell ref="WQP7:WQR7"/>
    <mergeCell ref="WPI7:WPK7"/>
    <mergeCell ref="WPL7:WPN7"/>
    <mergeCell ref="WPO7:WPQ7"/>
    <mergeCell ref="WPR7:WPT7"/>
    <mergeCell ref="WPU7:WPW7"/>
    <mergeCell ref="WPX7:WPZ7"/>
    <mergeCell ref="WOQ7:WOS7"/>
    <mergeCell ref="WOT7:WOV7"/>
    <mergeCell ref="WOW7:WOY7"/>
    <mergeCell ref="WOZ7:WPB7"/>
    <mergeCell ref="WPC7:WPE7"/>
    <mergeCell ref="WPF7:WPH7"/>
    <mergeCell ref="WNY7:WOA7"/>
    <mergeCell ref="WOB7:WOD7"/>
    <mergeCell ref="WOE7:WOG7"/>
    <mergeCell ref="WOH7:WOJ7"/>
    <mergeCell ref="WOK7:WOM7"/>
    <mergeCell ref="WON7:WOP7"/>
    <mergeCell ref="WVO7:WVQ7"/>
    <mergeCell ref="WVR7:WVT7"/>
    <mergeCell ref="WVU7:WVW7"/>
    <mergeCell ref="WVX7:WVZ7"/>
    <mergeCell ref="WWA7:WWC7"/>
    <mergeCell ref="WWD7:WWF7"/>
    <mergeCell ref="WUW7:WUY7"/>
    <mergeCell ref="WUZ7:WVB7"/>
    <mergeCell ref="WVC7:WVE7"/>
    <mergeCell ref="WVF7:WVH7"/>
    <mergeCell ref="WVI7:WVK7"/>
    <mergeCell ref="WVL7:WVN7"/>
    <mergeCell ref="WUE7:WUG7"/>
    <mergeCell ref="WUH7:WUJ7"/>
    <mergeCell ref="WUK7:WUM7"/>
    <mergeCell ref="WUN7:WUP7"/>
    <mergeCell ref="WUQ7:WUS7"/>
    <mergeCell ref="WUT7:WUV7"/>
    <mergeCell ref="WTM7:WTO7"/>
    <mergeCell ref="WTP7:WTR7"/>
    <mergeCell ref="WTS7:WTU7"/>
    <mergeCell ref="WTV7:WTX7"/>
    <mergeCell ref="WTY7:WUA7"/>
    <mergeCell ref="WUB7:WUD7"/>
    <mergeCell ref="WSU7:WSW7"/>
    <mergeCell ref="WSX7:WSZ7"/>
    <mergeCell ref="WTA7:WTC7"/>
    <mergeCell ref="WTD7:WTF7"/>
    <mergeCell ref="WTG7:WTI7"/>
    <mergeCell ref="WTJ7:WTL7"/>
    <mergeCell ref="WSC7:WSE7"/>
    <mergeCell ref="WSF7:WSH7"/>
    <mergeCell ref="WSI7:WSK7"/>
    <mergeCell ref="WSL7:WSN7"/>
    <mergeCell ref="WSO7:WSQ7"/>
    <mergeCell ref="WSR7:WST7"/>
    <mergeCell ref="WZS7:WZU7"/>
    <mergeCell ref="WZV7:WZX7"/>
    <mergeCell ref="WZY7:XAA7"/>
    <mergeCell ref="XAB7:XAD7"/>
    <mergeCell ref="XAE7:XAG7"/>
    <mergeCell ref="XAH7:XAJ7"/>
    <mergeCell ref="WZA7:WZC7"/>
    <mergeCell ref="WZD7:WZF7"/>
    <mergeCell ref="WZG7:WZI7"/>
    <mergeCell ref="WZJ7:WZL7"/>
    <mergeCell ref="WZM7:WZO7"/>
    <mergeCell ref="WZP7:WZR7"/>
    <mergeCell ref="WYI7:WYK7"/>
    <mergeCell ref="WYL7:WYN7"/>
    <mergeCell ref="WYO7:WYQ7"/>
    <mergeCell ref="WYR7:WYT7"/>
    <mergeCell ref="WYU7:WYW7"/>
    <mergeCell ref="WYX7:WYZ7"/>
    <mergeCell ref="WXQ7:WXS7"/>
    <mergeCell ref="WXT7:WXV7"/>
    <mergeCell ref="WXW7:WXY7"/>
    <mergeCell ref="WXZ7:WYB7"/>
    <mergeCell ref="WYC7:WYE7"/>
    <mergeCell ref="WYF7:WYH7"/>
    <mergeCell ref="WWY7:WXA7"/>
    <mergeCell ref="WXB7:WXD7"/>
    <mergeCell ref="WXE7:WXG7"/>
    <mergeCell ref="WXH7:WXJ7"/>
    <mergeCell ref="WXK7:WXM7"/>
    <mergeCell ref="WXN7:WXP7"/>
    <mergeCell ref="WWG7:WWI7"/>
    <mergeCell ref="WWJ7:WWL7"/>
    <mergeCell ref="WWM7:WWO7"/>
    <mergeCell ref="WWP7:WWR7"/>
    <mergeCell ref="WWS7:WWU7"/>
    <mergeCell ref="WWV7:WWX7"/>
    <mergeCell ref="AZ8:BB8"/>
    <mergeCell ref="BC8:BE8"/>
    <mergeCell ref="BF8:BH8"/>
    <mergeCell ref="BI8:BK8"/>
    <mergeCell ref="BL8:BN8"/>
    <mergeCell ref="BO8:BQ8"/>
    <mergeCell ref="AH8:AJ8"/>
    <mergeCell ref="AK8:AM8"/>
    <mergeCell ref="AN8:AP8"/>
    <mergeCell ref="AQ8:AS8"/>
    <mergeCell ref="AT8:AV8"/>
    <mergeCell ref="AW8:AY8"/>
    <mergeCell ref="P8:R8"/>
    <mergeCell ref="S8:U8"/>
    <mergeCell ref="V8:X8"/>
    <mergeCell ref="Y8:AA8"/>
    <mergeCell ref="AB8:AD8"/>
    <mergeCell ref="AE8:AG8"/>
    <mergeCell ref="XEO7:XEQ7"/>
    <mergeCell ref="XER7:XET7"/>
    <mergeCell ref="XEU7:XEW7"/>
    <mergeCell ref="XEX7:XEZ7"/>
    <mergeCell ref="XFA7:XFC7"/>
    <mergeCell ref="A8:C8"/>
    <mergeCell ref="D8:F8"/>
    <mergeCell ref="G8:I8"/>
    <mergeCell ref="J8:L8"/>
    <mergeCell ref="M8:O8"/>
    <mergeCell ref="XDW7:XDY7"/>
    <mergeCell ref="XDZ7:XEB7"/>
    <mergeCell ref="XEC7:XEE7"/>
    <mergeCell ref="XEF7:XEH7"/>
    <mergeCell ref="XEI7:XEK7"/>
    <mergeCell ref="XEL7:XEN7"/>
    <mergeCell ref="XDE7:XDG7"/>
    <mergeCell ref="XDH7:XDJ7"/>
    <mergeCell ref="XDK7:XDM7"/>
    <mergeCell ref="XDN7:XDP7"/>
    <mergeCell ref="XDQ7:XDS7"/>
    <mergeCell ref="XDT7:XDV7"/>
    <mergeCell ref="XCM7:XCO7"/>
    <mergeCell ref="XCP7:XCR7"/>
    <mergeCell ref="XCS7:XCU7"/>
    <mergeCell ref="XCV7:XCX7"/>
    <mergeCell ref="XCY7:XDA7"/>
    <mergeCell ref="XDB7:XDD7"/>
    <mergeCell ref="XBU7:XBW7"/>
    <mergeCell ref="XBX7:XBZ7"/>
    <mergeCell ref="XCA7:XCC7"/>
    <mergeCell ref="XCD7:XCF7"/>
    <mergeCell ref="XCG7:XCI7"/>
    <mergeCell ref="XCJ7:XCL7"/>
    <mergeCell ref="XBC7:XBE7"/>
    <mergeCell ref="XBF7:XBH7"/>
    <mergeCell ref="XBI7:XBK7"/>
    <mergeCell ref="XBL7:XBN7"/>
    <mergeCell ref="XBO7:XBQ7"/>
    <mergeCell ref="XBR7:XBT7"/>
    <mergeCell ref="XAK7:XAM7"/>
    <mergeCell ref="XAN7:XAP7"/>
    <mergeCell ref="XAQ7:XAS7"/>
    <mergeCell ref="XAT7:XAV7"/>
    <mergeCell ref="XAW7:XAY7"/>
    <mergeCell ref="XAZ7:XBB7"/>
    <mergeCell ref="FD8:FF8"/>
    <mergeCell ref="FG8:FI8"/>
    <mergeCell ref="FJ8:FL8"/>
    <mergeCell ref="FM8:FO8"/>
    <mergeCell ref="FP8:FR8"/>
    <mergeCell ref="FS8:FU8"/>
    <mergeCell ref="EL8:EN8"/>
    <mergeCell ref="EO8:EQ8"/>
    <mergeCell ref="ER8:ET8"/>
    <mergeCell ref="EU8:EW8"/>
    <mergeCell ref="EX8:EZ8"/>
    <mergeCell ref="FA8:FC8"/>
    <mergeCell ref="DT8:DV8"/>
    <mergeCell ref="DW8:DY8"/>
    <mergeCell ref="DZ8:EB8"/>
    <mergeCell ref="EC8:EE8"/>
    <mergeCell ref="EF8:EH8"/>
    <mergeCell ref="EI8:EK8"/>
    <mergeCell ref="DB8:DD8"/>
    <mergeCell ref="DE8:DG8"/>
    <mergeCell ref="DH8:DJ8"/>
    <mergeCell ref="DK8:DM8"/>
    <mergeCell ref="DN8:DP8"/>
    <mergeCell ref="DQ8:DS8"/>
    <mergeCell ref="CJ8:CL8"/>
    <mergeCell ref="CM8:CO8"/>
    <mergeCell ref="CP8:CR8"/>
    <mergeCell ref="CS8:CU8"/>
    <mergeCell ref="CV8:CX8"/>
    <mergeCell ref="CY8:DA8"/>
    <mergeCell ref="BR8:BT8"/>
    <mergeCell ref="BU8:BW8"/>
    <mergeCell ref="BX8:BZ8"/>
    <mergeCell ref="CA8:CC8"/>
    <mergeCell ref="CD8:CF8"/>
    <mergeCell ref="CG8:CI8"/>
    <mergeCell ref="JH8:JJ8"/>
    <mergeCell ref="JK8:JM8"/>
    <mergeCell ref="JN8:JP8"/>
    <mergeCell ref="JQ8:JS8"/>
    <mergeCell ref="JT8:JV8"/>
    <mergeCell ref="JW8:JY8"/>
    <mergeCell ref="IP8:IR8"/>
    <mergeCell ref="IS8:IU8"/>
    <mergeCell ref="IV8:IX8"/>
    <mergeCell ref="IY8:JA8"/>
    <mergeCell ref="JB8:JD8"/>
    <mergeCell ref="JE8:JG8"/>
    <mergeCell ref="HX8:HZ8"/>
    <mergeCell ref="IA8:IC8"/>
    <mergeCell ref="ID8:IF8"/>
    <mergeCell ref="IG8:II8"/>
    <mergeCell ref="IJ8:IL8"/>
    <mergeCell ref="IM8:IO8"/>
    <mergeCell ref="HF8:HH8"/>
    <mergeCell ref="HI8:HK8"/>
    <mergeCell ref="HL8:HN8"/>
    <mergeCell ref="HO8:HQ8"/>
    <mergeCell ref="HR8:HT8"/>
    <mergeCell ref="HU8:HW8"/>
    <mergeCell ref="GN8:GP8"/>
    <mergeCell ref="GQ8:GS8"/>
    <mergeCell ref="GT8:GV8"/>
    <mergeCell ref="GW8:GY8"/>
    <mergeCell ref="GZ8:HB8"/>
    <mergeCell ref="HC8:HE8"/>
    <mergeCell ref="FV8:FX8"/>
    <mergeCell ref="FY8:GA8"/>
    <mergeCell ref="GB8:GD8"/>
    <mergeCell ref="GE8:GG8"/>
    <mergeCell ref="GH8:GJ8"/>
    <mergeCell ref="GK8:GM8"/>
    <mergeCell ref="NL8:NN8"/>
    <mergeCell ref="NO8:NQ8"/>
    <mergeCell ref="NR8:NT8"/>
    <mergeCell ref="NU8:NW8"/>
    <mergeCell ref="NX8:NZ8"/>
    <mergeCell ref="OA8:OC8"/>
    <mergeCell ref="MT8:MV8"/>
    <mergeCell ref="MW8:MY8"/>
    <mergeCell ref="MZ8:NB8"/>
    <mergeCell ref="NC8:NE8"/>
    <mergeCell ref="NF8:NH8"/>
    <mergeCell ref="NI8:NK8"/>
    <mergeCell ref="MB8:MD8"/>
    <mergeCell ref="ME8:MG8"/>
    <mergeCell ref="MH8:MJ8"/>
    <mergeCell ref="MK8:MM8"/>
    <mergeCell ref="MN8:MP8"/>
    <mergeCell ref="MQ8:MS8"/>
    <mergeCell ref="LJ8:LL8"/>
    <mergeCell ref="LM8:LO8"/>
    <mergeCell ref="LP8:LR8"/>
    <mergeCell ref="LS8:LU8"/>
    <mergeCell ref="LV8:LX8"/>
    <mergeCell ref="LY8:MA8"/>
    <mergeCell ref="KR8:KT8"/>
    <mergeCell ref="KU8:KW8"/>
    <mergeCell ref="KX8:KZ8"/>
    <mergeCell ref="LA8:LC8"/>
    <mergeCell ref="LD8:LF8"/>
    <mergeCell ref="LG8:LI8"/>
    <mergeCell ref="JZ8:KB8"/>
    <mergeCell ref="KC8:KE8"/>
    <mergeCell ref="KF8:KH8"/>
    <mergeCell ref="KI8:KK8"/>
    <mergeCell ref="KL8:KN8"/>
    <mergeCell ref="KO8:KQ8"/>
    <mergeCell ref="RP8:RR8"/>
    <mergeCell ref="RS8:RU8"/>
    <mergeCell ref="RV8:RX8"/>
    <mergeCell ref="RY8:SA8"/>
    <mergeCell ref="SB8:SD8"/>
    <mergeCell ref="SE8:SG8"/>
    <mergeCell ref="QX8:QZ8"/>
    <mergeCell ref="RA8:RC8"/>
    <mergeCell ref="RD8:RF8"/>
    <mergeCell ref="RG8:RI8"/>
    <mergeCell ref="RJ8:RL8"/>
    <mergeCell ref="RM8:RO8"/>
    <mergeCell ref="QF8:QH8"/>
    <mergeCell ref="QI8:QK8"/>
    <mergeCell ref="QL8:QN8"/>
    <mergeCell ref="QO8:QQ8"/>
    <mergeCell ref="QR8:QT8"/>
    <mergeCell ref="QU8:QW8"/>
    <mergeCell ref="PN8:PP8"/>
    <mergeCell ref="PQ8:PS8"/>
    <mergeCell ref="PT8:PV8"/>
    <mergeCell ref="PW8:PY8"/>
    <mergeCell ref="PZ8:QB8"/>
    <mergeCell ref="QC8:QE8"/>
    <mergeCell ref="OV8:OX8"/>
    <mergeCell ref="OY8:PA8"/>
    <mergeCell ref="PB8:PD8"/>
    <mergeCell ref="PE8:PG8"/>
    <mergeCell ref="PH8:PJ8"/>
    <mergeCell ref="PK8:PM8"/>
    <mergeCell ref="OD8:OF8"/>
    <mergeCell ref="OG8:OI8"/>
    <mergeCell ref="OJ8:OL8"/>
    <mergeCell ref="OM8:OO8"/>
    <mergeCell ref="OP8:OR8"/>
    <mergeCell ref="OS8:OU8"/>
    <mergeCell ref="VT8:VV8"/>
    <mergeCell ref="VW8:VY8"/>
    <mergeCell ref="VZ8:WB8"/>
    <mergeCell ref="WC8:WE8"/>
    <mergeCell ref="WF8:WH8"/>
    <mergeCell ref="WI8:WK8"/>
    <mergeCell ref="VB8:VD8"/>
    <mergeCell ref="VE8:VG8"/>
    <mergeCell ref="VH8:VJ8"/>
    <mergeCell ref="VK8:VM8"/>
    <mergeCell ref="VN8:VP8"/>
    <mergeCell ref="VQ8:VS8"/>
    <mergeCell ref="UJ8:UL8"/>
    <mergeCell ref="UM8:UO8"/>
    <mergeCell ref="UP8:UR8"/>
    <mergeCell ref="US8:UU8"/>
    <mergeCell ref="UV8:UX8"/>
    <mergeCell ref="UY8:VA8"/>
    <mergeCell ref="TR8:TT8"/>
    <mergeCell ref="TU8:TW8"/>
    <mergeCell ref="TX8:TZ8"/>
    <mergeCell ref="UA8:UC8"/>
    <mergeCell ref="UD8:UF8"/>
    <mergeCell ref="UG8:UI8"/>
    <mergeCell ref="SZ8:TB8"/>
    <mergeCell ref="TC8:TE8"/>
    <mergeCell ref="TF8:TH8"/>
    <mergeCell ref="TI8:TK8"/>
    <mergeCell ref="TL8:TN8"/>
    <mergeCell ref="TO8:TQ8"/>
    <mergeCell ref="SH8:SJ8"/>
    <mergeCell ref="SK8:SM8"/>
    <mergeCell ref="SN8:SP8"/>
    <mergeCell ref="SQ8:SS8"/>
    <mergeCell ref="ST8:SV8"/>
    <mergeCell ref="SW8:SY8"/>
    <mergeCell ref="ZX8:ZZ8"/>
    <mergeCell ref="AAA8:AAC8"/>
    <mergeCell ref="AAD8:AAF8"/>
    <mergeCell ref="AAG8:AAI8"/>
    <mergeCell ref="AAJ8:AAL8"/>
    <mergeCell ref="AAM8:AAO8"/>
    <mergeCell ref="ZF8:ZH8"/>
    <mergeCell ref="ZI8:ZK8"/>
    <mergeCell ref="ZL8:ZN8"/>
    <mergeCell ref="ZO8:ZQ8"/>
    <mergeCell ref="ZR8:ZT8"/>
    <mergeCell ref="ZU8:ZW8"/>
    <mergeCell ref="YN8:YP8"/>
    <mergeCell ref="YQ8:YS8"/>
    <mergeCell ref="YT8:YV8"/>
    <mergeCell ref="YW8:YY8"/>
    <mergeCell ref="YZ8:ZB8"/>
    <mergeCell ref="ZC8:ZE8"/>
    <mergeCell ref="XV8:XX8"/>
    <mergeCell ref="XY8:YA8"/>
    <mergeCell ref="YB8:YD8"/>
    <mergeCell ref="YE8:YG8"/>
    <mergeCell ref="YH8:YJ8"/>
    <mergeCell ref="YK8:YM8"/>
    <mergeCell ref="XD8:XF8"/>
    <mergeCell ref="XG8:XI8"/>
    <mergeCell ref="XJ8:XL8"/>
    <mergeCell ref="XM8:XO8"/>
    <mergeCell ref="XP8:XR8"/>
    <mergeCell ref="XS8:XU8"/>
    <mergeCell ref="WL8:WN8"/>
    <mergeCell ref="WO8:WQ8"/>
    <mergeCell ref="WR8:WT8"/>
    <mergeCell ref="WU8:WW8"/>
    <mergeCell ref="WX8:WZ8"/>
    <mergeCell ref="XA8:XC8"/>
    <mergeCell ref="AEB8:AED8"/>
    <mergeCell ref="AEE8:AEG8"/>
    <mergeCell ref="AEH8:AEJ8"/>
    <mergeCell ref="AEK8:AEM8"/>
    <mergeCell ref="AEN8:AEP8"/>
    <mergeCell ref="AEQ8:AES8"/>
    <mergeCell ref="ADJ8:ADL8"/>
    <mergeCell ref="ADM8:ADO8"/>
    <mergeCell ref="ADP8:ADR8"/>
    <mergeCell ref="ADS8:ADU8"/>
    <mergeCell ref="ADV8:ADX8"/>
    <mergeCell ref="ADY8:AEA8"/>
    <mergeCell ref="ACR8:ACT8"/>
    <mergeCell ref="ACU8:ACW8"/>
    <mergeCell ref="ACX8:ACZ8"/>
    <mergeCell ref="ADA8:ADC8"/>
    <mergeCell ref="ADD8:ADF8"/>
    <mergeCell ref="ADG8:ADI8"/>
    <mergeCell ref="ABZ8:ACB8"/>
    <mergeCell ref="ACC8:ACE8"/>
    <mergeCell ref="ACF8:ACH8"/>
    <mergeCell ref="ACI8:ACK8"/>
    <mergeCell ref="ACL8:ACN8"/>
    <mergeCell ref="ACO8:ACQ8"/>
    <mergeCell ref="ABH8:ABJ8"/>
    <mergeCell ref="ABK8:ABM8"/>
    <mergeCell ref="ABN8:ABP8"/>
    <mergeCell ref="ABQ8:ABS8"/>
    <mergeCell ref="ABT8:ABV8"/>
    <mergeCell ref="ABW8:ABY8"/>
    <mergeCell ref="AAP8:AAR8"/>
    <mergeCell ref="AAS8:AAU8"/>
    <mergeCell ref="AAV8:AAX8"/>
    <mergeCell ref="AAY8:ABA8"/>
    <mergeCell ref="ABB8:ABD8"/>
    <mergeCell ref="ABE8:ABG8"/>
    <mergeCell ref="AIF8:AIH8"/>
    <mergeCell ref="AII8:AIK8"/>
    <mergeCell ref="AIL8:AIN8"/>
    <mergeCell ref="AIO8:AIQ8"/>
    <mergeCell ref="AIR8:AIT8"/>
    <mergeCell ref="AIU8:AIW8"/>
    <mergeCell ref="AHN8:AHP8"/>
    <mergeCell ref="AHQ8:AHS8"/>
    <mergeCell ref="AHT8:AHV8"/>
    <mergeCell ref="AHW8:AHY8"/>
    <mergeCell ref="AHZ8:AIB8"/>
    <mergeCell ref="AIC8:AIE8"/>
    <mergeCell ref="AGV8:AGX8"/>
    <mergeCell ref="AGY8:AHA8"/>
    <mergeCell ref="AHB8:AHD8"/>
    <mergeCell ref="AHE8:AHG8"/>
    <mergeCell ref="AHH8:AHJ8"/>
    <mergeCell ref="AHK8:AHM8"/>
    <mergeCell ref="AGD8:AGF8"/>
    <mergeCell ref="AGG8:AGI8"/>
    <mergeCell ref="AGJ8:AGL8"/>
    <mergeCell ref="AGM8:AGO8"/>
    <mergeCell ref="AGP8:AGR8"/>
    <mergeCell ref="AGS8:AGU8"/>
    <mergeCell ref="AFL8:AFN8"/>
    <mergeCell ref="AFO8:AFQ8"/>
    <mergeCell ref="AFR8:AFT8"/>
    <mergeCell ref="AFU8:AFW8"/>
    <mergeCell ref="AFX8:AFZ8"/>
    <mergeCell ref="AGA8:AGC8"/>
    <mergeCell ref="AET8:AEV8"/>
    <mergeCell ref="AEW8:AEY8"/>
    <mergeCell ref="AEZ8:AFB8"/>
    <mergeCell ref="AFC8:AFE8"/>
    <mergeCell ref="AFF8:AFH8"/>
    <mergeCell ref="AFI8:AFK8"/>
    <mergeCell ref="AMJ8:AML8"/>
    <mergeCell ref="AMM8:AMO8"/>
    <mergeCell ref="AMP8:AMR8"/>
    <mergeCell ref="AMS8:AMU8"/>
    <mergeCell ref="AMV8:AMX8"/>
    <mergeCell ref="AMY8:ANA8"/>
    <mergeCell ref="ALR8:ALT8"/>
    <mergeCell ref="ALU8:ALW8"/>
    <mergeCell ref="ALX8:ALZ8"/>
    <mergeCell ref="AMA8:AMC8"/>
    <mergeCell ref="AMD8:AMF8"/>
    <mergeCell ref="AMG8:AMI8"/>
    <mergeCell ref="AKZ8:ALB8"/>
    <mergeCell ref="ALC8:ALE8"/>
    <mergeCell ref="ALF8:ALH8"/>
    <mergeCell ref="ALI8:ALK8"/>
    <mergeCell ref="ALL8:ALN8"/>
    <mergeCell ref="ALO8:ALQ8"/>
    <mergeCell ref="AKH8:AKJ8"/>
    <mergeCell ref="AKK8:AKM8"/>
    <mergeCell ref="AKN8:AKP8"/>
    <mergeCell ref="AKQ8:AKS8"/>
    <mergeCell ref="AKT8:AKV8"/>
    <mergeCell ref="AKW8:AKY8"/>
    <mergeCell ref="AJP8:AJR8"/>
    <mergeCell ref="AJS8:AJU8"/>
    <mergeCell ref="AJV8:AJX8"/>
    <mergeCell ref="AJY8:AKA8"/>
    <mergeCell ref="AKB8:AKD8"/>
    <mergeCell ref="AKE8:AKG8"/>
    <mergeCell ref="AIX8:AIZ8"/>
    <mergeCell ref="AJA8:AJC8"/>
    <mergeCell ref="AJD8:AJF8"/>
    <mergeCell ref="AJG8:AJI8"/>
    <mergeCell ref="AJJ8:AJL8"/>
    <mergeCell ref="AJM8:AJO8"/>
    <mergeCell ref="AQN8:AQP8"/>
    <mergeCell ref="AQQ8:AQS8"/>
    <mergeCell ref="AQT8:AQV8"/>
    <mergeCell ref="AQW8:AQY8"/>
    <mergeCell ref="AQZ8:ARB8"/>
    <mergeCell ref="ARC8:ARE8"/>
    <mergeCell ref="APV8:APX8"/>
    <mergeCell ref="APY8:AQA8"/>
    <mergeCell ref="AQB8:AQD8"/>
    <mergeCell ref="AQE8:AQG8"/>
    <mergeCell ref="AQH8:AQJ8"/>
    <mergeCell ref="AQK8:AQM8"/>
    <mergeCell ref="APD8:APF8"/>
    <mergeCell ref="APG8:API8"/>
    <mergeCell ref="APJ8:APL8"/>
    <mergeCell ref="APM8:APO8"/>
    <mergeCell ref="APP8:APR8"/>
    <mergeCell ref="APS8:APU8"/>
    <mergeCell ref="AOL8:AON8"/>
    <mergeCell ref="AOO8:AOQ8"/>
    <mergeCell ref="AOR8:AOT8"/>
    <mergeCell ref="AOU8:AOW8"/>
    <mergeCell ref="AOX8:AOZ8"/>
    <mergeCell ref="APA8:APC8"/>
    <mergeCell ref="ANT8:ANV8"/>
    <mergeCell ref="ANW8:ANY8"/>
    <mergeCell ref="ANZ8:AOB8"/>
    <mergeCell ref="AOC8:AOE8"/>
    <mergeCell ref="AOF8:AOH8"/>
    <mergeCell ref="AOI8:AOK8"/>
    <mergeCell ref="ANB8:AND8"/>
    <mergeCell ref="ANE8:ANG8"/>
    <mergeCell ref="ANH8:ANJ8"/>
    <mergeCell ref="ANK8:ANM8"/>
    <mergeCell ref="ANN8:ANP8"/>
    <mergeCell ref="ANQ8:ANS8"/>
    <mergeCell ref="AUR8:AUT8"/>
    <mergeCell ref="AUU8:AUW8"/>
    <mergeCell ref="AUX8:AUZ8"/>
    <mergeCell ref="AVA8:AVC8"/>
    <mergeCell ref="AVD8:AVF8"/>
    <mergeCell ref="AVG8:AVI8"/>
    <mergeCell ref="ATZ8:AUB8"/>
    <mergeCell ref="AUC8:AUE8"/>
    <mergeCell ref="AUF8:AUH8"/>
    <mergeCell ref="AUI8:AUK8"/>
    <mergeCell ref="AUL8:AUN8"/>
    <mergeCell ref="AUO8:AUQ8"/>
    <mergeCell ref="ATH8:ATJ8"/>
    <mergeCell ref="ATK8:ATM8"/>
    <mergeCell ref="ATN8:ATP8"/>
    <mergeCell ref="ATQ8:ATS8"/>
    <mergeCell ref="ATT8:ATV8"/>
    <mergeCell ref="ATW8:ATY8"/>
    <mergeCell ref="ASP8:ASR8"/>
    <mergeCell ref="ASS8:ASU8"/>
    <mergeCell ref="ASV8:ASX8"/>
    <mergeCell ref="ASY8:ATA8"/>
    <mergeCell ref="ATB8:ATD8"/>
    <mergeCell ref="ATE8:ATG8"/>
    <mergeCell ref="ARX8:ARZ8"/>
    <mergeCell ref="ASA8:ASC8"/>
    <mergeCell ref="ASD8:ASF8"/>
    <mergeCell ref="ASG8:ASI8"/>
    <mergeCell ref="ASJ8:ASL8"/>
    <mergeCell ref="ASM8:ASO8"/>
    <mergeCell ref="ARF8:ARH8"/>
    <mergeCell ref="ARI8:ARK8"/>
    <mergeCell ref="ARL8:ARN8"/>
    <mergeCell ref="ARO8:ARQ8"/>
    <mergeCell ref="ARR8:ART8"/>
    <mergeCell ref="ARU8:ARW8"/>
    <mergeCell ref="AYV8:AYX8"/>
    <mergeCell ref="AYY8:AZA8"/>
    <mergeCell ref="AZB8:AZD8"/>
    <mergeCell ref="AZE8:AZG8"/>
    <mergeCell ref="AZH8:AZJ8"/>
    <mergeCell ref="AZK8:AZM8"/>
    <mergeCell ref="AYD8:AYF8"/>
    <mergeCell ref="AYG8:AYI8"/>
    <mergeCell ref="AYJ8:AYL8"/>
    <mergeCell ref="AYM8:AYO8"/>
    <mergeCell ref="AYP8:AYR8"/>
    <mergeCell ref="AYS8:AYU8"/>
    <mergeCell ref="AXL8:AXN8"/>
    <mergeCell ref="AXO8:AXQ8"/>
    <mergeCell ref="AXR8:AXT8"/>
    <mergeCell ref="AXU8:AXW8"/>
    <mergeCell ref="AXX8:AXZ8"/>
    <mergeCell ref="AYA8:AYC8"/>
    <mergeCell ref="AWT8:AWV8"/>
    <mergeCell ref="AWW8:AWY8"/>
    <mergeCell ref="AWZ8:AXB8"/>
    <mergeCell ref="AXC8:AXE8"/>
    <mergeCell ref="AXF8:AXH8"/>
    <mergeCell ref="AXI8:AXK8"/>
    <mergeCell ref="AWB8:AWD8"/>
    <mergeCell ref="AWE8:AWG8"/>
    <mergeCell ref="AWH8:AWJ8"/>
    <mergeCell ref="AWK8:AWM8"/>
    <mergeCell ref="AWN8:AWP8"/>
    <mergeCell ref="AWQ8:AWS8"/>
    <mergeCell ref="AVJ8:AVL8"/>
    <mergeCell ref="AVM8:AVO8"/>
    <mergeCell ref="AVP8:AVR8"/>
    <mergeCell ref="AVS8:AVU8"/>
    <mergeCell ref="AVV8:AVX8"/>
    <mergeCell ref="AVY8:AWA8"/>
    <mergeCell ref="BCZ8:BDB8"/>
    <mergeCell ref="BDC8:BDE8"/>
    <mergeCell ref="BDF8:BDH8"/>
    <mergeCell ref="BDI8:BDK8"/>
    <mergeCell ref="BDL8:BDN8"/>
    <mergeCell ref="BDO8:BDQ8"/>
    <mergeCell ref="BCH8:BCJ8"/>
    <mergeCell ref="BCK8:BCM8"/>
    <mergeCell ref="BCN8:BCP8"/>
    <mergeCell ref="BCQ8:BCS8"/>
    <mergeCell ref="BCT8:BCV8"/>
    <mergeCell ref="BCW8:BCY8"/>
    <mergeCell ref="BBP8:BBR8"/>
    <mergeCell ref="BBS8:BBU8"/>
    <mergeCell ref="BBV8:BBX8"/>
    <mergeCell ref="BBY8:BCA8"/>
    <mergeCell ref="BCB8:BCD8"/>
    <mergeCell ref="BCE8:BCG8"/>
    <mergeCell ref="BAX8:BAZ8"/>
    <mergeCell ref="BBA8:BBC8"/>
    <mergeCell ref="BBD8:BBF8"/>
    <mergeCell ref="BBG8:BBI8"/>
    <mergeCell ref="BBJ8:BBL8"/>
    <mergeCell ref="BBM8:BBO8"/>
    <mergeCell ref="BAF8:BAH8"/>
    <mergeCell ref="BAI8:BAK8"/>
    <mergeCell ref="BAL8:BAN8"/>
    <mergeCell ref="BAO8:BAQ8"/>
    <mergeCell ref="BAR8:BAT8"/>
    <mergeCell ref="BAU8:BAW8"/>
    <mergeCell ref="AZN8:AZP8"/>
    <mergeCell ref="AZQ8:AZS8"/>
    <mergeCell ref="AZT8:AZV8"/>
    <mergeCell ref="AZW8:AZY8"/>
    <mergeCell ref="AZZ8:BAB8"/>
    <mergeCell ref="BAC8:BAE8"/>
    <mergeCell ref="BHD8:BHF8"/>
    <mergeCell ref="BHG8:BHI8"/>
    <mergeCell ref="BHJ8:BHL8"/>
    <mergeCell ref="BHM8:BHO8"/>
    <mergeCell ref="BHP8:BHR8"/>
    <mergeCell ref="BHS8:BHU8"/>
    <mergeCell ref="BGL8:BGN8"/>
    <mergeCell ref="BGO8:BGQ8"/>
    <mergeCell ref="BGR8:BGT8"/>
    <mergeCell ref="BGU8:BGW8"/>
    <mergeCell ref="BGX8:BGZ8"/>
    <mergeCell ref="BHA8:BHC8"/>
    <mergeCell ref="BFT8:BFV8"/>
    <mergeCell ref="BFW8:BFY8"/>
    <mergeCell ref="BFZ8:BGB8"/>
    <mergeCell ref="BGC8:BGE8"/>
    <mergeCell ref="BGF8:BGH8"/>
    <mergeCell ref="BGI8:BGK8"/>
    <mergeCell ref="BFB8:BFD8"/>
    <mergeCell ref="BFE8:BFG8"/>
    <mergeCell ref="BFH8:BFJ8"/>
    <mergeCell ref="BFK8:BFM8"/>
    <mergeCell ref="BFN8:BFP8"/>
    <mergeCell ref="BFQ8:BFS8"/>
    <mergeCell ref="BEJ8:BEL8"/>
    <mergeCell ref="BEM8:BEO8"/>
    <mergeCell ref="BEP8:BER8"/>
    <mergeCell ref="BES8:BEU8"/>
    <mergeCell ref="BEV8:BEX8"/>
    <mergeCell ref="BEY8:BFA8"/>
    <mergeCell ref="BDR8:BDT8"/>
    <mergeCell ref="BDU8:BDW8"/>
    <mergeCell ref="BDX8:BDZ8"/>
    <mergeCell ref="BEA8:BEC8"/>
    <mergeCell ref="BED8:BEF8"/>
    <mergeCell ref="BEG8:BEI8"/>
    <mergeCell ref="BLH8:BLJ8"/>
    <mergeCell ref="BLK8:BLM8"/>
    <mergeCell ref="BLN8:BLP8"/>
    <mergeCell ref="BLQ8:BLS8"/>
    <mergeCell ref="BLT8:BLV8"/>
    <mergeCell ref="BLW8:BLY8"/>
    <mergeCell ref="BKP8:BKR8"/>
    <mergeCell ref="BKS8:BKU8"/>
    <mergeCell ref="BKV8:BKX8"/>
    <mergeCell ref="BKY8:BLA8"/>
    <mergeCell ref="BLB8:BLD8"/>
    <mergeCell ref="BLE8:BLG8"/>
    <mergeCell ref="BJX8:BJZ8"/>
    <mergeCell ref="BKA8:BKC8"/>
    <mergeCell ref="BKD8:BKF8"/>
    <mergeCell ref="BKG8:BKI8"/>
    <mergeCell ref="BKJ8:BKL8"/>
    <mergeCell ref="BKM8:BKO8"/>
    <mergeCell ref="BJF8:BJH8"/>
    <mergeCell ref="BJI8:BJK8"/>
    <mergeCell ref="BJL8:BJN8"/>
    <mergeCell ref="BJO8:BJQ8"/>
    <mergeCell ref="BJR8:BJT8"/>
    <mergeCell ref="BJU8:BJW8"/>
    <mergeCell ref="BIN8:BIP8"/>
    <mergeCell ref="BIQ8:BIS8"/>
    <mergeCell ref="BIT8:BIV8"/>
    <mergeCell ref="BIW8:BIY8"/>
    <mergeCell ref="BIZ8:BJB8"/>
    <mergeCell ref="BJC8:BJE8"/>
    <mergeCell ref="BHV8:BHX8"/>
    <mergeCell ref="BHY8:BIA8"/>
    <mergeCell ref="BIB8:BID8"/>
    <mergeCell ref="BIE8:BIG8"/>
    <mergeCell ref="BIH8:BIJ8"/>
    <mergeCell ref="BIK8:BIM8"/>
    <mergeCell ref="BPL8:BPN8"/>
    <mergeCell ref="BPO8:BPQ8"/>
    <mergeCell ref="BPR8:BPT8"/>
    <mergeCell ref="BPU8:BPW8"/>
    <mergeCell ref="BPX8:BPZ8"/>
    <mergeCell ref="BQA8:BQC8"/>
    <mergeCell ref="BOT8:BOV8"/>
    <mergeCell ref="BOW8:BOY8"/>
    <mergeCell ref="BOZ8:BPB8"/>
    <mergeCell ref="BPC8:BPE8"/>
    <mergeCell ref="BPF8:BPH8"/>
    <mergeCell ref="BPI8:BPK8"/>
    <mergeCell ref="BOB8:BOD8"/>
    <mergeCell ref="BOE8:BOG8"/>
    <mergeCell ref="BOH8:BOJ8"/>
    <mergeCell ref="BOK8:BOM8"/>
    <mergeCell ref="BON8:BOP8"/>
    <mergeCell ref="BOQ8:BOS8"/>
    <mergeCell ref="BNJ8:BNL8"/>
    <mergeCell ref="BNM8:BNO8"/>
    <mergeCell ref="BNP8:BNR8"/>
    <mergeCell ref="BNS8:BNU8"/>
    <mergeCell ref="BNV8:BNX8"/>
    <mergeCell ref="BNY8:BOA8"/>
    <mergeCell ref="BMR8:BMT8"/>
    <mergeCell ref="BMU8:BMW8"/>
    <mergeCell ref="BMX8:BMZ8"/>
    <mergeCell ref="BNA8:BNC8"/>
    <mergeCell ref="BND8:BNF8"/>
    <mergeCell ref="BNG8:BNI8"/>
    <mergeCell ref="BLZ8:BMB8"/>
    <mergeCell ref="BMC8:BME8"/>
    <mergeCell ref="BMF8:BMH8"/>
    <mergeCell ref="BMI8:BMK8"/>
    <mergeCell ref="BML8:BMN8"/>
    <mergeCell ref="BMO8:BMQ8"/>
    <mergeCell ref="BTP8:BTR8"/>
    <mergeCell ref="BTS8:BTU8"/>
    <mergeCell ref="BTV8:BTX8"/>
    <mergeCell ref="BTY8:BUA8"/>
    <mergeCell ref="BUB8:BUD8"/>
    <mergeCell ref="BUE8:BUG8"/>
    <mergeCell ref="BSX8:BSZ8"/>
    <mergeCell ref="BTA8:BTC8"/>
    <mergeCell ref="BTD8:BTF8"/>
    <mergeCell ref="BTG8:BTI8"/>
    <mergeCell ref="BTJ8:BTL8"/>
    <mergeCell ref="BTM8:BTO8"/>
    <mergeCell ref="BSF8:BSH8"/>
    <mergeCell ref="BSI8:BSK8"/>
    <mergeCell ref="BSL8:BSN8"/>
    <mergeCell ref="BSO8:BSQ8"/>
    <mergeCell ref="BSR8:BST8"/>
    <mergeCell ref="BSU8:BSW8"/>
    <mergeCell ref="BRN8:BRP8"/>
    <mergeCell ref="BRQ8:BRS8"/>
    <mergeCell ref="BRT8:BRV8"/>
    <mergeCell ref="BRW8:BRY8"/>
    <mergeCell ref="BRZ8:BSB8"/>
    <mergeCell ref="BSC8:BSE8"/>
    <mergeCell ref="BQV8:BQX8"/>
    <mergeCell ref="BQY8:BRA8"/>
    <mergeCell ref="BRB8:BRD8"/>
    <mergeCell ref="BRE8:BRG8"/>
    <mergeCell ref="BRH8:BRJ8"/>
    <mergeCell ref="BRK8:BRM8"/>
    <mergeCell ref="BQD8:BQF8"/>
    <mergeCell ref="BQG8:BQI8"/>
    <mergeCell ref="BQJ8:BQL8"/>
    <mergeCell ref="BQM8:BQO8"/>
    <mergeCell ref="BQP8:BQR8"/>
    <mergeCell ref="BQS8:BQU8"/>
    <mergeCell ref="BXT8:BXV8"/>
    <mergeCell ref="BXW8:BXY8"/>
    <mergeCell ref="BXZ8:BYB8"/>
    <mergeCell ref="BYC8:BYE8"/>
    <mergeCell ref="BYF8:BYH8"/>
    <mergeCell ref="BYI8:BYK8"/>
    <mergeCell ref="BXB8:BXD8"/>
    <mergeCell ref="BXE8:BXG8"/>
    <mergeCell ref="BXH8:BXJ8"/>
    <mergeCell ref="BXK8:BXM8"/>
    <mergeCell ref="BXN8:BXP8"/>
    <mergeCell ref="BXQ8:BXS8"/>
    <mergeCell ref="BWJ8:BWL8"/>
    <mergeCell ref="BWM8:BWO8"/>
    <mergeCell ref="BWP8:BWR8"/>
    <mergeCell ref="BWS8:BWU8"/>
    <mergeCell ref="BWV8:BWX8"/>
    <mergeCell ref="BWY8:BXA8"/>
    <mergeCell ref="BVR8:BVT8"/>
    <mergeCell ref="BVU8:BVW8"/>
    <mergeCell ref="BVX8:BVZ8"/>
    <mergeCell ref="BWA8:BWC8"/>
    <mergeCell ref="BWD8:BWF8"/>
    <mergeCell ref="BWG8:BWI8"/>
    <mergeCell ref="BUZ8:BVB8"/>
    <mergeCell ref="BVC8:BVE8"/>
    <mergeCell ref="BVF8:BVH8"/>
    <mergeCell ref="BVI8:BVK8"/>
    <mergeCell ref="BVL8:BVN8"/>
    <mergeCell ref="BVO8:BVQ8"/>
    <mergeCell ref="BUH8:BUJ8"/>
    <mergeCell ref="BUK8:BUM8"/>
    <mergeCell ref="BUN8:BUP8"/>
    <mergeCell ref="BUQ8:BUS8"/>
    <mergeCell ref="BUT8:BUV8"/>
    <mergeCell ref="BUW8:BUY8"/>
    <mergeCell ref="CBX8:CBZ8"/>
    <mergeCell ref="CCA8:CCC8"/>
    <mergeCell ref="CCD8:CCF8"/>
    <mergeCell ref="CCG8:CCI8"/>
    <mergeCell ref="CCJ8:CCL8"/>
    <mergeCell ref="CCM8:CCO8"/>
    <mergeCell ref="CBF8:CBH8"/>
    <mergeCell ref="CBI8:CBK8"/>
    <mergeCell ref="CBL8:CBN8"/>
    <mergeCell ref="CBO8:CBQ8"/>
    <mergeCell ref="CBR8:CBT8"/>
    <mergeCell ref="CBU8:CBW8"/>
    <mergeCell ref="CAN8:CAP8"/>
    <mergeCell ref="CAQ8:CAS8"/>
    <mergeCell ref="CAT8:CAV8"/>
    <mergeCell ref="CAW8:CAY8"/>
    <mergeCell ref="CAZ8:CBB8"/>
    <mergeCell ref="CBC8:CBE8"/>
    <mergeCell ref="BZV8:BZX8"/>
    <mergeCell ref="BZY8:CAA8"/>
    <mergeCell ref="CAB8:CAD8"/>
    <mergeCell ref="CAE8:CAG8"/>
    <mergeCell ref="CAH8:CAJ8"/>
    <mergeCell ref="CAK8:CAM8"/>
    <mergeCell ref="BZD8:BZF8"/>
    <mergeCell ref="BZG8:BZI8"/>
    <mergeCell ref="BZJ8:BZL8"/>
    <mergeCell ref="BZM8:BZO8"/>
    <mergeCell ref="BZP8:BZR8"/>
    <mergeCell ref="BZS8:BZU8"/>
    <mergeCell ref="BYL8:BYN8"/>
    <mergeCell ref="BYO8:BYQ8"/>
    <mergeCell ref="BYR8:BYT8"/>
    <mergeCell ref="BYU8:BYW8"/>
    <mergeCell ref="BYX8:BYZ8"/>
    <mergeCell ref="BZA8:BZC8"/>
    <mergeCell ref="CGB8:CGD8"/>
    <mergeCell ref="CGE8:CGG8"/>
    <mergeCell ref="CGH8:CGJ8"/>
    <mergeCell ref="CGK8:CGM8"/>
    <mergeCell ref="CGN8:CGP8"/>
    <mergeCell ref="CGQ8:CGS8"/>
    <mergeCell ref="CFJ8:CFL8"/>
    <mergeCell ref="CFM8:CFO8"/>
    <mergeCell ref="CFP8:CFR8"/>
    <mergeCell ref="CFS8:CFU8"/>
    <mergeCell ref="CFV8:CFX8"/>
    <mergeCell ref="CFY8:CGA8"/>
    <mergeCell ref="CER8:CET8"/>
    <mergeCell ref="CEU8:CEW8"/>
    <mergeCell ref="CEX8:CEZ8"/>
    <mergeCell ref="CFA8:CFC8"/>
    <mergeCell ref="CFD8:CFF8"/>
    <mergeCell ref="CFG8:CFI8"/>
    <mergeCell ref="CDZ8:CEB8"/>
    <mergeCell ref="CEC8:CEE8"/>
    <mergeCell ref="CEF8:CEH8"/>
    <mergeCell ref="CEI8:CEK8"/>
    <mergeCell ref="CEL8:CEN8"/>
    <mergeCell ref="CEO8:CEQ8"/>
    <mergeCell ref="CDH8:CDJ8"/>
    <mergeCell ref="CDK8:CDM8"/>
    <mergeCell ref="CDN8:CDP8"/>
    <mergeCell ref="CDQ8:CDS8"/>
    <mergeCell ref="CDT8:CDV8"/>
    <mergeCell ref="CDW8:CDY8"/>
    <mergeCell ref="CCP8:CCR8"/>
    <mergeCell ref="CCS8:CCU8"/>
    <mergeCell ref="CCV8:CCX8"/>
    <mergeCell ref="CCY8:CDA8"/>
    <mergeCell ref="CDB8:CDD8"/>
    <mergeCell ref="CDE8:CDG8"/>
    <mergeCell ref="CKF8:CKH8"/>
    <mergeCell ref="CKI8:CKK8"/>
    <mergeCell ref="CKL8:CKN8"/>
    <mergeCell ref="CKO8:CKQ8"/>
    <mergeCell ref="CKR8:CKT8"/>
    <mergeCell ref="CKU8:CKW8"/>
    <mergeCell ref="CJN8:CJP8"/>
    <mergeCell ref="CJQ8:CJS8"/>
    <mergeCell ref="CJT8:CJV8"/>
    <mergeCell ref="CJW8:CJY8"/>
    <mergeCell ref="CJZ8:CKB8"/>
    <mergeCell ref="CKC8:CKE8"/>
    <mergeCell ref="CIV8:CIX8"/>
    <mergeCell ref="CIY8:CJA8"/>
    <mergeCell ref="CJB8:CJD8"/>
    <mergeCell ref="CJE8:CJG8"/>
    <mergeCell ref="CJH8:CJJ8"/>
    <mergeCell ref="CJK8:CJM8"/>
    <mergeCell ref="CID8:CIF8"/>
    <mergeCell ref="CIG8:CII8"/>
    <mergeCell ref="CIJ8:CIL8"/>
    <mergeCell ref="CIM8:CIO8"/>
    <mergeCell ref="CIP8:CIR8"/>
    <mergeCell ref="CIS8:CIU8"/>
    <mergeCell ref="CHL8:CHN8"/>
    <mergeCell ref="CHO8:CHQ8"/>
    <mergeCell ref="CHR8:CHT8"/>
    <mergeCell ref="CHU8:CHW8"/>
    <mergeCell ref="CHX8:CHZ8"/>
    <mergeCell ref="CIA8:CIC8"/>
    <mergeCell ref="CGT8:CGV8"/>
    <mergeCell ref="CGW8:CGY8"/>
    <mergeCell ref="CGZ8:CHB8"/>
    <mergeCell ref="CHC8:CHE8"/>
    <mergeCell ref="CHF8:CHH8"/>
    <mergeCell ref="CHI8:CHK8"/>
    <mergeCell ref="COJ8:COL8"/>
    <mergeCell ref="COM8:COO8"/>
    <mergeCell ref="COP8:COR8"/>
    <mergeCell ref="COS8:COU8"/>
    <mergeCell ref="COV8:COX8"/>
    <mergeCell ref="COY8:CPA8"/>
    <mergeCell ref="CNR8:CNT8"/>
    <mergeCell ref="CNU8:CNW8"/>
    <mergeCell ref="CNX8:CNZ8"/>
    <mergeCell ref="COA8:COC8"/>
    <mergeCell ref="COD8:COF8"/>
    <mergeCell ref="COG8:COI8"/>
    <mergeCell ref="CMZ8:CNB8"/>
    <mergeCell ref="CNC8:CNE8"/>
    <mergeCell ref="CNF8:CNH8"/>
    <mergeCell ref="CNI8:CNK8"/>
    <mergeCell ref="CNL8:CNN8"/>
    <mergeCell ref="CNO8:CNQ8"/>
    <mergeCell ref="CMH8:CMJ8"/>
    <mergeCell ref="CMK8:CMM8"/>
    <mergeCell ref="CMN8:CMP8"/>
    <mergeCell ref="CMQ8:CMS8"/>
    <mergeCell ref="CMT8:CMV8"/>
    <mergeCell ref="CMW8:CMY8"/>
    <mergeCell ref="CLP8:CLR8"/>
    <mergeCell ref="CLS8:CLU8"/>
    <mergeCell ref="CLV8:CLX8"/>
    <mergeCell ref="CLY8:CMA8"/>
    <mergeCell ref="CMB8:CMD8"/>
    <mergeCell ref="CME8:CMG8"/>
    <mergeCell ref="CKX8:CKZ8"/>
    <mergeCell ref="CLA8:CLC8"/>
    <mergeCell ref="CLD8:CLF8"/>
    <mergeCell ref="CLG8:CLI8"/>
    <mergeCell ref="CLJ8:CLL8"/>
    <mergeCell ref="CLM8:CLO8"/>
    <mergeCell ref="CSN8:CSP8"/>
    <mergeCell ref="CSQ8:CSS8"/>
    <mergeCell ref="CST8:CSV8"/>
    <mergeCell ref="CSW8:CSY8"/>
    <mergeCell ref="CSZ8:CTB8"/>
    <mergeCell ref="CTC8:CTE8"/>
    <mergeCell ref="CRV8:CRX8"/>
    <mergeCell ref="CRY8:CSA8"/>
    <mergeCell ref="CSB8:CSD8"/>
    <mergeCell ref="CSE8:CSG8"/>
    <mergeCell ref="CSH8:CSJ8"/>
    <mergeCell ref="CSK8:CSM8"/>
    <mergeCell ref="CRD8:CRF8"/>
    <mergeCell ref="CRG8:CRI8"/>
    <mergeCell ref="CRJ8:CRL8"/>
    <mergeCell ref="CRM8:CRO8"/>
    <mergeCell ref="CRP8:CRR8"/>
    <mergeCell ref="CRS8:CRU8"/>
    <mergeCell ref="CQL8:CQN8"/>
    <mergeCell ref="CQO8:CQQ8"/>
    <mergeCell ref="CQR8:CQT8"/>
    <mergeCell ref="CQU8:CQW8"/>
    <mergeCell ref="CQX8:CQZ8"/>
    <mergeCell ref="CRA8:CRC8"/>
    <mergeCell ref="CPT8:CPV8"/>
    <mergeCell ref="CPW8:CPY8"/>
    <mergeCell ref="CPZ8:CQB8"/>
    <mergeCell ref="CQC8:CQE8"/>
    <mergeCell ref="CQF8:CQH8"/>
    <mergeCell ref="CQI8:CQK8"/>
    <mergeCell ref="CPB8:CPD8"/>
    <mergeCell ref="CPE8:CPG8"/>
    <mergeCell ref="CPH8:CPJ8"/>
    <mergeCell ref="CPK8:CPM8"/>
    <mergeCell ref="CPN8:CPP8"/>
    <mergeCell ref="CPQ8:CPS8"/>
    <mergeCell ref="CWR8:CWT8"/>
    <mergeCell ref="CWU8:CWW8"/>
    <mergeCell ref="CWX8:CWZ8"/>
    <mergeCell ref="CXA8:CXC8"/>
    <mergeCell ref="CXD8:CXF8"/>
    <mergeCell ref="CXG8:CXI8"/>
    <mergeCell ref="CVZ8:CWB8"/>
    <mergeCell ref="CWC8:CWE8"/>
    <mergeCell ref="CWF8:CWH8"/>
    <mergeCell ref="CWI8:CWK8"/>
    <mergeCell ref="CWL8:CWN8"/>
    <mergeCell ref="CWO8:CWQ8"/>
    <mergeCell ref="CVH8:CVJ8"/>
    <mergeCell ref="CVK8:CVM8"/>
    <mergeCell ref="CVN8:CVP8"/>
    <mergeCell ref="CVQ8:CVS8"/>
    <mergeCell ref="CVT8:CVV8"/>
    <mergeCell ref="CVW8:CVY8"/>
    <mergeCell ref="CUP8:CUR8"/>
    <mergeCell ref="CUS8:CUU8"/>
    <mergeCell ref="CUV8:CUX8"/>
    <mergeCell ref="CUY8:CVA8"/>
    <mergeCell ref="CVB8:CVD8"/>
    <mergeCell ref="CVE8:CVG8"/>
    <mergeCell ref="CTX8:CTZ8"/>
    <mergeCell ref="CUA8:CUC8"/>
    <mergeCell ref="CUD8:CUF8"/>
    <mergeCell ref="CUG8:CUI8"/>
    <mergeCell ref="CUJ8:CUL8"/>
    <mergeCell ref="CUM8:CUO8"/>
    <mergeCell ref="CTF8:CTH8"/>
    <mergeCell ref="CTI8:CTK8"/>
    <mergeCell ref="CTL8:CTN8"/>
    <mergeCell ref="CTO8:CTQ8"/>
    <mergeCell ref="CTR8:CTT8"/>
    <mergeCell ref="CTU8:CTW8"/>
    <mergeCell ref="DAV8:DAX8"/>
    <mergeCell ref="DAY8:DBA8"/>
    <mergeCell ref="DBB8:DBD8"/>
    <mergeCell ref="DBE8:DBG8"/>
    <mergeCell ref="DBH8:DBJ8"/>
    <mergeCell ref="DBK8:DBM8"/>
    <mergeCell ref="DAD8:DAF8"/>
    <mergeCell ref="DAG8:DAI8"/>
    <mergeCell ref="DAJ8:DAL8"/>
    <mergeCell ref="DAM8:DAO8"/>
    <mergeCell ref="DAP8:DAR8"/>
    <mergeCell ref="DAS8:DAU8"/>
    <mergeCell ref="CZL8:CZN8"/>
    <mergeCell ref="CZO8:CZQ8"/>
    <mergeCell ref="CZR8:CZT8"/>
    <mergeCell ref="CZU8:CZW8"/>
    <mergeCell ref="CZX8:CZZ8"/>
    <mergeCell ref="DAA8:DAC8"/>
    <mergeCell ref="CYT8:CYV8"/>
    <mergeCell ref="CYW8:CYY8"/>
    <mergeCell ref="CYZ8:CZB8"/>
    <mergeCell ref="CZC8:CZE8"/>
    <mergeCell ref="CZF8:CZH8"/>
    <mergeCell ref="CZI8:CZK8"/>
    <mergeCell ref="CYB8:CYD8"/>
    <mergeCell ref="CYE8:CYG8"/>
    <mergeCell ref="CYH8:CYJ8"/>
    <mergeCell ref="CYK8:CYM8"/>
    <mergeCell ref="CYN8:CYP8"/>
    <mergeCell ref="CYQ8:CYS8"/>
    <mergeCell ref="CXJ8:CXL8"/>
    <mergeCell ref="CXM8:CXO8"/>
    <mergeCell ref="CXP8:CXR8"/>
    <mergeCell ref="CXS8:CXU8"/>
    <mergeCell ref="CXV8:CXX8"/>
    <mergeCell ref="CXY8:CYA8"/>
    <mergeCell ref="DEZ8:DFB8"/>
    <mergeCell ref="DFC8:DFE8"/>
    <mergeCell ref="DFF8:DFH8"/>
    <mergeCell ref="DFI8:DFK8"/>
    <mergeCell ref="DFL8:DFN8"/>
    <mergeCell ref="DFO8:DFQ8"/>
    <mergeCell ref="DEH8:DEJ8"/>
    <mergeCell ref="DEK8:DEM8"/>
    <mergeCell ref="DEN8:DEP8"/>
    <mergeCell ref="DEQ8:DES8"/>
    <mergeCell ref="DET8:DEV8"/>
    <mergeCell ref="DEW8:DEY8"/>
    <mergeCell ref="DDP8:DDR8"/>
    <mergeCell ref="DDS8:DDU8"/>
    <mergeCell ref="DDV8:DDX8"/>
    <mergeCell ref="DDY8:DEA8"/>
    <mergeCell ref="DEB8:DED8"/>
    <mergeCell ref="DEE8:DEG8"/>
    <mergeCell ref="DCX8:DCZ8"/>
    <mergeCell ref="DDA8:DDC8"/>
    <mergeCell ref="DDD8:DDF8"/>
    <mergeCell ref="DDG8:DDI8"/>
    <mergeCell ref="DDJ8:DDL8"/>
    <mergeCell ref="DDM8:DDO8"/>
    <mergeCell ref="DCF8:DCH8"/>
    <mergeCell ref="DCI8:DCK8"/>
    <mergeCell ref="DCL8:DCN8"/>
    <mergeCell ref="DCO8:DCQ8"/>
    <mergeCell ref="DCR8:DCT8"/>
    <mergeCell ref="DCU8:DCW8"/>
    <mergeCell ref="DBN8:DBP8"/>
    <mergeCell ref="DBQ8:DBS8"/>
    <mergeCell ref="DBT8:DBV8"/>
    <mergeCell ref="DBW8:DBY8"/>
    <mergeCell ref="DBZ8:DCB8"/>
    <mergeCell ref="DCC8:DCE8"/>
    <mergeCell ref="DJD8:DJF8"/>
    <mergeCell ref="DJG8:DJI8"/>
    <mergeCell ref="DJJ8:DJL8"/>
    <mergeCell ref="DJM8:DJO8"/>
    <mergeCell ref="DJP8:DJR8"/>
    <mergeCell ref="DJS8:DJU8"/>
    <mergeCell ref="DIL8:DIN8"/>
    <mergeCell ref="DIO8:DIQ8"/>
    <mergeCell ref="DIR8:DIT8"/>
    <mergeCell ref="DIU8:DIW8"/>
    <mergeCell ref="DIX8:DIZ8"/>
    <mergeCell ref="DJA8:DJC8"/>
    <mergeCell ref="DHT8:DHV8"/>
    <mergeCell ref="DHW8:DHY8"/>
    <mergeCell ref="DHZ8:DIB8"/>
    <mergeCell ref="DIC8:DIE8"/>
    <mergeCell ref="DIF8:DIH8"/>
    <mergeCell ref="DII8:DIK8"/>
    <mergeCell ref="DHB8:DHD8"/>
    <mergeCell ref="DHE8:DHG8"/>
    <mergeCell ref="DHH8:DHJ8"/>
    <mergeCell ref="DHK8:DHM8"/>
    <mergeCell ref="DHN8:DHP8"/>
    <mergeCell ref="DHQ8:DHS8"/>
    <mergeCell ref="DGJ8:DGL8"/>
    <mergeCell ref="DGM8:DGO8"/>
    <mergeCell ref="DGP8:DGR8"/>
    <mergeCell ref="DGS8:DGU8"/>
    <mergeCell ref="DGV8:DGX8"/>
    <mergeCell ref="DGY8:DHA8"/>
    <mergeCell ref="DFR8:DFT8"/>
    <mergeCell ref="DFU8:DFW8"/>
    <mergeCell ref="DFX8:DFZ8"/>
    <mergeCell ref="DGA8:DGC8"/>
    <mergeCell ref="DGD8:DGF8"/>
    <mergeCell ref="DGG8:DGI8"/>
    <mergeCell ref="DNH8:DNJ8"/>
    <mergeCell ref="DNK8:DNM8"/>
    <mergeCell ref="DNN8:DNP8"/>
    <mergeCell ref="DNQ8:DNS8"/>
    <mergeCell ref="DNT8:DNV8"/>
    <mergeCell ref="DNW8:DNY8"/>
    <mergeCell ref="DMP8:DMR8"/>
    <mergeCell ref="DMS8:DMU8"/>
    <mergeCell ref="DMV8:DMX8"/>
    <mergeCell ref="DMY8:DNA8"/>
    <mergeCell ref="DNB8:DND8"/>
    <mergeCell ref="DNE8:DNG8"/>
    <mergeCell ref="DLX8:DLZ8"/>
    <mergeCell ref="DMA8:DMC8"/>
    <mergeCell ref="DMD8:DMF8"/>
    <mergeCell ref="DMG8:DMI8"/>
    <mergeCell ref="DMJ8:DML8"/>
    <mergeCell ref="DMM8:DMO8"/>
    <mergeCell ref="DLF8:DLH8"/>
    <mergeCell ref="DLI8:DLK8"/>
    <mergeCell ref="DLL8:DLN8"/>
    <mergeCell ref="DLO8:DLQ8"/>
    <mergeCell ref="DLR8:DLT8"/>
    <mergeCell ref="DLU8:DLW8"/>
    <mergeCell ref="DKN8:DKP8"/>
    <mergeCell ref="DKQ8:DKS8"/>
    <mergeCell ref="DKT8:DKV8"/>
    <mergeCell ref="DKW8:DKY8"/>
    <mergeCell ref="DKZ8:DLB8"/>
    <mergeCell ref="DLC8:DLE8"/>
    <mergeCell ref="DJV8:DJX8"/>
    <mergeCell ref="DJY8:DKA8"/>
    <mergeCell ref="DKB8:DKD8"/>
    <mergeCell ref="DKE8:DKG8"/>
    <mergeCell ref="DKH8:DKJ8"/>
    <mergeCell ref="DKK8:DKM8"/>
    <mergeCell ref="DRL8:DRN8"/>
    <mergeCell ref="DRO8:DRQ8"/>
    <mergeCell ref="DRR8:DRT8"/>
    <mergeCell ref="DRU8:DRW8"/>
    <mergeCell ref="DRX8:DRZ8"/>
    <mergeCell ref="DSA8:DSC8"/>
    <mergeCell ref="DQT8:DQV8"/>
    <mergeCell ref="DQW8:DQY8"/>
    <mergeCell ref="DQZ8:DRB8"/>
    <mergeCell ref="DRC8:DRE8"/>
    <mergeCell ref="DRF8:DRH8"/>
    <mergeCell ref="DRI8:DRK8"/>
    <mergeCell ref="DQB8:DQD8"/>
    <mergeCell ref="DQE8:DQG8"/>
    <mergeCell ref="DQH8:DQJ8"/>
    <mergeCell ref="DQK8:DQM8"/>
    <mergeCell ref="DQN8:DQP8"/>
    <mergeCell ref="DQQ8:DQS8"/>
    <mergeCell ref="DPJ8:DPL8"/>
    <mergeCell ref="DPM8:DPO8"/>
    <mergeCell ref="DPP8:DPR8"/>
    <mergeCell ref="DPS8:DPU8"/>
    <mergeCell ref="DPV8:DPX8"/>
    <mergeCell ref="DPY8:DQA8"/>
    <mergeCell ref="DOR8:DOT8"/>
    <mergeCell ref="DOU8:DOW8"/>
    <mergeCell ref="DOX8:DOZ8"/>
    <mergeCell ref="DPA8:DPC8"/>
    <mergeCell ref="DPD8:DPF8"/>
    <mergeCell ref="DPG8:DPI8"/>
    <mergeCell ref="DNZ8:DOB8"/>
    <mergeCell ref="DOC8:DOE8"/>
    <mergeCell ref="DOF8:DOH8"/>
    <mergeCell ref="DOI8:DOK8"/>
    <mergeCell ref="DOL8:DON8"/>
    <mergeCell ref="DOO8:DOQ8"/>
    <mergeCell ref="DVP8:DVR8"/>
    <mergeCell ref="DVS8:DVU8"/>
    <mergeCell ref="DVV8:DVX8"/>
    <mergeCell ref="DVY8:DWA8"/>
    <mergeCell ref="DWB8:DWD8"/>
    <mergeCell ref="DWE8:DWG8"/>
    <mergeCell ref="DUX8:DUZ8"/>
    <mergeCell ref="DVA8:DVC8"/>
    <mergeCell ref="DVD8:DVF8"/>
    <mergeCell ref="DVG8:DVI8"/>
    <mergeCell ref="DVJ8:DVL8"/>
    <mergeCell ref="DVM8:DVO8"/>
    <mergeCell ref="DUF8:DUH8"/>
    <mergeCell ref="DUI8:DUK8"/>
    <mergeCell ref="DUL8:DUN8"/>
    <mergeCell ref="DUO8:DUQ8"/>
    <mergeCell ref="DUR8:DUT8"/>
    <mergeCell ref="DUU8:DUW8"/>
    <mergeCell ref="DTN8:DTP8"/>
    <mergeCell ref="DTQ8:DTS8"/>
    <mergeCell ref="DTT8:DTV8"/>
    <mergeCell ref="DTW8:DTY8"/>
    <mergeCell ref="DTZ8:DUB8"/>
    <mergeCell ref="DUC8:DUE8"/>
    <mergeCell ref="DSV8:DSX8"/>
    <mergeCell ref="DSY8:DTA8"/>
    <mergeCell ref="DTB8:DTD8"/>
    <mergeCell ref="DTE8:DTG8"/>
    <mergeCell ref="DTH8:DTJ8"/>
    <mergeCell ref="DTK8:DTM8"/>
    <mergeCell ref="DSD8:DSF8"/>
    <mergeCell ref="DSG8:DSI8"/>
    <mergeCell ref="DSJ8:DSL8"/>
    <mergeCell ref="DSM8:DSO8"/>
    <mergeCell ref="DSP8:DSR8"/>
    <mergeCell ref="DSS8:DSU8"/>
    <mergeCell ref="DZT8:DZV8"/>
    <mergeCell ref="DZW8:DZY8"/>
    <mergeCell ref="DZZ8:EAB8"/>
    <mergeCell ref="EAC8:EAE8"/>
    <mergeCell ref="EAF8:EAH8"/>
    <mergeCell ref="EAI8:EAK8"/>
    <mergeCell ref="DZB8:DZD8"/>
    <mergeCell ref="DZE8:DZG8"/>
    <mergeCell ref="DZH8:DZJ8"/>
    <mergeCell ref="DZK8:DZM8"/>
    <mergeCell ref="DZN8:DZP8"/>
    <mergeCell ref="DZQ8:DZS8"/>
    <mergeCell ref="DYJ8:DYL8"/>
    <mergeCell ref="DYM8:DYO8"/>
    <mergeCell ref="DYP8:DYR8"/>
    <mergeCell ref="DYS8:DYU8"/>
    <mergeCell ref="DYV8:DYX8"/>
    <mergeCell ref="DYY8:DZA8"/>
    <mergeCell ref="DXR8:DXT8"/>
    <mergeCell ref="DXU8:DXW8"/>
    <mergeCell ref="DXX8:DXZ8"/>
    <mergeCell ref="DYA8:DYC8"/>
    <mergeCell ref="DYD8:DYF8"/>
    <mergeCell ref="DYG8:DYI8"/>
    <mergeCell ref="DWZ8:DXB8"/>
    <mergeCell ref="DXC8:DXE8"/>
    <mergeCell ref="DXF8:DXH8"/>
    <mergeCell ref="DXI8:DXK8"/>
    <mergeCell ref="DXL8:DXN8"/>
    <mergeCell ref="DXO8:DXQ8"/>
    <mergeCell ref="DWH8:DWJ8"/>
    <mergeCell ref="DWK8:DWM8"/>
    <mergeCell ref="DWN8:DWP8"/>
    <mergeCell ref="DWQ8:DWS8"/>
    <mergeCell ref="DWT8:DWV8"/>
    <mergeCell ref="DWW8:DWY8"/>
    <mergeCell ref="EDX8:EDZ8"/>
    <mergeCell ref="EEA8:EEC8"/>
    <mergeCell ref="EED8:EEF8"/>
    <mergeCell ref="EEG8:EEI8"/>
    <mergeCell ref="EEJ8:EEL8"/>
    <mergeCell ref="EEM8:EEO8"/>
    <mergeCell ref="EDF8:EDH8"/>
    <mergeCell ref="EDI8:EDK8"/>
    <mergeCell ref="EDL8:EDN8"/>
    <mergeCell ref="EDO8:EDQ8"/>
    <mergeCell ref="EDR8:EDT8"/>
    <mergeCell ref="EDU8:EDW8"/>
    <mergeCell ref="ECN8:ECP8"/>
    <mergeCell ref="ECQ8:ECS8"/>
    <mergeCell ref="ECT8:ECV8"/>
    <mergeCell ref="ECW8:ECY8"/>
    <mergeCell ref="ECZ8:EDB8"/>
    <mergeCell ref="EDC8:EDE8"/>
    <mergeCell ref="EBV8:EBX8"/>
    <mergeCell ref="EBY8:ECA8"/>
    <mergeCell ref="ECB8:ECD8"/>
    <mergeCell ref="ECE8:ECG8"/>
    <mergeCell ref="ECH8:ECJ8"/>
    <mergeCell ref="ECK8:ECM8"/>
    <mergeCell ref="EBD8:EBF8"/>
    <mergeCell ref="EBG8:EBI8"/>
    <mergeCell ref="EBJ8:EBL8"/>
    <mergeCell ref="EBM8:EBO8"/>
    <mergeCell ref="EBP8:EBR8"/>
    <mergeCell ref="EBS8:EBU8"/>
    <mergeCell ref="EAL8:EAN8"/>
    <mergeCell ref="EAO8:EAQ8"/>
    <mergeCell ref="EAR8:EAT8"/>
    <mergeCell ref="EAU8:EAW8"/>
    <mergeCell ref="EAX8:EAZ8"/>
    <mergeCell ref="EBA8:EBC8"/>
    <mergeCell ref="EIB8:EID8"/>
    <mergeCell ref="EIE8:EIG8"/>
    <mergeCell ref="EIH8:EIJ8"/>
    <mergeCell ref="EIK8:EIM8"/>
    <mergeCell ref="EIN8:EIP8"/>
    <mergeCell ref="EIQ8:EIS8"/>
    <mergeCell ref="EHJ8:EHL8"/>
    <mergeCell ref="EHM8:EHO8"/>
    <mergeCell ref="EHP8:EHR8"/>
    <mergeCell ref="EHS8:EHU8"/>
    <mergeCell ref="EHV8:EHX8"/>
    <mergeCell ref="EHY8:EIA8"/>
    <mergeCell ref="EGR8:EGT8"/>
    <mergeCell ref="EGU8:EGW8"/>
    <mergeCell ref="EGX8:EGZ8"/>
    <mergeCell ref="EHA8:EHC8"/>
    <mergeCell ref="EHD8:EHF8"/>
    <mergeCell ref="EHG8:EHI8"/>
    <mergeCell ref="EFZ8:EGB8"/>
    <mergeCell ref="EGC8:EGE8"/>
    <mergeCell ref="EGF8:EGH8"/>
    <mergeCell ref="EGI8:EGK8"/>
    <mergeCell ref="EGL8:EGN8"/>
    <mergeCell ref="EGO8:EGQ8"/>
    <mergeCell ref="EFH8:EFJ8"/>
    <mergeCell ref="EFK8:EFM8"/>
    <mergeCell ref="EFN8:EFP8"/>
    <mergeCell ref="EFQ8:EFS8"/>
    <mergeCell ref="EFT8:EFV8"/>
    <mergeCell ref="EFW8:EFY8"/>
    <mergeCell ref="EEP8:EER8"/>
    <mergeCell ref="EES8:EEU8"/>
    <mergeCell ref="EEV8:EEX8"/>
    <mergeCell ref="EEY8:EFA8"/>
    <mergeCell ref="EFB8:EFD8"/>
    <mergeCell ref="EFE8:EFG8"/>
    <mergeCell ref="EMF8:EMH8"/>
    <mergeCell ref="EMI8:EMK8"/>
    <mergeCell ref="EML8:EMN8"/>
    <mergeCell ref="EMO8:EMQ8"/>
    <mergeCell ref="EMR8:EMT8"/>
    <mergeCell ref="EMU8:EMW8"/>
    <mergeCell ref="ELN8:ELP8"/>
    <mergeCell ref="ELQ8:ELS8"/>
    <mergeCell ref="ELT8:ELV8"/>
    <mergeCell ref="ELW8:ELY8"/>
    <mergeCell ref="ELZ8:EMB8"/>
    <mergeCell ref="EMC8:EME8"/>
    <mergeCell ref="EKV8:EKX8"/>
    <mergeCell ref="EKY8:ELA8"/>
    <mergeCell ref="ELB8:ELD8"/>
    <mergeCell ref="ELE8:ELG8"/>
    <mergeCell ref="ELH8:ELJ8"/>
    <mergeCell ref="ELK8:ELM8"/>
    <mergeCell ref="EKD8:EKF8"/>
    <mergeCell ref="EKG8:EKI8"/>
    <mergeCell ref="EKJ8:EKL8"/>
    <mergeCell ref="EKM8:EKO8"/>
    <mergeCell ref="EKP8:EKR8"/>
    <mergeCell ref="EKS8:EKU8"/>
    <mergeCell ref="EJL8:EJN8"/>
    <mergeCell ref="EJO8:EJQ8"/>
    <mergeCell ref="EJR8:EJT8"/>
    <mergeCell ref="EJU8:EJW8"/>
    <mergeCell ref="EJX8:EJZ8"/>
    <mergeCell ref="EKA8:EKC8"/>
    <mergeCell ref="EIT8:EIV8"/>
    <mergeCell ref="EIW8:EIY8"/>
    <mergeCell ref="EIZ8:EJB8"/>
    <mergeCell ref="EJC8:EJE8"/>
    <mergeCell ref="EJF8:EJH8"/>
    <mergeCell ref="EJI8:EJK8"/>
    <mergeCell ref="EQJ8:EQL8"/>
    <mergeCell ref="EQM8:EQO8"/>
    <mergeCell ref="EQP8:EQR8"/>
    <mergeCell ref="EQS8:EQU8"/>
    <mergeCell ref="EQV8:EQX8"/>
    <mergeCell ref="EQY8:ERA8"/>
    <mergeCell ref="EPR8:EPT8"/>
    <mergeCell ref="EPU8:EPW8"/>
    <mergeCell ref="EPX8:EPZ8"/>
    <mergeCell ref="EQA8:EQC8"/>
    <mergeCell ref="EQD8:EQF8"/>
    <mergeCell ref="EQG8:EQI8"/>
    <mergeCell ref="EOZ8:EPB8"/>
    <mergeCell ref="EPC8:EPE8"/>
    <mergeCell ref="EPF8:EPH8"/>
    <mergeCell ref="EPI8:EPK8"/>
    <mergeCell ref="EPL8:EPN8"/>
    <mergeCell ref="EPO8:EPQ8"/>
    <mergeCell ref="EOH8:EOJ8"/>
    <mergeCell ref="EOK8:EOM8"/>
    <mergeCell ref="EON8:EOP8"/>
    <mergeCell ref="EOQ8:EOS8"/>
    <mergeCell ref="EOT8:EOV8"/>
    <mergeCell ref="EOW8:EOY8"/>
    <mergeCell ref="ENP8:ENR8"/>
    <mergeCell ref="ENS8:ENU8"/>
    <mergeCell ref="ENV8:ENX8"/>
    <mergeCell ref="ENY8:EOA8"/>
    <mergeCell ref="EOB8:EOD8"/>
    <mergeCell ref="EOE8:EOG8"/>
    <mergeCell ref="EMX8:EMZ8"/>
    <mergeCell ref="ENA8:ENC8"/>
    <mergeCell ref="END8:ENF8"/>
    <mergeCell ref="ENG8:ENI8"/>
    <mergeCell ref="ENJ8:ENL8"/>
    <mergeCell ref="ENM8:ENO8"/>
    <mergeCell ref="EUN8:EUP8"/>
    <mergeCell ref="EUQ8:EUS8"/>
    <mergeCell ref="EUT8:EUV8"/>
    <mergeCell ref="EUW8:EUY8"/>
    <mergeCell ref="EUZ8:EVB8"/>
    <mergeCell ref="EVC8:EVE8"/>
    <mergeCell ref="ETV8:ETX8"/>
    <mergeCell ref="ETY8:EUA8"/>
    <mergeCell ref="EUB8:EUD8"/>
    <mergeCell ref="EUE8:EUG8"/>
    <mergeCell ref="EUH8:EUJ8"/>
    <mergeCell ref="EUK8:EUM8"/>
    <mergeCell ref="ETD8:ETF8"/>
    <mergeCell ref="ETG8:ETI8"/>
    <mergeCell ref="ETJ8:ETL8"/>
    <mergeCell ref="ETM8:ETO8"/>
    <mergeCell ref="ETP8:ETR8"/>
    <mergeCell ref="ETS8:ETU8"/>
    <mergeCell ref="ESL8:ESN8"/>
    <mergeCell ref="ESO8:ESQ8"/>
    <mergeCell ref="ESR8:EST8"/>
    <mergeCell ref="ESU8:ESW8"/>
    <mergeCell ref="ESX8:ESZ8"/>
    <mergeCell ref="ETA8:ETC8"/>
    <mergeCell ref="ERT8:ERV8"/>
    <mergeCell ref="ERW8:ERY8"/>
    <mergeCell ref="ERZ8:ESB8"/>
    <mergeCell ref="ESC8:ESE8"/>
    <mergeCell ref="ESF8:ESH8"/>
    <mergeCell ref="ESI8:ESK8"/>
    <mergeCell ref="ERB8:ERD8"/>
    <mergeCell ref="ERE8:ERG8"/>
    <mergeCell ref="ERH8:ERJ8"/>
    <mergeCell ref="ERK8:ERM8"/>
    <mergeCell ref="ERN8:ERP8"/>
    <mergeCell ref="ERQ8:ERS8"/>
    <mergeCell ref="EYR8:EYT8"/>
    <mergeCell ref="EYU8:EYW8"/>
    <mergeCell ref="EYX8:EYZ8"/>
    <mergeCell ref="EZA8:EZC8"/>
    <mergeCell ref="EZD8:EZF8"/>
    <mergeCell ref="EZG8:EZI8"/>
    <mergeCell ref="EXZ8:EYB8"/>
    <mergeCell ref="EYC8:EYE8"/>
    <mergeCell ref="EYF8:EYH8"/>
    <mergeCell ref="EYI8:EYK8"/>
    <mergeCell ref="EYL8:EYN8"/>
    <mergeCell ref="EYO8:EYQ8"/>
    <mergeCell ref="EXH8:EXJ8"/>
    <mergeCell ref="EXK8:EXM8"/>
    <mergeCell ref="EXN8:EXP8"/>
    <mergeCell ref="EXQ8:EXS8"/>
    <mergeCell ref="EXT8:EXV8"/>
    <mergeCell ref="EXW8:EXY8"/>
    <mergeCell ref="EWP8:EWR8"/>
    <mergeCell ref="EWS8:EWU8"/>
    <mergeCell ref="EWV8:EWX8"/>
    <mergeCell ref="EWY8:EXA8"/>
    <mergeCell ref="EXB8:EXD8"/>
    <mergeCell ref="EXE8:EXG8"/>
    <mergeCell ref="EVX8:EVZ8"/>
    <mergeCell ref="EWA8:EWC8"/>
    <mergeCell ref="EWD8:EWF8"/>
    <mergeCell ref="EWG8:EWI8"/>
    <mergeCell ref="EWJ8:EWL8"/>
    <mergeCell ref="EWM8:EWO8"/>
    <mergeCell ref="EVF8:EVH8"/>
    <mergeCell ref="EVI8:EVK8"/>
    <mergeCell ref="EVL8:EVN8"/>
    <mergeCell ref="EVO8:EVQ8"/>
    <mergeCell ref="EVR8:EVT8"/>
    <mergeCell ref="EVU8:EVW8"/>
    <mergeCell ref="FCV8:FCX8"/>
    <mergeCell ref="FCY8:FDA8"/>
    <mergeCell ref="FDB8:FDD8"/>
    <mergeCell ref="FDE8:FDG8"/>
    <mergeCell ref="FDH8:FDJ8"/>
    <mergeCell ref="FDK8:FDM8"/>
    <mergeCell ref="FCD8:FCF8"/>
    <mergeCell ref="FCG8:FCI8"/>
    <mergeCell ref="FCJ8:FCL8"/>
    <mergeCell ref="FCM8:FCO8"/>
    <mergeCell ref="FCP8:FCR8"/>
    <mergeCell ref="FCS8:FCU8"/>
    <mergeCell ref="FBL8:FBN8"/>
    <mergeCell ref="FBO8:FBQ8"/>
    <mergeCell ref="FBR8:FBT8"/>
    <mergeCell ref="FBU8:FBW8"/>
    <mergeCell ref="FBX8:FBZ8"/>
    <mergeCell ref="FCA8:FCC8"/>
    <mergeCell ref="FAT8:FAV8"/>
    <mergeCell ref="FAW8:FAY8"/>
    <mergeCell ref="FAZ8:FBB8"/>
    <mergeCell ref="FBC8:FBE8"/>
    <mergeCell ref="FBF8:FBH8"/>
    <mergeCell ref="FBI8:FBK8"/>
    <mergeCell ref="FAB8:FAD8"/>
    <mergeCell ref="FAE8:FAG8"/>
    <mergeCell ref="FAH8:FAJ8"/>
    <mergeCell ref="FAK8:FAM8"/>
    <mergeCell ref="FAN8:FAP8"/>
    <mergeCell ref="FAQ8:FAS8"/>
    <mergeCell ref="EZJ8:EZL8"/>
    <mergeCell ref="EZM8:EZO8"/>
    <mergeCell ref="EZP8:EZR8"/>
    <mergeCell ref="EZS8:EZU8"/>
    <mergeCell ref="EZV8:EZX8"/>
    <mergeCell ref="EZY8:FAA8"/>
    <mergeCell ref="FGZ8:FHB8"/>
    <mergeCell ref="FHC8:FHE8"/>
    <mergeCell ref="FHF8:FHH8"/>
    <mergeCell ref="FHI8:FHK8"/>
    <mergeCell ref="FHL8:FHN8"/>
    <mergeCell ref="FHO8:FHQ8"/>
    <mergeCell ref="FGH8:FGJ8"/>
    <mergeCell ref="FGK8:FGM8"/>
    <mergeCell ref="FGN8:FGP8"/>
    <mergeCell ref="FGQ8:FGS8"/>
    <mergeCell ref="FGT8:FGV8"/>
    <mergeCell ref="FGW8:FGY8"/>
    <mergeCell ref="FFP8:FFR8"/>
    <mergeCell ref="FFS8:FFU8"/>
    <mergeCell ref="FFV8:FFX8"/>
    <mergeCell ref="FFY8:FGA8"/>
    <mergeCell ref="FGB8:FGD8"/>
    <mergeCell ref="FGE8:FGG8"/>
    <mergeCell ref="FEX8:FEZ8"/>
    <mergeCell ref="FFA8:FFC8"/>
    <mergeCell ref="FFD8:FFF8"/>
    <mergeCell ref="FFG8:FFI8"/>
    <mergeCell ref="FFJ8:FFL8"/>
    <mergeCell ref="FFM8:FFO8"/>
    <mergeCell ref="FEF8:FEH8"/>
    <mergeCell ref="FEI8:FEK8"/>
    <mergeCell ref="FEL8:FEN8"/>
    <mergeCell ref="FEO8:FEQ8"/>
    <mergeCell ref="FER8:FET8"/>
    <mergeCell ref="FEU8:FEW8"/>
    <mergeCell ref="FDN8:FDP8"/>
    <mergeCell ref="FDQ8:FDS8"/>
    <mergeCell ref="FDT8:FDV8"/>
    <mergeCell ref="FDW8:FDY8"/>
    <mergeCell ref="FDZ8:FEB8"/>
    <mergeCell ref="FEC8:FEE8"/>
    <mergeCell ref="FLD8:FLF8"/>
    <mergeCell ref="FLG8:FLI8"/>
    <mergeCell ref="FLJ8:FLL8"/>
    <mergeCell ref="FLM8:FLO8"/>
    <mergeCell ref="FLP8:FLR8"/>
    <mergeCell ref="FLS8:FLU8"/>
    <mergeCell ref="FKL8:FKN8"/>
    <mergeCell ref="FKO8:FKQ8"/>
    <mergeCell ref="FKR8:FKT8"/>
    <mergeCell ref="FKU8:FKW8"/>
    <mergeCell ref="FKX8:FKZ8"/>
    <mergeCell ref="FLA8:FLC8"/>
    <mergeCell ref="FJT8:FJV8"/>
    <mergeCell ref="FJW8:FJY8"/>
    <mergeCell ref="FJZ8:FKB8"/>
    <mergeCell ref="FKC8:FKE8"/>
    <mergeCell ref="FKF8:FKH8"/>
    <mergeCell ref="FKI8:FKK8"/>
    <mergeCell ref="FJB8:FJD8"/>
    <mergeCell ref="FJE8:FJG8"/>
    <mergeCell ref="FJH8:FJJ8"/>
    <mergeCell ref="FJK8:FJM8"/>
    <mergeCell ref="FJN8:FJP8"/>
    <mergeCell ref="FJQ8:FJS8"/>
    <mergeCell ref="FIJ8:FIL8"/>
    <mergeCell ref="FIM8:FIO8"/>
    <mergeCell ref="FIP8:FIR8"/>
    <mergeCell ref="FIS8:FIU8"/>
    <mergeCell ref="FIV8:FIX8"/>
    <mergeCell ref="FIY8:FJA8"/>
    <mergeCell ref="FHR8:FHT8"/>
    <mergeCell ref="FHU8:FHW8"/>
    <mergeCell ref="FHX8:FHZ8"/>
    <mergeCell ref="FIA8:FIC8"/>
    <mergeCell ref="FID8:FIF8"/>
    <mergeCell ref="FIG8:FII8"/>
    <mergeCell ref="FPH8:FPJ8"/>
    <mergeCell ref="FPK8:FPM8"/>
    <mergeCell ref="FPN8:FPP8"/>
    <mergeCell ref="FPQ8:FPS8"/>
    <mergeCell ref="FPT8:FPV8"/>
    <mergeCell ref="FPW8:FPY8"/>
    <mergeCell ref="FOP8:FOR8"/>
    <mergeCell ref="FOS8:FOU8"/>
    <mergeCell ref="FOV8:FOX8"/>
    <mergeCell ref="FOY8:FPA8"/>
    <mergeCell ref="FPB8:FPD8"/>
    <mergeCell ref="FPE8:FPG8"/>
    <mergeCell ref="FNX8:FNZ8"/>
    <mergeCell ref="FOA8:FOC8"/>
    <mergeCell ref="FOD8:FOF8"/>
    <mergeCell ref="FOG8:FOI8"/>
    <mergeCell ref="FOJ8:FOL8"/>
    <mergeCell ref="FOM8:FOO8"/>
    <mergeCell ref="FNF8:FNH8"/>
    <mergeCell ref="FNI8:FNK8"/>
    <mergeCell ref="FNL8:FNN8"/>
    <mergeCell ref="FNO8:FNQ8"/>
    <mergeCell ref="FNR8:FNT8"/>
    <mergeCell ref="FNU8:FNW8"/>
    <mergeCell ref="FMN8:FMP8"/>
    <mergeCell ref="FMQ8:FMS8"/>
    <mergeCell ref="FMT8:FMV8"/>
    <mergeCell ref="FMW8:FMY8"/>
    <mergeCell ref="FMZ8:FNB8"/>
    <mergeCell ref="FNC8:FNE8"/>
    <mergeCell ref="FLV8:FLX8"/>
    <mergeCell ref="FLY8:FMA8"/>
    <mergeCell ref="FMB8:FMD8"/>
    <mergeCell ref="FME8:FMG8"/>
    <mergeCell ref="FMH8:FMJ8"/>
    <mergeCell ref="FMK8:FMM8"/>
    <mergeCell ref="FTL8:FTN8"/>
    <mergeCell ref="FTO8:FTQ8"/>
    <mergeCell ref="FTR8:FTT8"/>
    <mergeCell ref="FTU8:FTW8"/>
    <mergeCell ref="FTX8:FTZ8"/>
    <mergeCell ref="FUA8:FUC8"/>
    <mergeCell ref="FST8:FSV8"/>
    <mergeCell ref="FSW8:FSY8"/>
    <mergeCell ref="FSZ8:FTB8"/>
    <mergeCell ref="FTC8:FTE8"/>
    <mergeCell ref="FTF8:FTH8"/>
    <mergeCell ref="FTI8:FTK8"/>
    <mergeCell ref="FSB8:FSD8"/>
    <mergeCell ref="FSE8:FSG8"/>
    <mergeCell ref="FSH8:FSJ8"/>
    <mergeCell ref="FSK8:FSM8"/>
    <mergeCell ref="FSN8:FSP8"/>
    <mergeCell ref="FSQ8:FSS8"/>
    <mergeCell ref="FRJ8:FRL8"/>
    <mergeCell ref="FRM8:FRO8"/>
    <mergeCell ref="FRP8:FRR8"/>
    <mergeCell ref="FRS8:FRU8"/>
    <mergeCell ref="FRV8:FRX8"/>
    <mergeCell ref="FRY8:FSA8"/>
    <mergeCell ref="FQR8:FQT8"/>
    <mergeCell ref="FQU8:FQW8"/>
    <mergeCell ref="FQX8:FQZ8"/>
    <mergeCell ref="FRA8:FRC8"/>
    <mergeCell ref="FRD8:FRF8"/>
    <mergeCell ref="FRG8:FRI8"/>
    <mergeCell ref="FPZ8:FQB8"/>
    <mergeCell ref="FQC8:FQE8"/>
    <mergeCell ref="FQF8:FQH8"/>
    <mergeCell ref="FQI8:FQK8"/>
    <mergeCell ref="FQL8:FQN8"/>
    <mergeCell ref="FQO8:FQQ8"/>
    <mergeCell ref="FXP8:FXR8"/>
    <mergeCell ref="FXS8:FXU8"/>
    <mergeCell ref="FXV8:FXX8"/>
    <mergeCell ref="FXY8:FYA8"/>
    <mergeCell ref="FYB8:FYD8"/>
    <mergeCell ref="FYE8:FYG8"/>
    <mergeCell ref="FWX8:FWZ8"/>
    <mergeCell ref="FXA8:FXC8"/>
    <mergeCell ref="FXD8:FXF8"/>
    <mergeCell ref="FXG8:FXI8"/>
    <mergeCell ref="FXJ8:FXL8"/>
    <mergeCell ref="FXM8:FXO8"/>
    <mergeCell ref="FWF8:FWH8"/>
    <mergeCell ref="FWI8:FWK8"/>
    <mergeCell ref="FWL8:FWN8"/>
    <mergeCell ref="FWO8:FWQ8"/>
    <mergeCell ref="FWR8:FWT8"/>
    <mergeCell ref="FWU8:FWW8"/>
    <mergeCell ref="FVN8:FVP8"/>
    <mergeCell ref="FVQ8:FVS8"/>
    <mergeCell ref="FVT8:FVV8"/>
    <mergeCell ref="FVW8:FVY8"/>
    <mergeCell ref="FVZ8:FWB8"/>
    <mergeCell ref="FWC8:FWE8"/>
    <mergeCell ref="FUV8:FUX8"/>
    <mergeCell ref="FUY8:FVA8"/>
    <mergeCell ref="FVB8:FVD8"/>
    <mergeCell ref="FVE8:FVG8"/>
    <mergeCell ref="FVH8:FVJ8"/>
    <mergeCell ref="FVK8:FVM8"/>
    <mergeCell ref="FUD8:FUF8"/>
    <mergeCell ref="FUG8:FUI8"/>
    <mergeCell ref="FUJ8:FUL8"/>
    <mergeCell ref="FUM8:FUO8"/>
    <mergeCell ref="FUP8:FUR8"/>
    <mergeCell ref="FUS8:FUU8"/>
    <mergeCell ref="GBT8:GBV8"/>
    <mergeCell ref="GBW8:GBY8"/>
    <mergeCell ref="GBZ8:GCB8"/>
    <mergeCell ref="GCC8:GCE8"/>
    <mergeCell ref="GCF8:GCH8"/>
    <mergeCell ref="GCI8:GCK8"/>
    <mergeCell ref="GBB8:GBD8"/>
    <mergeCell ref="GBE8:GBG8"/>
    <mergeCell ref="GBH8:GBJ8"/>
    <mergeCell ref="GBK8:GBM8"/>
    <mergeCell ref="GBN8:GBP8"/>
    <mergeCell ref="GBQ8:GBS8"/>
    <mergeCell ref="GAJ8:GAL8"/>
    <mergeCell ref="GAM8:GAO8"/>
    <mergeCell ref="GAP8:GAR8"/>
    <mergeCell ref="GAS8:GAU8"/>
    <mergeCell ref="GAV8:GAX8"/>
    <mergeCell ref="GAY8:GBA8"/>
    <mergeCell ref="FZR8:FZT8"/>
    <mergeCell ref="FZU8:FZW8"/>
    <mergeCell ref="FZX8:FZZ8"/>
    <mergeCell ref="GAA8:GAC8"/>
    <mergeCell ref="GAD8:GAF8"/>
    <mergeCell ref="GAG8:GAI8"/>
    <mergeCell ref="FYZ8:FZB8"/>
    <mergeCell ref="FZC8:FZE8"/>
    <mergeCell ref="FZF8:FZH8"/>
    <mergeCell ref="FZI8:FZK8"/>
    <mergeCell ref="FZL8:FZN8"/>
    <mergeCell ref="FZO8:FZQ8"/>
    <mergeCell ref="FYH8:FYJ8"/>
    <mergeCell ref="FYK8:FYM8"/>
    <mergeCell ref="FYN8:FYP8"/>
    <mergeCell ref="FYQ8:FYS8"/>
    <mergeCell ref="FYT8:FYV8"/>
    <mergeCell ref="FYW8:FYY8"/>
    <mergeCell ref="GFX8:GFZ8"/>
    <mergeCell ref="GGA8:GGC8"/>
    <mergeCell ref="GGD8:GGF8"/>
    <mergeCell ref="GGG8:GGI8"/>
    <mergeCell ref="GGJ8:GGL8"/>
    <mergeCell ref="GGM8:GGO8"/>
    <mergeCell ref="GFF8:GFH8"/>
    <mergeCell ref="GFI8:GFK8"/>
    <mergeCell ref="GFL8:GFN8"/>
    <mergeCell ref="GFO8:GFQ8"/>
    <mergeCell ref="GFR8:GFT8"/>
    <mergeCell ref="GFU8:GFW8"/>
    <mergeCell ref="GEN8:GEP8"/>
    <mergeCell ref="GEQ8:GES8"/>
    <mergeCell ref="GET8:GEV8"/>
    <mergeCell ref="GEW8:GEY8"/>
    <mergeCell ref="GEZ8:GFB8"/>
    <mergeCell ref="GFC8:GFE8"/>
    <mergeCell ref="GDV8:GDX8"/>
    <mergeCell ref="GDY8:GEA8"/>
    <mergeCell ref="GEB8:GED8"/>
    <mergeCell ref="GEE8:GEG8"/>
    <mergeCell ref="GEH8:GEJ8"/>
    <mergeCell ref="GEK8:GEM8"/>
    <mergeCell ref="GDD8:GDF8"/>
    <mergeCell ref="GDG8:GDI8"/>
    <mergeCell ref="GDJ8:GDL8"/>
    <mergeCell ref="GDM8:GDO8"/>
    <mergeCell ref="GDP8:GDR8"/>
    <mergeCell ref="GDS8:GDU8"/>
    <mergeCell ref="GCL8:GCN8"/>
    <mergeCell ref="GCO8:GCQ8"/>
    <mergeCell ref="GCR8:GCT8"/>
    <mergeCell ref="GCU8:GCW8"/>
    <mergeCell ref="GCX8:GCZ8"/>
    <mergeCell ref="GDA8:GDC8"/>
    <mergeCell ref="GKB8:GKD8"/>
    <mergeCell ref="GKE8:GKG8"/>
    <mergeCell ref="GKH8:GKJ8"/>
    <mergeCell ref="GKK8:GKM8"/>
    <mergeCell ref="GKN8:GKP8"/>
    <mergeCell ref="GKQ8:GKS8"/>
    <mergeCell ref="GJJ8:GJL8"/>
    <mergeCell ref="GJM8:GJO8"/>
    <mergeCell ref="GJP8:GJR8"/>
    <mergeCell ref="GJS8:GJU8"/>
    <mergeCell ref="GJV8:GJX8"/>
    <mergeCell ref="GJY8:GKA8"/>
    <mergeCell ref="GIR8:GIT8"/>
    <mergeCell ref="GIU8:GIW8"/>
    <mergeCell ref="GIX8:GIZ8"/>
    <mergeCell ref="GJA8:GJC8"/>
    <mergeCell ref="GJD8:GJF8"/>
    <mergeCell ref="GJG8:GJI8"/>
    <mergeCell ref="GHZ8:GIB8"/>
    <mergeCell ref="GIC8:GIE8"/>
    <mergeCell ref="GIF8:GIH8"/>
    <mergeCell ref="GII8:GIK8"/>
    <mergeCell ref="GIL8:GIN8"/>
    <mergeCell ref="GIO8:GIQ8"/>
    <mergeCell ref="GHH8:GHJ8"/>
    <mergeCell ref="GHK8:GHM8"/>
    <mergeCell ref="GHN8:GHP8"/>
    <mergeCell ref="GHQ8:GHS8"/>
    <mergeCell ref="GHT8:GHV8"/>
    <mergeCell ref="GHW8:GHY8"/>
    <mergeCell ref="GGP8:GGR8"/>
    <mergeCell ref="GGS8:GGU8"/>
    <mergeCell ref="GGV8:GGX8"/>
    <mergeCell ref="GGY8:GHA8"/>
    <mergeCell ref="GHB8:GHD8"/>
    <mergeCell ref="GHE8:GHG8"/>
    <mergeCell ref="GOF8:GOH8"/>
    <mergeCell ref="GOI8:GOK8"/>
    <mergeCell ref="GOL8:GON8"/>
    <mergeCell ref="GOO8:GOQ8"/>
    <mergeCell ref="GOR8:GOT8"/>
    <mergeCell ref="GOU8:GOW8"/>
    <mergeCell ref="GNN8:GNP8"/>
    <mergeCell ref="GNQ8:GNS8"/>
    <mergeCell ref="GNT8:GNV8"/>
    <mergeCell ref="GNW8:GNY8"/>
    <mergeCell ref="GNZ8:GOB8"/>
    <mergeCell ref="GOC8:GOE8"/>
    <mergeCell ref="GMV8:GMX8"/>
    <mergeCell ref="GMY8:GNA8"/>
    <mergeCell ref="GNB8:GND8"/>
    <mergeCell ref="GNE8:GNG8"/>
    <mergeCell ref="GNH8:GNJ8"/>
    <mergeCell ref="GNK8:GNM8"/>
    <mergeCell ref="GMD8:GMF8"/>
    <mergeCell ref="GMG8:GMI8"/>
    <mergeCell ref="GMJ8:GML8"/>
    <mergeCell ref="GMM8:GMO8"/>
    <mergeCell ref="GMP8:GMR8"/>
    <mergeCell ref="GMS8:GMU8"/>
    <mergeCell ref="GLL8:GLN8"/>
    <mergeCell ref="GLO8:GLQ8"/>
    <mergeCell ref="GLR8:GLT8"/>
    <mergeCell ref="GLU8:GLW8"/>
    <mergeCell ref="GLX8:GLZ8"/>
    <mergeCell ref="GMA8:GMC8"/>
    <mergeCell ref="GKT8:GKV8"/>
    <mergeCell ref="GKW8:GKY8"/>
    <mergeCell ref="GKZ8:GLB8"/>
    <mergeCell ref="GLC8:GLE8"/>
    <mergeCell ref="GLF8:GLH8"/>
    <mergeCell ref="GLI8:GLK8"/>
    <mergeCell ref="GSJ8:GSL8"/>
    <mergeCell ref="GSM8:GSO8"/>
    <mergeCell ref="GSP8:GSR8"/>
    <mergeCell ref="GSS8:GSU8"/>
    <mergeCell ref="GSV8:GSX8"/>
    <mergeCell ref="GSY8:GTA8"/>
    <mergeCell ref="GRR8:GRT8"/>
    <mergeCell ref="GRU8:GRW8"/>
    <mergeCell ref="GRX8:GRZ8"/>
    <mergeCell ref="GSA8:GSC8"/>
    <mergeCell ref="GSD8:GSF8"/>
    <mergeCell ref="GSG8:GSI8"/>
    <mergeCell ref="GQZ8:GRB8"/>
    <mergeCell ref="GRC8:GRE8"/>
    <mergeCell ref="GRF8:GRH8"/>
    <mergeCell ref="GRI8:GRK8"/>
    <mergeCell ref="GRL8:GRN8"/>
    <mergeCell ref="GRO8:GRQ8"/>
    <mergeCell ref="GQH8:GQJ8"/>
    <mergeCell ref="GQK8:GQM8"/>
    <mergeCell ref="GQN8:GQP8"/>
    <mergeCell ref="GQQ8:GQS8"/>
    <mergeCell ref="GQT8:GQV8"/>
    <mergeCell ref="GQW8:GQY8"/>
    <mergeCell ref="GPP8:GPR8"/>
    <mergeCell ref="GPS8:GPU8"/>
    <mergeCell ref="GPV8:GPX8"/>
    <mergeCell ref="GPY8:GQA8"/>
    <mergeCell ref="GQB8:GQD8"/>
    <mergeCell ref="GQE8:GQG8"/>
    <mergeCell ref="GOX8:GOZ8"/>
    <mergeCell ref="GPA8:GPC8"/>
    <mergeCell ref="GPD8:GPF8"/>
    <mergeCell ref="GPG8:GPI8"/>
    <mergeCell ref="GPJ8:GPL8"/>
    <mergeCell ref="GPM8:GPO8"/>
    <mergeCell ref="GWN8:GWP8"/>
    <mergeCell ref="GWQ8:GWS8"/>
    <mergeCell ref="GWT8:GWV8"/>
    <mergeCell ref="GWW8:GWY8"/>
    <mergeCell ref="GWZ8:GXB8"/>
    <mergeCell ref="GXC8:GXE8"/>
    <mergeCell ref="GVV8:GVX8"/>
    <mergeCell ref="GVY8:GWA8"/>
    <mergeCell ref="GWB8:GWD8"/>
    <mergeCell ref="GWE8:GWG8"/>
    <mergeCell ref="GWH8:GWJ8"/>
    <mergeCell ref="GWK8:GWM8"/>
    <mergeCell ref="GVD8:GVF8"/>
    <mergeCell ref="GVG8:GVI8"/>
    <mergeCell ref="GVJ8:GVL8"/>
    <mergeCell ref="GVM8:GVO8"/>
    <mergeCell ref="GVP8:GVR8"/>
    <mergeCell ref="GVS8:GVU8"/>
    <mergeCell ref="GUL8:GUN8"/>
    <mergeCell ref="GUO8:GUQ8"/>
    <mergeCell ref="GUR8:GUT8"/>
    <mergeCell ref="GUU8:GUW8"/>
    <mergeCell ref="GUX8:GUZ8"/>
    <mergeCell ref="GVA8:GVC8"/>
    <mergeCell ref="GTT8:GTV8"/>
    <mergeCell ref="GTW8:GTY8"/>
    <mergeCell ref="GTZ8:GUB8"/>
    <mergeCell ref="GUC8:GUE8"/>
    <mergeCell ref="GUF8:GUH8"/>
    <mergeCell ref="GUI8:GUK8"/>
    <mergeCell ref="GTB8:GTD8"/>
    <mergeCell ref="GTE8:GTG8"/>
    <mergeCell ref="GTH8:GTJ8"/>
    <mergeCell ref="GTK8:GTM8"/>
    <mergeCell ref="GTN8:GTP8"/>
    <mergeCell ref="GTQ8:GTS8"/>
    <mergeCell ref="HAR8:HAT8"/>
    <mergeCell ref="HAU8:HAW8"/>
    <mergeCell ref="HAX8:HAZ8"/>
    <mergeCell ref="HBA8:HBC8"/>
    <mergeCell ref="HBD8:HBF8"/>
    <mergeCell ref="HBG8:HBI8"/>
    <mergeCell ref="GZZ8:HAB8"/>
    <mergeCell ref="HAC8:HAE8"/>
    <mergeCell ref="HAF8:HAH8"/>
    <mergeCell ref="HAI8:HAK8"/>
    <mergeCell ref="HAL8:HAN8"/>
    <mergeCell ref="HAO8:HAQ8"/>
    <mergeCell ref="GZH8:GZJ8"/>
    <mergeCell ref="GZK8:GZM8"/>
    <mergeCell ref="GZN8:GZP8"/>
    <mergeCell ref="GZQ8:GZS8"/>
    <mergeCell ref="GZT8:GZV8"/>
    <mergeCell ref="GZW8:GZY8"/>
    <mergeCell ref="GYP8:GYR8"/>
    <mergeCell ref="GYS8:GYU8"/>
    <mergeCell ref="GYV8:GYX8"/>
    <mergeCell ref="GYY8:GZA8"/>
    <mergeCell ref="GZB8:GZD8"/>
    <mergeCell ref="GZE8:GZG8"/>
    <mergeCell ref="GXX8:GXZ8"/>
    <mergeCell ref="GYA8:GYC8"/>
    <mergeCell ref="GYD8:GYF8"/>
    <mergeCell ref="GYG8:GYI8"/>
    <mergeCell ref="GYJ8:GYL8"/>
    <mergeCell ref="GYM8:GYO8"/>
    <mergeCell ref="GXF8:GXH8"/>
    <mergeCell ref="GXI8:GXK8"/>
    <mergeCell ref="GXL8:GXN8"/>
    <mergeCell ref="GXO8:GXQ8"/>
    <mergeCell ref="GXR8:GXT8"/>
    <mergeCell ref="GXU8:GXW8"/>
    <mergeCell ref="HEV8:HEX8"/>
    <mergeCell ref="HEY8:HFA8"/>
    <mergeCell ref="HFB8:HFD8"/>
    <mergeCell ref="HFE8:HFG8"/>
    <mergeCell ref="HFH8:HFJ8"/>
    <mergeCell ref="HFK8:HFM8"/>
    <mergeCell ref="HED8:HEF8"/>
    <mergeCell ref="HEG8:HEI8"/>
    <mergeCell ref="HEJ8:HEL8"/>
    <mergeCell ref="HEM8:HEO8"/>
    <mergeCell ref="HEP8:HER8"/>
    <mergeCell ref="HES8:HEU8"/>
    <mergeCell ref="HDL8:HDN8"/>
    <mergeCell ref="HDO8:HDQ8"/>
    <mergeCell ref="HDR8:HDT8"/>
    <mergeCell ref="HDU8:HDW8"/>
    <mergeCell ref="HDX8:HDZ8"/>
    <mergeCell ref="HEA8:HEC8"/>
    <mergeCell ref="HCT8:HCV8"/>
    <mergeCell ref="HCW8:HCY8"/>
    <mergeCell ref="HCZ8:HDB8"/>
    <mergeCell ref="HDC8:HDE8"/>
    <mergeCell ref="HDF8:HDH8"/>
    <mergeCell ref="HDI8:HDK8"/>
    <mergeCell ref="HCB8:HCD8"/>
    <mergeCell ref="HCE8:HCG8"/>
    <mergeCell ref="HCH8:HCJ8"/>
    <mergeCell ref="HCK8:HCM8"/>
    <mergeCell ref="HCN8:HCP8"/>
    <mergeCell ref="HCQ8:HCS8"/>
    <mergeCell ref="HBJ8:HBL8"/>
    <mergeCell ref="HBM8:HBO8"/>
    <mergeCell ref="HBP8:HBR8"/>
    <mergeCell ref="HBS8:HBU8"/>
    <mergeCell ref="HBV8:HBX8"/>
    <mergeCell ref="HBY8:HCA8"/>
    <mergeCell ref="HIZ8:HJB8"/>
    <mergeCell ref="HJC8:HJE8"/>
    <mergeCell ref="HJF8:HJH8"/>
    <mergeCell ref="HJI8:HJK8"/>
    <mergeCell ref="HJL8:HJN8"/>
    <mergeCell ref="HJO8:HJQ8"/>
    <mergeCell ref="HIH8:HIJ8"/>
    <mergeCell ref="HIK8:HIM8"/>
    <mergeCell ref="HIN8:HIP8"/>
    <mergeCell ref="HIQ8:HIS8"/>
    <mergeCell ref="HIT8:HIV8"/>
    <mergeCell ref="HIW8:HIY8"/>
    <mergeCell ref="HHP8:HHR8"/>
    <mergeCell ref="HHS8:HHU8"/>
    <mergeCell ref="HHV8:HHX8"/>
    <mergeCell ref="HHY8:HIA8"/>
    <mergeCell ref="HIB8:HID8"/>
    <mergeCell ref="HIE8:HIG8"/>
    <mergeCell ref="HGX8:HGZ8"/>
    <mergeCell ref="HHA8:HHC8"/>
    <mergeCell ref="HHD8:HHF8"/>
    <mergeCell ref="HHG8:HHI8"/>
    <mergeCell ref="HHJ8:HHL8"/>
    <mergeCell ref="HHM8:HHO8"/>
    <mergeCell ref="HGF8:HGH8"/>
    <mergeCell ref="HGI8:HGK8"/>
    <mergeCell ref="HGL8:HGN8"/>
    <mergeCell ref="HGO8:HGQ8"/>
    <mergeCell ref="HGR8:HGT8"/>
    <mergeCell ref="HGU8:HGW8"/>
    <mergeCell ref="HFN8:HFP8"/>
    <mergeCell ref="HFQ8:HFS8"/>
    <mergeCell ref="HFT8:HFV8"/>
    <mergeCell ref="HFW8:HFY8"/>
    <mergeCell ref="HFZ8:HGB8"/>
    <mergeCell ref="HGC8:HGE8"/>
    <mergeCell ref="HND8:HNF8"/>
    <mergeCell ref="HNG8:HNI8"/>
    <mergeCell ref="HNJ8:HNL8"/>
    <mergeCell ref="HNM8:HNO8"/>
    <mergeCell ref="HNP8:HNR8"/>
    <mergeCell ref="HNS8:HNU8"/>
    <mergeCell ref="HML8:HMN8"/>
    <mergeCell ref="HMO8:HMQ8"/>
    <mergeCell ref="HMR8:HMT8"/>
    <mergeCell ref="HMU8:HMW8"/>
    <mergeCell ref="HMX8:HMZ8"/>
    <mergeCell ref="HNA8:HNC8"/>
    <mergeCell ref="HLT8:HLV8"/>
    <mergeCell ref="HLW8:HLY8"/>
    <mergeCell ref="HLZ8:HMB8"/>
    <mergeCell ref="HMC8:HME8"/>
    <mergeCell ref="HMF8:HMH8"/>
    <mergeCell ref="HMI8:HMK8"/>
    <mergeCell ref="HLB8:HLD8"/>
    <mergeCell ref="HLE8:HLG8"/>
    <mergeCell ref="HLH8:HLJ8"/>
    <mergeCell ref="HLK8:HLM8"/>
    <mergeCell ref="HLN8:HLP8"/>
    <mergeCell ref="HLQ8:HLS8"/>
    <mergeCell ref="HKJ8:HKL8"/>
    <mergeCell ref="HKM8:HKO8"/>
    <mergeCell ref="HKP8:HKR8"/>
    <mergeCell ref="HKS8:HKU8"/>
    <mergeCell ref="HKV8:HKX8"/>
    <mergeCell ref="HKY8:HLA8"/>
    <mergeCell ref="HJR8:HJT8"/>
    <mergeCell ref="HJU8:HJW8"/>
    <mergeCell ref="HJX8:HJZ8"/>
    <mergeCell ref="HKA8:HKC8"/>
    <mergeCell ref="HKD8:HKF8"/>
    <mergeCell ref="HKG8:HKI8"/>
    <mergeCell ref="HRH8:HRJ8"/>
    <mergeCell ref="HRK8:HRM8"/>
    <mergeCell ref="HRN8:HRP8"/>
    <mergeCell ref="HRQ8:HRS8"/>
    <mergeCell ref="HRT8:HRV8"/>
    <mergeCell ref="HRW8:HRY8"/>
    <mergeCell ref="HQP8:HQR8"/>
    <mergeCell ref="HQS8:HQU8"/>
    <mergeCell ref="HQV8:HQX8"/>
    <mergeCell ref="HQY8:HRA8"/>
    <mergeCell ref="HRB8:HRD8"/>
    <mergeCell ref="HRE8:HRG8"/>
    <mergeCell ref="HPX8:HPZ8"/>
    <mergeCell ref="HQA8:HQC8"/>
    <mergeCell ref="HQD8:HQF8"/>
    <mergeCell ref="HQG8:HQI8"/>
    <mergeCell ref="HQJ8:HQL8"/>
    <mergeCell ref="HQM8:HQO8"/>
    <mergeCell ref="HPF8:HPH8"/>
    <mergeCell ref="HPI8:HPK8"/>
    <mergeCell ref="HPL8:HPN8"/>
    <mergeCell ref="HPO8:HPQ8"/>
    <mergeCell ref="HPR8:HPT8"/>
    <mergeCell ref="HPU8:HPW8"/>
    <mergeCell ref="HON8:HOP8"/>
    <mergeCell ref="HOQ8:HOS8"/>
    <mergeCell ref="HOT8:HOV8"/>
    <mergeCell ref="HOW8:HOY8"/>
    <mergeCell ref="HOZ8:HPB8"/>
    <mergeCell ref="HPC8:HPE8"/>
    <mergeCell ref="HNV8:HNX8"/>
    <mergeCell ref="HNY8:HOA8"/>
    <mergeCell ref="HOB8:HOD8"/>
    <mergeCell ref="HOE8:HOG8"/>
    <mergeCell ref="HOH8:HOJ8"/>
    <mergeCell ref="HOK8:HOM8"/>
    <mergeCell ref="HVL8:HVN8"/>
    <mergeCell ref="HVO8:HVQ8"/>
    <mergeCell ref="HVR8:HVT8"/>
    <mergeCell ref="HVU8:HVW8"/>
    <mergeCell ref="HVX8:HVZ8"/>
    <mergeCell ref="HWA8:HWC8"/>
    <mergeCell ref="HUT8:HUV8"/>
    <mergeCell ref="HUW8:HUY8"/>
    <mergeCell ref="HUZ8:HVB8"/>
    <mergeCell ref="HVC8:HVE8"/>
    <mergeCell ref="HVF8:HVH8"/>
    <mergeCell ref="HVI8:HVK8"/>
    <mergeCell ref="HUB8:HUD8"/>
    <mergeCell ref="HUE8:HUG8"/>
    <mergeCell ref="HUH8:HUJ8"/>
    <mergeCell ref="HUK8:HUM8"/>
    <mergeCell ref="HUN8:HUP8"/>
    <mergeCell ref="HUQ8:HUS8"/>
    <mergeCell ref="HTJ8:HTL8"/>
    <mergeCell ref="HTM8:HTO8"/>
    <mergeCell ref="HTP8:HTR8"/>
    <mergeCell ref="HTS8:HTU8"/>
    <mergeCell ref="HTV8:HTX8"/>
    <mergeCell ref="HTY8:HUA8"/>
    <mergeCell ref="HSR8:HST8"/>
    <mergeCell ref="HSU8:HSW8"/>
    <mergeCell ref="HSX8:HSZ8"/>
    <mergeCell ref="HTA8:HTC8"/>
    <mergeCell ref="HTD8:HTF8"/>
    <mergeCell ref="HTG8:HTI8"/>
    <mergeCell ref="HRZ8:HSB8"/>
    <mergeCell ref="HSC8:HSE8"/>
    <mergeCell ref="HSF8:HSH8"/>
    <mergeCell ref="HSI8:HSK8"/>
    <mergeCell ref="HSL8:HSN8"/>
    <mergeCell ref="HSO8:HSQ8"/>
    <mergeCell ref="HZP8:HZR8"/>
    <mergeCell ref="HZS8:HZU8"/>
    <mergeCell ref="HZV8:HZX8"/>
    <mergeCell ref="HZY8:IAA8"/>
    <mergeCell ref="IAB8:IAD8"/>
    <mergeCell ref="IAE8:IAG8"/>
    <mergeCell ref="HYX8:HYZ8"/>
    <mergeCell ref="HZA8:HZC8"/>
    <mergeCell ref="HZD8:HZF8"/>
    <mergeCell ref="HZG8:HZI8"/>
    <mergeCell ref="HZJ8:HZL8"/>
    <mergeCell ref="HZM8:HZO8"/>
    <mergeCell ref="HYF8:HYH8"/>
    <mergeCell ref="HYI8:HYK8"/>
    <mergeCell ref="HYL8:HYN8"/>
    <mergeCell ref="HYO8:HYQ8"/>
    <mergeCell ref="HYR8:HYT8"/>
    <mergeCell ref="HYU8:HYW8"/>
    <mergeCell ref="HXN8:HXP8"/>
    <mergeCell ref="HXQ8:HXS8"/>
    <mergeCell ref="HXT8:HXV8"/>
    <mergeCell ref="HXW8:HXY8"/>
    <mergeCell ref="HXZ8:HYB8"/>
    <mergeCell ref="HYC8:HYE8"/>
    <mergeCell ref="HWV8:HWX8"/>
    <mergeCell ref="HWY8:HXA8"/>
    <mergeCell ref="HXB8:HXD8"/>
    <mergeCell ref="HXE8:HXG8"/>
    <mergeCell ref="HXH8:HXJ8"/>
    <mergeCell ref="HXK8:HXM8"/>
    <mergeCell ref="HWD8:HWF8"/>
    <mergeCell ref="HWG8:HWI8"/>
    <mergeCell ref="HWJ8:HWL8"/>
    <mergeCell ref="HWM8:HWO8"/>
    <mergeCell ref="HWP8:HWR8"/>
    <mergeCell ref="HWS8:HWU8"/>
    <mergeCell ref="IDT8:IDV8"/>
    <mergeCell ref="IDW8:IDY8"/>
    <mergeCell ref="IDZ8:IEB8"/>
    <mergeCell ref="IEC8:IEE8"/>
    <mergeCell ref="IEF8:IEH8"/>
    <mergeCell ref="IEI8:IEK8"/>
    <mergeCell ref="IDB8:IDD8"/>
    <mergeCell ref="IDE8:IDG8"/>
    <mergeCell ref="IDH8:IDJ8"/>
    <mergeCell ref="IDK8:IDM8"/>
    <mergeCell ref="IDN8:IDP8"/>
    <mergeCell ref="IDQ8:IDS8"/>
    <mergeCell ref="ICJ8:ICL8"/>
    <mergeCell ref="ICM8:ICO8"/>
    <mergeCell ref="ICP8:ICR8"/>
    <mergeCell ref="ICS8:ICU8"/>
    <mergeCell ref="ICV8:ICX8"/>
    <mergeCell ref="ICY8:IDA8"/>
    <mergeCell ref="IBR8:IBT8"/>
    <mergeCell ref="IBU8:IBW8"/>
    <mergeCell ref="IBX8:IBZ8"/>
    <mergeCell ref="ICA8:ICC8"/>
    <mergeCell ref="ICD8:ICF8"/>
    <mergeCell ref="ICG8:ICI8"/>
    <mergeCell ref="IAZ8:IBB8"/>
    <mergeCell ref="IBC8:IBE8"/>
    <mergeCell ref="IBF8:IBH8"/>
    <mergeCell ref="IBI8:IBK8"/>
    <mergeCell ref="IBL8:IBN8"/>
    <mergeCell ref="IBO8:IBQ8"/>
    <mergeCell ref="IAH8:IAJ8"/>
    <mergeCell ref="IAK8:IAM8"/>
    <mergeCell ref="IAN8:IAP8"/>
    <mergeCell ref="IAQ8:IAS8"/>
    <mergeCell ref="IAT8:IAV8"/>
    <mergeCell ref="IAW8:IAY8"/>
    <mergeCell ref="IHX8:IHZ8"/>
    <mergeCell ref="IIA8:IIC8"/>
    <mergeCell ref="IID8:IIF8"/>
    <mergeCell ref="IIG8:III8"/>
    <mergeCell ref="IIJ8:IIL8"/>
    <mergeCell ref="IIM8:IIO8"/>
    <mergeCell ref="IHF8:IHH8"/>
    <mergeCell ref="IHI8:IHK8"/>
    <mergeCell ref="IHL8:IHN8"/>
    <mergeCell ref="IHO8:IHQ8"/>
    <mergeCell ref="IHR8:IHT8"/>
    <mergeCell ref="IHU8:IHW8"/>
    <mergeCell ref="IGN8:IGP8"/>
    <mergeCell ref="IGQ8:IGS8"/>
    <mergeCell ref="IGT8:IGV8"/>
    <mergeCell ref="IGW8:IGY8"/>
    <mergeCell ref="IGZ8:IHB8"/>
    <mergeCell ref="IHC8:IHE8"/>
    <mergeCell ref="IFV8:IFX8"/>
    <mergeCell ref="IFY8:IGA8"/>
    <mergeCell ref="IGB8:IGD8"/>
    <mergeCell ref="IGE8:IGG8"/>
    <mergeCell ref="IGH8:IGJ8"/>
    <mergeCell ref="IGK8:IGM8"/>
    <mergeCell ref="IFD8:IFF8"/>
    <mergeCell ref="IFG8:IFI8"/>
    <mergeCell ref="IFJ8:IFL8"/>
    <mergeCell ref="IFM8:IFO8"/>
    <mergeCell ref="IFP8:IFR8"/>
    <mergeCell ref="IFS8:IFU8"/>
    <mergeCell ref="IEL8:IEN8"/>
    <mergeCell ref="IEO8:IEQ8"/>
    <mergeCell ref="IER8:IET8"/>
    <mergeCell ref="IEU8:IEW8"/>
    <mergeCell ref="IEX8:IEZ8"/>
    <mergeCell ref="IFA8:IFC8"/>
    <mergeCell ref="IMB8:IMD8"/>
    <mergeCell ref="IME8:IMG8"/>
    <mergeCell ref="IMH8:IMJ8"/>
    <mergeCell ref="IMK8:IMM8"/>
    <mergeCell ref="IMN8:IMP8"/>
    <mergeCell ref="IMQ8:IMS8"/>
    <mergeCell ref="ILJ8:ILL8"/>
    <mergeCell ref="ILM8:ILO8"/>
    <mergeCell ref="ILP8:ILR8"/>
    <mergeCell ref="ILS8:ILU8"/>
    <mergeCell ref="ILV8:ILX8"/>
    <mergeCell ref="ILY8:IMA8"/>
    <mergeCell ref="IKR8:IKT8"/>
    <mergeCell ref="IKU8:IKW8"/>
    <mergeCell ref="IKX8:IKZ8"/>
    <mergeCell ref="ILA8:ILC8"/>
    <mergeCell ref="ILD8:ILF8"/>
    <mergeCell ref="ILG8:ILI8"/>
    <mergeCell ref="IJZ8:IKB8"/>
    <mergeCell ref="IKC8:IKE8"/>
    <mergeCell ref="IKF8:IKH8"/>
    <mergeCell ref="IKI8:IKK8"/>
    <mergeCell ref="IKL8:IKN8"/>
    <mergeCell ref="IKO8:IKQ8"/>
    <mergeCell ref="IJH8:IJJ8"/>
    <mergeCell ref="IJK8:IJM8"/>
    <mergeCell ref="IJN8:IJP8"/>
    <mergeCell ref="IJQ8:IJS8"/>
    <mergeCell ref="IJT8:IJV8"/>
    <mergeCell ref="IJW8:IJY8"/>
    <mergeCell ref="IIP8:IIR8"/>
    <mergeCell ref="IIS8:IIU8"/>
    <mergeCell ref="IIV8:IIX8"/>
    <mergeCell ref="IIY8:IJA8"/>
    <mergeCell ref="IJB8:IJD8"/>
    <mergeCell ref="IJE8:IJG8"/>
    <mergeCell ref="IQF8:IQH8"/>
    <mergeCell ref="IQI8:IQK8"/>
    <mergeCell ref="IQL8:IQN8"/>
    <mergeCell ref="IQO8:IQQ8"/>
    <mergeCell ref="IQR8:IQT8"/>
    <mergeCell ref="IQU8:IQW8"/>
    <mergeCell ref="IPN8:IPP8"/>
    <mergeCell ref="IPQ8:IPS8"/>
    <mergeCell ref="IPT8:IPV8"/>
    <mergeCell ref="IPW8:IPY8"/>
    <mergeCell ref="IPZ8:IQB8"/>
    <mergeCell ref="IQC8:IQE8"/>
    <mergeCell ref="IOV8:IOX8"/>
    <mergeCell ref="IOY8:IPA8"/>
    <mergeCell ref="IPB8:IPD8"/>
    <mergeCell ref="IPE8:IPG8"/>
    <mergeCell ref="IPH8:IPJ8"/>
    <mergeCell ref="IPK8:IPM8"/>
    <mergeCell ref="IOD8:IOF8"/>
    <mergeCell ref="IOG8:IOI8"/>
    <mergeCell ref="IOJ8:IOL8"/>
    <mergeCell ref="IOM8:IOO8"/>
    <mergeCell ref="IOP8:IOR8"/>
    <mergeCell ref="IOS8:IOU8"/>
    <mergeCell ref="INL8:INN8"/>
    <mergeCell ref="INO8:INQ8"/>
    <mergeCell ref="INR8:INT8"/>
    <mergeCell ref="INU8:INW8"/>
    <mergeCell ref="INX8:INZ8"/>
    <mergeCell ref="IOA8:IOC8"/>
    <mergeCell ref="IMT8:IMV8"/>
    <mergeCell ref="IMW8:IMY8"/>
    <mergeCell ref="IMZ8:INB8"/>
    <mergeCell ref="INC8:INE8"/>
    <mergeCell ref="INF8:INH8"/>
    <mergeCell ref="INI8:INK8"/>
    <mergeCell ref="IUJ8:IUL8"/>
    <mergeCell ref="IUM8:IUO8"/>
    <mergeCell ref="IUP8:IUR8"/>
    <mergeCell ref="IUS8:IUU8"/>
    <mergeCell ref="IUV8:IUX8"/>
    <mergeCell ref="IUY8:IVA8"/>
    <mergeCell ref="ITR8:ITT8"/>
    <mergeCell ref="ITU8:ITW8"/>
    <mergeCell ref="ITX8:ITZ8"/>
    <mergeCell ref="IUA8:IUC8"/>
    <mergeCell ref="IUD8:IUF8"/>
    <mergeCell ref="IUG8:IUI8"/>
    <mergeCell ref="ISZ8:ITB8"/>
    <mergeCell ref="ITC8:ITE8"/>
    <mergeCell ref="ITF8:ITH8"/>
    <mergeCell ref="ITI8:ITK8"/>
    <mergeCell ref="ITL8:ITN8"/>
    <mergeCell ref="ITO8:ITQ8"/>
    <mergeCell ref="ISH8:ISJ8"/>
    <mergeCell ref="ISK8:ISM8"/>
    <mergeCell ref="ISN8:ISP8"/>
    <mergeCell ref="ISQ8:ISS8"/>
    <mergeCell ref="IST8:ISV8"/>
    <mergeCell ref="ISW8:ISY8"/>
    <mergeCell ref="IRP8:IRR8"/>
    <mergeCell ref="IRS8:IRU8"/>
    <mergeCell ref="IRV8:IRX8"/>
    <mergeCell ref="IRY8:ISA8"/>
    <mergeCell ref="ISB8:ISD8"/>
    <mergeCell ref="ISE8:ISG8"/>
    <mergeCell ref="IQX8:IQZ8"/>
    <mergeCell ref="IRA8:IRC8"/>
    <mergeCell ref="IRD8:IRF8"/>
    <mergeCell ref="IRG8:IRI8"/>
    <mergeCell ref="IRJ8:IRL8"/>
    <mergeCell ref="IRM8:IRO8"/>
    <mergeCell ref="IYN8:IYP8"/>
    <mergeCell ref="IYQ8:IYS8"/>
    <mergeCell ref="IYT8:IYV8"/>
    <mergeCell ref="IYW8:IYY8"/>
    <mergeCell ref="IYZ8:IZB8"/>
    <mergeCell ref="IZC8:IZE8"/>
    <mergeCell ref="IXV8:IXX8"/>
    <mergeCell ref="IXY8:IYA8"/>
    <mergeCell ref="IYB8:IYD8"/>
    <mergeCell ref="IYE8:IYG8"/>
    <mergeCell ref="IYH8:IYJ8"/>
    <mergeCell ref="IYK8:IYM8"/>
    <mergeCell ref="IXD8:IXF8"/>
    <mergeCell ref="IXG8:IXI8"/>
    <mergeCell ref="IXJ8:IXL8"/>
    <mergeCell ref="IXM8:IXO8"/>
    <mergeCell ref="IXP8:IXR8"/>
    <mergeCell ref="IXS8:IXU8"/>
    <mergeCell ref="IWL8:IWN8"/>
    <mergeCell ref="IWO8:IWQ8"/>
    <mergeCell ref="IWR8:IWT8"/>
    <mergeCell ref="IWU8:IWW8"/>
    <mergeCell ref="IWX8:IWZ8"/>
    <mergeCell ref="IXA8:IXC8"/>
    <mergeCell ref="IVT8:IVV8"/>
    <mergeCell ref="IVW8:IVY8"/>
    <mergeCell ref="IVZ8:IWB8"/>
    <mergeCell ref="IWC8:IWE8"/>
    <mergeCell ref="IWF8:IWH8"/>
    <mergeCell ref="IWI8:IWK8"/>
    <mergeCell ref="IVB8:IVD8"/>
    <mergeCell ref="IVE8:IVG8"/>
    <mergeCell ref="IVH8:IVJ8"/>
    <mergeCell ref="IVK8:IVM8"/>
    <mergeCell ref="IVN8:IVP8"/>
    <mergeCell ref="IVQ8:IVS8"/>
    <mergeCell ref="JCR8:JCT8"/>
    <mergeCell ref="JCU8:JCW8"/>
    <mergeCell ref="JCX8:JCZ8"/>
    <mergeCell ref="JDA8:JDC8"/>
    <mergeCell ref="JDD8:JDF8"/>
    <mergeCell ref="JDG8:JDI8"/>
    <mergeCell ref="JBZ8:JCB8"/>
    <mergeCell ref="JCC8:JCE8"/>
    <mergeCell ref="JCF8:JCH8"/>
    <mergeCell ref="JCI8:JCK8"/>
    <mergeCell ref="JCL8:JCN8"/>
    <mergeCell ref="JCO8:JCQ8"/>
    <mergeCell ref="JBH8:JBJ8"/>
    <mergeCell ref="JBK8:JBM8"/>
    <mergeCell ref="JBN8:JBP8"/>
    <mergeCell ref="JBQ8:JBS8"/>
    <mergeCell ref="JBT8:JBV8"/>
    <mergeCell ref="JBW8:JBY8"/>
    <mergeCell ref="JAP8:JAR8"/>
    <mergeCell ref="JAS8:JAU8"/>
    <mergeCell ref="JAV8:JAX8"/>
    <mergeCell ref="JAY8:JBA8"/>
    <mergeCell ref="JBB8:JBD8"/>
    <mergeCell ref="JBE8:JBG8"/>
    <mergeCell ref="IZX8:IZZ8"/>
    <mergeCell ref="JAA8:JAC8"/>
    <mergeCell ref="JAD8:JAF8"/>
    <mergeCell ref="JAG8:JAI8"/>
    <mergeCell ref="JAJ8:JAL8"/>
    <mergeCell ref="JAM8:JAO8"/>
    <mergeCell ref="IZF8:IZH8"/>
    <mergeCell ref="IZI8:IZK8"/>
    <mergeCell ref="IZL8:IZN8"/>
    <mergeCell ref="IZO8:IZQ8"/>
    <mergeCell ref="IZR8:IZT8"/>
    <mergeCell ref="IZU8:IZW8"/>
    <mergeCell ref="JGV8:JGX8"/>
    <mergeCell ref="JGY8:JHA8"/>
    <mergeCell ref="JHB8:JHD8"/>
    <mergeCell ref="JHE8:JHG8"/>
    <mergeCell ref="JHH8:JHJ8"/>
    <mergeCell ref="JHK8:JHM8"/>
    <mergeCell ref="JGD8:JGF8"/>
    <mergeCell ref="JGG8:JGI8"/>
    <mergeCell ref="JGJ8:JGL8"/>
    <mergeCell ref="JGM8:JGO8"/>
    <mergeCell ref="JGP8:JGR8"/>
    <mergeCell ref="JGS8:JGU8"/>
    <mergeCell ref="JFL8:JFN8"/>
    <mergeCell ref="JFO8:JFQ8"/>
    <mergeCell ref="JFR8:JFT8"/>
    <mergeCell ref="JFU8:JFW8"/>
    <mergeCell ref="JFX8:JFZ8"/>
    <mergeCell ref="JGA8:JGC8"/>
    <mergeCell ref="JET8:JEV8"/>
    <mergeCell ref="JEW8:JEY8"/>
    <mergeCell ref="JEZ8:JFB8"/>
    <mergeCell ref="JFC8:JFE8"/>
    <mergeCell ref="JFF8:JFH8"/>
    <mergeCell ref="JFI8:JFK8"/>
    <mergeCell ref="JEB8:JED8"/>
    <mergeCell ref="JEE8:JEG8"/>
    <mergeCell ref="JEH8:JEJ8"/>
    <mergeCell ref="JEK8:JEM8"/>
    <mergeCell ref="JEN8:JEP8"/>
    <mergeCell ref="JEQ8:JES8"/>
    <mergeCell ref="JDJ8:JDL8"/>
    <mergeCell ref="JDM8:JDO8"/>
    <mergeCell ref="JDP8:JDR8"/>
    <mergeCell ref="JDS8:JDU8"/>
    <mergeCell ref="JDV8:JDX8"/>
    <mergeCell ref="JDY8:JEA8"/>
    <mergeCell ref="JKZ8:JLB8"/>
    <mergeCell ref="JLC8:JLE8"/>
    <mergeCell ref="JLF8:JLH8"/>
    <mergeCell ref="JLI8:JLK8"/>
    <mergeCell ref="JLL8:JLN8"/>
    <mergeCell ref="JLO8:JLQ8"/>
    <mergeCell ref="JKH8:JKJ8"/>
    <mergeCell ref="JKK8:JKM8"/>
    <mergeCell ref="JKN8:JKP8"/>
    <mergeCell ref="JKQ8:JKS8"/>
    <mergeCell ref="JKT8:JKV8"/>
    <mergeCell ref="JKW8:JKY8"/>
    <mergeCell ref="JJP8:JJR8"/>
    <mergeCell ref="JJS8:JJU8"/>
    <mergeCell ref="JJV8:JJX8"/>
    <mergeCell ref="JJY8:JKA8"/>
    <mergeCell ref="JKB8:JKD8"/>
    <mergeCell ref="JKE8:JKG8"/>
    <mergeCell ref="JIX8:JIZ8"/>
    <mergeCell ref="JJA8:JJC8"/>
    <mergeCell ref="JJD8:JJF8"/>
    <mergeCell ref="JJG8:JJI8"/>
    <mergeCell ref="JJJ8:JJL8"/>
    <mergeCell ref="JJM8:JJO8"/>
    <mergeCell ref="JIF8:JIH8"/>
    <mergeCell ref="JII8:JIK8"/>
    <mergeCell ref="JIL8:JIN8"/>
    <mergeCell ref="JIO8:JIQ8"/>
    <mergeCell ref="JIR8:JIT8"/>
    <mergeCell ref="JIU8:JIW8"/>
    <mergeCell ref="JHN8:JHP8"/>
    <mergeCell ref="JHQ8:JHS8"/>
    <mergeCell ref="JHT8:JHV8"/>
    <mergeCell ref="JHW8:JHY8"/>
    <mergeCell ref="JHZ8:JIB8"/>
    <mergeCell ref="JIC8:JIE8"/>
    <mergeCell ref="JPD8:JPF8"/>
    <mergeCell ref="JPG8:JPI8"/>
    <mergeCell ref="JPJ8:JPL8"/>
    <mergeCell ref="JPM8:JPO8"/>
    <mergeCell ref="JPP8:JPR8"/>
    <mergeCell ref="JPS8:JPU8"/>
    <mergeCell ref="JOL8:JON8"/>
    <mergeCell ref="JOO8:JOQ8"/>
    <mergeCell ref="JOR8:JOT8"/>
    <mergeCell ref="JOU8:JOW8"/>
    <mergeCell ref="JOX8:JOZ8"/>
    <mergeCell ref="JPA8:JPC8"/>
    <mergeCell ref="JNT8:JNV8"/>
    <mergeCell ref="JNW8:JNY8"/>
    <mergeCell ref="JNZ8:JOB8"/>
    <mergeCell ref="JOC8:JOE8"/>
    <mergeCell ref="JOF8:JOH8"/>
    <mergeCell ref="JOI8:JOK8"/>
    <mergeCell ref="JNB8:JND8"/>
    <mergeCell ref="JNE8:JNG8"/>
    <mergeCell ref="JNH8:JNJ8"/>
    <mergeCell ref="JNK8:JNM8"/>
    <mergeCell ref="JNN8:JNP8"/>
    <mergeCell ref="JNQ8:JNS8"/>
    <mergeCell ref="JMJ8:JML8"/>
    <mergeCell ref="JMM8:JMO8"/>
    <mergeCell ref="JMP8:JMR8"/>
    <mergeCell ref="JMS8:JMU8"/>
    <mergeCell ref="JMV8:JMX8"/>
    <mergeCell ref="JMY8:JNA8"/>
    <mergeCell ref="JLR8:JLT8"/>
    <mergeCell ref="JLU8:JLW8"/>
    <mergeCell ref="JLX8:JLZ8"/>
    <mergeCell ref="JMA8:JMC8"/>
    <mergeCell ref="JMD8:JMF8"/>
    <mergeCell ref="JMG8:JMI8"/>
    <mergeCell ref="JTH8:JTJ8"/>
    <mergeCell ref="JTK8:JTM8"/>
    <mergeCell ref="JTN8:JTP8"/>
    <mergeCell ref="JTQ8:JTS8"/>
    <mergeCell ref="JTT8:JTV8"/>
    <mergeCell ref="JTW8:JTY8"/>
    <mergeCell ref="JSP8:JSR8"/>
    <mergeCell ref="JSS8:JSU8"/>
    <mergeCell ref="JSV8:JSX8"/>
    <mergeCell ref="JSY8:JTA8"/>
    <mergeCell ref="JTB8:JTD8"/>
    <mergeCell ref="JTE8:JTG8"/>
    <mergeCell ref="JRX8:JRZ8"/>
    <mergeCell ref="JSA8:JSC8"/>
    <mergeCell ref="JSD8:JSF8"/>
    <mergeCell ref="JSG8:JSI8"/>
    <mergeCell ref="JSJ8:JSL8"/>
    <mergeCell ref="JSM8:JSO8"/>
    <mergeCell ref="JRF8:JRH8"/>
    <mergeCell ref="JRI8:JRK8"/>
    <mergeCell ref="JRL8:JRN8"/>
    <mergeCell ref="JRO8:JRQ8"/>
    <mergeCell ref="JRR8:JRT8"/>
    <mergeCell ref="JRU8:JRW8"/>
    <mergeCell ref="JQN8:JQP8"/>
    <mergeCell ref="JQQ8:JQS8"/>
    <mergeCell ref="JQT8:JQV8"/>
    <mergeCell ref="JQW8:JQY8"/>
    <mergeCell ref="JQZ8:JRB8"/>
    <mergeCell ref="JRC8:JRE8"/>
    <mergeCell ref="JPV8:JPX8"/>
    <mergeCell ref="JPY8:JQA8"/>
    <mergeCell ref="JQB8:JQD8"/>
    <mergeCell ref="JQE8:JQG8"/>
    <mergeCell ref="JQH8:JQJ8"/>
    <mergeCell ref="JQK8:JQM8"/>
    <mergeCell ref="JXL8:JXN8"/>
    <mergeCell ref="JXO8:JXQ8"/>
    <mergeCell ref="JXR8:JXT8"/>
    <mergeCell ref="JXU8:JXW8"/>
    <mergeCell ref="JXX8:JXZ8"/>
    <mergeCell ref="JYA8:JYC8"/>
    <mergeCell ref="JWT8:JWV8"/>
    <mergeCell ref="JWW8:JWY8"/>
    <mergeCell ref="JWZ8:JXB8"/>
    <mergeCell ref="JXC8:JXE8"/>
    <mergeCell ref="JXF8:JXH8"/>
    <mergeCell ref="JXI8:JXK8"/>
    <mergeCell ref="JWB8:JWD8"/>
    <mergeCell ref="JWE8:JWG8"/>
    <mergeCell ref="JWH8:JWJ8"/>
    <mergeCell ref="JWK8:JWM8"/>
    <mergeCell ref="JWN8:JWP8"/>
    <mergeCell ref="JWQ8:JWS8"/>
    <mergeCell ref="JVJ8:JVL8"/>
    <mergeCell ref="JVM8:JVO8"/>
    <mergeCell ref="JVP8:JVR8"/>
    <mergeCell ref="JVS8:JVU8"/>
    <mergeCell ref="JVV8:JVX8"/>
    <mergeCell ref="JVY8:JWA8"/>
    <mergeCell ref="JUR8:JUT8"/>
    <mergeCell ref="JUU8:JUW8"/>
    <mergeCell ref="JUX8:JUZ8"/>
    <mergeCell ref="JVA8:JVC8"/>
    <mergeCell ref="JVD8:JVF8"/>
    <mergeCell ref="JVG8:JVI8"/>
    <mergeCell ref="JTZ8:JUB8"/>
    <mergeCell ref="JUC8:JUE8"/>
    <mergeCell ref="JUF8:JUH8"/>
    <mergeCell ref="JUI8:JUK8"/>
    <mergeCell ref="JUL8:JUN8"/>
    <mergeCell ref="JUO8:JUQ8"/>
    <mergeCell ref="KBP8:KBR8"/>
    <mergeCell ref="KBS8:KBU8"/>
    <mergeCell ref="KBV8:KBX8"/>
    <mergeCell ref="KBY8:KCA8"/>
    <mergeCell ref="KCB8:KCD8"/>
    <mergeCell ref="KCE8:KCG8"/>
    <mergeCell ref="KAX8:KAZ8"/>
    <mergeCell ref="KBA8:KBC8"/>
    <mergeCell ref="KBD8:KBF8"/>
    <mergeCell ref="KBG8:KBI8"/>
    <mergeCell ref="KBJ8:KBL8"/>
    <mergeCell ref="KBM8:KBO8"/>
    <mergeCell ref="KAF8:KAH8"/>
    <mergeCell ref="KAI8:KAK8"/>
    <mergeCell ref="KAL8:KAN8"/>
    <mergeCell ref="KAO8:KAQ8"/>
    <mergeCell ref="KAR8:KAT8"/>
    <mergeCell ref="KAU8:KAW8"/>
    <mergeCell ref="JZN8:JZP8"/>
    <mergeCell ref="JZQ8:JZS8"/>
    <mergeCell ref="JZT8:JZV8"/>
    <mergeCell ref="JZW8:JZY8"/>
    <mergeCell ref="JZZ8:KAB8"/>
    <mergeCell ref="KAC8:KAE8"/>
    <mergeCell ref="JYV8:JYX8"/>
    <mergeCell ref="JYY8:JZA8"/>
    <mergeCell ref="JZB8:JZD8"/>
    <mergeCell ref="JZE8:JZG8"/>
    <mergeCell ref="JZH8:JZJ8"/>
    <mergeCell ref="JZK8:JZM8"/>
    <mergeCell ref="JYD8:JYF8"/>
    <mergeCell ref="JYG8:JYI8"/>
    <mergeCell ref="JYJ8:JYL8"/>
    <mergeCell ref="JYM8:JYO8"/>
    <mergeCell ref="JYP8:JYR8"/>
    <mergeCell ref="JYS8:JYU8"/>
    <mergeCell ref="KFT8:KFV8"/>
    <mergeCell ref="KFW8:KFY8"/>
    <mergeCell ref="KFZ8:KGB8"/>
    <mergeCell ref="KGC8:KGE8"/>
    <mergeCell ref="KGF8:KGH8"/>
    <mergeCell ref="KGI8:KGK8"/>
    <mergeCell ref="KFB8:KFD8"/>
    <mergeCell ref="KFE8:KFG8"/>
    <mergeCell ref="KFH8:KFJ8"/>
    <mergeCell ref="KFK8:KFM8"/>
    <mergeCell ref="KFN8:KFP8"/>
    <mergeCell ref="KFQ8:KFS8"/>
    <mergeCell ref="KEJ8:KEL8"/>
    <mergeCell ref="KEM8:KEO8"/>
    <mergeCell ref="KEP8:KER8"/>
    <mergeCell ref="KES8:KEU8"/>
    <mergeCell ref="KEV8:KEX8"/>
    <mergeCell ref="KEY8:KFA8"/>
    <mergeCell ref="KDR8:KDT8"/>
    <mergeCell ref="KDU8:KDW8"/>
    <mergeCell ref="KDX8:KDZ8"/>
    <mergeCell ref="KEA8:KEC8"/>
    <mergeCell ref="KED8:KEF8"/>
    <mergeCell ref="KEG8:KEI8"/>
    <mergeCell ref="KCZ8:KDB8"/>
    <mergeCell ref="KDC8:KDE8"/>
    <mergeCell ref="KDF8:KDH8"/>
    <mergeCell ref="KDI8:KDK8"/>
    <mergeCell ref="KDL8:KDN8"/>
    <mergeCell ref="KDO8:KDQ8"/>
    <mergeCell ref="KCH8:KCJ8"/>
    <mergeCell ref="KCK8:KCM8"/>
    <mergeCell ref="KCN8:KCP8"/>
    <mergeCell ref="KCQ8:KCS8"/>
    <mergeCell ref="KCT8:KCV8"/>
    <mergeCell ref="KCW8:KCY8"/>
    <mergeCell ref="KJX8:KJZ8"/>
    <mergeCell ref="KKA8:KKC8"/>
    <mergeCell ref="KKD8:KKF8"/>
    <mergeCell ref="KKG8:KKI8"/>
    <mergeCell ref="KKJ8:KKL8"/>
    <mergeCell ref="KKM8:KKO8"/>
    <mergeCell ref="KJF8:KJH8"/>
    <mergeCell ref="KJI8:KJK8"/>
    <mergeCell ref="KJL8:KJN8"/>
    <mergeCell ref="KJO8:KJQ8"/>
    <mergeCell ref="KJR8:KJT8"/>
    <mergeCell ref="KJU8:KJW8"/>
    <mergeCell ref="KIN8:KIP8"/>
    <mergeCell ref="KIQ8:KIS8"/>
    <mergeCell ref="KIT8:KIV8"/>
    <mergeCell ref="KIW8:KIY8"/>
    <mergeCell ref="KIZ8:KJB8"/>
    <mergeCell ref="KJC8:KJE8"/>
    <mergeCell ref="KHV8:KHX8"/>
    <mergeCell ref="KHY8:KIA8"/>
    <mergeCell ref="KIB8:KID8"/>
    <mergeCell ref="KIE8:KIG8"/>
    <mergeCell ref="KIH8:KIJ8"/>
    <mergeCell ref="KIK8:KIM8"/>
    <mergeCell ref="KHD8:KHF8"/>
    <mergeCell ref="KHG8:KHI8"/>
    <mergeCell ref="KHJ8:KHL8"/>
    <mergeCell ref="KHM8:KHO8"/>
    <mergeCell ref="KHP8:KHR8"/>
    <mergeCell ref="KHS8:KHU8"/>
    <mergeCell ref="KGL8:KGN8"/>
    <mergeCell ref="KGO8:KGQ8"/>
    <mergeCell ref="KGR8:KGT8"/>
    <mergeCell ref="KGU8:KGW8"/>
    <mergeCell ref="KGX8:KGZ8"/>
    <mergeCell ref="KHA8:KHC8"/>
    <mergeCell ref="KOB8:KOD8"/>
    <mergeCell ref="KOE8:KOG8"/>
    <mergeCell ref="KOH8:KOJ8"/>
    <mergeCell ref="KOK8:KOM8"/>
    <mergeCell ref="KON8:KOP8"/>
    <mergeCell ref="KOQ8:KOS8"/>
    <mergeCell ref="KNJ8:KNL8"/>
    <mergeCell ref="KNM8:KNO8"/>
    <mergeCell ref="KNP8:KNR8"/>
    <mergeCell ref="KNS8:KNU8"/>
    <mergeCell ref="KNV8:KNX8"/>
    <mergeCell ref="KNY8:KOA8"/>
    <mergeCell ref="KMR8:KMT8"/>
    <mergeCell ref="KMU8:KMW8"/>
    <mergeCell ref="KMX8:KMZ8"/>
    <mergeCell ref="KNA8:KNC8"/>
    <mergeCell ref="KND8:KNF8"/>
    <mergeCell ref="KNG8:KNI8"/>
    <mergeCell ref="KLZ8:KMB8"/>
    <mergeCell ref="KMC8:KME8"/>
    <mergeCell ref="KMF8:KMH8"/>
    <mergeCell ref="KMI8:KMK8"/>
    <mergeCell ref="KML8:KMN8"/>
    <mergeCell ref="KMO8:KMQ8"/>
    <mergeCell ref="KLH8:KLJ8"/>
    <mergeCell ref="KLK8:KLM8"/>
    <mergeCell ref="KLN8:KLP8"/>
    <mergeCell ref="KLQ8:KLS8"/>
    <mergeCell ref="KLT8:KLV8"/>
    <mergeCell ref="KLW8:KLY8"/>
    <mergeCell ref="KKP8:KKR8"/>
    <mergeCell ref="KKS8:KKU8"/>
    <mergeCell ref="KKV8:KKX8"/>
    <mergeCell ref="KKY8:KLA8"/>
    <mergeCell ref="KLB8:KLD8"/>
    <mergeCell ref="KLE8:KLG8"/>
    <mergeCell ref="KSF8:KSH8"/>
    <mergeCell ref="KSI8:KSK8"/>
    <mergeCell ref="KSL8:KSN8"/>
    <mergeCell ref="KSO8:KSQ8"/>
    <mergeCell ref="KSR8:KST8"/>
    <mergeCell ref="KSU8:KSW8"/>
    <mergeCell ref="KRN8:KRP8"/>
    <mergeCell ref="KRQ8:KRS8"/>
    <mergeCell ref="KRT8:KRV8"/>
    <mergeCell ref="KRW8:KRY8"/>
    <mergeCell ref="KRZ8:KSB8"/>
    <mergeCell ref="KSC8:KSE8"/>
    <mergeCell ref="KQV8:KQX8"/>
    <mergeCell ref="KQY8:KRA8"/>
    <mergeCell ref="KRB8:KRD8"/>
    <mergeCell ref="KRE8:KRG8"/>
    <mergeCell ref="KRH8:KRJ8"/>
    <mergeCell ref="KRK8:KRM8"/>
    <mergeCell ref="KQD8:KQF8"/>
    <mergeCell ref="KQG8:KQI8"/>
    <mergeCell ref="KQJ8:KQL8"/>
    <mergeCell ref="KQM8:KQO8"/>
    <mergeCell ref="KQP8:KQR8"/>
    <mergeCell ref="KQS8:KQU8"/>
    <mergeCell ref="KPL8:KPN8"/>
    <mergeCell ref="KPO8:KPQ8"/>
    <mergeCell ref="KPR8:KPT8"/>
    <mergeCell ref="KPU8:KPW8"/>
    <mergeCell ref="KPX8:KPZ8"/>
    <mergeCell ref="KQA8:KQC8"/>
    <mergeCell ref="KOT8:KOV8"/>
    <mergeCell ref="KOW8:KOY8"/>
    <mergeCell ref="KOZ8:KPB8"/>
    <mergeCell ref="KPC8:KPE8"/>
    <mergeCell ref="KPF8:KPH8"/>
    <mergeCell ref="KPI8:KPK8"/>
    <mergeCell ref="KWJ8:KWL8"/>
    <mergeCell ref="KWM8:KWO8"/>
    <mergeCell ref="KWP8:KWR8"/>
    <mergeCell ref="KWS8:KWU8"/>
    <mergeCell ref="KWV8:KWX8"/>
    <mergeCell ref="KWY8:KXA8"/>
    <mergeCell ref="KVR8:KVT8"/>
    <mergeCell ref="KVU8:KVW8"/>
    <mergeCell ref="KVX8:KVZ8"/>
    <mergeCell ref="KWA8:KWC8"/>
    <mergeCell ref="KWD8:KWF8"/>
    <mergeCell ref="KWG8:KWI8"/>
    <mergeCell ref="KUZ8:KVB8"/>
    <mergeCell ref="KVC8:KVE8"/>
    <mergeCell ref="KVF8:KVH8"/>
    <mergeCell ref="KVI8:KVK8"/>
    <mergeCell ref="KVL8:KVN8"/>
    <mergeCell ref="KVO8:KVQ8"/>
    <mergeCell ref="KUH8:KUJ8"/>
    <mergeCell ref="KUK8:KUM8"/>
    <mergeCell ref="KUN8:KUP8"/>
    <mergeCell ref="KUQ8:KUS8"/>
    <mergeCell ref="KUT8:KUV8"/>
    <mergeCell ref="KUW8:KUY8"/>
    <mergeCell ref="KTP8:KTR8"/>
    <mergeCell ref="KTS8:KTU8"/>
    <mergeCell ref="KTV8:KTX8"/>
    <mergeCell ref="KTY8:KUA8"/>
    <mergeCell ref="KUB8:KUD8"/>
    <mergeCell ref="KUE8:KUG8"/>
    <mergeCell ref="KSX8:KSZ8"/>
    <mergeCell ref="KTA8:KTC8"/>
    <mergeCell ref="KTD8:KTF8"/>
    <mergeCell ref="KTG8:KTI8"/>
    <mergeCell ref="KTJ8:KTL8"/>
    <mergeCell ref="KTM8:KTO8"/>
    <mergeCell ref="LAN8:LAP8"/>
    <mergeCell ref="LAQ8:LAS8"/>
    <mergeCell ref="LAT8:LAV8"/>
    <mergeCell ref="LAW8:LAY8"/>
    <mergeCell ref="LAZ8:LBB8"/>
    <mergeCell ref="LBC8:LBE8"/>
    <mergeCell ref="KZV8:KZX8"/>
    <mergeCell ref="KZY8:LAA8"/>
    <mergeCell ref="LAB8:LAD8"/>
    <mergeCell ref="LAE8:LAG8"/>
    <mergeCell ref="LAH8:LAJ8"/>
    <mergeCell ref="LAK8:LAM8"/>
    <mergeCell ref="KZD8:KZF8"/>
    <mergeCell ref="KZG8:KZI8"/>
    <mergeCell ref="KZJ8:KZL8"/>
    <mergeCell ref="KZM8:KZO8"/>
    <mergeCell ref="KZP8:KZR8"/>
    <mergeCell ref="KZS8:KZU8"/>
    <mergeCell ref="KYL8:KYN8"/>
    <mergeCell ref="KYO8:KYQ8"/>
    <mergeCell ref="KYR8:KYT8"/>
    <mergeCell ref="KYU8:KYW8"/>
    <mergeCell ref="KYX8:KYZ8"/>
    <mergeCell ref="KZA8:KZC8"/>
    <mergeCell ref="KXT8:KXV8"/>
    <mergeCell ref="KXW8:KXY8"/>
    <mergeCell ref="KXZ8:KYB8"/>
    <mergeCell ref="KYC8:KYE8"/>
    <mergeCell ref="KYF8:KYH8"/>
    <mergeCell ref="KYI8:KYK8"/>
    <mergeCell ref="KXB8:KXD8"/>
    <mergeCell ref="KXE8:KXG8"/>
    <mergeCell ref="KXH8:KXJ8"/>
    <mergeCell ref="KXK8:KXM8"/>
    <mergeCell ref="KXN8:KXP8"/>
    <mergeCell ref="KXQ8:KXS8"/>
    <mergeCell ref="LER8:LET8"/>
    <mergeCell ref="LEU8:LEW8"/>
    <mergeCell ref="LEX8:LEZ8"/>
    <mergeCell ref="LFA8:LFC8"/>
    <mergeCell ref="LFD8:LFF8"/>
    <mergeCell ref="LFG8:LFI8"/>
    <mergeCell ref="LDZ8:LEB8"/>
    <mergeCell ref="LEC8:LEE8"/>
    <mergeCell ref="LEF8:LEH8"/>
    <mergeCell ref="LEI8:LEK8"/>
    <mergeCell ref="LEL8:LEN8"/>
    <mergeCell ref="LEO8:LEQ8"/>
    <mergeCell ref="LDH8:LDJ8"/>
    <mergeCell ref="LDK8:LDM8"/>
    <mergeCell ref="LDN8:LDP8"/>
    <mergeCell ref="LDQ8:LDS8"/>
    <mergeCell ref="LDT8:LDV8"/>
    <mergeCell ref="LDW8:LDY8"/>
    <mergeCell ref="LCP8:LCR8"/>
    <mergeCell ref="LCS8:LCU8"/>
    <mergeCell ref="LCV8:LCX8"/>
    <mergeCell ref="LCY8:LDA8"/>
    <mergeCell ref="LDB8:LDD8"/>
    <mergeCell ref="LDE8:LDG8"/>
    <mergeCell ref="LBX8:LBZ8"/>
    <mergeCell ref="LCA8:LCC8"/>
    <mergeCell ref="LCD8:LCF8"/>
    <mergeCell ref="LCG8:LCI8"/>
    <mergeCell ref="LCJ8:LCL8"/>
    <mergeCell ref="LCM8:LCO8"/>
    <mergeCell ref="LBF8:LBH8"/>
    <mergeCell ref="LBI8:LBK8"/>
    <mergeCell ref="LBL8:LBN8"/>
    <mergeCell ref="LBO8:LBQ8"/>
    <mergeCell ref="LBR8:LBT8"/>
    <mergeCell ref="LBU8:LBW8"/>
    <mergeCell ref="LIV8:LIX8"/>
    <mergeCell ref="LIY8:LJA8"/>
    <mergeCell ref="LJB8:LJD8"/>
    <mergeCell ref="LJE8:LJG8"/>
    <mergeCell ref="LJH8:LJJ8"/>
    <mergeCell ref="LJK8:LJM8"/>
    <mergeCell ref="LID8:LIF8"/>
    <mergeCell ref="LIG8:LII8"/>
    <mergeCell ref="LIJ8:LIL8"/>
    <mergeCell ref="LIM8:LIO8"/>
    <mergeCell ref="LIP8:LIR8"/>
    <mergeCell ref="LIS8:LIU8"/>
    <mergeCell ref="LHL8:LHN8"/>
    <mergeCell ref="LHO8:LHQ8"/>
    <mergeCell ref="LHR8:LHT8"/>
    <mergeCell ref="LHU8:LHW8"/>
    <mergeCell ref="LHX8:LHZ8"/>
    <mergeCell ref="LIA8:LIC8"/>
    <mergeCell ref="LGT8:LGV8"/>
    <mergeCell ref="LGW8:LGY8"/>
    <mergeCell ref="LGZ8:LHB8"/>
    <mergeCell ref="LHC8:LHE8"/>
    <mergeCell ref="LHF8:LHH8"/>
    <mergeCell ref="LHI8:LHK8"/>
    <mergeCell ref="LGB8:LGD8"/>
    <mergeCell ref="LGE8:LGG8"/>
    <mergeCell ref="LGH8:LGJ8"/>
    <mergeCell ref="LGK8:LGM8"/>
    <mergeCell ref="LGN8:LGP8"/>
    <mergeCell ref="LGQ8:LGS8"/>
    <mergeCell ref="LFJ8:LFL8"/>
    <mergeCell ref="LFM8:LFO8"/>
    <mergeCell ref="LFP8:LFR8"/>
    <mergeCell ref="LFS8:LFU8"/>
    <mergeCell ref="LFV8:LFX8"/>
    <mergeCell ref="LFY8:LGA8"/>
    <mergeCell ref="LMZ8:LNB8"/>
    <mergeCell ref="LNC8:LNE8"/>
    <mergeCell ref="LNF8:LNH8"/>
    <mergeCell ref="LNI8:LNK8"/>
    <mergeCell ref="LNL8:LNN8"/>
    <mergeCell ref="LNO8:LNQ8"/>
    <mergeCell ref="LMH8:LMJ8"/>
    <mergeCell ref="LMK8:LMM8"/>
    <mergeCell ref="LMN8:LMP8"/>
    <mergeCell ref="LMQ8:LMS8"/>
    <mergeCell ref="LMT8:LMV8"/>
    <mergeCell ref="LMW8:LMY8"/>
    <mergeCell ref="LLP8:LLR8"/>
    <mergeCell ref="LLS8:LLU8"/>
    <mergeCell ref="LLV8:LLX8"/>
    <mergeCell ref="LLY8:LMA8"/>
    <mergeCell ref="LMB8:LMD8"/>
    <mergeCell ref="LME8:LMG8"/>
    <mergeCell ref="LKX8:LKZ8"/>
    <mergeCell ref="LLA8:LLC8"/>
    <mergeCell ref="LLD8:LLF8"/>
    <mergeCell ref="LLG8:LLI8"/>
    <mergeCell ref="LLJ8:LLL8"/>
    <mergeCell ref="LLM8:LLO8"/>
    <mergeCell ref="LKF8:LKH8"/>
    <mergeCell ref="LKI8:LKK8"/>
    <mergeCell ref="LKL8:LKN8"/>
    <mergeCell ref="LKO8:LKQ8"/>
    <mergeCell ref="LKR8:LKT8"/>
    <mergeCell ref="LKU8:LKW8"/>
    <mergeCell ref="LJN8:LJP8"/>
    <mergeCell ref="LJQ8:LJS8"/>
    <mergeCell ref="LJT8:LJV8"/>
    <mergeCell ref="LJW8:LJY8"/>
    <mergeCell ref="LJZ8:LKB8"/>
    <mergeCell ref="LKC8:LKE8"/>
    <mergeCell ref="LRD8:LRF8"/>
    <mergeCell ref="LRG8:LRI8"/>
    <mergeCell ref="LRJ8:LRL8"/>
    <mergeCell ref="LRM8:LRO8"/>
    <mergeCell ref="LRP8:LRR8"/>
    <mergeCell ref="LRS8:LRU8"/>
    <mergeCell ref="LQL8:LQN8"/>
    <mergeCell ref="LQO8:LQQ8"/>
    <mergeCell ref="LQR8:LQT8"/>
    <mergeCell ref="LQU8:LQW8"/>
    <mergeCell ref="LQX8:LQZ8"/>
    <mergeCell ref="LRA8:LRC8"/>
    <mergeCell ref="LPT8:LPV8"/>
    <mergeCell ref="LPW8:LPY8"/>
    <mergeCell ref="LPZ8:LQB8"/>
    <mergeCell ref="LQC8:LQE8"/>
    <mergeCell ref="LQF8:LQH8"/>
    <mergeCell ref="LQI8:LQK8"/>
    <mergeCell ref="LPB8:LPD8"/>
    <mergeCell ref="LPE8:LPG8"/>
    <mergeCell ref="LPH8:LPJ8"/>
    <mergeCell ref="LPK8:LPM8"/>
    <mergeCell ref="LPN8:LPP8"/>
    <mergeCell ref="LPQ8:LPS8"/>
    <mergeCell ref="LOJ8:LOL8"/>
    <mergeCell ref="LOM8:LOO8"/>
    <mergeCell ref="LOP8:LOR8"/>
    <mergeCell ref="LOS8:LOU8"/>
    <mergeCell ref="LOV8:LOX8"/>
    <mergeCell ref="LOY8:LPA8"/>
    <mergeCell ref="LNR8:LNT8"/>
    <mergeCell ref="LNU8:LNW8"/>
    <mergeCell ref="LNX8:LNZ8"/>
    <mergeCell ref="LOA8:LOC8"/>
    <mergeCell ref="LOD8:LOF8"/>
    <mergeCell ref="LOG8:LOI8"/>
    <mergeCell ref="LVH8:LVJ8"/>
    <mergeCell ref="LVK8:LVM8"/>
    <mergeCell ref="LVN8:LVP8"/>
    <mergeCell ref="LVQ8:LVS8"/>
    <mergeCell ref="LVT8:LVV8"/>
    <mergeCell ref="LVW8:LVY8"/>
    <mergeCell ref="LUP8:LUR8"/>
    <mergeCell ref="LUS8:LUU8"/>
    <mergeCell ref="LUV8:LUX8"/>
    <mergeCell ref="LUY8:LVA8"/>
    <mergeCell ref="LVB8:LVD8"/>
    <mergeCell ref="LVE8:LVG8"/>
    <mergeCell ref="LTX8:LTZ8"/>
    <mergeCell ref="LUA8:LUC8"/>
    <mergeCell ref="LUD8:LUF8"/>
    <mergeCell ref="LUG8:LUI8"/>
    <mergeCell ref="LUJ8:LUL8"/>
    <mergeCell ref="LUM8:LUO8"/>
    <mergeCell ref="LTF8:LTH8"/>
    <mergeCell ref="LTI8:LTK8"/>
    <mergeCell ref="LTL8:LTN8"/>
    <mergeCell ref="LTO8:LTQ8"/>
    <mergeCell ref="LTR8:LTT8"/>
    <mergeCell ref="LTU8:LTW8"/>
    <mergeCell ref="LSN8:LSP8"/>
    <mergeCell ref="LSQ8:LSS8"/>
    <mergeCell ref="LST8:LSV8"/>
    <mergeCell ref="LSW8:LSY8"/>
    <mergeCell ref="LSZ8:LTB8"/>
    <mergeCell ref="LTC8:LTE8"/>
    <mergeCell ref="LRV8:LRX8"/>
    <mergeCell ref="LRY8:LSA8"/>
    <mergeCell ref="LSB8:LSD8"/>
    <mergeCell ref="LSE8:LSG8"/>
    <mergeCell ref="LSH8:LSJ8"/>
    <mergeCell ref="LSK8:LSM8"/>
    <mergeCell ref="LZL8:LZN8"/>
    <mergeCell ref="LZO8:LZQ8"/>
    <mergeCell ref="LZR8:LZT8"/>
    <mergeCell ref="LZU8:LZW8"/>
    <mergeCell ref="LZX8:LZZ8"/>
    <mergeCell ref="MAA8:MAC8"/>
    <mergeCell ref="LYT8:LYV8"/>
    <mergeCell ref="LYW8:LYY8"/>
    <mergeCell ref="LYZ8:LZB8"/>
    <mergeCell ref="LZC8:LZE8"/>
    <mergeCell ref="LZF8:LZH8"/>
    <mergeCell ref="LZI8:LZK8"/>
    <mergeCell ref="LYB8:LYD8"/>
    <mergeCell ref="LYE8:LYG8"/>
    <mergeCell ref="LYH8:LYJ8"/>
    <mergeCell ref="LYK8:LYM8"/>
    <mergeCell ref="LYN8:LYP8"/>
    <mergeCell ref="LYQ8:LYS8"/>
    <mergeCell ref="LXJ8:LXL8"/>
    <mergeCell ref="LXM8:LXO8"/>
    <mergeCell ref="LXP8:LXR8"/>
    <mergeCell ref="LXS8:LXU8"/>
    <mergeCell ref="LXV8:LXX8"/>
    <mergeCell ref="LXY8:LYA8"/>
    <mergeCell ref="LWR8:LWT8"/>
    <mergeCell ref="LWU8:LWW8"/>
    <mergeCell ref="LWX8:LWZ8"/>
    <mergeCell ref="LXA8:LXC8"/>
    <mergeCell ref="LXD8:LXF8"/>
    <mergeCell ref="LXG8:LXI8"/>
    <mergeCell ref="LVZ8:LWB8"/>
    <mergeCell ref="LWC8:LWE8"/>
    <mergeCell ref="LWF8:LWH8"/>
    <mergeCell ref="LWI8:LWK8"/>
    <mergeCell ref="LWL8:LWN8"/>
    <mergeCell ref="LWO8:LWQ8"/>
    <mergeCell ref="MDP8:MDR8"/>
    <mergeCell ref="MDS8:MDU8"/>
    <mergeCell ref="MDV8:MDX8"/>
    <mergeCell ref="MDY8:MEA8"/>
    <mergeCell ref="MEB8:MED8"/>
    <mergeCell ref="MEE8:MEG8"/>
    <mergeCell ref="MCX8:MCZ8"/>
    <mergeCell ref="MDA8:MDC8"/>
    <mergeCell ref="MDD8:MDF8"/>
    <mergeCell ref="MDG8:MDI8"/>
    <mergeCell ref="MDJ8:MDL8"/>
    <mergeCell ref="MDM8:MDO8"/>
    <mergeCell ref="MCF8:MCH8"/>
    <mergeCell ref="MCI8:MCK8"/>
    <mergeCell ref="MCL8:MCN8"/>
    <mergeCell ref="MCO8:MCQ8"/>
    <mergeCell ref="MCR8:MCT8"/>
    <mergeCell ref="MCU8:MCW8"/>
    <mergeCell ref="MBN8:MBP8"/>
    <mergeCell ref="MBQ8:MBS8"/>
    <mergeCell ref="MBT8:MBV8"/>
    <mergeCell ref="MBW8:MBY8"/>
    <mergeCell ref="MBZ8:MCB8"/>
    <mergeCell ref="MCC8:MCE8"/>
    <mergeCell ref="MAV8:MAX8"/>
    <mergeCell ref="MAY8:MBA8"/>
    <mergeCell ref="MBB8:MBD8"/>
    <mergeCell ref="MBE8:MBG8"/>
    <mergeCell ref="MBH8:MBJ8"/>
    <mergeCell ref="MBK8:MBM8"/>
    <mergeCell ref="MAD8:MAF8"/>
    <mergeCell ref="MAG8:MAI8"/>
    <mergeCell ref="MAJ8:MAL8"/>
    <mergeCell ref="MAM8:MAO8"/>
    <mergeCell ref="MAP8:MAR8"/>
    <mergeCell ref="MAS8:MAU8"/>
    <mergeCell ref="MHT8:MHV8"/>
    <mergeCell ref="MHW8:MHY8"/>
    <mergeCell ref="MHZ8:MIB8"/>
    <mergeCell ref="MIC8:MIE8"/>
    <mergeCell ref="MIF8:MIH8"/>
    <mergeCell ref="MII8:MIK8"/>
    <mergeCell ref="MHB8:MHD8"/>
    <mergeCell ref="MHE8:MHG8"/>
    <mergeCell ref="MHH8:MHJ8"/>
    <mergeCell ref="MHK8:MHM8"/>
    <mergeCell ref="MHN8:MHP8"/>
    <mergeCell ref="MHQ8:MHS8"/>
    <mergeCell ref="MGJ8:MGL8"/>
    <mergeCell ref="MGM8:MGO8"/>
    <mergeCell ref="MGP8:MGR8"/>
    <mergeCell ref="MGS8:MGU8"/>
    <mergeCell ref="MGV8:MGX8"/>
    <mergeCell ref="MGY8:MHA8"/>
    <mergeCell ref="MFR8:MFT8"/>
    <mergeCell ref="MFU8:MFW8"/>
    <mergeCell ref="MFX8:MFZ8"/>
    <mergeCell ref="MGA8:MGC8"/>
    <mergeCell ref="MGD8:MGF8"/>
    <mergeCell ref="MGG8:MGI8"/>
    <mergeCell ref="MEZ8:MFB8"/>
    <mergeCell ref="MFC8:MFE8"/>
    <mergeCell ref="MFF8:MFH8"/>
    <mergeCell ref="MFI8:MFK8"/>
    <mergeCell ref="MFL8:MFN8"/>
    <mergeCell ref="MFO8:MFQ8"/>
    <mergeCell ref="MEH8:MEJ8"/>
    <mergeCell ref="MEK8:MEM8"/>
    <mergeCell ref="MEN8:MEP8"/>
    <mergeCell ref="MEQ8:MES8"/>
    <mergeCell ref="MET8:MEV8"/>
    <mergeCell ref="MEW8:MEY8"/>
    <mergeCell ref="MLX8:MLZ8"/>
    <mergeCell ref="MMA8:MMC8"/>
    <mergeCell ref="MMD8:MMF8"/>
    <mergeCell ref="MMG8:MMI8"/>
    <mergeCell ref="MMJ8:MML8"/>
    <mergeCell ref="MMM8:MMO8"/>
    <mergeCell ref="MLF8:MLH8"/>
    <mergeCell ref="MLI8:MLK8"/>
    <mergeCell ref="MLL8:MLN8"/>
    <mergeCell ref="MLO8:MLQ8"/>
    <mergeCell ref="MLR8:MLT8"/>
    <mergeCell ref="MLU8:MLW8"/>
    <mergeCell ref="MKN8:MKP8"/>
    <mergeCell ref="MKQ8:MKS8"/>
    <mergeCell ref="MKT8:MKV8"/>
    <mergeCell ref="MKW8:MKY8"/>
    <mergeCell ref="MKZ8:MLB8"/>
    <mergeCell ref="MLC8:MLE8"/>
    <mergeCell ref="MJV8:MJX8"/>
    <mergeCell ref="MJY8:MKA8"/>
    <mergeCell ref="MKB8:MKD8"/>
    <mergeCell ref="MKE8:MKG8"/>
    <mergeCell ref="MKH8:MKJ8"/>
    <mergeCell ref="MKK8:MKM8"/>
    <mergeCell ref="MJD8:MJF8"/>
    <mergeCell ref="MJG8:MJI8"/>
    <mergeCell ref="MJJ8:MJL8"/>
    <mergeCell ref="MJM8:MJO8"/>
    <mergeCell ref="MJP8:MJR8"/>
    <mergeCell ref="MJS8:MJU8"/>
    <mergeCell ref="MIL8:MIN8"/>
    <mergeCell ref="MIO8:MIQ8"/>
    <mergeCell ref="MIR8:MIT8"/>
    <mergeCell ref="MIU8:MIW8"/>
    <mergeCell ref="MIX8:MIZ8"/>
    <mergeCell ref="MJA8:MJC8"/>
    <mergeCell ref="MQB8:MQD8"/>
    <mergeCell ref="MQE8:MQG8"/>
    <mergeCell ref="MQH8:MQJ8"/>
    <mergeCell ref="MQK8:MQM8"/>
    <mergeCell ref="MQN8:MQP8"/>
    <mergeCell ref="MQQ8:MQS8"/>
    <mergeCell ref="MPJ8:MPL8"/>
    <mergeCell ref="MPM8:MPO8"/>
    <mergeCell ref="MPP8:MPR8"/>
    <mergeCell ref="MPS8:MPU8"/>
    <mergeCell ref="MPV8:MPX8"/>
    <mergeCell ref="MPY8:MQA8"/>
    <mergeCell ref="MOR8:MOT8"/>
    <mergeCell ref="MOU8:MOW8"/>
    <mergeCell ref="MOX8:MOZ8"/>
    <mergeCell ref="MPA8:MPC8"/>
    <mergeCell ref="MPD8:MPF8"/>
    <mergeCell ref="MPG8:MPI8"/>
    <mergeCell ref="MNZ8:MOB8"/>
    <mergeCell ref="MOC8:MOE8"/>
    <mergeCell ref="MOF8:MOH8"/>
    <mergeCell ref="MOI8:MOK8"/>
    <mergeCell ref="MOL8:MON8"/>
    <mergeCell ref="MOO8:MOQ8"/>
    <mergeCell ref="MNH8:MNJ8"/>
    <mergeCell ref="MNK8:MNM8"/>
    <mergeCell ref="MNN8:MNP8"/>
    <mergeCell ref="MNQ8:MNS8"/>
    <mergeCell ref="MNT8:MNV8"/>
    <mergeCell ref="MNW8:MNY8"/>
    <mergeCell ref="MMP8:MMR8"/>
    <mergeCell ref="MMS8:MMU8"/>
    <mergeCell ref="MMV8:MMX8"/>
    <mergeCell ref="MMY8:MNA8"/>
    <mergeCell ref="MNB8:MND8"/>
    <mergeCell ref="MNE8:MNG8"/>
    <mergeCell ref="MUF8:MUH8"/>
    <mergeCell ref="MUI8:MUK8"/>
    <mergeCell ref="MUL8:MUN8"/>
    <mergeCell ref="MUO8:MUQ8"/>
    <mergeCell ref="MUR8:MUT8"/>
    <mergeCell ref="MUU8:MUW8"/>
    <mergeCell ref="MTN8:MTP8"/>
    <mergeCell ref="MTQ8:MTS8"/>
    <mergeCell ref="MTT8:MTV8"/>
    <mergeCell ref="MTW8:MTY8"/>
    <mergeCell ref="MTZ8:MUB8"/>
    <mergeCell ref="MUC8:MUE8"/>
    <mergeCell ref="MSV8:MSX8"/>
    <mergeCell ref="MSY8:MTA8"/>
    <mergeCell ref="MTB8:MTD8"/>
    <mergeCell ref="MTE8:MTG8"/>
    <mergeCell ref="MTH8:MTJ8"/>
    <mergeCell ref="MTK8:MTM8"/>
    <mergeCell ref="MSD8:MSF8"/>
    <mergeCell ref="MSG8:MSI8"/>
    <mergeCell ref="MSJ8:MSL8"/>
    <mergeCell ref="MSM8:MSO8"/>
    <mergeCell ref="MSP8:MSR8"/>
    <mergeCell ref="MSS8:MSU8"/>
    <mergeCell ref="MRL8:MRN8"/>
    <mergeCell ref="MRO8:MRQ8"/>
    <mergeCell ref="MRR8:MRT8"/>
    <mergeCell ref="MRU8:MRW8"/>
    <mergeCell ref="MRX8:MRZ8"/>
    <mergeCell ref="MSA8:MSC8"/>
    <mergeCell ref="MQT8:MQV8"/>
    <mergeCell ref="MQW8:MQY8"/>
    <mergeCell ref="MQZ8:MRB8"/>
    <mergeCell ref="MRC8:MRE8"/>
    <mergeCell ref="MRF8:MRH8"/>
    <mergeCell ref="MRI8:MRK8"/>
    <mergeCell ref="MYJ8:MYL8"/>
    <mergeCell ref="MYM8:MYO8"/>
    <mergeCell ref="MYP8:MYR8"/>
    <mergeCell ref="MYS8:MYU8"/>
    <mergeCell ref="MYV8:MYX8"/>
    <mergeCell ref="MYY8:MZA8"/>
    <mergeCell ref="MXR8:MXT8"/>
    <mergeCell ref="MXU8:MXW8"/>
    <mergeCell ref="MXX8:MXZ8"/>
    <mergeCell ref="MYA8:MYC8"/>
    <mergeCell ref="MYD8:MYF8"/>
    <mergeCell ref="MYG8:MYI8"/>
    <mergeCell ref="MWZ8:MXB8"/>
    <mergeCell ref="MXC8:MXE8"/>
    <mergeCell ref="MXF8:MXH8"/>
    <mergeCell ref="MXI8:MXK8"/>
    <mergeCell ref="MXL8:MXN8"/>
    <mergeCell ref="MXO8:MXQ8"/>
    <mergeCell ref="MWH8:MWJ8"/>
    <mergeCell ref="MWK8:MWM8"/>
    <mergeCell ref="MWN8:MWP8"/>
    <mergeCell ref="MWQ8:MWS8"/>
    <mergeCell ref="MWT8:MWV8"/>
    <mergeCell ref="MWW8:MWY8"/>
    <mergeCell ref="MVP8:MVR8"/>
    <mergeCell ref="MVS8:MVU8"/>
    <mergeCell ref="MVV8:MVX8"/>
    <mergeCell ref="MVY8:MWA8"/>
    <mergeCell ref="MWB8:MWD8"/>
    <mergeCell ref="MWE8:MWG8"/>
    <mergeCell ref="MUX8:MUZ8"/>
    <mergeCell ref="MVA8:MVC8"/>
    <mergeCell ref="MVD8:MVF8"/>
    <mergeCell ref="MVG8:MVI8"/>
    <mergeCell ref="MVJ8:MVL8"/>
    <mergeCell ref="MVM8:MVO8"/>
    <mergeCell ref="NCN8:NCP8"/>
    <mergeCell ref="NCQ8:NCS8"/>
    <mergeCell ref="NCT8:NCV8"/>
    <mergeCell ref="NCW8:NCY8"/>
    <mergeCell ref="NCZ8:NDB8"/>
    <mergeCell ref="NDC8:NDE8"/>
    <mergeCell ref="NBV8:NBX8"/>
    <mergeCell ref="NBY8:NCA8"/>
    <mergeCell ref="NCB8:NCD8"/>
    <mergeCell ref="NCE8:NCG8"/>
    <mergeCell ref="NCH8:NCJ8"/>
    <mergeCell ref="NCK8:NCM8"/>
    <mergeCell ref="NBD8:NBF8"/>
    <mergeCell ref="NBG8:NBI8"/>
    <mergeCell ref="NBJ8:NBL8"/>
    <mergeCell ref="NBM8:NBO8"/>
    <mergeCell ref="NBP8:NBR8"/>
    <mergeCell ref="NBS8:NBU8"/>
    <mergeCell ref="NAL8:NAN8"/>
    <mergeCell ref="NAO8:NAQ8"/>
    <mergeCell ref="NAR8:NAT8"/>
    <mergeCell ref="NAU8:NAW8"/>
    <mergeCell ref="NAX8:NAZ8"/>
    <mergeCell ref="NBA8:NBC8"/>
    <mergeCell ref="MZT8:MZV8"/>
    <mergeCell ref="MZW8:MZY8"/>
    <mergeCell ref="MZZ8:NAB8"/>
    <mergeCell ref="NAC8:NAE8"/>
    <mergeCell ref="NAF8:NAH8"/>
    <mergeCell ref="NAI8:NAK8"/>
    <mergeCell ref="MZB8:MZD8"/>
    <mergeCell ref="MZE8:MZG8"/>
    <mergeCell ref="MZH8:MZJ8"/>
    <mergeCell ref="MZK8:MZM8"/>
    <mergeCell ref="MZN8:MZP8"/>
    <mergeCell ref="MZQ8:MZS8"/>
    <mergeCell ref="NGR8:NGT8"/>
    <mergeCell ref="NGU8:NGW8"/>
    <mergeCell ref="NGX8:NGZ8"/>
    <mergeCell ref="NHA8:NHC8"/>
    <mergeCell ref="NHD8:NHF8"/>
    <mergeCell ref="NHG8:NHI8"/>
    <mergeCell ref="NFZ8:NGB8"/>
    <mergeCell ref="NGC8:NGE8"/>
    <mergeCell ref="NGF8:NGH8"/>
    <mergeCell ref="NGI8:NGK8"/>
    <mergeCell ref="NGL8:NGN8"/>
    <mergeCell ref="NGO8:NGQ8"/>
    <mergeCell ref="NFH8:NFJ8"/>
    <mergeCell ref="NFK8:NFM8"/>
    <mergeCell ref="NFN8:NFP8"/>
    <mergeCell ref="NFQ8:NFS8"/>
    <mergeCell ref="NFT8:NFV8"/>
    <mergeCell ref="NFW8:NFY8"/>
    <mergeCell ref="NEP8:NER8"/>
    <mergeCell ref="NES8:NEU8"/>
    <mergeCell ref="NEV8:NEX8"/>
    <mergeCell ref="NEY8:NFA8"/>
    <mergeCell ref="NFB8:NFD8"/>
    <mergeCell ref="NFE8:NFG8"/>
    <mergeCell ref="NDX8:NDZ8"/>
    <mergeCell ref="NEA8:NEC8"/>
    <mergeCell ref="NED8:NEF8"/>
    <mergeCell ref="NEG8:NEI8"/>
    <mergeCell ref="NEJ8:NEL8"/>
    <mergeCell ref="NEM8:NEO8"/>
    <mergeCell ref="NDF8:NDH8"/>
    <mergeCell ref="NDI8:NDK8"/>
    <mergeCell ref="NDL8:NDN8"/>
    <mergeCell ref="NDO8:NDQ8"/>
    <mergeCell ref="NDR8:NDT8"/>
    <mergeCell ref="NDU8:NDW8"/>
    <mergeCell ref="NKV8:NKX8"/>
    <mergeCell ref="NKY8:NLA8"/>
    <mergeCell ref="NLB8:NLD8"/>
    <mergeCell ref="NLE8:NLG8"/>
    <mergeCell ref="NLH8:NLJ8"/>
    <mergeCell ref="NLK8:NLM8"/>
    <mergeCell ref="NKD8:NKF8"/>
    <mergeCell ref="NKG8:NKI8"/>
    <mergeCell ref="NKJ8:NKL8"/>
    <mergeCell ref="NKM8:NKO8"/>
    <mergeCell ref="NKP8:NKR8"/>
    <mergeCell ref="NKS8:NKU8"/>
    <mergeCell ref="NJL8:NJN8"/>
    <mergeCell ref="NJO8:NJQ8"/>
    <mergeCell ref="NJR8:NJT8"/>
    <mergeCell ref="NJU8:NJW8"/>
    <mergeCell ref="NJX8:NJZ8"/>
    <mergeCell ref="NKA8:NKC8"/>
    <mergeCell ref="NIT8:NIV8"/>
    <mergeCell ref="NIW8:NIY8"/>
    <mergeCell ref="NIZ8:NJB8"/>
    <mergeCell ref="NJC8:NJE8"/>
    <mergeCell ref="NJF8:NJH8"/>
    <mergeCell ref="NJI8:NJK8"/>
    <mergeCell ref="NIB8:NID8"/>
    <mergeCell ref="NIE8:NIG8"/>
    <mergeCell ref="NIH8:NIJ8"/>
    <mergeCell ref="NIK8:NIM8"/>
    <mergeCell ref="NIN8:NIP8"/>
    <mergeCell ref="NIQ8:NIS8"/>
    <mergeCell ref="NHJ8:NHL8"/>
    <mergeCell ref="NHM8:NHO8"/>
    <mergeCell ref="NHP8:NHR8"/>
    <mergeCell ref="NHS8:NHU8"/>
    <mergeCell ref="NHV8:NHX8"/>
    <mergeCell ref="NHY8:NIA8"/>
    <mergeCell ref="NOZ8:NPB8"/>
    <mergeCell ref="NPC8:NPE8"/>
    <mergeCell ref="NPF8:NPH8"/>
    <mergeCell ref="NPI8:NPK8"/>
    <mergeCell ref="NPL8:NPN8"/>
    <mergeCell ref="NPO8:NPQ8"/>
    <mergeCell ref="NOH8:NOJ8"/>
    <mergeCell ref="NOK8:NOM8"/>
    <mergeCell ref="NON8:NOP8"/>
    <mergeCell ref="NOQ8:NOS8"/>
    <mergeCell ref="NOT8:NOV8"/>
    <mergeCell ref="NOW8:NOY8"/>
    <mergeCell ref="NNP8:NNR8"/>
    <mergeCell ref="NNS8:NNU8"/>
    <mergeCell ref="NNV8:NNX8"/>
    <mergeCell ref="NNY8:NOA8"/>
    <mergeCell ref="NOB8:NOD8"/>
    <mergeCell ref="NOE8:NOG8"/>
    <mergeCell ref="NMX8:NMZ8"/>
    <mergeCell ref="NNA8:NNC8"/>
    <mergeCell ref="NND8:NNF8"/>
    <mergeCell ref="NNG8:NNI8"/>
    <mergeCell ref="NNJ8:NNL8"/>
    <mergeCell ref="NNM8:NNO8"/>
    <mergeCell ref="NMF8:NMH8"/>
    <mergeCell ref="NMI8:NMK8"/>
    <mergeCell ref="NML8:NMN8"/>
    <mergeCell ref="NMO8:NMQ8"/>
    <mergeCell ref="NMR8:NMT8"/>
    <mergeCell ref="NMU8:NMW8"/>
    <mergeCell ref="NLN8:NLP8"/>
    <mergeCell ref="NLQ8:NLS8"/>
    <mergeCell ref="NLT8:NLV8"/>
    <mergeCell ref="NLW8:NLY8"/>
    <mergeCell ref="NLZ8:NMB8"/>
    <mergeCell ref="NMC8:NME8"/>
    <mergeCell ref="NTD8:NTF8"/>
    <mergeCell ref="NTG8:NTI8"/>
    <mergeCell ref="NTJ8:NTL8"/>
    <mergeCell ref="NTM8:NTO8"/>
    <mergeCell ref="NTP8:NTR8"/>
    <mergeCell ref="NTS8:NTU8"/>
    <mergeCell ref="NSL8:NSN8"/>
    <mergeCell ref="NSO8:NSQ8"/>
    <mergeCell ref="NSR8:NST8"/>
    <mergeCell ref="NSU8:NSW8"/>
    <mergeCell ref="NSX8:NSZ8"/>
    <mergeCell ref="NTA8:NTC8"/>
    <mergeCell ref="NRT8:NRV8"/>
    <mergeCell ref="NRW8:NRY8"/>
    <mergeCell ref="NRZ8:NSB8"/>
    <mergeCell ref="NSC8:NSE8"/>
    <mergeCell ref="NSF8:NSH8"/>
    <mergeCell ref="NSI8:NSK8"/>
    <mergeCell ref="NRB8:NRD8"/>
    <mergeCell ref="NRE8:NRG8"/>
    <mergeCell ref="NRH8:NRJ8"/>
    <mergeCell ref="NRK8:NRM8"/>
    <mergeCell ref="NRN8:NRP8"/>
    <mergeCell ref="NRQ8:NRS8"/>
    <mergeCell ref="NQJ8:NQL8"/>
    <mergeCell ref="NQM8:NQO8"/>
    <mergeCell ref="NQP8:NQR8"/>
    <mergeCell ref="NQS8:NQU8"/>
    <mergeCell ref="NQV8:NQX8"/>
    <mergeCell ref="NQY8:NRA8"/>
    <mergeCell ref="NPR8:NPT8"/>
    <mergeCell ref="NPU8:NPW8"/>
    <mergeCell ref="NPX8:NPZ8"/>
    <mergeCell ref="NQA8:NQC8"/>
    <mergeCell ref="NQD8:NQF8"/>
    <mergeCell ref="NQG8:NQI8"/>
    <mergeCell ref="NXH8:NXJ8"/>
    <mergeCell ref="NXK8:NXM8"/>
    <mergeCell ref="NXN8:NXP8"/>
    <mergeCell ref="NXQ8:NXS8"/>
    <mergeCell ref="NXT8:NXV8"/>
    <mergeCell ref="NXW8:NXY8"/>
    <mergeCell ref="NWP8:NWR8"/>
    <mergeCell ref="NWS8:NWU8"/>
    <mergeCell ref="NWV8:NWX8"/>
    <mergeCell ref="NWY8:NXA8"/>
    <mergeCell ref="NXB8:NXD8"/>
    <mergeCell ref="NXE8:NXG8"/>
    <mergeCell ref="NVX8:NVZ8"/>
    <mergeCell ref="NWA8:NWC8"/>
    <mergeCell ref="NWD8:NWF8"/>
    <mergeCell ref="NWG8:NWI8"/>
    <mergeCell ref="NWJ8:NWL8"/>
    <mergeCell ref="NWM8:NWO8"/>
    <mergeCell ref="NVF8:NVH8"/>
    <mergeCell ref="NVI8:NVK8"/>
    <mergeCell ref="NVL8:NVN8"/>
    <mergeCell ref="NVO8:NVQ8"/>
    <mergeCell ref="NVR8:NVT8"/>
    <mergeCell ref="NVU8:NVW8"/>
    <mergeCell ref="NUN8:NUP8"/>
    <mergeCell ref="NUQ8:NUS8"/>
    <mergeCell ref="NUT8:NUV8"/>
    <mergeCell ref="NUW8:NUY8"/>
    <mergeCell ref="NUZ8:NVB8"/>
    <mergeCell ref="NVC8:NVE8"/>
    <mergeCell ref="NTV8:NTX8"/>
    <mergeCell ref="NTY8:NUA8"/>
    <mergeCell ref="NUB8:NUD8"/>
    <mergeCell ref="NUE8:NUG8"/>
    <mergeCell ref="NUH8:NUJ8"/>
    <mergeCell ref="NUK8:NUM8"/>
    <mergeCell ref="OBL8:OBN8"/>
    <mergeCell ref="OBO8:OBQ8"/>
    <mergeCell ref="OBR8:OBT8"/>
    <mergeCell ref="OBU8:OBW8"/>
    <mergeCell ref="OBX8:OBZ8"/>
    <mergeCell ref="OCA8:OCC8"/>
    <mergeCell ref="OAT8:OAV8"/>
    <mergeCell ref="OAW8:OAY8"/>
    <mergeCell ref="OAZ8:OBB8"/>
    <mergeCell ref="OBC8:OBE8"/>
    <mergeCell ref="OBF8:OBH8"/>
    <mergeCell ref="OBI8:OBK8"/>
    <mergeCell ref="OAB8:OAD8"/>
    <mergeCell ref="OAE8:OAG8"/>
    <mergeCell ref="OAH8:OAJ8"/>
    <mergeCell ref="OAK8:OAM8"/>
    <mergeCell ref="OAN8:OAP8"/>
    <mergeCell ref="OAQ8:OAS8"/>
    <mergeCell ref="NZJ8:NZL8"/>
    <mergeCell ref="NZM8:NZO8"/>
    <mergeCell ref="NZP8:NZR8"/>
    <mergeCell ref="NZS8:NZU8"/>
    <mergeCell ref="NZV8:NZX8"/>
    <mergeCell ref="NZY8:OAA8"/>
    <mergeCell ref="NYR8:NYT8"/>
    <mergeCell ref="NYU8:NYW8"/>
    <mergeCell ref="NYX8:NYZ8"/>
    <mergeCell ref="NZA8:NZC8"/>
    <mergeCell ref="NZD8:NZF8"/>
    <mergeCell ref="NZG8:NZI8"/>
    <mergeCell ref="NXZ8:NYB8"/>
    <mergeCell ref="NYC8:NYE8"/>
    <mergeCell ref="NYF8:NYH8"/>
    <mergeCell ref="NYI8:NYK8"/>
    <mergeCell ref="NYL8:NYN8"/>
    <mergeCell ref="NYO8:NYQ8"/>
    <mergeCell ref="OFP8:OFR8"/>
    <mergeCell ref="OFS8:OFU8"/>
    <mergeCell ref="OFV8:OFX8"/>
    <mergeCell ref="OFY8:OGA8"/>
    <mergeCell ref="OGB8:OGD8"/>
    <mergeCell ref="OGE8:OGG8"/>
    <mergeCell ref="OEX8:OEZ8"/>
    <mergeCell ref="OFA8:OFC8"/>
    <mergeCell ref="OFD8:OFF8"/>
    <mergeCell ref="OFG8:OFI8"/>
    <mergeCell ref="OFJ8:OFL8"/>
    <mergeCell ref="OFM8:OFO8"/>
    <mergeCell ref="OEF8:OEH8"/>
    <mergeCell ref="OEI8:OEK8"/>
    <mergeCell ref="OEL8:OEN8"/>
    <mergeCell ref="OEO8:OEQ8"/>
    <mergeCell ref="OER8:OET8"/>
    <mergeCell ref="OEU8:OEW8"/>
    <mergeCell ref="ODN8:ODP8"/>
    <mergeCell ref="ODQ8:ODS8"/>
    <mergeCell ref="ODT8:ODV8"/>
    <mergeCell ref="ODW8:ODY8"/>
    <mergeCell ref="ODZ8:OEB8"/>
    <mergeCell ref="OEC8:OEE8"/>
    <mergeCell ref="OCV8:OCX8"/>
    <mergeCell ref="OCY8:ODA8"/>
    <mergeCell ref="ODB8:ODD8"/>
    <mergeCell ref="ODE8:ODG8"/>
    <mergeCell ref="ODH8:ODJ8"/>
    <mergeCell ref="ODK8:ODM8"/>
    <mergeCell ref="OCD8:OCF8"/>
    <mergeCell ref="OCG8:OCI8"/>
    <mergeCell ref="OCJ8:OCL8"/>
    <mergeCell ref="OCM8:OCO8"/>
    <mergeCell ref="OCP8:OCR8"/>
    <mergeCell ref="OCS8:OCU8"/>
    <mergeCell ref="OJT8:OJV8"/>
    <mergeCell ref="OJW8:OJY8"/>
    <mergeCell ref="OJZ8:OKB8"/>
    <mergeCell ref="OKC8:OKE8"/>
    <mergeCell ref="OKF8:OKH8"/>
    <mergeCell ref="OKI8:OKK8"/>
    <mergeCell ref="OJB8:OJD8"/>
    <mergeCell ref="OJE8:OJG8"/>
    <mergeCell ref="OJH8:OJJ8"/>
    <mergeCell ref="OJK8:OJM8"/>
    <mergeCell ref="OJN8:OJP8"/>
    <mergeCell ref="OJQ8:OJS8"/>
    <mergeCell ref="OIJ8:OIL8"/>
    <mergeCell ref="OIM8:OIO8"/>
    <mergeCell ref="OIP8:OIR8"/>
    <mergeCell ref="OIS8:OIU8"/>
    <mergeCell ref="OIV8:OIX8"/>
    <mergeCell ref="OIY8:OJA8"/>
    <mergeCell ref="OHR8:OHT8"/>
    <mergeCell ref="OHU8:OHW8"/>
    <mergeCell ref="OHX8:OHZ8"/>
    <mergeCell ref="OIA8:OIC8"/>
    <mergeCell ref="OID8:OIF8"/>
    <mergeCell ref="OIG8:OII8"/>
    <mergeCell ref="OGZ8:OHB8"/>
    <mergeCell ref="OHC8:OHE8"/>
    <mergeCell ref="OHF8:OHH8"/>
    <mergeCell ref="OHI8:OHK8"/>
    <mergeCell ref="OHL8:OHN8"/>
    <mergeCell ref="OHO8:OHQ8"/>
    <mergeCell ref="OGH8:OGJ8"/>
    <mergeCell ref="OGK8:OGM8"/>
    <mergeCell ref="OGN8:OGP8"/>
    <mergeCell ref="OGQ8:OGS8"/>
    <mergeCell ref="OGT8:OGV8"/>
    <mergeCell ref="OGW8:OGY8"/>
    <mergeCell ref="ONX8:ONZ8"/>
    <mergeCell ref="OOA8:OOC8"/>
    <mergeCell ref="OOD8:OOF8"/>
    <mergeCell ref="OOG8:OOI8"/>
    <mergeCell ref="OOJ8:OOL8"/>
    <mergeCell ref="OOM8:OOO8"/>
    <mergeCell ref="ONF8:ONH8"/>
    <mergeCell ref="ONI8:ONK8"/>
    <mergeCell ref="ONL8:ONN8"/>
    <mergeCell ref="ONO8:ONQ8"/>
    <mergeCell ref="ONR8:ONT8"/>
    <mergeCell ref="ONU8:ONW8"/>
    <mergeCell ref="OMN8:OMP8"/>
    <mergeCell ref="OMQ8:OMS8"/>
    <mergeCell ref="OMT8:OMV8"/>
    <mergeCell ref="OMW8:OMY8"/>
    <mergeCell ref="OMZ8:ONB8"/>
    <mergeCell ref="ONC8:ONE8"/>
    <mergeCell ref="OLV8:OLX8"/>
    <mergeCell ref="OLY8:OMA8"/>
    <mergeCell ref="OMB8:OMD8"/>
    <mergeCell ref="OME8:OMG8"/>
    <mergeCell ref="OMH8:OMJ8"/>
    <mergeCell ref="OMK8:OMM8"/>
    <mergeCell ref="OLD8:OLF8"/>
    <mergeCell ref="OLG8:OLI8"/>
    <mergeCell ref="OLJ8:OLL8"/>
    <mergeCell ref="OLM8:OLO8"/>
    <mergeCell ref="OLP8:OLR8"/>
    <mergeCell ref="OLS8:OLU8"/>
    <mergeCell ref="OKL8:OKN8"/>
    <mergeCell ref="OKO8:OKQ8"/>
    <mergeCell ref="OKR8:OKT8"/>
    <mergeCell ref="OKU8:OKW8"/>
    <mergeCell ref="OKX8:OKZ8"/>
    <mergeCell ref="OLA8:OLC8"/>
    <mergeCell ref="OSB8:OSD8"/>
    <mergeCell ref="OSE8:OSG8"/>
    <mergeCell ref="OSH8:OSJ8"/>
    <mergeCell ref="OSK8:OSM8"/>
    <mergeCell ref="OSN8:OSP8"/>
    <mergeCell ref="OSQ8:OSS8"/>
    <mergeCell ref="ORJ8:ORL8"/>
    <mergeCell ref="ORM8:ORO8"/>
    <mergeCell ref="ORP8:ORR8"/>
    <mergeCell ref="ORS8:ORU8"/>
    <mergeCell ref="ORV8:ORX8"/>
    <mergeCell ref="ORY8:OSA8"/>
    <mergeCell ref="OQR8:OQT8"/>
    <mergeCell ref="OQU8:OQW8"/>
    <mergeCell ref="OQX8:OQZ8"/>
    <mergeCell ref="ORA8:ORC8"/>
    <mergeCell ref="ORD8:ORF8"/>
    <mergeCell ref="ORG8:ORI8"/>
    <mergeCell ref="OPZ8:OQB8"/>
    <mergeCell ref="OQC8:OQE8"/>
    <mergeCell ref="OQF8:OQH8"/>
    <mergeCell ref="OQI8:OQK8"/>
    <mergeCell ref="OQL8:OQN8"/>
    <mergeCell ref="OQO8:OQQ8"/>
    <mergeCell ref="OPH8:OPJ8"/>
    <mergeCell ref="OPK8:OPM8"/>
    <mergeCell ref="OPN8:OPP8"/>
    <mergeCell ref="OPQ8:OPS8"/>
    <mergeCell ref="OPT8:OPV8"/>
    <mergeCell ref="OPW8:OPY8"/>
    <mergeCell ref="OOP8:OOR8"/>
    <mergeCell ref="OOS8:OOU8"/>
    <mergeCell ref="OOV8:OOX8"/>
    <mergeCell ref="OOY8:OPA8"/>
    <mergeCell ref="OPB8:OPD8"/>
    <mergeCell ref="OPE8:OPG8"/>
    <mergeCell ref="OWF8:OWH8"/>
    <mergeCell ref="OWI8:OWK8"/>
    <mergeCell ref="OWL8:OWN8"/>
    <mergeCell ref="OWO8:OWQ8"/>
    <mergeCell ref="OWR8:OWT8"/>
    <mergeCell ref="OWU8:OWW8"/>
    <mergeCell ref="OVN8:OVP8"/>
    <mergeCell ref="OVQ8:OVS8"/>
    <mergeCell ref="OVT8:OVV8"/>
    <mergeCell ref="OVW8:OVY8"/>
    <mergeCell ref="OVZ8:OWB8"/>
    <mergeCell ref="OWC8:OWE8"/>
    <mergeCell ref="OUV8:OUX8"/>
    <mergeCell ref="OUY8:OVA8"/>
    <mergeCell ref="OVB8:OVD8"/>
    <mergeCell ref="OVE8:OVG8"/>
    <mergeCell ref="OVH8:OVJ8"/>
    <mergeCell ref="OVK8:OVM8"/>
    <mergeCell ref="OUD8:OUF8"/>
    <mergeCell ref="OUG8:OUI8"/>
    <mergeCell ref="OUJ8:OUL8"/>
    <mergeCell ref="OUM8:OUO8"/>
    <mergeCell ref="OUP8:OUR8"/>
    <mergeCell ref="OUS8:OUU8"/>
    <mergeCell ref="OTL8:OTN8"/>
    <mergeCell ref="OTO8:OTQ8"/>
    <mergeCell ref="OTR8:OTT8"/>
    <mergeCell ref="OTU8:OTW8"/>
    <mergeCell ref="OTX8:OTZ8"/>
    <mergeCell ref="OUA8:OUC8"/>
    <mergeCell ref="OST8:OSV8"/>
    <mergeCell ref="OSW8:OSY8"/>
    <mergeCell ref="OSZ8:OTB8"/>
    <mergeCell ref="OTC8:OTE8"/>
    <mergeCell ref="OTF8:OTH8"/>
    <mergeCell ref="OTI8:OTK8"/>
    <mergeCell ref="PAJ8:PAL8"/>
    <mergeCell ref="PAM8:PAO8"/>
    <mergeCell ref="PAP8:PAR8"/>
    <mergeCell ref="PAS8:PAU8"/>
    <mergeCell ref="PAV8:PAX8"/>
    <mergeCell ref="PAY8:PBA8"/>
    <mergeCell ref="OZR8:OZT8"/>
    <mergeCell ref="OZU8:OZW8"/>
    <mergeCell ref="OZX8:OZZ8"/>
    <mergeCell ref="PAA8:PAC8"/>
    <mergeCell ref="PAD8:PAF8"/>
    <mergeCell ref="PAG8:PAI8"/>
    <mergeCell ref="OYZ8:OZB8"/>
    <mergeCell ref="OZC8:OZE8"/>
    <mergeCell ref="OZF8:OZH8"/>
    <mergeCell ref="OZI8:OZK8"/>
    <mergeCell ref="OZL8:OZN8"/>
    <mergeCell ref="OZO8:OZQ8"/>
    <mergeCell ref="OYH8:OYJ8"/>
    <mergeCell ref="OYK8:OYM8"/>
    <mergeCell ref="OYN8:OYP8"/>
    <mergeCell ref="OYQ8:OYS8"/>
    <mergeCell ref="OYT8:OYV8"/>
    <mergeCell ref="OYW8:OYY8"/>
    <mergeCell ref="OXP8:OXR8"/>
    <mergeCell ref="OXS8:OXU8"/>
    <mergeCell ref="OXV8:OXX8"/>
    <mergeCell ref="OXY8:OYA8"/>
    <mergeCell ref="OYB8:OYD8"/>
    <mergeCell ref="OYE8:OYG8"/>
    <mergeCell ref="OWX8:OWZ8"/>
    <mergeCell ref="OXA8:OXC8"/>
    <mergeCell ref="OXD8:OXF8"/>
    <mergeCell ref="OXG8:OXI8"/>
    <mergeCell ref="OXJ8:OXL8"/>
    <mergeCell ref="OXM8:OXO8"/>
    <mergeCell ref="PEN8:PEP8"/>
    <mergeCell ref="PEQ8:PES8"/>
    <mergeCell ref="PET8:PEV8"/>
    <mergeCell ref="PEW8:PEY8"/>
    <mergeCell ref="PEZ8:PFB8"/>
    <mergeCell ref="PFC8:PFE8"/>
    <mergeCell ref="PDV8:PDX8"/>
    <mergeCell ref="PDY8:PEA8"/>
    <mergeCell ref="PEB8:PED8"/>
    <mergeCell ref="PEE8:PEG8"/>
    <mergeCell ref="PEH8:PEJ8"/>
    <mergeCell ref="PEK8:PEM8"/>
    <mergeCell ref="PDD8:PDF8"/>
    <mergeCell ref="PDG8:PDI8"/>
    <mergeCell ref="PDJ8:PDL8"/>
    <mergeCell ref="PDM8:PDO8"/>
    <mergeCell ref="PDP8:PDR8"/>
    <mergeCell ref="PDS8:PDU8"/>
    <mergeCell ref="PCL8:PCN8"/>
    <mergeCell ref="PCO8:PCQ8"/>
    <mergeCell ref="PCR8:PCT8"/>
    <mergeCell ref="PCU8:PCW8"/>
    <mergeCell ref="PCX8:PCZ8"/>
    <mergeCell ref="PDA8:PDC8"/>
    <mergeCell ref="PBT8:PBV8"/>
    <mergeCell ref="PBW8:PBY8"/>
    <mergeCell ref="PBZ8:PCB8"/>
    <mergeCell ref="PCC8:PCE8"/>
    <mergeCell ref="PCF8:PCH8"/>
    <mergeCell ref="PCI8:PCK8"/>
    <mergeCell ref="PBB8:PBD8"/>
    <mergeCell ref="PBE8:PBG8"/>
    <mergeCell ref="PBH8:PBJ8"/>
    <mergeCell ref="PBK8:PBM8"/>
    <mergeCell ref="PBN8:PBP8"/>
    <mergeCell ref="PBQ8:PBS8"/>
    <mergeCell ref="PIR8:PIT8"/>
    <mergeCell ref="PIU8:PIW8"/>
    <mergeCell ref="PIX8:PIZ8"/>
    <mergeCell ref="PJA8:PJC8"/>
    <mergeCell ref="PJD8:PJF8"/>
    <mergeCell ref="PJG8:PJI8"/>
    <mergeCell ref="PHZ8:PIB8"/>
    <mergeCell ref="PIC8:PIE8"/>
    <mergeCell ref="PIF8:PIH8"/>
    <mergeCell ref="PII8:PIK8"/>
    <mergeCell ref="PIL8:PIN8"/>
    <mergeCell ref="PIO8:PIQ8"/>
    <mergeCell ref="PHH8:PHJ8"/>
    <mergeCell ref="PHK8:PHM8"/>
    <mergeCell ref="PHN8:PHP8"/>
    <mergeCell ref="PHQ8:PHS8"/>
    <mergeCell ref="PHT8:PHV8"/>
    <mergeCell ref="PHW8:PHY8"/>
    <mergeCell ref="PGP8:PGR8"/>
    <mergeCell ref="PGS8:PGU8"/>
    <mergeCell ref="PGV8:PGX8"/>
    <mergeCell ref="PGY8:PHA8"/>
    <mergeCell ref="PHB8:PHD8"/>
    <mergeCell ref="PHE8:PHG8"/>
    <mergeCell ref="PFX8:PFZ8"/>
    <mergeCell ref="PGA8:PGC8"/>
    <mergeCell ref="PGD8:PGF8"/>
    <mergeCell ref="PGG8:PGI8"/>
    <mergeCell ref="PGJ8:PGL8"/>
    <mergeCell ref="PGM8:PGO8"/>
    <mergeCell ref="PFF8:PFH8"/>
    <mergeCell ref="PFI8:PFK8"/>
    <mergeCell ref="PFL8:PFN8"/>
    <mergeCell ref="PFO8:PFQ8"/>
    <mergeCell ref="PFR8:PFT8"/>
    <mergeCell ref="PFU8:PFW8"/>
    <mergeCell ref="PMV8:PMX8"/>
    <mergeCell ref="PMY8:PNA8"/>
    <mergeCell ref="PNB8:PND8"/>
    <mergeCell ref="PNE8:PNG8"/>
    <mergeCell ref="PNH8:PNJ8"/>
    <mergeCell ref="PNK8:PNM8"/>
    <mergeCell ref="PMD8:PMF8"/>
    <mergeCell ref="PMG8:PMI8"/>
    <mergeCell ref="PMJ8:PML8"/>
    <mergeCell ref="PMM8:PMO8"/>
    <mergeCell ref="PMP8:PMR8"/>
    <mergeCell ref="PMS8:PMU8"/>
    <mergeCell ref="PLL8:PLN8"/>
    <mergeCell ref="PLO8:PLQ8"/>
    <mergeCell ref="PLR8:PLT8"/>
    <mergeCell ref="PLU8:PLW8"/>
    <mergeCell ref="PLX8:PLZ8"/>
    <mergeCell ref="PMA8:PMC8"/>
    <mergeCell ref="PKT8:PKV8"/>
    <mergeCell ref="PKW8:PKY8"/>
    <mergeCell ref="PKZ8:PLB8"/>
    <mergeCell ref="PLC8:PLE8"/>
    <mergeCell ref="PLF8:PLH8"/>
    <mergeCell ref="PLI8:PLK8"/>
    <mergeCell ref="PKB8:PKD8"/>
    <mergeCell ref="PKE8:PKG8"/>
    <mergeCell ref="PKH8:PKJ8"/>
    <mergeCell ref="PKK8:PKM8"/>
    <mergeCell ref="PKN8:PKP8"/>
    <mergeCell ref="PKQ8:PKS8"/>
    <mergeCell ref="PJJ8:PJL8"/>
    <mergeCell ref="PJM8:PJO8"/>
    <mergeCell ref="PJP8:PJR8"/>
    <mergeCell ref="PJS8:PJU8"/>
    <mergeCell ref="PJV8:PJX8"/>
    <mergeCell ref="PJY8:PKA8"/>
    <mergeCell ref="PQZ8:PRB8"/>
    <mergeCell ref="PRC8:PRE8"/>
    <mergeCell ref="PRF8:PRH8"/>
    <mergeCell ref="PRI8:PRK8"/>
    <mergeCell ref="PRL8:PRN8"/>
    <mergeCell ref="PRO8:PRQ8"/>
    <mergeCell ref="PQH8:PQJ8"/>
    <mergeCell ref="PQK8:PQM8"/>
    <mergeCell ref="PQN8:PQP8"/>
    <mergeCell ref="PQQ8:PQS8"/>
    <mergeCell ref="PQT8:PQV8"/>
    <mergeCell ref="PQW8:PQY8"/>
    <mergeCell ref="PPP8:PPR8"/>
    <mergeCell ref="PPS8:PPU8"/>
    <mergeCell ref="PPV8:PPX8"/>
    <mergeCell ref="PPY8:PQA8"/>
    <mergeCell ref="PQB8:PQD8"/>
    <mergeCell ref="PQE8:PQG8"/>
    <mergeCell ref="POX8:POZ8"/>
    <mergeCell ref="PPA8:PPC8"/>
    <mergeCell ref="PPD8:PPF8"/>
    <mergeCell ref="PPG8:PPI8"/>
    <mergeCell ref="PPJ8:PPL8"/>
    <mergeCell ref="PPM8:PPO8"/>
    <mergeCell ref="POF8:POH8"/>
    <mergeCell ref="POI8:POK8"/>
    <mergeCell ref="POL8:PON8"/>
    <mergeCell ref="POO8:POQ8"/>
    <mergeCell ref="POR8:POT8"/>
    <mergeCell ref="POU8:POW8"/>
    <mergeCell ref="PNN8:PNP8"/>
    <mergeCell ref="PNQ8:PNS8"/>
    <mergeCell ref="PNT8:PNV8"/>
    <mergeCell ref="PNW8:PNY8"/>
    <mergeCell ref="PNZ8:POB8"/>
    <mergeCell ref="POC8:POE8"/>
    <mergeCell ref="PVD8:PVF8"/>
    <mergeCell ref="PVG8:PVI8"/>
    <mergeCell ref="PVJ8:PVL8"/>
    <mergeCell ref="PVM8:PVO8"/>
    <mergeCell ref="PVP8:PVR8"/>
    <mergeCell ref="PVS8:PVU8"/>
    <mergeCell ref="PUL8:PUN8"/>
    <mergeCell ref="PUO8:PUQ8"/>
    <mergeCell ref="PUR8:PUT8"/>
    <mergeCell ref="PUU8:PUW8"/>
    <mergeCell ref="PUX8:PUZ8"/>
    <mergeCell ref="PVA8:PVC8"/>
    <mergeCell ref="PTT8:PTV8"/>
    <mergeCell ref="PTW8:PTY8"/>
    <mergeCell ref="PTZ8:PUB8"/>
    <mergeCell ref="PUC8:PUE8"/>
    <mergeCell ref="PUF8:PUH8"/>
    <mergeCell ref="PUI8:PUK8"/>
    <mergeCell ref="PTB8:PTD8"/>
    <mergeCell ref="PTE8:PTG8"/>
    <mergeCell ref="PTH8:PTJ8"/>
    <mergeCell ref="PTK8:PTM8"/>
    <mergeCell ref="PTN8:PTP8"/>
    <mergeCell ref="PTQ8:PTS8"/>
    <mergeCell ref="PSJ8:PSL8"/>
    <mergeCell ref="PSM8:PSO8"/>
    <mergeCell ref="PSP8:PSR8"/>
    <mergeCell ref="PSS8:PSU8"/>
    <mergeCell ref="PSV8:PSX8"/>
    <mergeCell ref="PSY8:PTA8"/>
    <mergeCell ref="PRR8:PRT8"/>
    <mergeCell ref="PRU8:PRW8"/>
    <mergeCell ref="PRX8:PRZ8"/>
    <mergeCell ref="PSA8:PSC8"/>
    <mergeCell ref="PSD8:PSF8"/>
    <mergeCell ref="PSG8:PSI8"/>
    <mergeCell ref="PZH8:PZJ8"/>
    <mergeCell ref="PZK8:PZM8"/>
    <mergeCell ref="PZN8:PZP8"/>
    <mergeCell ref="PZQ8:PZS8"/>
    <mergeCell ref="PZT8:PZV8"/>
    <mergeCell ref="PZW8:PZY8"/>
    <mergeCell ref="PYP8:PYR8"/>
    <mergeCell ref="PYS8:PYU8"/>
    <mergeCell ref="PYV8:PYX8"/>
    <mergeCell ref="PYY8:PZA8"/>
    <mergeCell ref="PZB8:PZD8"/>
    <mergeCell ref="PZE8:PZG8"/>
    <mergeCell ref="PXX8:PXZ8"/>
    <mergeCell ref="PYA8:PYC8"/>
    <mergeCell ref="PYD8:PYF8"/>
    <mergeCell ref="PYG8:PYI8"/>
    <mergeCell ref="PYJ8:PYL8"/>
    <mergeCell ref="PYM8:PYO8"/>
    <mergeCell ref="PXF8:PXH8"/>
    <mergeCell ref="PXI8:PXK8"/>
    <mergeCell ref="PXL8:PXN8"/>
    <mergeCell ref="PXO8:PXQ8"/>
    <mergeCell ref="PXR8:PXT8"/>
    <mergeCell ref="PXU8:PXW8"/>
    <mergeCell ref="PWN8:PWP8"/>
    <mergeCell ref="PWQ8:PWS8"/>
    <mergeCell ref="PWT8:PWV8"/>
    <mergeCell ref="PWW8:PWY8"/>
    <mergeCell ref="PWZ8:PXB8"/>
    <mergeCell ref="PXC8:PXE8"/>
    <mergeCell ref="PVV8:PVX8"/>
    <mergeCell ref="PVY8:PWA8"/>
    <mergeCell ref="PWB8:PWD8"/>
    <mergeCell ref="PWE8:PWG8"/>
    <mergeCell ref="PWH8:PWJ8"/>
    <mergeCell ref="PWK8:PWM8"/>
    <mergeCell ref="QDL8:QDN8"/>
    <mergeCell ref="QDO8:QDQ8"/>
    <mergeCell ref="QDR8:QDT8"/>
    <mergeCell ref="QDU8:QDW8"/>
    <mergeCell ref="QDX8:QDZ8"/>
    <mergeCell ref="QEA8:QEC8"/>
    <mergeCell ref="QCT8:QCV8"/>
    <mergeCell ref="QCW8:QCY8"/>
    <mergeCell ref="QCZ8:QDB8"/>
    <mergeCell ref="QDC8:QDE8"/>
    <mergeCell ref="QDF8:QDH8"/>
    <mergeCell ref="QDI8:QDK8"/>
    <mergeCell ref="QCB8:QCD8"/>
    <mergeCell ref="QCE8:QCG8"/>
    <mergeCell ref="QCH8:QCJ8"/>
    <mergeCell ref="QCK8:QCM8"/>
    <mergeCell ref="QCN8:QCP8"/>
    <mergeCell ref="QCQ8:QCS8"/>
    <mergeCell ref="QBJ8:QBL8"/>
    <mergeCell ref="QBM8:QBO8"/>
    <mergeCell ref="QBP8:QBR8"/>
    <mergeCell ref="QBS8:QBU8"/>
    <mergeCell ref="QBV8:QBX8"/>
    <mergeCell ref="QBY8:QCA8"/>
    <mergeCell ref="QAR8:QAT8"/>
    <mergeCell ref="QAU8:QAW8"/>
    <mergeCell ref="QAX8:QAZ8"/>
    <mergeCell ref="QBA8:QBC8"/>
    <mergeCell ref="QBD8:QBF8"/>
    <mergeCell ref="QBG8:QBI8"/>
    <mergeCell ref="PZZ8:QAB8"/>
    <mergeCell ref="QAC8:QAE8"/>
    <mergeCell ref="QAF8:QAH8"/>
    <mergeCell ref="QAI8:QAK8"/>
    <mergeCell ref="QAL8:QAN8"/>
    <mergeCell ref="QAO8:QAQ8"/>
    <mergeCell ref="QHP8:QHR8"/>
    <mergeCell ref="QHS8:QHU8"/>
    <mergeCell ref="QHV8:QHX8"/>
    <mergeCell ref="QHY8:QIA8"/>
    <mergeCell ref="QIB8:QID8"/>
    <mergeCell ref="QIE8:QIG8"/>
    <mergeCell ref="QGX8:QGZ8"/>
    <mergeCell ref="QHA8:QHC8"/>
    <mergeCell ref="QHD8:QHF8"/>
    <mergeCell ref="QHG8:QHI8"/>
    <mergeCell ref="QHJ8:QHL8"/>
    <mergeCell ref="QHM8:QHO8"/>
    <mergeCell ref="QGF8:QGH8"/>
    <mergeCell ref="QGI8:QGK8"/>
    <mergeCell ref="QGL8:QGN8"/>
    <mergeCell ref="QGO8:QGQ8"/>
    <mergeCell ref="QGR8:QGT8"/>
    <mergeCell ref="QGU8:QGW8"/>
    <mergeCell ref="QFN8:QFP8"/>
    <mergeCell ref="QFQ8:QFS8"/>
    <mergeCell ref="QFT8:QFV8"/>
    <mergeCell ref="QFW8:QFY8"/>
    <mergeCell ref="QFZ8:QGB8"/>
    <mergeCell ref="QGC8:QGE8"/>
    <mergeCell ref="QEV8:QEX8"/>
    <mergeCell ref="QEY8:QFA8"/>
    <mergeCell ref="QFB8:QFD8"/>
    <mergeCell ref="QFE8:QFG8"/>
    <mergeCell ref="QFH8:QFJ8"/>
    <mergeCell ref="QFK8:QFM8"/>
    <mergeCell ref="QED8:QEF8"/>
    <mergeCell ref="QEG8:QEI8"/>
    <mergeCell ref="QEJ8:QEL8"/>
    <mergeCell ref="QEM8:QEO8"/>
    <mergeCell ref="QEP8:QER8"/>
    <mergeCell ref="QES8:QEU8"/>
    <mergeCell ref="QLT8:QLV8"/>
    <mergeCell ref="QLW8:QLY8"/>
    <mergeCell ref="QLZ8:QMB8"/>
    <mergeCell ref="QMC8:QME8"/>
    <mergeCell ref="QMF8:QMH8"/>
    <mergeCell ref="QMI8:QMK8"/>
    <mergeCell ref="QLB8:QLD8"/>
    <mergeCell ref="QLE8:QLG8"/>
    <mergeCell ref="QLH8:QLJ8"/>
    <mergeCell ref="QLK8:QLM8"/>
    <mergeCell ref="QLN8:QLP8"/>
    <mergeCell ref="QLQ8:QLS8"/>
    <mergeCell ref="QKJ8:QKL8"/>
    <mergeCell ref="QKM8:QKO8"/>
    <mergeCell ref="QKP8:QKR8"/>
    <mergeCell ref="QKS8:QKU8"/>
    <mergeCell ref="QKV8:QKX8"/>
    <mergeCell ref="QKY8:QLA8"/>
    <mergeCell ref="QJR8:QJT8"/>
    <mergeCell ref="QJU8:QJW8"/>
    <mergeCell ref="QJX8:QJZ8"/>
    <mergeCell ref="QKA8:QKC8"/>
    <mergeCell ref="QKD8:QKF8"/>
    <mergeCell ref="QKG8:QKI8"/>
    <mergeCell ref="QIZ8:QJB8"/>
    <mergeCell ref="QJC8:QJE8"/>
    <mergeCell ref="QJF8:QJH8"/>
    <mergeCell ref="QJI8:QJK8"/>
    <mergeCell ref="QJL8:QJN8"/>
    <mergeCell ref="QJO8:QJQ8"/>
    <mergeCell ref="QIH8:QIJ8"/>
    <mergeCell ref="QIK8:QIM8"/>
    <mergeCell ref="QIN8:QIP8"/>
    <mergeCell ref="QIQ8:QIS8"/>
    <mergeCell ref="QIT8:QIV8"/>
    <mergeCell ref="QIW8:QIY8"/>
    <mergeCell ref="QPX8:QPZ8"/>
    <mergeCell ref="QQA8:QQC8"/>
    <mergeCell ref="QQD8:QQF8"/>
    <mergeCell ref="QQG8:QQI8"/>
    <mergeCell ref="QQJ8:QQL8"/>
    <mergeCell ref="QQM8:QQO8"/>
    <mergeCell ref="QPF8:QPH8"/>
    <mergeCell ref="QPI8:QPK8"/>
    <mergeCell ref="QPL8:QPN8"/>
    <mergeCell ref="QPO8:QPQ8"/>
    <mergeCell ref="QPR8:QPT8"/>
    <mergeCell ref="QPU8:QPW8"/>
    <mergeCell ref="QON8:QOP8"/>
    <mergeCell ref="QOQ8:QOS8"/>
    <mergeCell ref="QOT8:QOV8"/>
    <mergeCell ref="QOW8:QOY8"/>
    <mergeCell ref="QOZ8:QPB8"/>
    <mergeCell ref="QPC8:QPE8"/>
    <mergeCell ref="QNV8:QNX8"/>
    <mergeCell ref="QNY8:QOA8"/>
    <mergeCell ref="QOB8:QOD8"/>
    <mergeCell ref="QOE8:QOG8"/>
    <mergeCell ref="QOH8:QOJ8"/>
    <mergeCell ref="QOK8:QOM8"/>
    <mergeCell ref="QND8:QNF8"/>
    <mergeCell ref="QNG8:QNI8"/>
    <mergeCell ref="QNJ8:QNL8"/>
    <mergeCell ref="QNM8:QNO8"/>
    <mergeCell ref="QNP8:QNR8"/>
    <mergeCell ref="QNS8:QNU8"/>
    <mergeCell ref="QML8:QMN8"/>
    <mergeCell ref="QMO8:QMQ8"/>
    <mergeCell ref="QMR8:QMT8"/>
    <mergeCell ref="QMU8:QMW8"/>
    <mergeCell ref="QMX8:QMZ8"/>
    <mergeCell ref="QNA8:QNC8"/>
    <mergeCell ref="QUB8:QUD8"/>
    <mergeCell ref="QUE8:QUG8"/>
    <mergeCell ref="QUH8:QUJ8"/>
    <mergeCell ref="QUK8:QUM8"/>
    <mergeCell ref="QUN8:QUP8"/>
    <mergeCell ref="QUQ8:QUS8"/>
    <mergeCell ref="QTJ8:QTL8"/>
    <mergeCell ref="QTM8:QTO8"/>
    <mergeCell ref="QTP8:QTR8"/>
    <mergeCell ref="QTS8:QTU8"/>
    <mergeCell ref="QTV8:QTX8"/>
    <mergeCell ref="QTY8:QUA8"/>
    <mergeCell ref="QSR8:QST8"/>
    <mergeCell ref="QSU8:QSW8"/>
    <mergeCell ref="QSX8:QSZ8"/>
    <mergeCell ref="QTA8:QTC8"/>
    <mergeCell ref="QTD8:QTF8"/>
    <mergeCell ref="QTG8:QTI8"/>
    <mergeCell ref="QRZ8:QSB8"/>
    <mergeCell ref="QSC8:QSE8"/>
    <mergeCell ref="QSF8:QSH8"/>
    <mergeCell ref="QSI8:QSK8"/>
    <mergeCell ref="QSL8:QSN8"/>
    <mergeCell ref="QSO8:QSQ8"/>
    <mergeCell ref="QRH8:QRJ8"/>
    <mergeCell ref="QRK8:QRM8"/>
    <mergeCell ref="QRN8:QRP8"/>
    <mergeCell ref="QRQ8:QRS8"/>
    <mergeCell ref="QRT8:QRV8"/>
    <mergeCell ref="QRW8:QRY8"/>
    <mergeCell ref="QQP8:QQR8"/>
    <mergeCell ref="QQS8:QQU8"/>
    <mergeCell ref="QQV8:QQX8"/>
    <mergeCell ref="QQY8:QRA8"/>
    <mergeCell ref="QRB8:QRD8"/>
    <mergeCell ref="QRE8:QRG8"/>
    <mergeCell ref="QYF8:QYH8"/>
    <mergeCell ref="QYI8:QYK8"/>
    <mergeCell ref="QYL8:QYN8"/>
    <mergeCell ref="QYO8:QYQ8"/>
    <mergeCell ref="QYR8:QYT8"/>
    <mergeCell ref="QYU8:QYW8"/>
    <mergeCell ref="QXN8:QXP8"/>
    <mergeCell ref="QXQ8:QXS8"/>
    <mergeCell ref="QXT8:QXV8"/>
    <mergeCell ref="QXW8:QXY8"/>
    <mergeCell ref="QXZ8:QYB8"/>
    <mergeCell ref="QYC8:QYE8"/>
    <mergeCell ref="QWV8:QWX8"/>
    <mergeCell ref="QWY8:QXA8"/>
    <mergeCell ref="QXB8:QXD8"/>
    <mergeCell ref="QXE8:QXG8"/>
    <mergeCell ref="QXH8:QXJ8"/>
    <mergeCell ref="QXK8:QXM8"/>
    <mergeCell ref="QWD8:QWF8"/>
    <mergeCell ref="QWG8:QWI8"/>
    <mergeCell ref="QWJ8:QWL8"/>
    <mergeCell ref="QWM8:QWO8"/>
    <mergeCell ref="QWP8:QWR8"/>
    <mergeCell ref="QWS8:QWU8"/>
    <mergeCell ref="QVL8:QVN8"/>
    <mergeCell ref="QVO8:QVQ8"/>
    <mergeCell ref="QVR8:QVT8"/>
    <mergeCell ref="QVU8:QVW8"/>
    <mergeCell ref="QVX8:QVZ8"/>
    <mergeCell ref="QWA8:QWC8"/>
    <mergeCell ref="QUT8:QUV8"/>
    <mergeCell ref="QUW8:QUY8"/>
    <mergeCell ref="QUZ8:QVB8"/>
    <mergeCell ref="QVC8:QVE8"/>
    <mergeCell ref="QVF8:QVH8"/>
    <mergeCell ref="QVI8:QVK8"/>
    <mergeCell ref="RCJ8:RCL8"/>
    <mergeCell ref="RCM8:RCO8"/>
    <mergeCell ref="RCP8:RCR8"/>
    <mergeCell ref="RCS8:RCU8"/>
    <mergeCell ref="RCV8:RCX8"/>
    <mergeCell ref="RCY8:RDA8"/>
    <mergeCell ref="RBR8:RBT8"/>
    <mergeCell ref="RBU8:RBW8"/>
    <mergeCell ref="RBX8:RBZ8"/>
    <mergeCell ref="RCA8:RCC8"/>
    <mergeCell ref="RCD8:RCF8"/>
    <mergeCell ref="RCG8:RCI8"/>
    <mergeCell ref="RAZ8:RBB8"/>
    <mergeCell ref="RBC8:RBE8"/>
    <mergeCell ref="RBF8:RBH8"/>
    <mergeCell ref="RBI8:RBK8"/>
    <mergeCell ref="RBL8:RBN8"/>
    <mergeCell ref="RBO8:RBQ8"/>
    <mergeCell ref="RAH8:RAJ8"/>
    <mergeCell ref="RAK8:RAM8"/>
    <mergeCell ref="RAN8:RAP8"/>
    <mergeCell ref="RAQ8:RAS8"/>
    <mergeCell ref="RAT8:RAV8"/>
    <mergeCell ref="RAW8:RAY8"/>
    <mergeCell ref="QZP8:QZR8"/>
    <mergeCell ref="QZS8:QZU8"/>
    <mergeCell ref="QZV8:QZX8"/>
    <mergeCell ref="QZY8:RAA8"/>
    <mergeCell ref="RAB8:RAD8"/>
    <mergeCell ref="RAE8:RAG8"/>
    <mergeCell ref="QYX8:QYZ8"/>
    <mergeCell ref="QZA8:QZC8"/>
    <mergeCell ref="QZD8:QZF8"/>
    <mergeCell ref="QZG8:QZI8"/>
    <mergeCell ref="QZJ8:QZL8"/>
    <mergeCell ref="QZM8:QZO8"/>
    <mergeCell ref="RGN8:RGP8"/>
    <mergeCell ref="RGQ8:RGS8"/>
    <mergeCell ref="RGT8:RGV8"/>
    <mergeCell ref="RGW8:RGY8"/>
    <mergeCell ref="RGZ8:RHB8"/>
    <mergeCell ref="RHC8:RHE8"/>
    <mergeCell ref="RFV8:RFX8"/>
    <mergeCell ref="RFY8:RGA8"/>
    <mergeCell ref="RGB8:RGD8"/>
    <mergeCell ref="RGE8:RGG8"/>
    <mergeCell ref="RGH8:RGJ8"/>
    <mergeCell ref="RGK8:RGM8"/>
    <mergeCell ref="RFD8:RFF8"/>
    <mergeCell ref="RFG8:RFI8"/>
    <mergeCell ref="RFJ8:RFL8"/>
    <mergeCell ref="RFM8:RFO8"/>
    <mergeCell ref="RFP8:RFR8"/>
    <mergeCell ref="RFS8:RFU8"/>
    <mergeCell ref="REL8:REN8"/>
    <mergeCell ref="REO8:REQ8"/>
    <mergeCell ref="RER8:RET8"/>
    <mergeCell ref="REU8:REW8"/>
    <mergeCell ref="REX8:REZ8"/>
    <mergeCell ref="RFA8:RFC8"/>
    <mergeCell ref="RDT8:RDV8"/>
    <mergeCell ref="RDW8:RDY8"/>
    <mergeCell ref="RDZ8:REB8"/>
    <mergeCell ref="REC8:REE8"/>
    <mergeCell ref="REF8:REH8"/>
    <mergeCell ref="REI8:REK8"/>
    <mergeCell ref="RDB8:RDD8"/>
    <mergeCell ref="RDE8:RDG8"/>
    <mergeCell ref="RDH8:RDJ8"/>
    <mergeCell ref="RDK8:RDM8"/>
    <mergeCell ref="RDN8:RDP8"/>
    <mergeCell ref="RDQ8:RDS8"/>
    <mergeCell ref="RKR8:RKT8"/>
    <mergeCell ref="RKU8:RKW8"/>
    <mergeCell ref="RKX8:RKZ8"/>
    <mergeCell ref="RLA8:RLC8"/>
    <mergeCell ref="RLD8:RLF8"/>
    <mergeCell ref="RLG8:RLI8"/>
    <mergeCell ref="RJZ8:RKB8"/>
    <mergeCell ref="RKC8:RKE8"/>
    <mergeCell ref="RKF8:RKH8"/>
    <mergeCell ref="RKI8:RKK8"/>
    <mergeCell ref="RKL8:RKN8"/>
    <mergeCell ref="RKO8:RKQ8"/>
    <mergeCell ref="RJH8:RJJ8"/>
    <mergeCell ref="RJK8:RJM8"/>
    <mergeCell ref="RJN8:RJP8"/>
    <mergeCell ref="RJQ8:RJS8"/>
    <mergeCell ref="RJT8:RJV8"/>
    <mergeCell ref="RJW8:RJY8"/>
    <mergeCell ref="RIP8:RIR8"/>
    <mergeCell ref="RIS8:RIU8"/>
    <mergeCell ref="RIV8:RIX8"/>
    <mergeCell ref="RIY8:RJA8"/>
    <mergeCell ref="RJB8:RJD8"/>
    <mergeCell ref="RJE8:RJG8"/>
    <mergeCell ref="RHX8:RHZ8"/>
    <mergeCell ref="RIA8:RIC8"/>
    <mergeCell ref="RID8:RIF8"/>
    <mergeCell ref="RIG8:RII8"/>
    <mergeCell ref="RIJ8:RIL8"/>
    <mergeCell ref="RIM8:RIO8"/>
    <mergeCell ref="RHF8:RHH8"/>
    <mergeCell ref="RHI8:RHK8"/>
    <mergeCell ref="RHL8:RHN8"/>
    <mergeCell ref="RHO8:RHQ8"/>
    <mergeCell ref="RHR8:RHT8"/>
    <mergeCell ref="RHU8:RHW8"/>
    <mergeCell ref="ROV8:ROX8"/>
    <mergeCell ref="ROY8:RPA8"/>
    <mergeCell ref="RPB8:RPD8"/>
    <mergeCell ref="RPE8:RPG8"/>
    <mergeCell ref="RPH8:RPJ8"/>
    <mergeCell ref="RPK8:RPM8"/>
    <mergeCell ref="ROD8:ROF8"/>
    <mergeCell ref="ROG8:ROI8"/>
    <mergeCell ref="ROJ8:ROL8"/>
    <mergeCell ref="ROM8:ROO8"/>
    <mergeCell ref="ROP8:ROR8"/>
    <mergeCell ref="ROS8:ROU8"/>
    <mergeCell ref="RNL8:RNN8"/>
    <mergeCell ref="RNO8:RNQ8"/>
    <mergeCell ref="RNR8:RNT8"/>
    <mergeCell ref="RNU8:RNW8"/>
    <mergeCell ref="RNX8:RNZ8"/>
    <mergeCell ref="ROA8:ROC8"/>
    <mergeCell ref="RMT8:RMV8"/>
    <mergeCell ref="RMW8:RMY8"/>
    <mergeCell ref="RMZ8:RNB8"/>
    <mergeCell ref="RNC8:RNE8"/>
    <mergeCell ref="RNF8:RNH8"/>
    <mergeCell ref="RNI8:RNK8"/>
    <mergeCell ref="RMB8:RMD8"/>
    <mergeCell ref="RME8:RMG8"/>
    <mergeCell ref="RMH8:RMJ8"/>
    <mergeCell ref="RMK8:RMM8"/>
    <mergeCell ref="RMN8:RMP8"/>
    <mergeCell ref="RMQ8:RMS8"/>
    <mergeCell ref="RLJ8:RLL8"/>
    <mergeCell ref="RLM8:RLO8"/>
    <mergeCell ref="RLP8:RLR8"/>
    <mergeCell ref="RLS8:RLU8"/>
    <mergeCell ref="RLV8:RLX8"/>
    <mergeCell ref="RLY8:RMA8"/>
    <mergeCell ref="RSZ8:RTB8"/>
    <mergeCell ref="RTC8:RTE8"/>
    <mergeCell ref="RTF8:RTH8"/>
    <mergeCell ref="RTI8:RTK8"/>
    <mergeCell ref="RTL8:RTN8"/>
    <mergeCell ref="RTO8:RTQ8"/>
    <mergeCell ref="RSH8:RSJ8"/>
    <mergeCell ref="RSK8:RSM8"/>
    <mergeCell ref="RSN8:RSP8"/>
    <mergeCell ref="RSQ8:RSS8"/>
    <mergeCell ref="RST8:RSV8"/>
    <mergeCell ref="RSW8:RSY8"/>
    <mergeCell ref="RRP8:RRR8"/>
    <mergeCell ref="RRS8:RRU8"/>
    <mergeCell ref="RRV8:RRX8"/>
    <mergeCell ref="RRY8:RSA8"/>
    <mergeCell ref="RSB8:RSD8"/>
    <mergeCell ref="RSE8:RSG8"/>
    <mergeCell ref="RQX8:RQZ8"/>
    <mergeCell ref="RRA8:RRC8"/>
    <mergeCell ref="RRD8:RRF8"/>
    <mergeCell ref="RRG8:RRI8"/>
    <mergeCell ref="RRJ8:RRL8"/>
    <mergeCell ref="RRM8:RRO8"/>
    <mergeCell ref="RQF8:RQH8"/>
    <mergeCell ref="RQI8:RQK8"/>
    <mergeCell ref="RQL8:RQN8"/>
    <mergeCell ref="RQO8:RQQ8"/>
    <mergeCell ref="RQR8:RQT8"/>
    <mergeCell ref="RQU8:RQW8"/>
    <mergeCell ref="RPN8:RPP8"/>
    <mergeCell ref="RPQ8:RPS8"/>
    <mergeCell ref="RPT8:RPV8"/>
    <mergeCell ref="RPW8:RPY8"/>
    <mergeCell ref="RPZ8:RQB8"/>
    <mergeCell ref="RQC8:RQE8"/>
    <mergeCell ref="RXD8:RXF8"/>
    <mergeCell ref="RXG8:RXI8"/>
    <mergeCell ref="RXJ8:RXL8"/>
    <mergeCell ref="RXM8:RXO8"/>
    <mergeCell ref="RXP8:RXR8"/>
    <mergeCell ref="RXS8:RXU8"/>
    <mergeCell ref="RWL8:RWN8"/>
    <mergeCell ref="RWO8:RWQ8"/>
    <mergeCell ref="RWR8:RWT8"/>
    <mergeCell ref="RWU8:RWW8"/>
    <mergeCell ref="RWX8:RWZ8"/>
    <mergeCell ref="RXA8:RXC8"/>
    <mergeCell ref="RVT8:RVV8"/>
    <mergeCell ref="RVW8:RVY8"/>
    <mergeCell ref="RVZ8:RWB8"/>
    <mergeCell ref="RWC8:RWE8"/>
    <mergeCell ref="RWF8:RWH8"/>
    <mergeCell ref="RWI8:RWK8"/>
    <mergeCell ref="RVB8:RVD8"/>
    <mergeCell ref="RVE8:RVG8"/>
    <mergeCell ref="RVH8:RVJ8"/>
    <mergeCell ref="RVK8:RVM8"/>
    <mergeCell ref="RVN8:RVP8"/>
    <mergeCell ref="RVQ8:RVS8"/>
    <mergeCell ref="RUJ8:RUL8"/>
    <mergeCell ref="RUM8:RUO8"/>
    <mergeCell ref="RUP8:RUR8"/>
    <mergeCell ref="RUS8:RUU8"/>
    <mergeCell ref="RUV8:RUX8"/>
    <mergeCell ref="RUY8:RVA8"/>
    <mergeCell ref="RTR8:RTT8"/>
    <mergeCell ref="RTU8:RTW8"/>
    <mergeCell ref="RTX8:RTZ8"/>
    <mergeCell ref="RUA8:RUC8"/>
    <mergeCell ref="RUD8:RUF8"/>
    <mergeCell ref="RUG8:RUI8"/>
    <mergeCell ref="SBH8:SBJ8"/>
    <mergeCell ref="SBK8:SBM8"/>
    <mergeCell ref="SBN8:SBP8"/>
    <mergeCell ref="SBQ8:SBS8"/>
    <mergeCell ref="SBT8:SBV8"/>
    <mergeCell ref="SBW8:SBY8"/>
    <mergeCell ref="SAP8:SAR8"/>
    <mergeCell ref="SAS8:SAU8"/>
    <mergeCell ref="SAV8:SAX8"/>
    <mergeCell ref="SAY8:SBA8"/>
    <mergeCell ref="SBB8:SBD8"/>
    <mergeCell ref="SBE8:SBG8"/>
    <mergeCell ref="RZX8:RZZ8"/>
    <mergeCell ref="SAA8:SAC8"/>
    <mergeCell ref="SAD8:SAF8"/>
    <mergeCell ref="SAG8:SAI8"/>
    <mergeCell ref="SAJ8:SAL8"/>
    <mergeCell ref="SAM8:SAO8"/>
    <mergeCell ref="RZF8:RZH8"/>
    <mergeCell ref="RZI8:RZK8"/>
    <mergeCell ref="RZL8:RZN8"/>
    <mergeCell ref="RZO8:RZQ8"/>
    <mergeCell ref="RZR8:RZT8"/>
    <mergeCell ref="RZU8:RZW8"/>
    <mergeCell ref="RYN8:RYP8"/>
    <mergeCell ref="RYQ8:RYS8"/>
    <mergeCell ref="RYT8:RYV8"/>
    <mergeCell ref="RYW8:RYY8"/>
    <mergeCell ref="RYZ8:RZB8"/>
    <mergeCell ref="RZC8:RZE8"/>
    <mergeCell ref="RXV8:RXX8"/>
    <mergeCell ref="RXY8:RYA8"/>
    <mergeCell ref="RYB8:RYD8"/>
    <mergeCell ref="RYE8:RYG8"/>
    <mergeCell ref="RYH8:RYJ8"/>
    <mergeCell ref="RYK8:RYM8"/>
    <mergeCell ref="SFL8:SFN8"/>
    <mergeCell ref="SFO8:SFQ8"/>
    <mergeCell ref="SFR8:SFT8"/>
    <mergeCell ref="SFU8:SFW8"/>
    <mergeCell ref="SFX8:SFZ8"/>
    <mergeCell ref="SGA8:SGC8"/>
    <mergeCell ref="SET8:SEV8"/>
    <mergeCell ref="SEW8:SEY8"/>
    <mergeCell ref="SEZ8:SFB8"/>
    <mergeCell ref="SFC8:SFE8"/>
    <mergeCell ref="SFF8:SFH8"/>
    <mergeCell ref="SFI8:SFK8"/>
    <mergeCell ref="SEB8:SED8"/>
    <mergeCell ref="SEE8:SEG8"/>
    <mergeCell ref="SEH8:SEJ8"/>
    <mergeCell ref="SEK8:SEM8"/>
    <mergeCell ref="SEN8:SEP8"/>
    <mergeCell ref="SEQ8:SES8"/>
    <mergeCell ref="SDJ8:SDL8"/>
    <mergeCell ref="SDM8:SDO8"/>
    <mergeCell ref="SDP8:SDR8"/>
    <mergeCell ref="SDS8:SDU8"/>
    <mergeCell ref="SDV8:SDX8"/>
    <mergeCell ref="SDY8:SEA8"/>
    <mergeCell ref="SCR8:SCT8"/>
    <mergeCell ref="SCU8:SCW8"/>
    <mergeCell ref="SCX8:SCZ8"/>
    <mergeCell ref="SDA8:SDC8"/>
    <mergeCell ref="SDD8:SDF8"/>
    <mergeCell ref="SDG8:SDI8"/>
    <mergeCell ref="SBZ8:SCB8"/>
    <mergeCell ref="SCC8:SCE8"/>
    <mergeCell ref="SCF8:SCH8"/>
    <mergeCell ref="SCI8:SCK8"/>
    <mergeCell ref="SCL8:SCN8"/>
    <mergeCell ref="SCO8:SCQ8"/>
    <mergeCell ref="SJP8:SJR8"/>
    <mergeCell ref="SJS8:SJU8"/>
    <mergeCell ref="SJV8:SJX8"/>
    <mergeCell ref="SJY8:SKA8"/>
    <mergeCell ref="SKB8:SKD8"/>
    <mergeCell ref="SKE8:SKG8"/>
    <mergeCell ref="SIX8:SIZ8"/>
    <mergeCell ref="SJA8:SJC8"/>
    <mergeCell ref="SJD8:SJF8"/>
    <mergeCell ref="SJG8:SJI8"/>
    <mergeCell ref="SJJ8:SJL8"/>
    <mergeCell ref="SJM8:SJO8"/>
    <mergeCell ref="SIF8:SIH8"/>
    <mergeCell ref="SII8:SIK8"/>
    <mergeCell ref="SIL8:SIN8"/>
    <mergeCell ref="SIO8:SIQ8"/>
    <mergeCell ref="SIR8:SIT8"/>
    <mergeCell ref="SIU8:SIW8"/>
    <mergeCell ref="SHN8:SHP8"/>
    <mergeCell ref="SHQ8:SHS8"/>
    <mergeCell ref="SHT8:SHV8"/>
    <mergeCell ref="SHW8:SHY8"/>
    <mergeCell ref="SHZ8:SIB8"/>
    <mergeCell ref="SIC8:SIE8"/>
    <mergeCell ref="SGV8:SGX8"/>
    <mergeCell ref="SGY8:SHA8"/>
    <mergeCell ref="SHB8:SHD8"/>
    <mergeCell ref="SHE8:SHG8"/>
    <mergeCell ref="SHH8:SHJ8"/>
    <mergeCell ref="SHK8:SHM8"/>
    <mergeCell ref="SGD8:SGF8"/>
    <mergeCell ref="SGG8:SGI8"/>
    <mergeCell ref="SGJ8:SGL8"/>
    <mergeCell ref="SGM8:SGO8"/>
    <mergeCell ref="SGP8:SGR8"/>
    <mergeCell ref="SGS8:SGU8"/>
    <mergeCell ref="SNT8:SNV8"/>
    <mergeCell ref="SNW8:SNY8"/>
    <mergeCell ref="SNZ8:SOB8"/>
    <mergeCell ref="SOC8:SOE8"/>
    <mergeCell ref="SOF8:SOH8"/>
    <mergeCell ref="SOI8:SOK8"/>
    <mergeCell ref="SNB8:SND8"/>
    <mergeCell ref="SNE8:SNG8"/>
    <mergeCell ref="SNH8:SNJ8"/>
    <mergeCell ref="SNK8:SNM8"/>
    <mergeCell ref="SNN8:SNP8"/>
    <mergeCell ref="SNQ8:SNS8"/>
    <mergeCell ref="SMJ8:SML8"/>
    <mergeCell ref="SMM8:SMO8"/>
    <mergeCell ref="SMP8:SMR8"/>
    <mergeCell ref="SMS8:SMU8"/>
    <mergeCell ref="SMV8:SMX8"/>
    <mergeCell ref="SMY8:SNA8"/>
    <mergeCell ref="SLR8:SLT8"/>
    <mergeCell ref="SLU8:SLW8"/>
    <mergeCell ref="SLX8:SLZ8"/>
    <mergeCell ref="SMA8:SMC8"/>
    <mergeCell ref="SMD8:SMF8"/>
    <mergeCell ref="SMG8:SMI8"/>
    <mergeCell ref="SKZ8:SLB8"/>
    <mergeCell ref="SLC8:SLE8"/>
    <mergeCell ref="SLF8:SLH8"/>
    <mergeCell ref="SLI8:SLK8"/>
    <mergeCell ref="SLL8:SLN8"/>
    <mergeCell ref="SLO8:SLQ8"/>
    <mergeCell ref="SKH8:SKJ8"/>
    <mergeCell ref="SKK8:SKM8"/>
    <mergeCell ref="SKN8:SKP8"/>
    <mergeCell ref="SKQ8:SKS8"/>
    <mergeCell ref="SKT8:SKV8"/>
    <mergeCell ref="SKW8:SKY8"/>
    <mergeCell ref="SRX8:SRZ8"/>
    <mergeCell ref="SSA8:SSC8"/>
    <mergeCell ref="SSD8:SSF8"/>
    <mergeCell ref="SSG8:SSI8"/>
    <mergeCell ref="SSJ8:SSL8"/>
    <mergeCell ref="SSM8:SSO8"/>
    <mergeCell ref="SRF8:SRH8"/>
    <mergeCell ref="SRI8:SRK8"/>
    <mergeCell ref="SRL8:SRN8"/>
    <mergeCell ref="SRO8:SRQ8"/>
    <mergeCell ref="SRR8:SRT8"/>
    <mergeCell ref="SRU8:SRW8"/>
    <mergeCell ref="SQN8:SQP8"/>
    <mergeCell ref="SQQ8:SQS8"/>
    <mergeCell ref="SQT8:SQV8"/>
    <mergeCell ref="SQW8:SQY8"/>
    <mergeCell ref="SQZ8:SRB8"/>
    <mergeCell ref="SRC8:SRE8"/>
    <mergeCell ref="SPV8:SPX8"/>
    <mergeCell ref="SPY8:SQA8"/>
    <mergeCell ref="SQB8:SQD8"/>
    <mergeCell ref="SQE8:SQG8"/>
    <mergeCell ref="SQH8:SQJ8"/>
    <mergeCell ref="SQK8:SQM8"/>
    <mergeCell ref="SPD8:SPF8"/>
    <mergeCell ref="SPG8:SPI8"/>
    <mergeCell ref="SPJ8:SPL8"/>
    <mergeCell ref="SPM8:SPO8"/>
    <mergeCell ref="SPP8:SPR8"/>
    <mergeCell ref="SPS8:SPU8"/>
    <mergeCell ref="SOL8:SON8"/>
    <mergeCell ref="SOO8:SOQ8"/>
    <mergeCell ref="SOR8:SOT8"/>
    <mergeCell ref="SOU8:SOW8"/>
    <mergeCell ref="SOX8:SOZ8"/>
    <mergeCell ref="SPA8:SPC8"/>
    <mergeCell ref="SWB8:SWD8"/>
    <mergeCell ref="SWE8:SWG8"/>
    <mergeCell ref="SWH8:SWJ8"/>
    <mergeCell ref="SWK8:SWM8"/>
    <mergeCell ref="SWN8:SWP8"/>
    <mergeCell ref="SWQ8:SWS8"/>
    <mergeCell ref="SVJ8:SVL8"/>
    <mergeCell ref="SVM8:SVO8"/>
    <mergeCell ref="SVP8:SVR8"/>
    <mergeCell ref="SVS8:SVU8"/>
    <mergeCell ref="SVV8:SVX8"/>
    <mergeCell ref="SVY8:SWA8"/>
    <mergeCell ref="SUR8:SUT8"/>
    <mergeCell ref="SUU8:SUW8"/>
    <mergeCell ref="SUX8:SUZ8"/>
    <mergeCell ref="SVA8:SVC8"/>
    <mergeCell ref="SVD8:SVF8"/>
    <mergeCell ref="SVG8:SVI8"/>
    <mergeCell ref="STZ8:SUB8"/>
    <mergeCell ref="SUC8:SUE8"/>
    <mergeCell ref="SUF8:SUH8"/>
    <mergeCell ref="SUI8:SUK8"/>
    <mergeCell ref="SUL8:SUN8"/>
    <mergeCell ref="SUO8:SUQ8"/>
    <mergeCell ref="STH8:STJ8"/>
    <mergeCell ref="STK8:STM8"/>
    <mergeCell ref="STN8:STP8"/>
    <mergeCell ref="STQ8:STS8"/>
    <mergeCell ref="STT8:STV8"/>
    <mergeCell ref="STW8:STY8"/>
    <mergeCell ref="SSP8:SSR8"/>
    <mergeCell ref="SSS8:SSU8"/>
    <mergeCell ref="SSV8:SSX8"/>
    <mergeCell ref="SSY8:STA8"/>
    <mergeCell ref="STB8:STD8"/>
    <mergeCell ref="STE8:STG8"/>
    <mergeCell ref="TAF8:TAH8"/>
    <mergeCell ref="TAI8:TAK8"/>
    <mergeCell ref="TAL8:TAN8"/>
    <mergeCell ref="TAO8:TAQ8"/>
    <mergeCell ref="TAR8:TAT8"/>
    <mergeCell ref="TAU8:TAW8"/>
    <mergeCell ref="SZN8:SZP8"/>
    <mergeCell ref="SZQ8:SZS8"/>
    <mergeCell ref="SZT8:SZV8"/>
    <mergeCell ref="SZW8:SZY8"/>
    <mergeCell ref="SZZ8:TAB8"/>
    <mergeCell ref="TAC8:TAE8"/>
    <mergeCell ref="SYV8:SYX8"/>
    <mergeCell ref="SYY8:SZA8"/>
    <mergeCell ref="SZB8:SZD8"/>
    <mergeCell ref="SZE8:SZG8"/>
    <mergeCell ref="SZH8:SZJ8"/>
    <mergeCell ref="SZK8:SZM8"/>
    <mergeCell ref="SYD8:SYF8"/>
    <mergeCell ref="SYG8:SYI8"/>
    <mergeCell ref="SYJ8:SYL8"/>
    <mergeCell ref="SYM8:SYO8"/>
    <mergeCell ref="SYP8:SYR8"/>
    <mergeCell ref="SYS8:SYU8"/>
    <mergeCell ref="SXL8:SXN8"/>
    <mergeCell ref="SXO8:SXQ8"/>
    <mergeCell ref="SXR8:SXT8"/>
    <mergeCell ref="SXU8:SXW8"/>
    <mergeCell ref="SXX8:SXZ8"/>
    <mergeCell ref="SYA8:SYC8"/>
    <mergeCell ref="SWT8:SWV8"/>
    <mergeCell ref="SWW8:SWY8"/>
    <mergeCell ref="SWZ8:SXB8"/>
    <mergeCell ref="SXC8:SXE8"/>
    <mergeCell ref="SXF8:SXH8"/>
    <mergeCell ref="SXI8:SXK8"/>
    <mergeCell ref="TEJ8:TEL8"/>
    <mergeCell ref="TEM8:TEO8"/>
    <mergeCell ref="TEP8:TER8"/>
    <mergeCell ref="TES8:TEU8"/>
    <mergeCell ref="TEV8:TEX8"/>
    <mergeCell ref="TEY8:TFA8"/>
    <mergeCell ref="TDR8:TDT8"/>
    <mergeCell ref="TDU8:TDW8"/>
    <mergeCell ref="TDX8:TDZ8"/>
    <mergeCell ref="TEA8:TEC8"/>
    <mergeCell ref="TED8:TEF8"/>
    <mergeCell ref="TEG8:TEI8"/>
    <mergeCell ref="TCZ8:TDB8"/>
    <mergeCell ref="TDC8:TDE8"/>
    <mergeCell ref="TDF8:TDH8"/>
    <mergeCell ref="TDI8:TDK8"/>
    <mergeCell ref="TDL8:TDN8"/>
    <mergeCell ref="TDO8:TDQ8"/>
    <mergeCell ref="TCH8:TCJ8"/>
    <mergeCell ref="TCK8:TCM8"/>
    <mergeCell ref="TCN8:TCP8"/>
    <mergeCell ref="TCQ8:TCS8"/>
    <mergeCell ref="TCT8:TCV8"/>
    <mergeCell ref="TCW8:TCY8"/>
    <mergeCell ref="TBP8:TBR8"/>
    <mergeCell ref="TBS8:TBU8"/>
    <mergeCell ref="TBV8:TBX8"/>
    <mergeCell ref="TBY8:TCA8"/>
    <mergeCell ref="TCB8:TCD8"/>
    <mergeCell ref="TCE8:TCG8"/>
    <mergeCell ref="TAX8:TAZ8"/>
    <mergeCell ref="TBA8:TBC8"/>
    <mergeCell ref="TBD8:TBF8"/>
    <mergeCell ref="TBG8:TBI8"/>
    <mergeCell ref="TBJ8:TBL8"/>
    <mergeCell ref="TBM8:TBO8"/>
    <mergeCell ref="TIN8:TIP8"/>
    <mergeCell ref="TIQ8:TIS8"/>
    <mergeCell ref="TIT8:TIV8"/>
    <mergeCell ref="TIW8:TIY8"/>
    <mergeCell ref="TIZ8:TJB8"/>
    <mergeCell ref="TJC8:TJE8"/>
    <mergeCell ref="THV8:THX8"/>
    <mergeCell ref="THY8:TIA8"/>
    <mergeCell ref="TIB8:TID8"/>
    <mergeCell ref="TIE8:TIG8"/>
    <mergeCell ref="TIH8:TIJ8"/>
    <mergeCell ref="TIK8:TIM8"/>
    <mergeCell ref="THD8:THF8"/>
    <mergeCell ref="THG8:THI8"/>
    <mergeCell ref="THJ8:THL8"/>
    <mergeCell ref="THM8:THO8"/>
    <mergeCell ref="THP8:THR8"/>
    <mergeCell ref="THS8:THU8"/>
    <mergeCell ref="TGL8:TGN8"/>
    <mergeCell ref="TGO8:TGQ8"/>
    <mergeCell ref="TGR8:TGT8"/>
    <mergeCell ref="TGU8:TGW8"/>
    <mergeCell ref="TGX8:TGZ8"/>
    <mergeCell ref="THA8:THC8"/>
    <mergeCell ref="TFT8:TFV8"/>
    <mergeCell ref="TFW8:TFY8"/>
    <mergeCell ref="TFZ8:TGB8"/>
    <mergeCell ref="TGC8:TGE8"/>
    <mergeCell ref="TGF8:TGH8"/>
    <mergeCell ref="TGI8:TGK8"/>
    <mergeCell ref="TFB8:TFD8"/>
    <mergeCell ref="TFE8:TFG8"/>
    <mergeCell ref="TFH8:TFJ8"/>
    <mergeCell ref="TFK8:TFM8"/>
    <mergeCell ref="TFN8:TFP8"/>
    <mergeCell ref="TFQ8:TFS8"/>
    <mergeCell ref="TMR8:TMT8"/>
    <mergeCell ref="TMU8:TMW8"/>
    <mergeCell ref="TMX8:TMZ8"/>
    <mergeCell ref="TNA8:TNC8"/>
    <mergeCell ref="TND8:TNF8"/>
    <mergeCell ref="TNG8:TNI8"/>
    <mergeCell ref="TLZ8:TMB8"/>
    <mergeCell ref="TMC8:TME8"/>
    <mergeCell ref="TMF8:TMH8"/>
    <mergeCell ref="TMI8:TMK8"/>
    <mergeCell ref="TML8:TMN8"/>
    <mergeCell ref="TMO8:TMQ8"/>
    <mergeCell ref="TLH8:TLJ8"/>
    <mergeCell ref="TLK8:TLM8"/>
    <mergeCell ref="TLN8:TLP8"/>
    <mergeCell ref="TLQ8:TLS8"/>
    <mergeCell ref="TLT8:TLV8"/>
    <mergeCell ref="TLW8:TLY8"/>
    <mergeCell ref="TKP8:TKR8"/>
    <mergeCell ref="TKS8:TKU8"/>
    <mergeCell ref="TKV8:TKX8"/>
    <mergeCell ref="TKY8:TLA8"/>
    <mergeCell ref="TLB8:TLD8"/>
    <mergeCell ref="TLE8:TLG8"/>
    <mergeCell ref="TJX8:TJZ8"/>
    <mergeCell ref="TKA8:TKC8"/>
    <mergeCell ref="TKD8:TKF8"/>
    <mergeCell ref="TKG8:TKI8"/>
    <mergeCell ref="TKJ8:TKL8"/>
    <mergeCell ref="TKM8:TKO8"/>
    <mergeCell ref="TJF8:TJH8"/>
    <mergeCell ref="TJI8:TJK8"/>
    <mergeCell ref="TJL8:TJN8"/>
    <mergeCell ref="TJO8:TJQ8"/>
    <mergeCell ref="TJR8:TJT8"/>
    <mergeCell ref="TJU8:TJW8"/>
    <mergeCell ref="TQV8:TQX8"/>
    <mergeCell ref="TQY8:TRA8"/>
    <mergeCell ref="TRB8:TRD8"/>
    <mergeCell ref="TRE8:TRG8"/>
    <mergeCell ref="TRH8:TRJ8"/>
    <mergeCell ref="TRK8:TRM8"/>
    <mergeCell ref="TQD8:TQF8"/>
    <mergeCell ref="TQG8:TQI8"/>
    <mergeCell ref="TQJ8:TQL8"/>
    <mergeCell ref="TQM8:TQO8"/>
    <mergeCell ref="TQP8:TQR8"/>
    <mergeCell ref="TQS8:TQU8"/>
    <mergeCell ref="TPL8:TPN8"/>
    <mergeCell ref="TPO8:TPQ8"/>
    <mergeCell ref="TPR8:TPT8"/>
    <mergeCell ref="TPU8:TPW8"/>
    <mergeCell ref="TPX8:TPZ8"/>
    <mergeCell ref="TQA8:TQC8"/>
    <mergeCell ref="TOT8:TOV8"/>
    <mergeCell ref="TOW8:TOY8"/>
    <mergeCell ref="TOZ8:TPB8"/>
    <mergeCell ref="TPC8:TPE8"/>
    <mergeCell ref="TPF8:TPH8"/>
    <mergeCell ref="TPI8:TPK8"/>
    <mergeCell ref="TOB8:TOD8"/>
    <mergeCell ref="TOE8:TOG8"/>
    <mergeCell ref="TOH8:TOJ8"/>
    <mergeCell ref="TOK8:TOM8"/>
    <mergeCell ref="TON8:TOP8"/>
    <mergeCell ref="TOQ8:TOS8"/>
    <mergeCell ref="TNJ8:TNL8"/>
    <mergeCell ref="TNM8:TNO8"/>
    <mergeCell ref="TNP8:TNR8"/>
    <mergeCell ref="TNS8:TNU8"/>
    <mergeCell ref="TNV8:TNX8"/>
    <mergeCell ref="TNY8:TOA8"/>
    <mergeCell ref="TUZ8:TVB8"/>
    <mergeCell ref="TVC8:TVE8"/>
    <mergeCell ref="TVF8:TVH8"/>
    <mergeCell ref="TVI8:TVK8"/>
    <mergeCell ref="TVL8:TVN8"/>
    <mergeCell ref="TVO8:TVQ8"/>
    <mergeCell ref="TUH8:TUJ8"/>
    <mergeCell ref="TUK8:TUM8"/>
    <mergeCell ref="TUN8:TUP8"/>
    <mergeCell ref="TUQ8:TUS8"/>
    <mergeCell ref="TUT8:TUV8"/>
    <mergeCell ref="TUW8:TUY8"/>
    <mergeCell ref="TTP8:TTR8"/>
    <mergeCell ref="TTS8:TTU8"/>
    <mergeCell ref="TTV8:TTX8"/>
    <mergeCell ref="TTY8:TUA8"/>
    <mergeCell ref="TUB8:TUD8"/>
    <mergeCell ref="TUE8:TUG8"/>
    <mergeCell ref="TSX8:TSZ8"/>
    <mergeCell ref="TTA8:TTC8"/>
    <mergeCell ref="TTD8:TTF8"/>
    <mergeCell ref="TTG8:TTI8"/>
    <mergeCell ref="TTJ8:TTL8"/>
    <mergeCell ref="TTM8:TTO8"/>
    <mergeCell ref="TSF8:TSH8"/>
    <mergeCell ref="TSI8:TSK8"/>
    <mergeCell ref="TSL8:TSN8"/>
    <mergeCell ref="TSO8:TSQ8"/>
    <mergeCell ref="TSR8:TST8"/>
    <mergeCell ref="TSU8:TSW8"/>
    <mergeCell ref="TRN8:TRP8"/>
    <mergeCell ref="TRQ8:TRS8"/>
    <mergeCell ref="TRT8:TRV8"/>
    <mergeCell ref="TRW8:TRY8"/>
    <mergeCell ref="TRZ8:TSB8"/>
    <mergeCell ref="TSC8:TSE8"/>
    <mergeCell ref="TZD8:TZF8"/>
    <mergeCell ref="TZG8:TZI8"/>
    <mergeCell ref="TZJ8:TZL8"/>
    <mergeCell ref="TZM8:TZO8"/>
    <mergeCell ref="TZP8:TZR8"/>
    <mergeCell ref="TZS8:TZU8"/>
    <mergeCell ref="TYL8:TYN8"/>
    <mergeCell ref="TYO8:TYQ8"/>
    <mergeCell ref="TYR8:TYT8"/>
    <mergeCell ref="TYU8:TYW8"/>
    <mergeCell ref="TYX8:TYZ8"/>
    <mergeCell ref="TZA8:TZC8"/>
    <mergeCell ref="TXT8:TXV8"/>
    <mergeCell ref="TXW8:TXY8"/>
    <mergeCell ref="TXZ8:TYB8"/>
    <mergeCell ref="TYC8:TYE8"/>
    <mergeCell ref="TYF8:TYH8"/>
    <mergeCell ref="TYI8:TYK8"/>
    <mergeCell ref="TXB8:TXD8"/>
    <mergeCell ref="TXE8:TXG8"/>
    <mergeCell ref="TXH8:TXJ8"/>
    <mergeCell ref="TXK8:TXM8"/>
    <mergeCell ref="TXN8:TXP8"/>
    <mergeCell ref="TXQ8:TXS8"/>
    <mergeCell ref="TWJ8:TWL8"/>
    <mergeCell ref="TWM8:TWO8"/>
    <mergeCell ref="TWP8:TWR8"/>
    <mergeCell ref="TWS8:TWU8"/>
    <mergeCell ref="TWV8:TWX8"/>
    <mergeCell ref="TWY8:TXA8"/>
    <mergeCell ref="TVR8:TVT8"/>
    <mergeCell ref="TVU8:TVW8"/>
    <mergeCell ref="TVX8:TVZ8"/>
    <mergeCell ref="TWA8:TWC8"/>
    <mergeCell ref="TWD8:TWF8"/>
    <mergeCell ref="TWG8:TWI8"/>
    <mergeCell ref="UDH8:UDJ8"/>
    <mergeCell ref="UDK8:UDM8"/>
    <mergeCell ref="UDN8:UDP8"/>
    <mergeCell ref="UDQ8:UDS8"/>
    <mergeCell ref="UDT8:UDV8"/>
    <mergeCell ref="UDW8:UDY8"/>
    <mergeCell ref="UCP8:UCR8"/>
    <mergeCell ref="UCS8:UCU8"/>
    <mergeCell ref="UCV8:UCX8"/>
    <mergeCell ref="UCY8:UDA8"/>
    <mergeCell ref="UDB8:UDD8"/>
    <mergeCell ref="UDE8:UDG8"/>
    <mergeCell ref="UBX8:UBZ8"/>
    <mergeCell ref="UCA8:UCC8"/>
    <mergeCell ref="UCD8:UCF8"/>
    <mergeCell ref="UCG8:UCI8"/>
    <mergeCell ref="UCJ8:UCL8"/>
    <mergeCell ref="UCM8:UCO8"/>
    <mergeCell ref="UBF8:UBH8"/>
    <mergeCell ref="UBI8:UBK8"/>
    <mergeCell ref="UBL8:UBN8"/>
    <mergeCell ref="UBO8:UBQ8"/>
    <mergeCell ref="UBR8:UBT8"/>
    <mergeCell ref="UBU8:UBW8"/>
    <mergeCell ref="UAN8:UAP8"/>
    <mergeCell ref="UAQ8:UAS8"/>
    <mergeCell ref="UAT8:UAV8"/>
    <mergeCell ref="UAW8:UAY8"/>
    <mergeCell ref="UAZ8:UBB8"/>
    <mergeCell ref="UBC8:UBE8"/>
    <mergeCell ref="TZV8:TZX8"/>
    <mergeCell ref="TZY8:UAA8"/>
    <mergeCell ref="UAB8:UAD8"/>
    <mergeCell ref="UAE8:UAG8"/>
    <mergeCell ref="UAH8:UAJ8"/>
    <mergeCell ref="UAK8:UAM8"/>
    <mergeCell ref="UHL8:UHN8"/>
    <mergeCell ref="UHO8:UHQ8"/>
    <mergeCell ref="UHR8:UHT8"/>
    <mergeCell ref="UHU8:UHW8"/>
    <mergeCell ref="UHX8:UHZ8"/>
    <mergeCell ref="UIA8:UIC8"/>
    <mergeCell ref="UGT8:UGV8"/>
    <mergeCell ref="UGW8:UGY8"/>
    <mergeCell ref="UGZ8:UHB8"/>
    <mergeCell ref="UHC8:UHE8"/>
    <mergeCell ref="UHF8:UHH8"/>
    <mergeCell ref="UHI8:UHK8"/>
    <mergeCell ref="UGB8:UGD8"/>
    <mergeCell ref="UGE8:UGG8"/>
    <mergeCell ref="UGH8:UGJ8"/>
    <mergeCell ref="UGK8:UGM8"/>
    <mergeCell ref="UGN8:UGP8"/>
    <mergeCell ref="UGQ8:UGS8"/>
    <mergeCell ref="UFJ8:UFL8"/>
    <mergeCell ref="UFM8:UFO8"/>
    <mergeCell ref="UFP8:UFR8"/>
    <mergeCell ref="UFS8:UFU8"/>
    <mergeCell ref="UFV8:UFX8"/>
    <mergeCell ref="UFY8:UGA8"/>
    <mergeCell ref="UER8:UET8"/>
    <mergeCell ref="UEU8:UEW8"/>
    <mergeCell ref="UEX8:UEZ8"/>
    <mergeCell ref="UFA8:UFC8"/>
    <mergeCell ref="UFD8:UFF8"/>
    <mergeCell ref="UFG8:UFI8"/>
    <mergeCell ref="UDZ8:UEB8"/>
    <mergeCell ref="UEC8:UEE8"/>
    <mergeCell ref="UEF8:UEH8"/>
    <mergeCell ref="UEI8:UEK8"/>
    <mergeCell ref="UEL8:UEN8"/>
    <mergeCell ref="UEO8:UEQ8"/>
    <mergeCell ref="ULP8:ULR8"/>
    <mergeCell ref="ULS8:ULU8"/>
    <mergeCell ref="ULV8:ULX8"/>
    <mergeCell ref="ULY8:UMA8"/>
    <mergeCell ref="UMB8:UMD8"/>
    <mergeCell ref="UME8:UMG8"/>
    <mergeCell ref="UKX8:UKZ8"/>
    <mergeCell ref="ULA8:ULC8"/>
    <mergeCell ref="ULD8:ULF8"/>
    <mergeCell ref="ULG8:ULI8"/>
    <mergeCell ref="ULJ8:ULL8"/>
    <mergeCell ref="ULM8:ULO8"/>
    <mergeCell ref="UKF8:UKH8"/>
    <mergeCell ref="UKI8:UKK8"/>
    <mergeCell ref="UKL8:UKN8"/>
    <mergeCell ref="UKO8:UKQ8"/>
    <mergeCell ref="UKR8:UKT8"/>
    <mergeCell ref="UKU8:UKW8"/>
    <mergeCell ref="UJN8:UJP8"/>
    <mergeCell ref="UJQ8:UJS8"/>
    <mergeCell ref="UJT8:UJV8"/>
    <mergeCell ref="UJW8:UJY8"/>
    <mergeCell ref="UJZ8:UKB8"/>
    <mergeCell ref="UKC8:UKE8"/>
    <mergeCell ref="UIV8:UIX8"/>
    <mergeCell ref="UIY8:UJA8"/>
    <mergeCell ref="UJB8:UJD8"/>
    <mergeCell ref="UJE8:UJG8"/>
    <mergeCell ref="UJH8:UJJ8"/>
    <mergeCell ref="UJK8:UJM8"/>
    <mergeCell ref="UID8:UIF8"/>
    <mergeCell ref="UIG8:UII8"/>
    <mergeCell ref="UIJ8:UIL8"/>
    <mergeCell ref="UIM8:UIO8"/>
    <mergeCell ref="UIP8:UIR8"/>
    <mergeCell ref="UIS8:UIU8"/>
    <mergeCell ref="UPT8:UPV8"/>
    <mergeCell ref="UPW8:UPY8"/>
    <mergeCell ref="UPZ8:UQB8"/>
    <mergeCell ref="UQC8:UQE8"/>
    <mergeCell ref="UQF8:UQH8"/>
    <mergeCell ref="UQI8:UQK8"/>
    <mergeCell ref="UPB8:UPD8"/>
    <mergeCell ref="UPE8:UPG8"/>
    <mergeCell ref="UPH8:UPJ8"/>
    <mergeCell ref="UPK8:UPM8"/>
    <mergeCell ref="UPN8:UPP8"/>
    <mergeCell ref="UPQ8:UPS8"/>
    <mergeCell ref="UOJ8:UOL8"/>
    <mergeCell ref="UOM8:UOO8"/>
    <mergeCell ref="UOP8:UOR8"/>
    <mergeCell ref="UOS8:UOU8"/>
    <mergeCell ref="UOV8:UOX8"/>
    <mergeCell ref="UOY8:UPA8"/>
    <mergeCell ref="UNR8:UNT8"/>
    <mergeCell ref="UNU8:UNW8"/>
    <mergeCell ref="UNX8:UNZ8"/>
    <mergeCell ref="UOA8:UOC8"/>
    <mergeCell ref="UOD8:UOF8"/>
    <mergeCell ref="UOG8:UOI8"/>
    <mergeCell ref="UMZ8:UNB8"/>
    <mergeCell ref="UNC8:UNE8"/>
    <mergeCell ref="UNF8:UNH8"/>
    <mergeCell ref="UNI8:UNK8"/>
    <mergeCell ref="UNL8:UNN8"/>
    <mergeCell ref="UNO8:UNQ8"/>
    <mergeCell ref="UMH8:UMJ8"/>
    <mergeCell ref="UMK8:UMM8"/>
    <mergeCell ref="UMN8:UMP8"/>
    <mergeCell ref="UMQ8:UMS8"/>
    <mergeCell ref="UMT8:UMV8"/>
    <mergeCell ref="UMW8:UMY8"/>
    <mergeCell ref="UTX8:UTZ8"/>
    <mergeCell ref="UUA8:UUC8"/>
    <mergeCell ref="UUD8:UUF8"/>
    <mergeCell ref="UUG8:UUI8"/>
    <mergeCell ref="UUJ8:UUL8"/>
    <mergeCell ref="UUM8:UUO8"/>
    <mergeCell ref="UTF8:UTH8"/>
    <mergeCell ref="UTI8:UTK8"/>
    <mergeCell ref="UTL8:UTN8"/>
    <mergeCell ref="UTO8:UTQ8"/>
    <mergeCell ref="UTR8:UTT8"/>
    <mergeCell ref="UTU8:UTW8"/>
    <mergeCell ref="USN8:USP8"/>
    <mergeCell ref="USQ8:USS8"/>
    <mergeCell ref="UST8:USV8"/>
    <mergeCell ref="USW8:USY8"/>
    <mergeCell ref="USZ8:UTB8"/>
    <mergeCell ref="UTC8:UTE8"/>
    <mergeCell ref="URV8:URX8"/>
    <mergeCell ref="URY8:USA8"/>
    <mergeCell ref="USB8:USD8"/>
    <mergeCell ref="USE8:USG8"/>
    <mergeCell ref="USH8:USJ8"/>
    <mergeCell ref="USK8:USM8"/>
    <mergeCell ref="URD8:URF8"/>
    <mergeCell ref="URG8:URI8"/>
    <mergeCell ref="URJ8:URL8"/>
    <mergeCell ref="URM8:URO8"/>
    <mergeCell ref="URP8:URR8"/>
    <mergeCell ref="URS8:URU8"/>
    <mergeCell ref="UQL8:UQN8"/>
    <mergeCell ref="UQO8:UQQ8"/>
    <mergeCell ref="UQR8:UQT8"/>
    <mergeCell ref="UQU8:UQW8"/>
    <mergeCell ref="UQX8:UQZ8"/>
    <mergeCell ref="URA8:URC8"/>
    <mergeCell ref="UYB8:UYD8"/>
    <mergeCell ref="UYE8:UYG8"/>
    <mergeCell ref="UYH8:UYJ8"/>
    <mergeCell ref="UYK8:UYM8"/>
    <mergeCell ref="UYN8:UYP8"/>
    <mergeCell ref="UYQ8:UYS8"/>
    <mergeCell ref="UXJ8:UXL8"/>
    <mergeCell ref="UXM8:UXO8"/>
    <mergeCell ref="UXP8:UXR8"/>
    <mergeCell ref="UXS8:UXU8"/>
    <mergeCell ref="UXV8:UXX8"/>
    <mergeCell ref="UXY8:UYA8"/>
    <mergeCell ref="UWR8:UWT8"/>
    <mergeCell ref="UWU8:UWW8"/>
    <mergeCell ref="UWX8:UWZ8"/>
    <mergeCell ref="UXA8:UXC8"/>
    <mergeCell ref="UXD8:UXF8"/>
    <mergeCell ref="UXG8:UXI8"/>
    <mergeCell ref="UVZ8:UWB8"/>
    <mergeCell ref="UWC8:UWE8"/>
    <mergeCell ref="UWF8:UWH8"/>
    <mergeCell ref="UWI8:UWK8"/>
    <mergeCell ref="UWL8:UWN8"/>
    <mergeCell ref="UWO8:UWQ8"/>
    <mergeCell ref="UVH8:UVJ8"/>
    <mergeCell ref="UVK8:UVM8"/>
    <mergeCell ref="UVN8:UVP8"/>
    <mergeCell ref="UVQ8:UVS8"/>
    <mergeCell ref="UVT8:UVV8"/>
    <mergeCell ref="UVW8:UVY8"/>
    <mergeCell ref="UUP8:UUR8"/>
    <mergeCell ref="UUS8:UUU8"/>
    <mergeCell ref="UUV8:UUX8"/>
    <mergeCell ref="UUY8:UVA8"/>
    <mergeCell ref="UVB8:UVD8"/>
    <mergeCell ref="UVE8:UVG8"/>
    <mergeCell ref="VCF8:VCH8"/>
    <mergeCell ref="VCI8:VCK8"/>
    <mergeCell ref="VCL8:VCN8"/>
    <mergeCell ref="VCO8:VCQ8"/>
    <mergeCell ref="VCR8:VCT8"/>
    <mergeCell ref="VCU8:VCW8"/>
    <mergeCell ref="VBN8:VBP8"/>
    <mergeCell ref="VBQ8:VBS8"/>
    <mergeCell ref="VBT8:VBV8"/>
    <mergeCell ref="VBW8:VBY8"/>
    <mergeCell ref="VBZ8:VCB8"/>
    <mergeCell ref="VCC8:VCE8"/>
    <mergeCell ref="VAV8:VAX8"/>
    <mergeCell ref="VAY8:VBA8"/>
    <mergeCell ref="VBB8:VBD8"/>
    <mergeCell ref="VBE8:VBG8"/>
    <mergeCell ref="VBH8:VBJ8"/>
    <mergeCell ref="VBK8:VBM8"/>
    <mergeCell ref="VAD8:VAF8"/>
    <mergeCell ref="VAG8:VAI8"/>
    <mergeCell ref="VAJ8:VAL8"/>
    <mergeCell ref="VAM8:VAO8"/>
    <mergeCell ref="VAP8:VAR8"/>
    <mergeCell ref="VAS8:VAU8"/>
    <mergeCell ref="UZL8:UZN8"/>
    <mergeCell ref="UZO8:UZQ8"/>
    <mergeCell ref="UZR8:UZT8"/>
    <mergeCell ref="UZU8:UZW8"/>
    <mergeCell ref="UZX8:UZZ8"/>
    <mergeCell ref="VAA8:VAC8"/>
    <mergeCell ref="UYT8:UYV8"/>
    <mergeCell ref="UYW8:UYY8"/>
    <mergeCell ref="UYZ8:UZB8"/>
    <mergeCell ref="UZC8:UZE8"/>
    <mergeCell ref="UZF8:UZH8"/>
    <mergeCell ref="UZI8:UZK8"/>
    <mergeCell ref="VGJ8:VGL8"/>
    <mergeCell ref="VGM8:VGO8"/>
    <mergeCell ref="VGP8:VGR8"/>
    <mergeCell ref="VGS8:VGU8"/>
    <mergeCell ref="VGV8:VGX8"/>
    <mergeCell ref="VGY8:VHA8"/>
    <mergeCell ref="VFR8:VFT8"/>
    <mergeCell ref="VFU8:VFW8"/>
    <mergeCell ref="VFX8:VFZ8"/>
    <mergeCell ref="VGA8:VGC8"/>
    <mergeCell ref="VGD8:VGF8"/>
    <mergeCell ref="VGG8:VGI8"/>
    <mergeCell ref="VEZ8:VFB8"/>
    <mergeCell ref="VFC8:VFE8"/>
    <mergeCell ref="VFF8:VFH8"/>
    <mergeCell ref="VFI8:VFK8"/>
    <mergeCell ref="VFL8:VFN8"/>
    <mergeCell ref="VFO8:VFQ8"/>
    <mergeCell ref="VEH8:VEJ8"/>
    <mergeCell ref="VEK8:VEM8"/>
    <mergeCell ref="VEN8:VEP8"/>
    <mergeCell ref="VEQ8:VES8"/>
    <mergeCell ref="VET8:VEV8"/>
    <mergeCell ref="VEW8:VEY8"/>
    <mergeCell ref="VDP8:VDR8"/>
    <mergeCell ref="VDS8:VDU8"/>
    <mergeCell ref="VDV8:VDX8"/>
    <mergeCell ref="VDY8:VEA8"/>
    <mergeCell ref="VEB8:VED8"/>
    <mergeCell ref="VEE8:VEG8"/>
    <mergeCell ref="VCX8:VCZ8"/>
    <mergeCell ref="VDA8:VDC8"/>
    <mergeCell ref="VDD8:VDF8"/>
    <mergeCell ref="VDG8:VDI8"/>
    <mergeCell ref="VDJ8:VDL8"/>
    <mergeCell ref="VDM8:VDO8"/>
    <mergeCell ref="VKN8:VKP8"/>
    <mergeCell ref="VKQ8:VKS8"/>
    <mergeCell ref="VKT8:VKV8"/>
    <mergeCell ref="VKW8:VKY8"/>
    <mergeCell ref="VKZ8:VLB8"/>
    <mergeCell ref="VLC8:VLE8"/>
    <mergeCell ref="VJV8:VJX8"/>
    <mergeCell ref="VJY8:VKA8"/>
    <mergeCell ref="VKB8:VKD8"/>
    <mergeCell ref="VKE8:VKG8"/>
    <mergeCell ref="VKH8:VKJ8"/>
    <mergeCell ref="VKK8:VKM8"/>
    <mergeCell ref="VJD8:VJF8"/>
    <mergeCell ref="VJG8:VJI8"/>
    <mergeCell ref="VJJ8:VJL8"/>
    <mergeCell ref="VJM8:VJO8"/>
    <mergeCell ref="VJP8:VJR8"/>
    <mergeCell ref="VJS8:VJU8"/>
    <mergeCell ref="VIL8:VIN8"/>
    <mergeCell ref="VIO8:VIQ8"/>
    <mergeCell ref="VIR8:VIT8"/>
    <mergeCell ref="VIU8:VIW8"/>
    <mergeCell ref="VIX8:VIZ8"/>
    <mergeCell ref="VJA8:VJC8"/>
    <mergeCell ref="VHT8:VHV8"/>
    <mergeCell ref="VHW8:VHY8"/>
    <mergeCell ref="VHZ8:VIB8"/>
    <mergeCell ref="VIC8:VIE8"/>
    <mergeCell ref="VIF8:VIH8"/>
    <mergeCell ref="VII8:VIK8"/>
    <mergeCell ref="VHB8:VHD8"/>
    <mergeCell ref="VHE8:VHG8"/>
    <mergeCell ref="VHH8:VHJ8"/>
    <mergeCell ref="VHK8:VHM8"/>
    <mergeCell ref="VHN8:VHP8"/>
    <mergeCell ref="VHQ8:VHS8"/>
    <mergeCell ref="VOR8:VOT8"/>
    <mergeCell ref="VOU8:VOW8"/>
    <mergeCell ref="VOX8:VOZ8"/>
    <mergeCell ref="VPA8:VPC8"/>
    <mergeCell ref="VPD8:VPF8"/>
    <mergeCell ref="VPG8:VPI8"/>
    <mergeCell ref="VNZ8:VOB8"/>
    <mergeCell ref="VOC8:VOE8"/>
    <mergeCell ref="VOF8:VOH8"/>
    <mergeCell ref="VOI8:VOK8"/>
    <mergeCell ref="VOL8:VON8"/>
    <mergeCell ref="VOO8:VOQ8"/>
    <mergeCell ref="VNH8:VNJ8"/>
    <mergeCell ref="VNK8:VNM8"/>
    <mergeCell ref="VNN8:VNP8"/>
    <mergeCell ref="VNQ8:VNS8"/>
    <mergeCell ref="VNT8:VNV8"/>
    <mergeCell ref="VNW8:VNY8"/>
    <mergeCell ref="VMP8:VMR8"/>
    <mergeCell ref="VMS8:VMU8"/>
    <mergeCell ref="VMV8:VMX8"/>
    <mergeCell ref="VMY8:VNA8"/>
    <mergeCell ref="VNB8:VND8"/>
    <mergeCell ref="VNE8:VNG8"/>
    <mergeCell ref="VLX8:VLZ8"/>
    <mergeCell ref="VMA8:VMC8"/>
    <mergeCell ref="VMD8:VMF8"/>
    <mergeCell ref="VMG8:VMI8"/>
    <mergeCell ref="VMJ8:VML8"/>
    <mergeCell ref="VMM8:VMO8"/>
    <mergeCell ref="VLF8:VLH8"/>
    <mergeCell ref="VLI8:VLK8"/>
    <mergeCell ref="VLL8:VLN8"/>
    <mergeCell ref="VLO8:VLQ8"/>
    <mergeCell ref="VLR8:VLT8"/>
    <mergeCell ref="VLU8:VLW8"/>
    <mergeCell ref="VSV8:VSX8"/>
    <mergeCell ref="VSY8:VTA8"/>
    <mergeCell ref="VTB8:VTD8"/>
    <mergeCell ref="VTE8:VTG8"/>
    <mergeCell ref="VTH8:VTJ8"/>
    <mergeCell ref="VTK8:VTM8"/>
    <mergeCell ref="VSD8:VSF8"/>
    <mergeCell ref="VSG8:VSI8"/>
    <mergeCell ref="VSJ8:VSL8"/>
    <mergeCell ref="VSM8:VSO8"/>
    <mergeCell ref="VSP8:VSR8"/>
    <mergeCell ref="VSS8:VSU8"/>
    <mergeCell ref="VRL8:VRN8"/>
    <mergeCell ref="VRO8:VRQ8"/>
    <mergeCell ref="VRR8:VRT8"/>
    <mergeCell ref="VRU8:VRW8"/>
    <mergeCell ref="VRX8:VRZ8"/>
    <mergeCell ref="VSA8:VSC8"/>
    <mergeCell ref="VQT8:VQV8"/>
    <mergeCell ref="VQW8:VQY8"/>
    <mergeCell ref="VQZ8:VRB8"/>
    <mergeCell ref="VRC8:VRE8"/>
    <mergeCell ref="VRF8:VRH8"/>
    <mergeCell ref="VRI8:VRK8"/>
    <mergeCell ref="VQB8:VQD8"/>
    <mergeCell ref="VQE8:VQG8"/>
    <mergeCell ref="VQH8:VQJ8"/>
    <mergeCell ref="VQK8:VQM8"/>
    <mergeCell ref="VQN8:VQP8"/>
    <mergeCell ref="VQQ8:VQS8"/>
    <mergeCell ref="VPJ8:VPL8"/>
    <mergeCell ref="VPM8:VPO8"/>
    <mergeCell ref="VPP8:VPR8"/>
    <mergeCell ref="VPS8:VPU8"/>
    <mergeCell ref="VPV8:VPX8"/>
    <mergeCell ref="VPY8:VQA8"/>
    <mergeCell ref="VWZ8:VXB8"/>
    <mergeCell ref="VXC8:VXE8"/>
    <mergeCell ref="VXF8:VXH8"/>
    <mergeCell ref="VXI8:VXK8"/>
    <mergeCell ref="VXL8:VXN8"/>
    <mergeCell ref="VXO8:VXQ8"/>
    <mergeCell ref="VWH8:VWJ8"/>
    <mergeCell ref="VWK8:VWM8"/>
    <mergeCell ref="VWN8:VWP8"/>
    <mergeCell ref="VWQ8:VWS8"/>
    <mergeCell ref="VWT8:VWV8"/>
    <mergeCell ref="VWW8:VWY8"/>
    <mergeCell ref="VVP8:VVR8"/>
    <mergeCell ref="VVS8:VVU8"/>
    <mergeCell ref="VVV8:VVX8"/>
    <mergeCell ref="VVY8:VWA8"/>
    <mergeCell ref="VWB8:VWD8"/>
    <mergeCell ref="VWE8:VWG8"/>
    <mergeCell ref="VUX8:VUZ8"/>
    <mergeCell ref="VVA8:VVC8"/>
    <mergeCell ref="VVD8:VVF8"/>
    <mergeCell ref="VVG8:VVI8"/>
    <mergeCell ref="VVJ8:VVL8"/>
    <mergeCell ref="VVM8:VVO8"/>
    <mergeCell ref="VUF8:VUH8"/>
    <mergeCell ref="VUI8:VUK8"/>
    <mergeCell ref="VUL8:VUN8"/>
    <mergeCell ref="VUO8:VUQ8"/>
    <mergeCell ref="VUR8:VUT8"/>
    <mergeCell ref="VUU8:VUW8"/>
    <mergeCell ref="VTN8:VTP8"/>
    <mergeCell ref="VTQ8:VTS8"/>
    <mergeCell ref="VTT8:VTV8"/>
    <mergeCell ref="VTW8:VTY8"/>
    <mergeCell ref="VTZ8:VUB8"/>
    <mergeCell ref="VUC8:VUE8"/>
    <mergeCell ref="WBD8:WBF8"/>
    <mergeCell ref="WBG8:WBI8"/>
    <mergeCell ref="WBJ8:WBL8"/>
    <mergeCell ref="WBM8:WBO8"/>
    <mergeCell ref="WBP8:WBR8"/>
    <mergeCell ref="WBS8:WBU8"/>
    <mergeCell ref="WAL8:WAN8"/>
    <mergeCell ref="WAO8:WAQ8"/>
    <mergeCell ref="WAR8:WAT8"/>
    <mergeCell ref="WAU8:WAW8"/>
    <mergeCell ref="WAX8:WAZ8"/>
    <mergeCell ref="WBA8:WBC8"/>
    <mergeCell ref="VZT8:VZV8"/>
    <mergeCell ref="VZW8:VZY8"/>
    <mergeCell ref="VZZ8:WAB8"/>
    <mergeCell ref="WAC8:WAE8"/>
    <mergeCell ref="WAF8:WAH8"/>
    <mergeCell ref="WAI8:WAK8"/>
    <mergeCell ref="VZB8:VZD8"/>
    <mergeCell ref="VZE8:VZG8"/>
    <mergeCell ref="VZH8:VZJ8"/>
    <mergeCell ref="VZK8:VZM8"/>
    <mergeCell ref="VZN8:VZP8"/>
    <mergeCell ref="VZQ8:VZS8"/>
    <mergeCell ref="VYJ8:VYL8"/>
    <mergeCell ref="VYM8:VYO8"/>
    <mergeCell ref="VYP8:VYR8"/>
    <mergeCell ref="VYS8:VYU8"/>
    <mergeCell ref="VYV8:VYX8"/>
    <mergeCell ref="VYY8:VZA8"/>
    <mergeCell ref="VXR8:VXT8"/>
    <mergeCell ref="VXU8:VXW8"/>
    <mergeCell ref="VXX8:VXZ8"/>
    <mergeCell ref="VYA8:VYC8"/>
    <mergeCell ref="VYD8:VYF8"/>
    <mergeCell ref="VYG8:VYI8"/>
    <mergeCell ref="WFH8:WFJ8"/>
    <mergeCell ref="WFK8:WFM8"/>
    <mergeCell ref="WFN8:WFP8"/>
    <mergeCell ref="WFQ8:WFS8"/>
    <mergeCell ref="WFT8:WFV8"/>
    <mergeCell ref="WFW8:WFY8"/>
    <mergeCell ref="WEP8:WER8"/>
    <mergeCell ref="WES8:WEU8"/>
    <mergeCell ref="WEV8:WEX8"/>
    <mergeCell ref="WEY8:WFA8"/>
    <mergeCell ref="WFB8:WFD8"/>
    <mergeCell ref="WFE8:WFG8"/>
    <mergeCell ref="WDX8:WDZ8"/>
    <mergeCell ref="WEA8:WEC8"/>
    <mergeCell ref="WED8:WEF8"/>
    <mergeCell ref="WEG8:WEI8"/>
    <mergeCell ref="WEJ8:WEL8"/>
    <mergeCell ref="WEM8:WEO8"/>
    <mergeCell ref="WDF8:WDH8"/>
    <mergeCell ref="WDI8:WDK8"/>
    <mergeCell ref="WDL8:WDN8"/>
    <mergeCell ref="WDO8:WDQ8"/>
    <mergeCell ref="WDR8:WDT8"/>
    <mergeCell ref="WDU8:WDW8"/>
    <mergeCell ref="WCN8:WCP8"/>
    <mergeCell ref="WCQ8:WCS8"/>
    <mergeCell ref="WCT8:WCV8"/>
    <mergeCell ref="WCW8:WCY8"/>
    <mergeCell ref="WCZ8:WDB8"/>
    <mergeCell ref="WDC8:WDE8"/>
    <mergeCell ref="WBV8:WBX8"/>
    <mergeCell ref="WBY8:WCA8"/>
    <mergeCell ref="WCB8:WCD8"/>
    <mergeCell ref="WCE8:WCG8"/>
    <mergeCell ref="WCH8:WCJ8"/>
    <mergeCell ref="WCK8:WCM8"/>
    <mergeCell ref="WJL8:WJN8"/>
    <mergeCell ref="WJO8:WJQ8"/>
    <mergeCell ref="WJR8:WJT8"/>
    <mergeCell ref="WJU8:WJW8"/>
    <mergeCell ref="WJX8:WJZ8"/>
    <mergeCell ref="WKA8:WKC8"/>
    <mergeCell ref="WIT8:WIV8"/>
    <mergeCell ref="WIW8:WIY8"/>
    <mergeCell ref="WIZ8:WJB8"/>
    <mergeCell ref="WJC8:WJE8"/>
    <mergeCell ref="WJF8:WJH8"/>
    <mergeCell ref="WJI8:WJK8"/>
    <mergeCell ref="WIB8:WID8"/>
    <mergeCell ref="WIE8:WIG8"/>
    <mergeCell ref="WIH8:WIJ8"/>
    <mergeCell ref="WIK8:WIM8"/>
    <mergeCell ref="WIN8:WIP8"/>
    <mergeCell ref="WIQ8:WIS8"/>
    <mergeCell ref="WHJ8:WHL8"/>
    <mergeCell ref="WHM8:WHO8"/>
    <mergeCell ref="WHP8:WHR8"/>
    <mergeCell ref="WHS8:WHU8"/>
    <mergeCell ref="WHV8:WHX8"/>
    <mergeCell ref="WHY8:WIA8"/>
    <mergeCell ref="WGR8:WGT8"/>
    <mergeCell ref="WGU8:WGW8"/>
    <mergeCell ref="WGX8:WGZ8"/>
    <mergeCell ref="WHA8:WHC8"/>
    <mergeCell ref="WHD8:WHF8"/>
    <mergeCell ref="WHG8:WHI8"/>
    <mergeCell ref="WFZ8:WGB8"/>
    <mergeCell ref="WGC8:WGE8"/>
    <mergeCell ref="WGF8:WGH8"/>
    <mergeCell ref="WGI8:WGK8"/>
    <mergeCell ref="WGL8:WGN8"/>
    <mergeCell ref="WGO8:WGQ8"/>
    <mergeCell ref="WNP8:WNR8"/>
    <mergeCell ref="WNS8:WNU8"/>
    <mergeCell ref="WNV8:WNX8"/>
    <mergeCell ref="WNY8:WOA8"/>
    <mergeCell ref="WOB8:WOD8"/>
    <mergeCell ref="WOE8:WOG8"/>
    <mergeCell ref="WMX8:WMZ8"/>
    <mergeCell ref="WNA8:WNC8"/>
    <mergeCell ref="WND8:WNF8"/>
    <mergeCell ref="WNG8:WNI8"/>
    <mergeCell ref="WNJ8:WNL8"/>
    <mergeCell ref="WNM8:WNO8"/>
    <mergeCell ref="WMF8:WMH8"/>
    <mergeCell ref="WMI8:WMK8"/>
    <mergeCell ref="WML8:WMN8"/>
    <mergeCell ref="WMO8:WMQ8"/>
    <mergeCell ref="WMR8:WMT8"/>
    <mergeCell ref="WMU8:WMW8"/>
    <mergeCell ref="WLN8:WLP8"/>
    <mergeCell ref="WLQ8:WLS8"/>
    <mergeCell ref="WLT8:WLV8"/>
    <mergeCell ref="WLW8:WLY8"/>
    <mergeCell ref="WLZ8:WMB8"/>
    <mergeCell ref="WMC8:WME8"/>
    <mergeCell ref="WKV8:WKX8"/>
    <mergeCell ref="WKY8:WLA8"/>
    <mergeCell ref="WLB8:WLD8"/>
    <mergeCell ref="WLE8:WLG8"/>
    <mergeCell ref="WLH8:WLJ8"/>
    <mergeCell ref="WLK8:WLM8"/>
    <mergeCell ref="WKD8:WKF8"/>
    <mergeCell ref="WKG8:WKI8"/>
    <mergeCell ref="WKJ8:WKL8"/>
    <mergeCell ref="WKM8:WKO8"/>
    <mergeCell ref="WKP8:WKR8"/>
    <mergeCell ref="WKS8:WKU8"/>
    <mergeCell ref="WRT8:WRV8"/>
    <mergeCell ref="WRW8:WRY8"/>
    <mergeCell ref="WRZ8:WSB8"/>
    <mergeCell ref="WSC8:WSE8"/>
    <mergeCell ref="WSF8:WSH8"/>
    <mergeCell ref="WSI8:WSK8"/>
    <mergeCell ref="WRB8:WRD8"/>
    <mergeCell ref="WRE8:WRG8"/>
    <mergeCell ref="WRH8:WRJ8"/>
    <mergeCell ref="WRK8:WRM8"/>
    <mergeCell ref="WRN8:WRP8"/>
    <mergeCell ref="WRQ8:WRS8"/>
    <mergeCell ref="WQJ8:WQL8"/>
    <mergeCell ref="WQM8:WQO8"/>
    <mergeCell ref="WQP8:WQR8"/>
    <mergeCell ref="WQS8:WQU8"/>
    <mergeCell ref="WQV8:WQX8"/>
    <mergeCell ref="WQY8:WRA8"/>
    <mergeCell ref="WPR8:WPT8"/>
    <mergeCell ref="WPU8:WPW8"/>
    <mergeCell ref="WPX8:WPZ8"/>
    <mergeCell ref="WQA8:WQC8"/>
    <mergeCell ref="WQD8:WQF8"/>
    <mergeCell ref="WQG8:WQI8"/>
    <mergeCell ref="WOZ8:WPB8"/>
    <mergeCell ref="WPC8:WPE8"/>
    <mergeCell ref="WPF8:WPH8"/>
    <mergeCell ref="WPI8:WPK8"/>
    <mergeCell ref="WPL8:WPN8"/>
    <mergeCell ref="WPO8:WPQ8"/>
    <mergeCell ref="WOH8:WOJ8"/>
    <mergeCell ref="WOK8:WOM8"/>
    <mergeCell ref="WON8:WOP8"/>
    <mergeCell ref="WOQ8:WOS8"/>
    <mergeCell ref="WOT8:WOV8"/>
    <mergeCell ref="WOW8:WOY8"/>
    <mergeCell ref="WVX8:WVZ8"/>
    <mergeCell ref="WWA8:WWC8"/>
    <mergeCell ref="WWD8:WWF8"/>
    <mergeCell ref="WWG8:WWI8"/>
    <mergeCell ref="WWJ8:WWL8"/>
    <mergeCell ref="WWM8:WWO8"/>
    <mergeCell ref="WVF8:WVH8"/>
    <mergeCell ref="WVI8:WVK8"/>
    <mergeCell ref="WVL8:WVN8"/>
    <mergeCell ref="WVO8:WVQ8"/>
    <mergeCell ref="WVR8:WVT8"/>
    <mergeCell ref="WVU8:WVW8"/>
    <mergeCell ref="WUN8:WUP8"/>
    <mergeCell ref="WUQ8:WUS8"/>
    <mergeCell ref="WUT8:WUV8"/>
    <mergeCell ref="WUW8:WUY8"/>
    <mergeCell ref="WUZ8:WVB8"/>
    <mergeCell ref="WVC8:WVE8"/>
    <mergeCell ref="WTV8:WTX8"/>
    <mergeCell ref="WTY8:WUA8"/>
    <mergeCell ref="WUB8:WUD8"/>
    <mergeCell ref="WUE8:WUG8"/>
    <mergeCell ref="WUH8:WUJ8"/>
    <mergeCell ref="WUK8:WUM8"/>
    <mergeCell ref="WTD8:WTF8"/>
    <mergeCell ref="WTG8:WTI8"/>
    <mergeCell ref="WTJ8:WTL8"/>
    <mergeCell ref="WTM8:WTO8"/>
    <mergeCell ref="WTP8:WTR8"/>
    <mergeCell ref="WTS8:WTU8"/>
    <mergeCell ref="WSL8:WSN8"/>
    <mergeCell ref="WSO8:WSQ8"/>
    <mergeCell ref="WSR8:WST8"/>
    <mergeCell ref="WSU8:WSW8"/>
    <mergeCell ref="WSX8:WSZ8"/>
    <mergeCell ref="WTA8:WTC8"/>
    <mergeCell ref="XAB8:XAD8"/>
    <mergeCell ref="XAE8:XAG8"/>
    <mergeCell ref="XAH8:XAJ8"/>
    <mergeCell ref="XAK8:XAM8"/>
    <mergeCell ref="XAN8:XAP8"/>
    <mergeCell ref="XAQ8:XAS8"/>
    <mergeCell ref="WZJ8:WZL8"/>
    <mergeCell ref="WZM8:WZO8"/>
    <mergeCell ref="WZP8:WZR8"/>
    <mergeCell ref="WZS8:WZU8"/>
    <mergeCell ref="WZV8:WZX8"/>
    <mergeCell ref="WZY8:XAA8"/>
    <mergeCell ref="WYR8:WYT8"/>
    <mergeCell ref="WYU8:WYW8"/>
    <mergeCell ref="WYX8:WYZ8"/>
    <mergeCell ref="WZA8:WZC8"/>
    <mergeCell ref="WZD8:WZF8"/>
    <mergeCell ref="WZG8:WZI8"/>
    <mergeCell ref="WXZ8:WYB8"/>
    <mergeCell ref="WYC8:WYE8"/>
    <mergeCell ref="WYF8:WYH8"/>
    <mergeCell ref="WYI8:WYK8"/>
    <mergeCell ref="WYL8:WYN8"/>
    <mergeCell ref="WYO8:WYQ8"/>
    <mergeCell ref="WXH8:WXJ8"/>
    <mergeCell ref="WXK8:WXM8"/>
    <mergeCell ref="WXN8:WXP8"/>
    <mergeCell ref="WXQ8:WXS8"/>
    <mergeCell ref="WXT8:WXV8"/>
    <mergeCell ref="WXW8:WXY8"/>
    <mergeCell ref="WWP8:WWR8"/>
    <mergeCell ref="WWS8:WWU8"/>
    <mergeCell ref="WWV8:WWX8"/>
    <mergeCell ref="WWY8:WXA8"/>
    <mergeCell ref="WXB8:WXD8"/>
    <mergeCell ref="WXE8:WXG8"/>
    <mergeCell ref="XEX8:XEZ8"/>
    <mergeCell ref="XFA8:XFC8"/>
    <mergeCell ref="XEF8:XEH8"/>
    <mergeCell ref="XEI8:XEK8"/>
    <mergeCell ref="XEL8:XEN8"/>
    <mergeCell ref="XEO8:XEQ8"/>
    <mergeCell ref="XER8:XET8"/>
    <mergeCell ref="XEU8:XEW8"/>
    <mergeCell ref="XDN8:XDP8"/>
    <mergeCell ref="XDQ8:XDS8"/>
    <mergeCell ref="XDT8:XDV8"/>
    <mergeCell ref="XDW8:XDY8"/>
    <mergeCell ref="XDZ8:XEB8"/>
    <mergeCell ref="XEC8:XEE8"/>
    <mergeCell ref="XCV8:XCX8"/>
    <mergeCell ref="XCY8:XDA8"/>
    <mergeCell ref="XDB8:XDD8"/>
    <mergeCell ref="XDE8:XDG8"/>
    <mergeCell ref="XDH8:XDJ8"/>
    <mergeCell ref="XDK8:XDM8"/>
    <mergeCell ref="XCD8:XCF8"/>
    <mergeCell ref="XCG8:XCI8"/>
    <mergeCell ref="XCJ8:XCL8"/>
    <mergeCell ref="XCM8:XCO8"/>
    <mergeCell ref="XCP8:XCR8"/>
    <mergeCell ref="XCS8:XCU8"/>
    <mergeCell ref="XBL8:XBN8"/>
    <mergeCell ref="XBO8:XBQ8"/>
    <mergeCell ref="XBR8:XBT8"/>
    <mergeCell ref="XBU8:XBW8"/>
    <mergeCell ref="XBX8:XBZ8"/>
    <mergeCell ref="XCA8:XCC8"/>
    <mergeCell ref="XAT8:XAV8"/>
    <mergeCell ref="XAW8:XAY8"/>
    <mergeCell ref="XAZ8:XBB8"/>
    <mergeCell ref="XBC8:XBE8"/>
    <mergeCell ref="XBF8:XBH8"/>
    <mergeCell ref="XBI8:XBK8"/>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38"/>
  <sheetViews>
    <sheetView workbookViewId="0">
      <selection activeCell="D13" sqref="D13"/>
    </sheetView>
  </sheetViews>
  <sheetFormatPr defaultRowHeight="15" x14ac:dyDescent="0.25"/>
  <cols>
    <col min="2" max="2" width="36" customWidth="1"/>
    <col min="3" max="3" width="39.28515625" customWidth="1"/>
    <col min="4" max="4" width="44" customWidth="1"/>
    <col min="5" max="5" width="35.42578125" customWidth="1"/>
    <col min="6" max="6" width="7.5703125" customWidth="1"/>
    <col min="7" max="7" width="34.85546875" customWidth="1"/>
  </cols>
  <sheetData>
    <row r="2" spans="2:8" ht="15.75" thickBot="1" x14ac:dyDescent="0.3">
      <c r="B2" s="22" t="s">
        <v>11</v>
      </c>
      <c r="C2" s="22" t="s">
        <v>12</v>
      </c>
      <c r="D2" s="22" t="s">
        <v>15</v>
      </c>
      <c r="E2" s="22" t="s">
        <v>19</v>
      </c>
      <c r="G2" s="24" t="s">
        <v>57</v>
      </c>
    </row>
    <row r="3" spans="2:8" ht="45.75" thickTop="1" x14ac:dyDescent="0.25">
      <c r="B3" s="19" t="s">
        <v>10</v>
      </c>
      <c r="C3" s="19" t="s">
        <v>13</v>
      </c>
      <c r="D3" s="19" t="s">
        <v>14</v>
      </c>
      <c r="E3" s="19" t="s">
        <v>20</v>
      </c>
      <c r="F3" s="19"/>
      <c r="G3" s="20" t="s">
        <v>58</v>
      </c>
    </row>
    <row r="4" spans="2:8" ht="30" x14ac:dyDescent="0.25">
      <c r="B4" s="19" t="s">
        <v>16</v>
      </c>
      <c r="C4" s="19" t="s">
        <v>17</v>
      </c>
      <c r="D4" s="19" t="s">
        <v>18</v>
      </c>
      <c r="E4" s="19" t="s">
        <v>21</v>
      </c>
      <c r="F4" s="19"/>
      <c r="G4" s="20" t="s">
        <v>59</v>
      </c>
    </row>
    <row r="5" spans="2:8" ht="105" x14ac:dyDescent="0.25">
      <c r="B5" s="19" t="s">
        <v>22</v>
      </c>
      <c r="C5" s="19" t="s">
        <v>23</v>
      </c>
      <c r="D5" s="19" t="s">
        <v>24</v>
      </c>
      <c r="E5" s="19" t="s">
        <v>25</v>
      </c>
      <c r="F5" s="19"/>
      <c r="G5" s="20" t="s">
        <v>60</v>
      </c>
    </row>
    <row r="6" spans="2:8" ht="75.75" thickBot="1" x14ac:dyDescent="0.3">
      <c r="B6" s="21" t="s">
        <v>26</v>
      </c>
      <c r="C6" s="21" t="s">
        <v>27</v>
      </c>
      <c r="D6" s="21" t="s">
        <v>28</v>
      </c>
      <c r="E6" s="21" t="s">
        <v>29</v>
      </c>
      <c r="F6" s="19"/>
      <c r="G6" s="20" t="s">
        <v>61</v>
      </c>
    </row>
    <row r="7" spans="2:8" ht="60.75" thickTop="1" x14ac:dyDescent="0.25">
      <c r="B7" s="19" t="s">
        <v>30</v>
      </c>
      <c r="C7" s="19" t="s">
        <v>73</v>
      </c>
      <c r="D7" s="19" t="s">
        <v>74</v>
      </c>
      <c r="E7" s="19" t="s">
        <v>31</v>
      </c>
      <c r="F7" s="19"/>
      <c r="G7" s="20" t="s">
        <v>75</v>
      </c>
    </row>
    <row r="8" spans="2:8" ht="60" x14ac:dyDescent="0.25">
      <c r="B8" s="19" t="s">
        <v>32</v>
      </c>
      <c r="C8" s="19" t="s">
        <v>33</v>
      </c>
      <c r="D8" s="19" t="s">
        <v>41</v>
      </c>
      <c r="E8" s="19" t="s">
        <v>42</v>
      </c>
      <c r="F8" s="19"/>
      <c r="G8" s="20" t="s">
        <v>62</v>
      </c>
    </row>
    <row r="9" spans="2:8" ht="60" x14ac:dyDescent="0.25">
      <c r="B9" s="19" t="s">
        <v>34</v>
      </c>
      <c r="C9" s="19" t="s">
        <v>35</v>
      </c>
      <c r="D9" s="19" t="s">
        <v>43</v>
      </c>
      <c r="E9" s="19" t="s">
        <v>42</v>
      </c>
      <c r="F9" s="19"/>
      <c r="G9" s="20" t="s">
        <v>58</v>
      </c>
    </row>
    <row r="10" spans="2:8" ht="60.75" thickBot="1" x14ac:dyDescent="0.3">
      <c r="B10" s="21" t="s">
        <v>36</v>
      </c>
      <c r="C10" s="21" t="s">
        <v>37</v>
      </c>
      <c r="D10" s="21" t="s">
        <v>38</v>
      </c>
      <c r="E10" s="21" t="s">
        <v>56</v>
      </c>
      <c r="F10" s="19"/>
      <c r="G10" s="20" t="s">
        <v>58</v>
      </c>
    </row>
    <row r="11" spans="2:8" ht="31.5" thickTop="1" thickBot="1" x14ac:dyDescent="0.3">
      <c r="B11" s="23" t="s">
        <v>39</v>
      </c>
      <c r="C11" s="23" t="s">
        <v>40</v>
      </c>
      <c r="D11" s="23" t="s">
        <v>44</v>
      </c>
      <c r="E11" s="23" t="s">
        <v>45</v>
      </c>
      <c r="F11" s="19"/>
      <c r="G11" s="20" t="s">
        <v>59</v>
      </c>
    </row>
    <row r="12" spans="2:8" ht="45.75" thickTop="1" x14ac:dyDescent="0.25">
      <c r="B12" s="19" t="s">
        <v>46</v>
      </c>
      <c r="C12" s="19" t="s">
        <v>47</v>
      </c>
      <c r="D12" s="19" t="s">
        <v>48</v>
      </c>
      <c r="E12" s="19" t="s">
        <v>64</v>
      </c>
      <c r="F12" s="19"/>
      <c r="G12" s="20" t="s">
        <v>63</v>
      </c>
    </row>
    <row r="13" spans="2:8" ht="180.75" thickBot="1" x14ac:dyDescent="0.3">
      <c r="B13" s="21" t="s">
        <v>49</v>
      </c>
      <c r="C13" s="21" t="s">
        <v>50</v>
      </c>
      <c r="D13" s="21" t="s">
        <v>51</v>
      </c>
      <c r="E13" s="21" t="s">
        <v>52</v>
      </c>
      <c r="F13" s="19"/>
      <c r="G13" s="20" t="s">
        <v>65</v>
      </c>
    </row>
    <row r="14" spans="2:8" ht="91.5" thickTop="1" thickBot="1" x14ac:dyDescent="0.3">
      <c r="B14" s="21" t="s">
        <v>1</v>
      </c>
      <c r="C14" s="21" t="s">
        <v>53</v>
      </c>
      <c r="D14" s="21" t="s">
        <v>54</v>
      </c>
      <c r="E14" s="21" t="s">
        <v>55</v>
      </c>
      <c r="F14" s="21"/>
      <c r="G14" s="25" t="s">
        <v>66</v>
      </c>
    </row>
    <row r="15" spans="2:8" ht="60.75" thickTop="1" x14ac:dyDescent="0.25">
      <c r="B15" s="19" t="s">
        <v>68</v>
      </c>
      <c r="C15" s="19" t="s">
        <v>69</v>
      </c>
      <c r="D15" s="19" t="s">
        <v>70</v>
      </c>
      <c r="E15" s="19"/>
      <c r="G15" s="26" t="s">
        <v>71</v>
      </c>
    </row>
    <row r="16" spans="2:8" x14ac:dyDescent="0.25">
      <c r="B16" s="19"/>
      <c r="C16" s="19"/>
      <c r="D16" s="19"/>
      <c r="E16" s="19"/>
      <c r="F16" s="19" t="s">
        <v>67</v>
      </c>
      <c r="G16" s="20">
        <f>1+4+8+11+2+1+1+4+3+24+3+7</f>
        <v>69</v>
      </c>
      <c r="H16" t="s">
        <v>72</v>
      </c>
    </row>
    <row r="17" spans="2:7" x14ac:dyDescent="0.25">
      <c r="B17" s="19"/>
      <c r="C17" s="19"/>
      <c r="D17" s="19"/>
      <c r="E17" s="19"/>
      <c r="F17" s="19"/>
      <c r="G17" s="20"/>
    </row>
    <row r="18" spans="2:7" x14ac:dyDescent="0.25">
      <c r="B18" s="19"/>
      <c r="C18" s="19"/>
      <c r="D18" s="19"/>
      <c r="E18" s="19"/>
      <c r="F18" s="19"/>
      <c r="G18" s="20"/>
    </row>
    <row r="19" spans="2:7" x14ac:dyDescent="0.25">
      <c r="B19" s="19"/>
      <c r="C19" s="19"/>
      <c r="D19" s="19"/>
      <c r="E19" s="19"/>
      <c r="F19" s="19"/>
      <c r="G19" s="20"/>
    </row>
    <row r="20" spans="2:7" x14ac:dyDescent="0.25">
      <c r="B20" s="19"/>
      <c r="C20" s="19"/>
      <c r="D20" s="19"/>
      <c r="E20" s="19"/>
      <c r="F20" s="19"/>
      <c r="G20" s="20"/>
    </row>
    <row r="21" spans="2:7" x14ac:dyDescent="0.25">
      <c r="B21" s="19"/>
      <c r="C21" s="19"/>
      <c r="D21" s="19"/>
      <c r="E21" s="19"/>
      <c r="F21" s="19"/>
      <c r="G21" s="20"/>
    </row>
    <row r="22" spans="2:7" x14ac:dyDescent="0.25">
      <c r="B22" s="19"/>
      <c r="C22" s="19"/>
      <c r="D22" s="19"/>
      <c r="E22" s="19"/>
      <c r="F22" s="19"/>
      <c r="G22" s="20"/>
    </row>
    <row r="23" spans="2:7" x14ac:dyDescent="0.25">
      <c r="B23" s="19"/>
      <c r="C23" s="19"/>
      <c r="D23" s="19"/>
      <c r="E23" s="19"/>
      <c r="F23" s="19"/>
      <c r="G23" s="20"/>
    </row>
    <row r="24" spans="2:7" x14ac:dyDescent="0.25">
      <c r="B24" s="19"/>
      <c r="C24" s="19"/>
      <c r="D24" s="19"/>
      <c r="E24" s="19"/>
      <c r="F24" s="19"/>
      <c r="G24" s="20"/>
    </row>
    <row r="25" spans="2:7" x14ac:dyDescent="0.25">
      <c r="B25" s="19"/>
      <c r="C25" s="19"/>
      <c r="D25" s="19"/>
      <c r="E25" s="19"/>
      <c r="F25" s="19"/>
      <c r="G25" s="20"/>
    </row>
    <row r="26" spans="2:7" x14ac:dyDescent="0.25">
      <c r="B26" s="19"/>
      <c r="C26" s="19"/>
      <c r="D26" s="19"/>
      <c r="E26" s="19"/>
      <c r="F26" s="19"/>
      <c r="G26" s="20"/>
    </row>
    <row r="27" spans="2:7" x14ac:dyDescent="0.25">
      <c r="B27" s="19"/>
      <c r="C27" s="19"/>
      <c r="D27" s="19"/>
      <c r="E27" s="19"/>
      <c r="F27" s="19"/>
      <c r="G27" s="20"/>
    </row>
    <row r="28" spans="2:7" x14ac:dyDescent="0.25">
      <c r="B28" s="19"/>
      <c r="C28" s="19"/>
      <c r="D28" s="19"/>
      <c r="E28" s="19"/>
      <c r="F28" s="19"/>
      <c r="G28" s="20"/>
    </row>
    <row r="29" spans="2:7" x14ac:dyDescent="0.25">
      <c r="B29" s="19"/>
      <c r="C29" s="19"/>
      <c r="D29" s="19"/>
      <c r="E29" s="19"/>
      <c r="F29" s="19"/>
      <c r="G29" s="20"/>
    </row>
    <row r="30" spans="2:7" x14ac:dyDescent="0.25">
      <c r="B30" s="19"/>
      <c r="C30" s="19"/>
      <c r="D30" s="19"/>
      <c r="E30" s="19"/>
      <c r="F30" s="19"/>
      <c r="G30" s="20"/>
    </row>
    <row r="31" spans="2:7" x14ac:dyDescent="0.25">
      <c r="B31" s="19"/>
      <c r="C31" s="19"/>
      <c r="D31" s="19"/>
      <c r="E31" s="19"/>
      <c r="F31" s="19"/>
      <c r="G31" s="20"/>
    </row>
    <row r="32" spans="2:7" x14ac:dyDescent="0.25">
      <c r="B32" s="19"/>
      <c r="C32" s="19"/>
      <c r="D32" s="19"/>
      <c r="E32" s="19"/>
      <c r="F32" s="19"/>
      <c r="G32" s="20"/>
    </row>
    <row r="33" spans="2:7" x14ac:dyDescent="0.25">
      <c r="B33" s="19"/>
      <c r="C33" s="19"/>
      <c r="D33" s="19"/>
      <c r="E33" s="19"/>
      <c r="F33" s="19"/>
      <c r="G33" s="20"/>
    </row>
    <row r="34" spans="2:7" x14ac:dyDescent="0.25">
      <c r="B34" s="19"/>
      <c r="C34" s="19"/>
      <c r="D34" s="19"/>
      <c r="E34" s="19"/>
      <c r="F34" s="19"/>
      <c r="G34" s="20"/>
    </row>
    <row r="35" spans="2:7" x14ac:dyDescent="0.25">
      <c r="B35" s="19"/>
      <c r="C35" s="19"/>
      <c r="D35" s="19"/>
      <c r="E35" s="19"/>
      <c r="F35" s="19"/>
      <c r="G35" s="20"/>
    </row>
    <row r="36" spans="2:7" x14ac:dyDescent="0.25">
      <c r="B36" s="19"/>
      <c r="C36" s="19"/>
      <c r="D36" s="19"/>
      <c r="E36" s="19"/>
      <c r="F36" s="19"/>
      <c r="G36" s="20"/>
    </row>
    <row r="37" spans="2:7" x14ac:dyDescent="0.25">
      <c r="B37" s="19"/>
      <c r="C37" s="19"/>
      <c r="D37" s="19"/>
      <c r="E37" s="19"/>
      <c r="F37" s="19"/>
      <c r="G37" s="20"/>
    </row>
    <row r="38" spans="2:7" x14ac:dyDescent="0.25">
      <c r="B38" s="20"/>
      <c r="C38" s="20"/>
      <c r="D38" s="20"/>
      <c r="E38" s="20"/>
      <c r="F38" s="20"/>
      <c r="G38" s="20"/>
    </row>
  </sheetData>
  <pageMargins left="0.7" right="0.7" top="0.75" bottom="0.75" header="0.3" footer="0.3"/>
  <pageSetup paperSize="9" orientation="portrait" r:id="rId1"/>
</worksheet>
</file>

<file path=customUI/customUI14.xml><?xml version="1.0" encoding="utf-8"?>
<customUI xmlns="http://schemas.microsoft.com/office/2009/07/customui">
  <ribbon startFromScratch="false">
    <tabs>
      <tab id="SAP_IV" label="IV Dashboards">
        <group id="SAP_IV_" label="Create Upload File">
          <button id="SAP_IV_ICC_Upload" label="ICC IV Dashboard" imageMso="ExportTextFile" size="large" onAction="SAP_IV_ICC_Upload_Clicked"/>
          <button id="SAP_IV_VBD_Upload" label="Delivery Progress Reporting" imageMso="ExportTextFile" size="large" onAction="SAP_IV_VBD_Upload_Clicked"/>
        </group>
        <group id="SAP_IV_Imp" label="Import File">
          <button id="SAP_IV_Imp_BP" label="Business Processes" imageMso="ImportExcel" size="large" onAction="SAP_IV_BP_Import_Clicke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28</vt:i4>
      </vt:variant>
    </vt:vector>
  </HeadingPairs>
  <TitlesOfParts>
    <vt:vector size="41" baseType="lpstr">
      <vt:lpstr>Engagement Plan</vt:lpstr>
      <vt:lpstr>Lists</vt:lpstr>
      <vt:lpstr>IV Status</vt:lpstr>
      <vt:lpstr>IV Status Template</vt:lpstr>
      <vt:lpstr>Comments to IV Status</vt:lpstr>
      <vt:lpstr>Issue List</vt:lpstr>
      <vt:lpstr>Benchmark</vt:lpstr>
      <vt:lpstr>IV Progress (Issues)</vt:lpstr>
      <vt:lpstr>Issue Progress</vt:lpstr>
      <vt:lpstr>Issue Statistics</vt:lpstr>
      <vt:lpstr>Recommendations</vt:lpstr>
      <vt:lpstr>Business Processes - Store Repl</vt:lpstr>
      <vt:lpstr>Effort Estimation</vt:lpstr>
      <vt:lpstr>CLOSE</vt:lpstr>
      <vt:lpstr>CUST</vt:lpstr>
      <vt:lpstr>DATA_CONS</vt:lpstr>
      <vt:lpstr>DATA_CONS_SUB</vt:lpstr>
      <vt:lpstr>EXCP_MGT</vt:lpstr>
      <vt:lpstr>EXCP_MGT_SUB</vt:lpstr>
      <vt:lpstr>HIGH</vt:lpstr>
      <vt:lpstr>INTGR_QUE</vt:lpstr>
      <vt:lpstr>INTGR_QUE_SUB</vt:lpstr>
      <vt:lpstr>JOB_VOL</vt:lpstr>
      <vt:lpstr>JOB_VOL_SUB</vt:lpstr>
      <vt:lpstr>listServiceTeamName</vt:lpstr>
      <vt:lpstr>listServiceTeamNum</vt:lpstr>
      <vt:lpstr>MED</vt:lpstr>
      <vt:lpstr>NEW</vt:lpstr>
      <vt:lpstr>OBS</vt:lpstr>
      <vt:lpstr>PERF_SCAL</vt:lpstr>
      <vt:lpstr>PERF_SCAL_SUB</vt:lpstr>
      <vt:lpstr>POST</vt:lpstr>
      <vt:lpstr>'Issue List'!Print_Area</vt:lpstr>
      <vt:lpstr>PRIOS</vt:lpstr>
      <vt:lpstr>REC</vt:lpstr>
      <vt:lpstr>REC_STAT</vt:lpstr>
      <vt:lpstr>SAP</vt:lpstr>
      <vt:lpstr>STATUS_LIST</vt:lpstr>
      <vt:lpstr>TEST</vt:lpstr>
      <vt:lpstr>VH</vt:lpstr>
      <vt:lpstr>WORK_STREAMS</vt:lpstr>
    </vt:vector>
  </TitlesOfParts>
  <Company>SAP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D9990440-C408-404E-82A2-DA61DC373A7C</dc:creator>
  <cp:lastModifiedBy>Han, Ziyi</cp:lastModifiedBy>
  <dcterms:created xsi:type="dcterms:W3CDTF">2013-02-06T15:45:48Z</dcterms:created>
  <dcterms:modified xsi:type="dcterms:W3CDTF">2015-08-28T05:20:10Z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-281228469</vt:i4>
  </property>
  <property fmtid="{D5CDD505-2E9C-101B-9397-08002B2CF9AE}" pid="3" name="_NewReviewCycle">
    <vt:lpwstr/>
  </property>
  <property fmtid="{D5CDD505-2E9C-101B-9397-08002B2CF9AE}" pid="4" name="_EmailSubject">
    <vt:lpwstr>Follow-Up: Scoping for ESRV Services</vt:lpwstr>
  </property>
  <property fmtid="{D5CDD505-2E9C-101B-9397-08002B2CF9AE}" pid="5" name="_AuthorEmail">
    <vt:lpwstr>ganesh.namasivaya@sap.com</vt:lpwstr>
  </property>
  <property fmtid="{D5CDD505-2E9C-101B-9397-08002B2CF9AE}" pid="6" name="_AuthorEmailDisplayName">
    <vt:lpwstr>Namasivaya, Ganesh</vt:lpwstr>
  </property>
  <property fmtid="{D5CDD505-2E9C-101B-9397-08002B2CF9AE}" pid="7" name="_PreviousAdHocReviewCycleID">
    <vt:i4>7931826</vt:i4>
  </property>
  <property fmtid="{D5CDD505-2E9C-101B-9397-08002B2CF9AE}" pid="8" name="_ReviewingToolsShownOnce">
    <vt:lpwstr/>
  </property>
</Properties>
</file>